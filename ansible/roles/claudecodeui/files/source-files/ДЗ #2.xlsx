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Storage\Работа\тренинг эксель\"/>
    </mc:Choice>
  </mc:AlternateContent>
  <xr:revisionPtr revIDLastSave="0" documentId="13_ncr:1_{7154F38E-D39B-439A-A62E-017AAA97C7ED}" xr6:coauthVersionLast="47" xr6:coauthVersionMax="47" xr10:uidLastSave="{00000000-0000-0000-0000-000000000000}"/>
  <bookViews>
    <workbookView xWindow="-108" yWindow="-108" windowWidth="23256" windowHeight="12456" tabRatio="987" activeTab="1" xr2:uid="{00000000-000D-0000-FFFF-FFFF00000000}"/>
  </bookViews>
  <sheets>
    <sheet name="Задание" sheetId="71" r:id="rId1"/>
    <sheet name="Sheet1" sheetId="85" r:id="rId2"/>
    <sheet name="Исходные данные→" sheetId="70" r:id="rId3"/>
    <sheet name="Продажи Компании" sheetId="78" r:id="rId4"/>
    <sheet name="Sheet2" sheetId="86" r:id="rId5"/>
    <sheet name="Декларации" sheetId="74" r:id="rId6"/>
    <sheet name="Росстат_Цены" sheetId="77" r:id="rId7"/>
    <sheet name="Росстат_Пр-во ЦФО" sheetId="75" r:id="rId8"/>
    <sheet name="Росстат_Пр-во СЗФО" sheetId="80" r:id="rId9"/>
    <sheet name="Росстат_Пр-во ЮФО" sheetId="81" r:id="rId10"/>
    <sheet name="Росстат_Пр-во ПФО" sheetId="79" r:id="rId11"/>
    <sheet name="Росстат_Пр-во УФО" sheetId="82" r:id="rId12"/>
    <sheet name="Росстат_Пр-во СФО" sheetId="83" r:id="rId13"/>
    <sheet name="Росстат_Пр-во ДФО" sheetId="84" r:id="rId14"/>
  </sheets>
  <externalReferences>
    <externalReference r:id="rId15"/>
  </externalReferences>
  <definedNames>
    <definedName name="_xlnm._FilterDatabase" localSheetId="0" hidden="1">Задание!$G$13:$H$13</definedName>
    <definedName name="Myqty" hidden="1">[1]Chartsv!$HD$2:$HD$24</definedName>
    <definedName name="Myup" hidden="1">[1]Chartsv!$HC$2:$HC$24</definedName>
    <definedName name="Myvalue" hidden="1">[1]Chartsv!$HF$2:$HF$24</definedName>
    <definedName name="Myweeks" hidden="1">[1]Chartsv!$HB$2:$HB$24</definedName>
  </definedNames>
  <calcPr calcId="191029"/>
  <pivotCaches>
    <pivotCache cacheId="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85" l="1"/>
  <c r="A20" i="85"/>
  <c r="M11" i="85"/>
  <c r="G11" i="85"/>
  <c r="G14" i="85" s="1"/>
  <c r="G17" i="85" s="1"/>
  <c r="O10" i="85"/>
  <c r="O11" i="85" s="1"/>
  <c r="N10" i="85"/>
  <c r="M10" i="85"/>
  <c r="L10" i="85"/>
  <c r="K10" i="85"/>
  <c r="K11" i="85" s="1"/>
  <c r="J10" i="85"/>
  <c r="I10" i="85"/>
  <c r="I11" i="85" s="1"/>
  <c r="H10" i="85"/>
  <c r="G10" i="85"/>
  <c r="F10" i="85"/>
  <c r="F11" i="85" s="1"/>
  <c r="E10" i="85"/>
  <c r="D10" i="85"/>
  <c r="Q10" i="85" s="1"/>
  <c r="O8" i="85"/>
  <c r="N8" i="85"/>
  <c r="M8" i="85"/>
  <c r="L8" i="85"/>
  <c r="K8" i="85"/>
  <c r="J8" i="85"/>
  <c r="I8" i="85"/>
  <c r="H8" i="85"/>
  <c r="G8" i="85"/>
  <c r="F8" i="85"/>
  <c r="E8" i="85"/>
  <c r="D8" i="85"/>
  <c r="O5" i="85"/>
  <c r="N5" i="85"/>
  <c r="M5" i="85"/>
  <c r="L5" i="85"/>
  <c r="K5" i="85"/>
  <c r="J5" i="85"/>
  <c r="I5" i="85"/>
  <c r="H5" i="85"/>
  <c r="G5" i="85"/>
  <c r="F5" i="85"/>
  <c r="E5" i="85"/>
  <c r="D5" i="85"/>
  <c r="O7" i="85"/>
  <c r="N7" i="85"/>
  <c r="M7" i="85"/>
  <c r="L7" i="85"/>
  <c r="K7" i="85"/>
  <c r="J7" i="85"/>
  <c r="I7" i="85"/>
  <c r="H7" i="85"/>
  <c r="G7" i="85"/>
  <c r="F7" i="85"/>
  <c r="E7" i="85"/>
  <c r="D7" i="85"/>
  <c r="O4" i="85"/>
  <c r="N4" i="85"/>
  <c r="M4" i="85"/>
  <c r="M13" i="85" s="1"/>
  <c r="M16" i="85" s="1"/>
  <c r="L4" i="85"/>
  <c r="K4" i="85"/>
  <c r="J4" i="85"/>
  <c r="I4" i="85"/>
  <c r="H4" i="85"/>
  <c r="G4" i="85"/>
  <c r="G13" i="85" s="1"/>
  <c r="G16" i="85" s="1"/>
  <c r="F4" i="85"/>
  <c r="F13" i="85" s="1"/>
  <c r="F16" i="85" s="1"/>
  <c r="E4" i="85"/>
  <c r="D4" i="85"/>
  <c r="C3" i="74"/>
  <c r="C4" i="74"/>
  <c r="C5" i="74"/>
  <c r="C6" i="74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4" i="74"/>
  <c r="C35" i="74"/>
  <c r="C36" i="74"/>
  <c r="C37" i="74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63" i="74"/>
  <c r="C64" i="74"/>
  <c r="C65" i="74"/>
  <c r="C66" i="74"/>
  <c r="C67" i="74"/>
  <c r="C68" i="74"/>
  <c r="C69" i="74"/>
  <c r="C70" i="74"/>
  <c r="C71" i="74"/>
  <c r="C72" i="74"/>
  <c r="C73" i="74"/>
  <c r="C74" i="74"/>
  <c r="C75" i="74"/>
  <c r="C76" i="74"/>
  <c r="C77" i="74"/>
  <c r="C78" i="74"/>
  <c r="C79" i="74"/>
  <c r="C80" i="74"/>
  <c r="C81" i="74"/>
  <c r="C82" i="74"/>
  <c r="C83" i="74"/>
  <c r="C84" i="74"/>
  <c r="C85" i="74"/>
  <c r="C86" i="74"/>
  <c r="C87" i="74"/>
  <c r="C88" i="74"/>
  <c r="C89" i="74"/>
  <c r="C90" i="74"/>
  <c r="C91" i="74"/>
  <c r="C92" i="74"/>
  <c r="C93" i="74"/>
  <c r="C94" i="74"/>
  <c r="C95" i="74"/>
  <c r="C96" i="74"/>
  <c r="C97" i="74"/>
  <c r="C98" i="74"/>
  <c r="C99" i="74"/>
  <c r="C100" i="74"/>
  <c r="C101" i="74"/>
  <c r="C102" i="74"/>
  <c r="C103" i="74"/>
  <c r="C104" i="74"/>
  <c r="C105" i="74"/>
  <c r="C106" i="74"/>
  <c r="C107" i="74"/>
  <c r="C108" i="74"/>
  <c r="C109" i="74"/>
  <c r="C110" i="74"/>
  <c r="C111" i="74"/>
  <c r="C112" i="74"/>
  <c r="C113" i="74"/>
  <c r="C114" i="74"/>
  <c r="C115" i="74"/>
  <c r="C116" i="74"/>
  <c r="C117" i="74"/>
  <c r="C118" i="74"/>
  <c r="C119" i="74"/>
  <c r="C120" i="74"/>
  <c r="C121" i="74"/>
  <c r="C122" i="74"/>
  <c r="C123" i="74"/>
  <c r="C124" i="74"/>
  <c r="C125" i="74"/>
  <c r="C126" i="74"/>
  <c r="C127" i="74"/>
  <c r="C128" i="74"/>
  <c r="C129" i="74"/>
  <c r="C130" i="74"/>
  <c r="C131" i="74"/>
  <c r="C132" i="74"/>
  <c r="C133" i="74"/>
  <c r="C134" i="74"/>
  <c r="C135" i="74"/>
  <c r="C136" i="74"/>
  <c r="C137" i="74"/>
  <c r="C138" i="74"/>
  <c r="C139" i="74"/>
  <c r="C140" i="74"/>
  <c r="C141" i="74"/>
  <c r="C142" i="74"/>
  <c r="C143" i="74"/>
  <c r="C144" i="74"/>
  <c r="C145" i="74"/>
  <c r="C146" i="74"/>
  <c r="C147" i="74"/>
  <c r="C148" i="74"/>
  <c r="C149" i="74"/>
  <c r="C150" i="74"/>
  <c r="C151" i="74"/>
  <c r="C152" i="74"/>
  <c r="C153" i="74"/>
  <c r="C154" i="74"/>
  <c r="C155" i="74"/>
  <c r="C156" i="74"/>
  <c r="C157" i="74"/>
  <c r="C158" i="74"/>
  <c r="C159" i="74"/>
  <c r="C160" i="74"/>
  <c r="C161" i="74"/>
  <c r="C162" i="74"/>
  <c r="C163" i="74"/>
  <c r="C164" i="74"/>
  <c r="C165" i="74"/>
  <c r="C166" i="74"/>
  <c r="C167" i="74"/>
  <c r="C168" i="74"/>
  <c r="C169" i="74"/>
  <c r="C170" i="74"/>
  <c r="C171" i="74"/>
  <c r="C172" i="74"/>
  <c r="C173" i="74"/>
  <c r="C174" i="74"/>
  <c r="C175" i="74"/>
  <c r="C176" i="74"/>
  <c r="C177" i="74"/>
  <c r="C178" i="74"/>
  <c r="C179" i="74"/>
  <c r="C180" i="74"/>
  <c r="C181" i="74"/>
  <c r="C182" i="74"/>
  <c r="C183" i="74"/>
  <c r="C184" i="74"/>
  <c r="C185" i="74"/>
  <c r="C186" i="74"/>
  <c r="C187" i="74"/>
  <c r="C188" i="74"/>
  <c r="C189" i="74"/>
  <c r="C190" i="74"/>
  <c r="C191" i="74"/>
  <c r="C192" i="74"/>
  <c r="C193" i="74"/>
  <c r="C194" i="74"/>
  <c r="C195" i="74"/>
  <c r="C196" i="74"/>
  <c r="C197" i="74"/>
  <c r="C198" i="74"/>
  <c r="C199" i="74"/>
  <c r="C200" i="74"/>
  <c r="C201" i="74"/>
  <c r="C202" i="74"/>
  <c r="C203" i="74"/>
  <c r="C204" i="74"/>
  <c r="C205" i="74"/>
  <c r="C206" i="74"/>
  <c r="C207" i="74"/>
  <c r="C208" i="74"/>
  <c r="C209" i="74"/>
  <c r="C210" i="74"/>
  <c r="C211" i="74"/>
  <c r="C212" i="74"/>
  <c r="C213" i="74"/>
  <c r="C214" i="74"/>
  <c r="C215" i="74"/>
  <c r="C216" i="74"/>
  <c r="C217" i="74"/>
  <c r="C218" i="74"/>
  <c r="C219" i="74"/>
  <c r="C220" i="74"/>
  <c r="C221" i="74"/>
  <c r="C222" i="74"/>
  <c r="C223" i="74"/>
  <c r="C224" i="74"/>
  <c r="C225" i="74"/>
  <c r="C226" i="74"/>
  <c r="C227" i="74"/>
  <c r="C228" i="74"/>
  <c r="C229" i="74"/>
  <c r="C230" i="74"/>
  <c r="C231" i="74"/>
  <c r="C232" i="74"/>
  <c r="C233" i="74"/>
  <c r="C234" i="74"/>
  <c r="C235" i="74"/>
  <c r="C236" i="74"/>
  <c r="C237" i="74"/>
  <c r="C238" i="74"/>
  <c r="C239" i="74"/>
  <c r="C240" i="74"/>
  <c r="C241" i="74"/>
  <c r="C242" i="74"/>
  <c r="C243" i="74"/>
  <c r="C244" i="74"/>
  <c r="C245" i="74"/>
  <c r="C246" i="74"/>
  <c r="C247" i="74"/>
  <c r="C248" i="74"/>
  <c r="C249" i="74"/>
  <c r="C250" i="74"/>
  <c r="C251" i="74"/>
  <c r="C252" i="74"/>
  <c r="C253" i="74"/>
  <c r="C254" i="74"/>
  <c r="C255" i="74"/>
  <c r="C256" i="74"/>
  <c r="C257" i="74"/>
  <c r="C258" i="74"/>
  <c r="C259" i="74"/>
  <c r="C260" i="74"/>
  <c r="C261" i="74"/>
  <c r="C262" i="74"/>
  <c r="C263" i="74"/>
  <c r="C264" i="74"/>
  <c r="C265" i="74"/>
  <c r="C266" i="74"/>
  <c r="C267" i="74"/>
  <c r="C268" i="74"/>
  <c r="C269" i="74"/>
  <c r="C270" i="74"/>
  <c r="C271" i="74"/>
  <c r="C272" i="74"/>
  <c r="C273" i="74"/>
  <c r="C274" i="74"/>
  <c r="C275" i="74"/>
  <c r="C276" i="74"/>
  <c r="C277" i="74"/>
  <c r="C278" i="74"/>
  <c r="C279" i="74"/>
  <c r="C280" i="74"/>
  <c r="C281" i="74"/>
  <c r="C282" i="74"/>
  <c r="C283" i="74"/>
  <c r="C284" i="74"/>
  <c r="C285" i="74"/>
  <c r="C286" i="74"/>
  <c r="C287" i="74"/>
  <c r="C288" i="74"/>
  <c r="C289" i="74"/>
  <c r="C290" i="74"/>
  <c r="C291" i="74"/>
  <c r="C292" i="74"/>
  <c r="C293" i="74"/>
  <c r="C294" i="74"/>
  <c r="C295" i="74"/>
  <c r="C296" i="74"/>
  <c r="C297" i="74"/>
  <c r="C298" i="74"/>
  <c r="C299" i="74"/>
  <c r="C300" i="74"/>
  <c r="C301" i="74"/>
  <c r="C302" i="74"/>
  <c r="C303" i="74"/>
  <c r="C304" i="74"/>
  <c r="C305" i="74"/>
  <c r="C306" i="74"/>
  <c r="C307" i="74"/>
  <c r="C308" i="74"/>
  <c r="C309" i="74"/>
  <c r="C310" i="74"/>
  <c r="C311" i="74"/>
  <c r="C312" i="74"/>
  <c r="C313" i="74"/>
  <c r="C314" i="74"/>
  <c r="C315" i="74"/>
  <c r="C316" i="74"/>
  <c r="C317" i="74"/>
  <c r="C318" i="74"/>
  <c r="C319" i="74"/>
  <c r="C320" i="74"/>
  <c r="C321" i="74"/>
  <c r="C322" i="74"/>
  <c r="C323" i="74"/>
  <c r="C324" i="74"/>
  <c r="C325" i="74"/>
  <c r="C326" i="74"/>
  <c r="C327" i="74"/>
  <c r="C328" i="74"/>
  <c r="C329" i="74"/>
  <c r="C330" i="74"/>
  <c r="C331" i="74"/>
  <c r="C332" i="74"/>
  <c r="C333" i="74"/>
  <c r="C334" i="74"/>
  <c r="C335" i="74"/>
  <c r="C336" i="74"/>
  <c r="C337" i="74"/>
  <c r="C338" i="74"/>
  <c r="C339" i="74"/>
  <c r="C340" i="74"/>
  <c r="C341" i="74"/>
  <c r="C342" i="74"/>
  <c r="C343" i="74"/>
  <c r="C344" i="74"/>
  <c r="C345" i="74"/>
  <c r="C346" i="74"/>
  <c r="C347" i="74"/>
  <c r="C348" i="74"/>
  <c r="C349" i="74"/>
  <c r="C350" i="74"/>
  <c r="C351" i="74"/>
  <c r="C352" i="74"/>
  <c r="C353" i="74"/>
  <c r="C354" i="74"/>
  <c r="C355" i="74"/>
  <c r="C356" i="74"/>
  <c r="C357" i="74"/>
  <c r="C358" i="74"/>
  <c r="C359" i="74"/>
  <c r="C360" i="74"/>
  <c r="C361" i="74"/>
  <c r="C362" i="74"/>
  <c r="C363" i="74"/>
  <c r="C364" i="74"/>
  <c r="C365" i="74"/>
  <c r="C366" i="74"/>
  <c r="C367" i="74"/>
  <c r="C368" i="74"/>
  <c r="C369" i="74"/>
  <c r="C370" i="74"/>
  <c r="C371" i="74"/>
  <c r="C372" i="74"/>
  <c r="C373" i="74"/>
  <c r="C374" i="74"/>
  <c r="C375" i="74"/>
  <c r="C376" i="74"/>
  <c r="C377" i="74"/>
  <c r="C378" i="74"/>
  <c r="C379" i="74"/>
  <c r="C380" i="74"/>
  <c r="C381" i="74"/>
  <c r="C382" i="74"/>
  <c r="C383" i="74"/>
  <c r="C384" i="74"/>
  <c r="C385" i="74"/>
  <c r="C386" i="74"/>
  <c r="C387" i="74"/>
  <c r="C388" i="74"/>
  <c r="C389" i="74"/>
  <c r="C390" i="74"/>
  <c r="C391" i="74"/>
  <c r="C392" i="74"/>
  <c r="C393" i="74"/>
  <c r="C394" i="74"/>
  <c r="C395" i="74"/>
  <c r="C396" i="74"/>
  <c r="C397" i="74"/>
  <c r="C398" i="74"/>
  <c r="C399" i="74"/>
  <c r="C400" i="74"/>
  <c r="C401" i="74"/>
  <c r="C402" i="74"/>
  <c r="C403" i="74"/>
  <c r="C404" i="74"/>
  <c r="C405" i="74"/>
  <c r="C406" i="74"/>
  <c r="C407" i="74"/>
  <c r="C408" i="74"/>
  <c r="C409" i="74"/>
  <c r="C410" i="74"/>
  <c r="C411" i="74"/>
  <c r="C412" i="74"/>
  <c r="C413" i="74"/>
  <c r="C414" i="74"/>
  <c r="C415" i="74"/>
  <c r="C416" i="74"/>
  <c r="C417" i="74"/>
  <c r="C418" i="74"/>
  <c r="C419" i="74"/>
  <c r="C420" i="74"/>
  <c r="C421" i="74"/>
  <c r="C422" i="74"/>
  <c r="C423" i="74"/>
  <c r="C424" i="74"/>
  <c r="C425" i="74"/>
  <c r="C426" i="74"/>
  <c r="C427" i="74"/>
  <c r="C428" i="74"/>
  <c r="C429" i="74"/>
  <c r="C430" i="74"/>
  <c r="C431" i="74"/>
  <c r="C432" i="74"/>
  <c r="C433" i="74"/>
  <c r="C434" i="74"/>
  <c r="C435" i="74"/>
  <c r="C436" i="74"/>
  <c r="C437" i="74"/>
  <c r="C438" i="74"/>
  <c r="C439" i="74"/>
  <c r="C440" i="74"/>
  <c r="C441" i="74"/>
  <c r="C442" i="74"/>
  <c r="C443" i="74"/>
  <c r="C444" i="74"/>
  <c r="C445" i="74"/>
  <c r="C446" i="74"/>
  <c r="C447" i="74"/>
  <c r="C448" i="74"/>
  <c r="C449" i="74"/>
  <c r="C450" i="74"/>
  <c r="C451" i="74"/>
  <c r="C452" i="74"/>
  <c r="C453" i="74"/>
  <c r="C454" i="74"/>
  <c r="C455" i="74"/>
  <c r="C456" i="74"/>
  <c r="C457" i="74"/>
  <c r="C458" i="74"/>
  <c r="C459" i="74"/>
  <c r="C460" i="74"/>
  <c r="C461" i="74"/>
  <c r="C462" i="74"/>
  <c r="C463" i="74"/>
  <c r="C464" i="74"/>
  <c r="C465" i="74"/>
  <c r="C466" i="74"/>
  <c r="C467" i="74"/>
  <c r="C468" i="74"/>
  <c r="C469" i="74"/>
  <c r="C470" i="74"/>
  <c r="C471" i="74"/>
  <c r="C472" i="74"/>
  <c r="C473" i="74"/>
  <c r="C474" i="74"/>
  <c r="C475" i="74"/>
  <c r="C476" i="74"/>
  <c r="C477" i="74"/>
  <c r="C478" i="74"/>
  <c r="C479" i="74"/>
  <c r="C480" i="74"/>
  <c r="C481" i="74"/>
  <c r="C482" i="74"/>
  <c r="C483" i="74"/>
  <c r="C484" i="74"/>
  <c r="C485" i="74"/>
  <c r="C486" i="74"/>
  <c r="C487" i="74"/>
  <c r="C488" i="74"/>
  <c r="C489" i="74"/>
  <c r="C490" i="74"/>
  <c r="C491" i="74"/>
  <c r="C492" i="74"/>
  <c r="C493" i="74"/>
  <c r="C494" i="74"/>
  <c r="C495" i="74"/>
  <c r="C496" i="74"/>
  <c r="C497" i="74"/>
  <c r="C498" i="74"/>
  <c r="C499" i="74"/>
  <c r="C500" i="74"/>
  <c r="C501" i="74"/>
  <c r="C502" i="74"/>
  <c r="C503" i="74"/>
  <c r="C504" i="74"/>
  <c r="C505" i="74"/>
  <c r="C506" i="74"/>
  <c r="C507" i="74"/>
  <c r="C508" i="74"/>
  <c r="C509" i="74"/>
  <c r="C510" i="74"/>
  <c r="C511" i="74"/>
  <c r="C512" i="74"/>
  <c r="C513" i="74"/>
  <c r="C514" i="74"/>
  <c r="C515" i="74"/>
  <c r="C516" i="74"/>
  <c r="C517" i="74"/>
  <c r="C518" i="74"/>
  <c r="C519" i="74"/>
  <c r="C520" i="74"/>
  <c r="C521" i="74"/>
  <c r="C522" i="74"/>
  <c r="C523" i="74"/>
  <c r="C524" i="74"/>
  <c r="C525" i="74"/>
  <c r="C526" i="74"/>
  <c r="C527" i="74"/>
  <c r="C528" i="74"/>
  <c r="C529" i="74"/>
  <c r="C530" i="74"/>
  <c r="C531" i="74"/>
  <c r="C532" i="74"/>
  <c r="C533" i="74"/>
  <c r="C534" i="74"/>
  <c r="C535" i="74"/>
  <c r="C536" i="74"/>
  <c r="C537" i="74"/>
  <c r="C538" i="74"/>
  <c r="C539" i="74"/>
  <c r="C540" i="74"/>
  <c r="C541" i="74"/>
  <c r="C542" i="74"/>
  <c r="C543" i="74"/>
  <c r="C544" i="74"/>
  <c r="C545" i="74"/>
  <c r="C546" i="74"/>
  <c r="C547" i="74"/>
  <c r="C548" i="74"/>
  <c r="C549" i="74"/>
  <c r="C550" i="74"/>
  <c r="C551" i="74"/>
  <c r="C552" i="74"/>
  <c r="C553" i="74"/>
  <c r="C554" i="74"/>
  <c r="C555" i="74"/>
  <c r="C556" i="74"/>
  <c r="C557" i="74"/>
  <c r="C558" i="74"/>
  <c r="C559" i="74"/>
  <c r="C560" i="74"/>
  <c r="C561" i="74"/>
  <c r="C562" i="74"/>
  <c r="C563" i="74"/>
  <c r="C564" i="74"/>
  <c r="C565" i="74"/>
  <c r="C566" i="74"/>
  <c r="C567" i="74"/>
  <c r="C568" i="74"/>
  <c r="C569" i="74"/>
  <c r="C570" i="74"/>
  <c r="C571" i="74"/>
  <c r="C572" i="74"/>
  <c r="C573" i="74"/>
  <c r="C574" i="74"/>
  <c r="C575" i="74"/>
  <c r="C576" i="74"/>
  <c r="C577" i="74"/>
  <c r="C578" i="74"/>
  <c r="C579" i="74"/>
  <c r="C580" i="74"/>
  <c r="C581" i="74"/>
  <c r="C582" i="74"/>
  <c r="C583" i="74"/>
  <c r="C584" i="74"/>
  <c r="C585" i="74"/>
  <c r="C586" i="74"/>
  <c r="C587" i="74"/>
  <c r="C588" i="74"/>
  <c r="C589" i="74"/>
  <c r="C590" i="74"/>
  <c r="C591" i="74"/>
  <c r="C592" i="74"/>
  <c r="C593" i="74"/>
  <c r="C594" i="74"/>
  <c r="C595" i="74"/>
  <c r="C596" i="74"/>
  <c r="C597" i="74"/>
  <c r="C598" i="74"/>
  <c r="C599" i="74"/>
  <c r="C600" i="74"/>
  <c r="C601" i="74"/>
  <c r="C602" i="74"/>
  <c r="C603" i="74"/>
  <c r="C604" i="74"/>
  <c r="C605" i="74"/>
  <c r="C606" i="74"/>
  <c r="C607" i="74"/>
  <c r="C608" i="74"/>
  <c r="C609" i="74"/>
  <c r="C610" i="74"/>
  <c r="C611" i="74"/>
  <c r="C612" i="74"/>
  <c r="C613" i="74"/>
  <c r="C614" i="74"/>
  <c r="C615" i="74"/>
  <c r="C616" i="74"/>
  <c r="C617" i="74"/>
  <c r="C618" i="74"/>
  <c r="C619" i="74"/>
  <c r="C620" i="74"/>
  <c r="C621" i="74"/>
  <c r="C622" i="74"/>
  <c r="C623" i="74"/>
  <c r="C624" i="74"/>
  <c r="C625" i="74"/>
  <c r="C626" i="74"/>
  <c r="C627" i="74"/>
  <c r="C628" i="74"/>
  <c r="C629" i="74"/>
  <c r="C630" i="74"/>
  <c r="C631" i="74"/>
  <c r="C632" i="74"/>
  <c r="C633" i="74"/>
  <c r="C634" i="74"/>
  <c r="C635" i="74"/>
  <c r="C636" i="74"/>
  <c r="C637" i="74"/>
  <c r="C638" i="74"/>
  <c r="C639" i="74"/>
  <c r="C640" i="74"/>
  <c r="C641" i="74"/>
  <c r="C642" i="74"/>
  <c r="C643" i="74"/>
  <c r="C644" i="74"/>
  <c r="C645" i="74"/>
  <c r="C646" i="74"/>
  <c r="C647" i="74"/>
  <c r="C648" i="74"/>
  <c r="C649" i="74"/>
  <c r="C650" i="74"/>
  <c r="C651" i="74"/>
  <c r="C652" i="74"/>
  <c r="C653" i="74"/>
  <c r="C654" i="74"/>
  <c r="C655" i="74"/>
  <c r="C656" i="74"/>
  <c r="C657" i="74"/>
  <c r="C658" i="74"/>
  <c r="C659" i="74"/>
  <c r="C660" i="74"/>
  <c r="C661" i="74"/>
  <c r="C662" i="74"/>
  <c r="C663" i="74"/>
  <c r="C664" i="74"/>
  <c r="C665" i="74"/>
  <c r="C666" i="74"/>
  <c r="C667" i="74"/>
  <c r="C668" i="74"/>
  <c r="C669" i="74"/>
  <c r="C670" i="74"/>
  <c r="C671" i="74"/>
  <c r="C672" i="74"/>
  <c r="C673" i="74"/>
  <c r="C674" i="74"/>
  <c r="C675" i="74"/>
  <c r="C676" i="74"/>
  <c r="C677" i="74"/>
  <c r="C678" i="74"/>
  <c r="C679" i="74"/>
  <c r="C680" i="74"/>
  <c r="C681" i="74"/>
  <c r="C682" i="74"/>
  <c r="C683" i="74"/>
  <c r="C684" i="74"/>
  <c r="C685" i="74"/>
  <c r="C686" i="74"/>
  <c r="C687" i="74"/>
  <c r="C688" i="74"/>
  <c r="C689" i="74"/>
  <c r="C690" i="74"/>
  <c r="C691" i="74"/>
  <c r="C692" i="74"/>
  <c r="C693" i="74"/>
  <c r="C694" i="74"/>
  <c r="C695" i="74"/>
  <c r="C696" i="74"/>
  <c r="C697" i="74"/>
  <c r="C698" i="74"/>
  <c r="C699" i="74"/>
  <c r="C700" i="74"/>
  <c r="C701" i="74"/>
  <c r="C702" i="74"/>
  <c r="C703" i="74"/>
  <c r="C704" i="74"/>
  <c r="C705" i="74"/>
  <c r="C706" i="74"/>
  <c r="C707" i="74"/>
  <c r="C708" i="74"/>
  <c r="C709" i="74"/>
  <c r="C710" i="74"/>
  <c r="C711" i="74"/>
  <c r="C712" i="74"/>
  <c r="C713" i="74"/>
  <c r="C714" i="74"/>
  <c r="C715" i="74"/>
  <c r="C716" i="74"/>
  <c r="C717" i="74"/>
  <c r="C718" i="74"/>
  <c r="C719" i="74"/>
  <c r="C720" i="74"/>
  <c r="C721" i="74"/>
  <c r="C722" i="74"/>
  <c r="C723" i="74"/>
  <c r="C724" i="74"/>
  <c r="C725" i="74"/>
  <c r="C726" i="74"/>
  <c r="C727" i="74"/>
  <c r="C728" i="74"/>
  <c r="C729" i="74"/>
  <c r="C730" i="74"/>
  <c r="C731" i="74"/>
  <c r="C732" i="74"/>
  <c r="C733" i="74"/>
  <c r="C734" i="74"/>
  <c r="C735" i="74"/>
  <c r="C736" i="74"/>
  <c r="C737" i="74"/>
  <c r="C738" i="74"/>
  <c r="C739" i="74"/>
  <c r="C740" i="74"/>
  <c r="C741" i="74"/>
  <c r="C742" i="74"/>
  <c r="C743" i="74"/>
  <c r="C744" i="74"/>
  <c r="C745" i="74"/>
  <c r="C746" i="74"/>
  <c r="C747" i="74"/>
  <c r="C748" i="74"/>
  <c r="C749" i="74"/>
  <c r="C750" i="74"/>
  <c r="C751" i="74"/>
  <c r="C752" i="74"/>
  <c r="C753" i="74"/>
  <c r="C754" i="74"/>
  <c r="C755" i="74"/>
  <c r="C756" i="74"/>
  <c r="C757" i="74"/>
  <c r="C758" i="74"/>
  <c r="C759" i="74"/>
  <c r="C760" i="74"/>
  <c r="C761" i="74"/>
  <c r="C762" i="74"/>
  <c r="C763" i="74"/>
  <c r="C764" i="74"/>
  <c r="C765" i="74"/>
  <c r="C766" i="74"/>
  <c r="C767" i="74"/>
  <c r="C768" i="74"/>
  <c r="C769" i="74"/>
  <c r="C770" i="74"/>
  <c r="C771" i="74"/>
  <c r="C772" i="74"/>
  <c r="C773" i="74"/>
  <c r="C774" i="74"/>
  <c r="C775" i="74"/>
  <c r="C776" i="74"/>
  <c r="C777" i="74"/>
  <c r="C778" i="74"/>
  <c r="C779" i="74"/>
  <c r="C780" i="74"/>
  <c r="C781" i="74"/>
  <c r="C782" i="74"/>
  <c r="C783" i="74"/>
  <c r="C784" i="74"/>
  <c r="C785" i="74"/>
  <c r="C786" i="74"/>
  <c r="C787" i="74"/>
  <c r="C788" i="74"/>
  <c r="C789" i="74"/>
  <c r="C790" i="74"/>
  <c r="C791" i="74"/>
  <c r="C792" i="74"/>
  <c r="C793" i="74"/>
  <c r="C794" i="74"/>
  <c r="C795" i="74"/>
  <c r="C796" i="74"/>
  <c r="C797" i="74"/>
  <c r="C798" i="74"/>
  <c r="C799" i="74"/>
  <c r="C800" i="74"/>
  <c r="C801" i="74"/>
  <c r="C802" i="74"/>
  <c r="C803" i="74"/>
  <c r="C804" i="74"/>
  <c r="C805" i="74"/>
  <c r="C806" i="74"/>
  <c r="C807" i="74"/>
  <c r="C808" i="74"/>
  <c r="C809" i="74"/>
  <c r="C810" i="74"/>
  <c r="C811" i="74"/>
  <c r="C812" i="74"/>
  <c r="C813" i="74"/>
  <c r="C814" i="74"/>
  <c r="C815" i="74"/>
  <c r="C816" i="74"/>
  <c r="C817" i="74"/>
  <c r="C818" i="74"/>
  <c r="C819" i="74"/>
  <c r="C820" i="74"/>
  <c r="C821" i="74"/>
  <c r="C822" i="74"/>
  <c r="C823" i="74"/>
  <c r="C824" i="74"/>
  <c r="C825" i="74"/>
  <c r="C826" i="74"/>
  <c r="C827" i="74"/>
  <c r="C828" i="74"/>
  <c r="C829" i="74"/>
  <c r="C830" i="74"/>
  <c r="C831" i="74"/>
  <c r="C832" i="74"/>
  <c r="C833" i="74"/>
  <c r="C834" i="74"/>
  <c r="C835" i="74"/>
  <c r="C836" i="74"/>
  <c r="C837" i="74"/>
  <c r="C838" i="74"/>
  <c r="C839" i="74"/>
  <c r="C840" i="74"/>
  <c r="C841" i="74"/>
  <c r="C842" i="74"/>
  <c r="C843" i="74"/>
  <c r="C844" i="74"/>
  <c r="C845" i="74"/>
  <c r="C846" i="74"/>
  <c r="C847" i="74"/>
  <c r="C848" i="74"/>
  <c r="C849" i="74"/>
  <c r="C850" i="74"/>
  <c r="C851" i="74"/>
  <c r="C852" i="74"/>
  <c r="C853" i="74"/>
  <c r="C854" i="74"/>
  <c r="C855" i="74"/>
  <c r="C856" i="74"/>
  <c r="C857" i="74"/>
  <c r="C858" i="74"/>
  <c r="C859" i="74"/>
  <c r="C860" i="74"/>
  <c r="C861" i="74"/>
  <c r="C862" i="74"/>
  <c r="C863" i="74"/>
  <c r="C864" i="74"/>
  <c r="C865" i="74"/>
  <c r="C866" i="74"/>
  <c r="C867" i="74"/>
  <c r="C868" i="74"/>
  <c r="C869" i="74"/>
  <c r="C870" i="74"/>
  <c r="C871" i="74"/>
  <c r="C872" i="74"/>
  <c r="C873" i="74"/>
  <c r="C874" i="74"/>
  <c r="C875" i="74"/>
  <c r="C876" i="74"/>
  <c r="C877" i="74"/>
  <c r="C878" i="74"/>
  <c r="C879" i="74"/>
  <c r="C880" i="74"/>
  <c r="C881" i="74"/>
  <c r="C882" i="74"/>
  <c r="C883" i="74"/>
  <c r="C884" i="74"/>
  <c r="C885" i="74"/>
  <c r="C886" i="74"/>
  <c r="C887" i="74"/>
  <c r="C888" i="74"/>
  <c r="C889" i="74"/>
  <c r="C890" i="74"/>
  <c r="C891" i="74"/>
  <c r="C892" i="74"/>
  <c r="C893" i="74"/>
  <c r="C894" i="74"/>
  <c r="C895" i="74"/>
  <c r="C896" i="74"/>
  <c r="C897" i="74"/>
  <c r="C898" i="74"/>
  <c r="C899" i="74"/>
  <c r="C900" i="74"/>
  <c r="C901" i="74"/>
  <c r="C902" i="74"/>
  <c r="C903" i="74"/>
  <c r="C904" i="74"/>
  <c r="C905" i="74"/>
  <c r="C906" i="74"/>
  <c r="C907" i="74"/>
  <c r="C908" i="74"/>
  <c r="C909" i="74"/>
  <c r="C910" i="74"/>
  <c r="C911" i="74"/>
  <c r="C912" i="74"/>
  <c r="C913" i="74"/>
  <c r="C914" i="74"/>
  <c r="C915" i="74"/>
  <c r="C916" i="74"/>
  <c r="C917" i="74"/>
  <c r="C918" i="74"/>
  <c r="C919" i="74"/>
  <c r="C920" i="74"/>
  <c r="C921" i="74"/>
  <c r="C922" i="74"/>
  <c r="C923" i="74"/>
  <c r="C924" i="74"/>
  <c r="C925" i="74"/>
  <c r="C926" i="74"/>
  <c r="C927" i="74"/>
  <c r="C928" i="74"/>
  <c r="C929" i="74"/>
  <c r="C930" i="74"/>
  <c r="C931" i="74"/>
  <c r="C932" i="74"/>
  <c r="C933" i="74"/>
  <c r="C934" i="74"/>
  <c r="C935" i="74"/>
  <c r="C936" i="74"/>
  <c r="C937" i="74"/>
  <c r="C938" i="74"/>
  <c r="C939" i="74"/>
  <c r="C940" i="74"/>
  <c r="C941" i="74"/>
  <c r="C942" i="74"/>
  <c r="C943" i="74"/>
  <c r="C944" i="74"/>
  <c r="C945" i="74"/>
  <c r="C946" i="74"/>
  <c r="C947" i="74"/>
  <c r="C948" i="74"/>
  <c r="C949" i="74"/>
  <c r="C950" i="74"/>
  <c r="C951" i="74"/>
  <c r="C952" i="74"/>
  <c r="C953" i="74"/>
  <c r="C954" i="74"/>
  <c r="C955" i="74"/>
  <c r="C956" i="74"/>
  <c r="C957" i="74"/>
  <c r="C958" i="74"/>
  <c r="C959" i="74"/>
  <c r="C960" i="74"/>
  <c r="C961" i="74"/>
  <c r="C962" i="74"/>
  <c r="C963" i="74"/>
  <c r="C964" i="74"/>
  <c r="C965" i="74"/>
  <c r="C966" i="74"/>
  <c r="C967" i="74"/>
  <c r="C968" i="74"/>
  <c r="C969" i="74"/>
  <c r="C970" i="74"/>
  <c r="C971" i="74"/>
  <c r="C972" i="74"/>
  <c r="C973" i="74"/>
  <c r="C974" i="74"/>
  <c r="C975" i="74"/>
  <c r="C976" i="74"/>
  <c r="C977" i="74"/>
  <c r="C978" i="74"/>
  <c r="C979" i="74"/>
  <c r="C980" i="74"/>
  <c r="C981" i="74"/>
  <c r="C982" i="74"/>
  <c r="C983" i="74"/>
  <c r="C984" i="74"/>
  <c r="C985" i="74"/>
  <c r="C986" i="74"/>
  <c r="C987" i="74"/>
  <c r="C988" i="74"/>
  <c r="C989" i="74"/>
  <c r="C990" i="74"/>
  <c r="C991" i="74"/>
  <c r="C992" i="74"/>
  <c r="C993" i="74"/>
  <c r="C994" i="74"/>
  <c r="C995" i="74"/>
  <c r="C996" i="74"/>
  <c r="C997" i="74"/>
  <c r="C998" i="74"/>
  <c r="C999" i="74"/>
  <c r="C1000" i="74"/>
  <c r="C1001" i="74"/>
  <c r="C1002" i="74"/>
  <c r="C1003" i="74"/>
  <c r="C1004" i="74"/>
  <c r="C1005" i="74"/>
  <c r="C1006" i="74"/>
  <c r="C1007" i="74"/>
  <c r="C1008" i="74"/>
  <c r="C1009" i="74"/>
  <c r="C1010" i="74"/>
  <c r="C1011" i="74"/>
  <c r="C1012" i="74"/>
  <c r="C1013" i="74"/>
  <c r="C1014" i="74"/>
  <c r="C1015" i="74"/>
  <c r="C1016" i="74"/>
  <c r="C1017" i="74"/>
  <c r="C1018" i="74"/>
  <c r="C1019" i="74"/>
  <c r="C1020" i="74"/>
  <c r="C1021" i="74"/>
  <c r="C1022" i="74"/>
  <c r="C1023" i="74"/>
  <c r="C1024" i="74"/>
  <c r="C1025" i="74"/>
  <c r="C1026" i="74"/>
  <c r="C1027" i="74"/>
  <c r="C1028" i="74"/>
  <c r="C1029" i="74"/>
  <c r="C1030" i="74"/>
  <c r="C1031" i="74"/>
  <c r="C1032" i="74"/>
  <c r="C1033" i="74"/>
  <c r="BR3" i="74"/>
  <c r="BR4" i="74"/>
  <c r="BR5" i="74"/>
  <c r="BR6" i="74"/>
  <c r="BR7" i="74"/>
  <c r="BR8" i="74"/>
  <c r="BR9" i="74"/>
  <c r="BR10" i="74"/>
  <c r="BR11" i="74"/>
  <c r="BR12" i="74"/>
  <c r="BR13" i="74"/>
  <c r="BR14" i="74"/>
  <c r="BR15" i="74"/>
  <c r="BR16" i="74"/>
  <c r="BR17" i="74"/>
  <c r="BR18" i="74"/>
  <c r="BR19" i="74"/>
  <c r="BR20" i="74"/>
  <c r="BR21" i="74"/>
  <c r="BR22" i="74"/>
  <c r="BR23" i="74"/>
  <c r="BR24" i="74"/>
  <c r="BR25" i="74"/>
  <c r="BR26" i="74"/>
  <c r="BR27" i="74"/>
  <c r="BR28" i="74"/>
  <c r="BR29" i="74"/>
  <c r="BR30" i="74"/>
  <c r="BR31" i="74"/>
  <c r="BR32" i="74"/>
  <c r="BR33" i="74"/>
  <c r="BR34" i="74"/>
  <c r="BR35" i="74"/>
  <c r="BR36" i="74"/>
  <c r="BR37" i="74"/>
  <c r="BR38" i="74"/>
  <c r="BR39" i="74"/>
  <c r="BR40" i="74"/>
  <c r="BR41" i="74"/>
  <c r="BR42" i="74"/>
  <c r="BR43" i="74"/>
  <c r="BR44" i="74"/>
  <c r="BR45" i="74"/>
  <c r="BR46" i="74"/>
  <c r="BR47" i="74"/>
  <c r="BR48" i="74"/>
  <c r="BR49" i="74"/>
  <c r="BR50" i="74"/>
  <c r="BR51" i="74"/>
  <c r="BR52" i="74"/>
  <c r="BR53" i="74"/>
  <c r="BR54" i="74"/>
  <c r="BR55" i="74"/>
  <c r="BR56" i="74"/>
  <c r="BR57" i="74"/>
  <c r="BR58" i="74"/>
  <c r="BR59" i="74"/>
  <c r="BR60" i="74"/>
  <c r="BR61" i="74"/>
  <c r="BR62" i="74"/>
  <c r="BR63" i="74"/>
  <c r="BR64" i="74"/>
  <c r="BR65" i="74"/>
  <c r="BR66" i="74"/>
  <c r="BR67" i="74"/>
  <c r="BR68" i="74"/>
  <c r="BR69" i="74"/>
  <c r="BR70" i="74"/>
  <c r="BR71" i="74"/>
  <c r="BR72" i="74"/>
  <c r="BR73" i="74"/>
  <c r="BR74" i="74"/>
  <c r="BR75" i="74"/>
  <c r="BR76" i="74"/>
  <c r="BR77" i="74"/>
  <c r="BR78" i="74"/>
  <c r="BR79" i="74"/>
  <c r="BR80" i="74"/>
  <c r="BR81" i="74"/>
  <c r="BR82" i="74"/>
  <c r="BR83" i="74"/>
  <c r="BR84" i="74"/>
  <c r="BR85" i="74"/>
  <c r="BR86" i="74"/>
  <c r="BR87" i="74"/>
  <c r="BR88" i="74"/>
  <c r="BR89" i="74"/>
  <c r="BR90" i="74"/>
  <c r="BR91" i="74"/>
  <c r="BR92" i="74"/>
  <c r="BR93" i="74"/>
  <c r="BR94" i="74"/>
  <c r="BR95" i="74"/>
  <c r="BR96" i="74"/>
  <c r="BR97" i="74"/>
  <c r="BR98" i="74"/>
  <c r="BR99" i="74"/>
  <c r="BR100" i="74"/>
  <c r="BR101" i="74"/>
  <c r="BR102" i="74"/>
  <c r="BR103" i="74"/>
  <c r="BR104" i="74"/>
  <c r="BR105" i="74"/>
  <c r="BR106" i="74"/>
  <c r="BR107" i="74"/>
  <c r="BR108" i="74"/>
  <c r="BR109" i="74"/>
  <c r="BR110" i="74"/>
  <c r="BR111" i="74"/>
  <c r="BR112" i="74"/>
  <c r="BR113" i="74"/>
  <c r="BR114" i="74"/>
  <c r="BR115" i="74"/>
  <c r="BR116" i="74"/>
  <c r="BR117" i="74"/>
  <c r="BR118" i="74"/>
  <c r="BR119" i="74"/>
  <c r="BR120" i="74"/>
  <c r="BR121" i="74"/>
  <c r="BR122" i="74"/>
  <c r="BR123" i="74"/>
  <c r="BR124" i="74"/>
  <c r="BR125" i="74"/>
  <c r="BR126" i="74"/>
  <c r="BR127" i="74"/>
  <c r="BR128" i="74"/>
  <c r="BR129" i="74"/>
  <c r="BR130" i="74"/>
  <c r="BR131" i="74"/>
  <c r="BR132" i="74"/>
  <c r="BR133" i="74"/>
  <c r="BR134" i="74"/>
  <c r="BR135" i="74"/>
  <c r="BR136" i="74"/>
  <c r="BR137" i="74"/>
  <c r="BR138" i="74"/>
  <c r="BR139" i="74"/>
  <c r="BR140" i="74"/>
  <c r="BR141" i="74"/>
  <c r="BR142" i="74"/>
  <c r="BR143" i="74"/>
  <c r="BR144" i="74"/>
  <c r="BR145" i="74"/>
  <c r="BR146" i="74"/>
  <c r="BR147" i="74"/>
  <c r="BR148" i="74"/>
  <c r="BR149" i="74"/>
  <c r="BR150" i="74"/>
  <c r="BR151" i="74"/>
  <c r="BR152" i="74"/>
  <c r="BR153" i="74"/>
  <c r="BR154" i="74"/>
  <c r="BR155" i="74"/>
  <c r="BR156" i="74"/>
  <c r="BR157" i="74"/>
  <c r="BR158" i="74"/>
  <c r="BR159" i="74"/>
  <c r="BR160" i="74"/>
  <c r="BR161" i="74"/>
  <c r="BR162" i="74"/>
  <c r="BR163" i="74"/>
  <c r="BR164" i="74"/>
  <c r="BR165" i="74"/>
  <c r="BR166" i="74"/>
  <c r="BR167" i="74"/>
  <c r="BR168" i="74"/>
  <c r="BR169" i="74"/>
  <c r="BR170" i="74"/>
  <c r="BR171" i="74"/>
  <c r="BR172" i="74"/>
  <c r="BR173" i="74"/>
  <c r="BR174" i="74"/>
  <c r="BR175" i="74"/>
  <c r="BR176" i="74"/>
  <c r="BR177" i="74"/>
  <c r="BR178" i="74"/>
  <c r="BR179" i="74"/>
  <c r="BR180" i="74"/>
  <c r="BR181" i="74"/>
  <c r="BR182" i="74"/>
  <c r="BR183" i="74"/>
  <c r="BR184" i="74"/>
  <c r="BR185" i="74"/>
  <c r="BR186" i="74"/>
  <c r="BR187" i="74"/>
  <c r="BR188" i="74"/>
  <c r="BR189" i="74"/>
  <c r="BR190" i="74"/>
  <c r="BR191" i="74"/>
  <c r="BR192" i="74"/>
  <c r="BR193" i="74"/>
  <c r="BR194" i="74"/>
  <c r="BR195" i="74"/>
  <c r="BR196" i="74"/>
  <c r="BR197" i="74"/>
  <c r="BR198" i="74"/>
  <c r="BR199" i="74"/>
  <c r="BR200" i="74"/>
  <c r="BR201" i="74"/>
  <c r="BR202" i="74"/>
  <c r="BR203" i="74"/>
  <c r="BR204" i="74"/>
  <c r="BR205" i="74"/>
  <c r="BR206" i="74"/>
  <c r="BR207" i="74"/>
  <c r="BR208" i="74"/>
  <c r="BR209" i="74"/>
  <c r="BR210" i="74"/>
  <c r="BR211" i="74"/>
  <c r="BR212" i="74"/>
  <c r="BR213" i="74"/>
  <c r="BR214" i="74"/>
  <c r="BR215" i="74"/>
  <c r="BR216" i="74"/>
  <c r="BR217" i="74"/>
  <c r="BR218" i="74"/>
  <c r="BR219" i="74"/>
  <c r="BR220" i="74"/>
  <c r="BR221" i="74"/>
  <c r="BR222" i="74"/>
  <c r="BR223" i="74"/>
  <c r="BR224" i="74"/>
  <c r="BR225" i="74"/>
  <c r="BR226" i="74"/>
  <c r="BR227" i="74"/>
  <c r="BR228" i="74"/>
  <c r="BR229" i="74"/>
  <c r="BR230" i="74"/>
  <c r="BR231" i="74"/>
  <c r="BR232" i="74"/>
  <c r="BR233" i="74"/>
  <c r="BR234" i="74"/>
  <c r="BR235" i="74"/>
  <c r="BR236" i="74"/>
  <c r="BR237" i="74"/>
  <c r="BR238" i="74"/>
  <c r="BR239" i="74"/>
  <c r="BR240" i="74"/>
  <c r="BR241" i="74"/>
  <c r="BR242" i="74"/>
  <c r="BR243" i="74"/>
  <c r="BR244" i="74"/>
  <c r="BR245" i="74"/>
  <c r="BR246" i="74"/>
  <c r="BR247" i="74"/>
  <c r="BR248" i="74"/>
  <c r="BR249" i="74"/>
  <c r="BR250" i="74"/>
  <c r="BR251" i="74"/>
  <c r="BR252" i="74"/>
  <c r="BR253" i="74"/>
  <c r="BR254" i="74"/>
  <c r="BR255" i="74"/>
  <c r="BR256" i="74"/>
  <c r="BR257" i="74"/>
  <c r="BR258" i="74"/>
  <c r="BR259" i="74"/>
  <c r="BR260" i="74"/>
  <c r="BR261" i="74"/>
  <c r="BR262" i="74"/>
  <c r="BR263" i="74"/>
  <c r="BR264" i="74"/>
  <c r="BR265" i="74"/>
  <c r="BR266" i="74"/>
  <c r="BR267" i="74"/>
  <c r="BR268" i="74"/>
  <c r="BR269" i="74"/>
  <c r="BR270" i="74"/>
  <c r="BR271" i="74"/>
  <c r="BR272" i="74"/>
  <c r="BR273" i="74"/>
  <c r="BR274" i="74"/>
  <c r="BR275" i="74"/>
  <c r="BR276" i="74"/>
  <c r="BR277" i="74"/>
  <c r="BR278" i="74"/>
  <c r="BR279" i="74"/>
  <c r="BR280" i="74"/>
  <c r="BR281" i="74"/>
  <c r="BR282" i="74"/>
  <c r="BR283" i="74"/>
  <c r="BR284" i="74"/>
  <c r="BR285" i="74"/>
  <c r="BR286" i="74"/>
  <c r="BR287" i="74"/>
  <c r="BR288" i="74"/>
  <c r="BR289" i="74"/>
  <c r="BR290" i="74"/>
  <c r="BR291" i="74"/>
  <c r="BR292" i="74"/>
  <c r="BR293" i="74"/>
  <c r="BR294" i="74"/>
  <c r="BR295" i="74"/>
  <c r="BR296" i="74"/>
  <c r="BR297" i="74"/>
  <c r="BR298" i="74"/>
  <c r="BR299" i="74"/>
  <c r="BR300" i="74"/>
  <c r="BR301" i="74"/>
  <c r="BR302" i="74"/>
  <c r="BR303" i="74"/>
  <c r="BR304" i="74"/>
  <c r="BR305" i="74"/>
  <c r="BR306" i="74"/>
  <c r="BR307" i="74"/>
  <c r="BR308" i="74"/>
  <c r="BR309" i="74"/>
  <c r="BR310" i="74"/>
  <c r="BR311" i="74"/>
  <c r="BR312" i="74"/>
  <c r="BR313" i="74"/>
  <c r="BR314" i="74"/>
  <c r="BR315" i="74"/>
  <c r="BR316" i="74"/>
  <c r="BR317" i="74"/>
  <c r="BR318" i="74"/>
  <c r="BR319" i="74"/>
  <c r="BR320" i="74"/>
  <c r="BR321" i="74"/>
  <c r="BR322" i="74"/>
  <c r="BR323" i="74"/>
  <c r="BR324" i="74"/>
  <c r="BR325" i="74"/>
  <c r="BR326" i="74"/>
  <c r="BR327" i="74"/>
  <c r="BR328" i="74"/>
  <c r="BR329" i="74"/>
  <c r="BR330" i="74"/>
  <c r="BR331" i="74"/>
  <c r="BR332" i="74"/>
  <c r="BR333" i="74"/>
  <c r="BR334" i="74"/>
  <c r="BR335" i="74"/>
  <c r="BR336" i="74"/>
  <c r="BR337" i="74"/>
  <c r="BR338" i="74"/>
  <c r="BR339" i="74"/>
  <c r="BR340" i="74"/>
  <c r="BR341" i="74"/>
  <c r="BR342" i="74"/>
  <c r="BR343" i="74"/>
  <c r="BR344" i="74"/>
  <c r="BR345" i="74"/>
  <c r="BR346" i="74"/>
  <c r="BR347" i="74"/>
  <c r="BR348" i="74"/>
  <c r="BR349" i="74"/>
  <c r="BR350" i="74"/>
  <c r="BR351" i="74"/>
  <c r="BR352" i="74"/>
  <c r="BR353" i="74"/>
  <c r="BR354" i="74"/>
  <c r="BR355" i="74"/>
  <c r="BR356" i="74"/>
  <c r="BR357" i="74"/>
  <c r="BR358" i="74"/>
  <c r="BR359" i="74"/>
  <c r="BR360" i="74"/>
  <c r="BR361" i="74"/>
  <c r="BR362" i="74"/>
  <c r="BR363" i="74"/>
  <c r="BR364" i="74"/>
  <c r="BR365" i="74"/>
  <c r="BR366" i="74"/>
  <c r="BR367" i="74"/>
  <c r="BR368" i="74"/>
  <c r="BR369" i="74"/>
  <c r="BR370" i="74"/>
  <c r="BR371" i="74"/>
  <c r="BR372" i="74"/>
  <c r="BR373" i="74"/>
  <c r="BR374" i="74"/>
  <c r="BR375" i="74"/>
  <c r="BR376" i="74"/>
  <c r="BR377" i="74"/>
  <c r="BR378" i="74"/>
  <c r="BR379" i="74"/>
  <c r="BR380" i="74"/>
  <c r="BR381" i="74"/>
  <c r="BR382" i="74"/>
  <c r="BR383" i="74"/>
  <c r="BR384" i="74"/>
  <c r="BR385" i="74"/>
  <c r="BR386" i="74"/>
  <c r="BR387" i="74"/>
  <c r="BR388" i="74"/>
  <c r="BR389" i="74"/>
  <c r="BR390" i="74"/>
  <c r="BR391" i="74"/>
  <c r="BR392" i="74"/>
  <c r="BR393" i="74"/>
  <c r="BR394" i="74"/>
  <c r="BR395" i="74"/>
  <c r="BR396" i="74"/>
  <c r="BR397" i="74"/>
  <c r="BR398" i="74"/>
  <c r="BR399" i="74"/>
  <c r="BR400" i="74"/>
  <c r="BR401" i="74"/>
  <c r="BR402" i="74"/>
  <c r="BR403" i="74"/>
  <c r="BR404" i="74"/>
  <c r="BR405" i="74"/>
  <c r="BR406" i="74"/>
  <c r="BR407" i="74"/>
  <c r="BR408" i="74"/>
  <c r="BR409" i="74"/>
  <c r="BR410" i="74"/>
  <c r="BR411" i="74"/>
  <c r="BR412" i="74"/>
  <c r="BR413" i="74"/>
  <c r="BR414" i="74"/>
  <c r="BR415" i="74"/>
  <c r="BR416" i="74"/>
  <c r="BR417" i="74"/>
  <c r="BR418" i="74"/>
  <c r="BR419" i="74"/>
  <c r="BR420" i="74"/>
  <c r="BR421" i="74"/>
  <c r="BR422" i="74"/>
  <c r="BR423" i="74"/>
  <c r="BR424" i="74"/>
  <c r="BR425" i="74"/>
  <c r="BR426" i="74"/>
  <c r="BR427" i="74"/>
  <c r="BR428" i="74"/>
  <c r="BR429" i="74"/>
  <c r="BR430" i="74"/>
  <c r="BR431" i="74"/>
  <c r="BR432" i="74"/>
  <c r="BR433" i="74"/>
  <c r="BR434" i="74"/>
  <c r="BR435" i="74"/>
  <c r="BR436" i="74"/>
  <c r="BR437" i="74"/>
  <c r="BR438" i="74"/>
  <c r="BR439" i="74"/>
  <c r="BR440" i="74"/>
  <c r="BR441" i="74"/>
  <c r="BR442" i="74"/>
  <c r="BR443" i="74"/>
  <c r="BR444" i="74"/>
  <c r="BR445" i="74"/>
  <c r="BR446" i="74"/>
  <c r="BR447" i="74"/>
  <c r="BR448" i="74"/>
  <c r="BR449" i="74"/>
  <c r="BR450" i="74"/>
  <c r="BR451" i="74"/>
  <c r="BR452" i="74"/>
  <c r="BR453" i="74"/>
  <c r="BR454" i="74"/>
  <c r="BR455" i="74"/>
  <c r="BR456" i="74"/>
  <c r="BR457" i="74"/>
  <c r="BR458" i="74"/>
  <c r="BR459" i="74"/>
  <c r="BR460" i="74"/>
  <c r="BR461" i="74"/>
  <c r="BR462" i="74"/>
  <c r="BR463" i="74"/>
  <c r="BR464" i="74"/>
  <c r="BR465" i="74"/>
  <c r="BR466" i="74"/>
  <c r="BR467" i="74"/>
  <c r="BR468" i="74"/>
  <c r="BR469" i="74"/>
  <c r="BR470" i="74"/>
  <c r="BR471" i="74"/>
  <c r="BR472" i="74"/>
  <c r="BR473" i="74"/>
  <c r="BR474" i="74"/>
  <c r="BR475" i="74"/>
  <c r="BR476" i="74"/>
  <c r="BR477" i="74"/>
  <c r="BR478" i="74"/>
  <c r="BR479" i="74"/>
  <c r="BR480" i="74"/>
  <c r="BR481" i="74"/>
  <c r="BR482" i="74"/>
  <c r="BR483" i="74"/>
  <c r="BR484" i="74"/>
  <c r="BR485" i="74"/>
  <c r="BR486" i="74"/>
  <c r="BR487" i="74"/>
  <c r="BR488" i="74"/>
  <c r="BR489" i="74"/>
  <c r="BR490" i="74"/>
  <c r="BR491" i="74"/>
  <c r="BR492" i="74"/>
  <c r="BR493" i="74"/>
  <c r="BR494" i="74"/>
  <c r="BR495" i="74"/>
  <c r="BR496" i="74"/>
  <c r="BR497" i="74"/>
  <c r="BR498" i="74"/>
  <c r="BR499" i="74"/>
  <c r="BR500" i="74"/>
  <c r="BR501" i="74"/>
  <c r="BR502" i="74"/>
  <c r="BR503" i="74"/>
  <c r="BR504" i="74"/>
  <c r="BR505" i="74"/>
  <c r="BR506" i="74"/>
  <c r="BR507" i="74"/>
  <c r="BR508" i="74"/>
  <c r="BR509" i="74"/>
  <c r="BR510" i="74"/>
  <c r="BR511" i="74"/>
  <c r="BR512" i="74"/>
  <c r="BR513" i="74"/>
  <c r="BR514" i="74"/>
  <c r="BR515" i="74"/>
  <c r="BR516" i="74"/>
  <c r="BR517" i="74"/>
  <c r="BR518" i="74"/>
  <c r="BR519" i="74"/>
  <c r="BR520" i="74"/>
  <c r="BR521" i="74"/>
  <c r="BR522" i="74"/>
  <c r="BR523" i="74"/>
  <c r="BR524" i="74"/>
  <c r="BR525" i="74"/>
  <c r="BR526" i="74"/>
  <c r="BR527" i="74"/>
  <c r="BR528" i="74"/>
  <c r="BR529" i="74"/>
  <c r="BR530" i="74"/>
  <c r="BR531" i="74"/>
  <c r="BR532" i="74"/>
  <c r="BR533" i="74"/>
  <c r="BR534" i="74"/>
  <c r="BR535" i="74"/>
  <c r="BR536" i="74"/>
  <c r="BR537" i="74"/>
  <c r="BR538" i="74"/>
  <c r="BR539" i="74"/>
  <c r="BR540" i="74"/>
  <c r="BR541" i="74"/>
  <c r="BR542" i="74"/>
  <c r="BR543" i="74"/>
  <c r="BR544" i="74"/>
  <c r="BR545" i="74"/>
  <c r="BR546" i="74"/>
  <c r="BR547" i="74"/>
  <c r="BR548" i="74"/>
  <c r="BR549" i="74"/>
  <c r="BR550" i="74"/>
  <c r="BR551" i="74"/>
  <c r="BR552" i="74"/>
  <c r="BR553" i="74"/>
  <c r="BR554" i="74"/>
  <c r="BR555" i="74"/>
  <c r="BR556" i="74"/>
  <c r="BR557" i="74"/>
  <c r="BR558" i="74"/>
  <c r="BR559" i="74"/>
  <c r="BR560" i="74"/>
  <c r="BR561" i="74"/>
  <c r="BR562" i="74"/>
  <c r="BR563" i="74"/>
  <c r="BR564" i="74"/>
  <c r="BR565" i="74"/>
  <c r="BR566" i="74"/>
  <c r="BR567" i="74"/>
  <c r="BR568" i="74"/>
  <c r="BR569" i="74"/>
  <c r="BR570" i="74"/>
  <c r="BR571" i="74"/>
  <c r="BR572" i="74"/>
  <c r="BR573" i="74"/>
  <c r="BR574" i="74"/>
  <c r="BR575" i="74"/>
  <c r="BR576" i="74"/>
  <c r="BR577" i="74"/>
  <c r="BR578" i="74"/>
  <c r="BR579" i="74"/>
  <c r="BR580" i="74"/>
  <c r="BR581" i="74"/>
  <c r="BR582" i="74"/>
  <c r="BR583" i="74"/>
  <c r="BR584" i="74"/>
  <c r="BR585" i="74"/>
  <c r="BR586" i="74"/>
  <c r="BR587" i="74"/>
  <c r="BR588" i="74"/>
  <c r="BR589" i="74"/>
  <c r="BR590" i="74"/>
  <c r="BR591" i="74"/>
  <c r="BR592" i="74"/>
  <c r="BR593" i="74"/>
  <c r="BR594" i="74"/>
  <c r="BR595" i="74"/>
  <c r="BR596" i="74"/>
  <c r="BR597" i="74"/>
  <c r="BR598" i="74"/>
  <c r="BR599" i="74"/>
  <c r="BR600" i="74"/>
  <c r="BR601" i="74"/>
  <c r="BR602" i="74"/>
  <c r="BR603" i="74"/>
  <c r="BR604" i="74"/>
  <c r="BR605" i="74"/>
  <c r="BR606" i="74"/>
  <c r="BR607" i="74"/>
  <c r="BR608" i="74"/>
  <c r="BR609" i="74"/>
  <c r="BR610" i="74"/>
  <c r="BR611" i="74"/>
  <c r="BR612" i="74"/>
  <c r="BR613" i="74"/>
  <c r="BR614" i="74"/>
  <c r="BR615" i="74"/>
  <c r="BR616" i="74"/>
  <c r="BR617" i="74"/>
  <c r="BR618" i="74"/>
  <c r="BR619" i="74"/>
  <c r="BR620" i="74"/>
  <c r="BR621" i="74"/>
  <c r="BR622" i="74"/>
  <c r="BR623" i="74"/>
  <c r="BR624" i="74"/>
  <c r="BR625" i="74"/>
  <c r="BR626" i="74"/>
  <c r="BR627" i="74"/>
  <c r="BR628" i="74"/>
  <c r="BR629" i="74"/>
  <c r="BR630" i="74"/>
  <c r="BR631" i="74"/>
  <c r="BR632" i="74"/>
  <c r="BR633" i="74"/>
  <c r="BR634" i="74"/>
  <c r="BR635" i="74"/>
  <c r="BR636" i="74"/>
  <c r="BR637" i="74"/>
  <c r="BR638" i="74"/>
  <c r="BR639" i="74"/>
  <c r="BR640" i="74"/>
  <c r="BR641" i="74"/>
  <c r="BR642" i="74"/>
  <c r="BR643" i="74"/>
  <c r="BR644" i="74"/>
  <c r="BR645" i="74"/>
  <c r="BR646" i="74"/>
  <c r="BR647" i="74"/>
  <c r="BR648" i="74"/>
  <c r="BR649" i="74"/>
  <c r="BR650" i="74"/>
  <c r="BR651" i="74"/>
  <c r="BR652" i="74"/>
  <c r="BR653" i="74"/>
  <c r="BR654" i="74"/>
  <c r="BR655" i="74"/>
  <c r="BR656" i="74"/>
  <c r="BR657" i="74"/>
  <c r="BR658" i="74"/>
  <c r="BR659" i="74"/>
  <c r="BR660" i="74"/>
  <c r="BR661" i="74"/>
  <c r="BR662" i="74"/>
  <c r="BR663" i="74"/>
  <c r="BR664" i="74"/>
  <c r="BR665" i="74"/>
  <c r="BR666" i="74"/>
  <c r="BR667" i="74"/>
  <c r="BR668" i="74"/>
  <c r="BR669" i="74"/>
  <c r="BR670" i="74"/>
  <c r="BR671" i="74"/>
  <c r="BR672" i="74"/>
  <c r="BR673" i="74"/>
  <c r="BR674" i="74"/>
  <c r="BR675" i="74"/>
  <c r="BR676" i="74"/>
  <c r="BR677" i="74"/>
  <c r="BR678" i="74"/>
  <c r="BR679" i="74"/>
  <c r="BR680" i="74"/>
  <c r="BR681" i="74"/>
  <c r="BR682" i="74"/>
  <c r="BR683" i="74"/>
  <c r="BR684" i="74"/>
  <c r="BR685" i="74"/>
  <c r="BR686" i="74"/>
  <c r="BR687" i="74"/>
  <c r="BR688" i="74"/>
  <c r="BR689" i="74"/>
  <c r="BR690" i="74"/>
  <c r="BR691" i="74"/>
  <c r="BR692" i="74"/>
  <c r="BR693" i="74"/>
  <c r="BR694" i="74"/>
  <c r="BR695" i="74"/>
  <c r="BR696" i="74"/>
  <c r="BR697" i="74"/>
  <c r="BR698" i="74"/>
  <c r="BR699" i="74"/>
  <c r="BR700" i="74"/>
  <c r="BR701" i="74"/>
  <c r="BR702" i="74"/>
  <c r="BR703" i="74"/>
  <c r="BR704" i="74"/>
  <c r="BR705" i="74"/>
  <c r="BR706" i="74"/>
  <c r="BR707" i="74"/>
  <c r="BR708" i="74"/>
  <c r="BR709" i="74"/>
  <c r="BR710" i="74"/>
  <c r="BR711" i="74"/>
  <c r="BR712" i="74"/>
  <c r="BR713" i="74"/>
  <c r="BR714" i="74"/>
  <c r="BR715" i="74"/>
  <c r="BR716" i="74"/>
  <c r="BR717" i="74"/>
  <c r="BR718" i="74"/>
  <c r="BR719" i="74"/>
  <c r="BR720" i="74"/>
  <c r="BR721" i="74"/>
  <c r="BR722" i="74"/>
  <c r="BR723" i="74"/>
  <c r="BR724" i="74"/>
  <c r="BR725" i="74"/>
  <c r="BR726" i="74"/>
  <c r="BR727" i="74"/>
  <c r="BR728" i="74"/>
  <c r="BR729" i="74"/>
  <c r="BR730" i="74"/>
  <c r="BR731" i="74"/>
  <c r="BR732" i="74"/>
  <c r="BR733" i="74"/>
  <c r="BR734" i="74"/>
  <c r="BR735" i="74"/>
  <c r="BR736" i="74"/>
  <c r="BR737" i="74"/>
  <c r="BR738" i="74"/>
  <c r="BR739" i="74"/>
  <c r="BR740" i="74"/>
  <c r="BR741" i="74"/>
  <c r="BR742" i="74"/>
  <c r="BR743" i="74"/>
  <c r="BR744" i="74"/>
  <c r="BR745" i="74"/>
  <c r="BR746" i="74"/>
  <c r="BR747" i="74"/>
  <c r="BR748" i="74"/>
  <c r="BR749" i="74"/>
  <c r="BR750" i="74"/>
  <c r="BR751" i="74"/>
  <c r="BR752" i="74"/>
  <c r="BR753" i="74"/>
  <c r="BR754" i="74"/>
  <c r="BR755" i="74"/>
  <c r="BR756" i="74"/>
  <c r="BR757" i="74"/>
  <c r="BR758" i="74"/>
  <c r="BR759" i="74"/>
  <c r="BR760" i="74"/>
  <c r="BR761" i="74"/>
  <c r="BR762" i="74"/>
  <c r="BR763" i="74"/>
  <c r="BR764" i="74"/>
  <c r="BR765" i="74"/>
  <c r="BR766" i="74"/>
  <c r="BR767" i="74"/>
  <c r="BR768" i="74"/>
  <c r="BR769" i="74"/>
  <c r="BR770" i="74"/>
  <c r="BR771" i="74"/>
  <c r="BR772" i="74"/>
  <c r="BR773" i="74"/>
  <c r="BR774" i="74"/>
  <c r="BR775" i="74"/>
  <c r="BR776" i="74"/>
  <c r="BR777" i="74"/>
  <c r="BR778" i="74"/>
  <c r="BR779" i="74"/>
  <c r="BR780" i="74"/>
  <c r="BR781" i="74"/>
  <c r="BR782" i="74"/>
  <c r="BR783" i="74"/>
  <c r="BR784" i="74"/>
  <c r="BR785" i="74"/>
  <c r="BR786" i="74"/>
  <c r="BR787" i="74"/>
  <c r="BR788" i="74"/>
  <c r="BR789" i="74"/>
  <c r="BR790" i="74"/>
  <c r="BR791" i="74"/>
  <c r="BR792" i="74"/>
  <c r="BR793" i="74"/>
  <c r="BR794" i="74"/>
  <c r="BR795" i="74"/>
  <c r="BR796" i="74"/>
  <c r="BR797" i="74"/>
  <c r="BR798" i="74"/>
  <c r="BR799" i="74"/>
  <c r="BR800" i="74"/>
  <c r="BR801" i="74"/>
  <c r="BR802" i="74"/>
  <c r="BR803" i="74"/>
  <c r="BR804" i="74"/>
  <c r="BR805" i="74"/>
  <c r="BR806" i="74"/>
  <c r="BR807" i="74"/>
  <c r="BR808" i="74"/>
  <c r="BR809" i="74"/>
  <c r="BR810" i="74"/>
  <c r="BR811" i="74"/>
  <c r="BR812" i="74"/>
  <c r="BR813" i="74"/>
  <c r="BR814" i="74"/>
  <c r="BR815" i="74"/>
  <c r="BR816" i="74"/>
  <c r="BR817" i="74"/>
  <c r="BR818" i="74"/>
  <c r="BR819" i="74"/>
  <c r="BR820" i="74"/>
  <c r="BR821" i="74"/>
  <c r="BR822" i="74"/>
  <c r="BR823" i="74"/>
  <c r="BR824" i="74"/>
  <c r="BR825" i="74"/>
  <c r="BR826" i="74"/>
  <c r="BR827" i="74"/>
  <c r="BR828" i="74"/>
  <c r="BR829" i="74"/>
  <c r="BR830" i="74"/>
  <c r="BR831" i="74"/>
  <c r="BR832" i="74"/>
  <c r="BR833" i="74"/>
  <c r="BR834" i="74"/>
  <c r="BR835" i="74"/>
  <c r="BR836" i="74"/>
  <c r="BR837" i="74"/>
  <c r="BR838" i="74"/>
  <c r="BR839" i="74"/>
  <c r="BR840" i="74"/>
  <c r="BR841" i="74"/>
  <c r="BR842" i="74"/>
  <c r="BR843" i="74"/>
  <c r="BR844" i="74"/>
  <c r="BR845" i="74"/>
  <c r="BR846" i="74"/>
  <c r="BR847" i="74"/>
  <c r="BR848" i="74"/>
  <c r="BR849" i="74"/>
  <c r="BR850" i="74"/>
  <c r="BR851" i="74"/>
  <c r="BR852" i="74"/>
  <c r="BR853" i="74"/>
  <c r="BR854" i="74"/>
  <c r="BR855" i="74"/>
  <c r="BR856" i="74"/>
  <c r="BR857" i="74"/>
  <c r="BR858" i="74"/>
  <c r="BR859" i="74"/>
  <c r="BR860" i="74"/>
  <c r="BR861" i="74"/>
  <c r="BR862" i="74"/>
  <c r="BR863" i="74"/>
  <c r="BR864" i="74"/>
  <c r="BR865" i="74"/>
  <c r="BR866" i="74"/>
  <c r="BR867" i="74"/>
  <c r="BR868" i="74"/>
  <c r="BR869" i="74"/>
  <c r="BR870" i="74"/>
  <c r="BR871" i="74"/>
  <c r="BR872" i="74"/>
  <c r="BR873" i="74"/>
  <c r="BR874" i="74"/>
  <c r="BR875" i="74"/>
  <c r="BR876" i="74"/>
  <c r="BR877" i="74"/>
  <c r="BR878" i="74"/>
  <c r="BR879" i="74"/>
  <c r="BR880" i="74"/>
  <c r="BR881" i="74"/>
  <c r="BR882" i="74"/>
  <c r="BR883" i="74"/>
  <c r="BR884" i="74"/>
  <c r="BR885" i="74"/>
  <c r="BR886" i="74"/>
  <c r="BR887" i="74"/>
  <c r="BR888" i="74"/>
  <c r="BR889" i="74"/>
  <c r="BR890" i="74"/>
  <c r="BR891" i="74"/>
  <c r="BR892" i="74"/>
  <c r="BR893" i="74"/>
  <c r="BR894" i="74"/>
  <c r="BR895" i="74"/>
  <c r="BR896" i="74"/>
  <c r="BR897" i="74"/>
  <c r="BR898" i="74"/>
  <c r="BR899" i="74"/>
  <c r="BR900" i="74"/>
  <c r="BR901" i="74"/>
  <c r="BR902" i="74"/>
  <c r="BR903" i="74"/>
  <c r="BR904" i="74"/>
  <c r="BR905" i="74"/>
  <c r="BR906" i="74"/>
  <c r="BR907" i="74"/>
  <c r="BR908" i="74"/>
  <c r="BR909" i="74"/>
  <c r="BR910" i="74"/>
  <c r="BR911" i="74"/>
  <c r="BR912" i="74"/>
  <c r="BR913" i="74"/>
  <c r="BR914" i="74"/>
  <c r="BR915" i="74"/>
  <c r="BR916" i="74"/>
  <c r="BR917" i="74"/>
  <c r="BR918" i="74"/>
  <c r="BR919" i="74"/>
  <c r="BR920" i="74"/>
  <c r="BR921" i="74"/>
  <c r="BR922" i="74"/>
  <c r="BR923" i="74"/>
  <c r="BR924" i="74"/>
  <c r="BR925" i="74"/>
  <c r="BR926" i="74"/>
  <c r="BR927" i="74"/>
  <c r="BR928" i="74"/>
  <c r="BR929" i="74"/>
  <c r="BR930" i="74"/>
  <c r="BR931" i="74"/>
  <c r="BR932" i="74"/>
  <c r="BR933" i="74"/>
  <c r="BR934" i="74"/>
  <c r="BR935" i="74"/>
  <c r="BR936" i="74"/>
  <c r="BR937" i="74"/>
  <c r="BR938" i="74"/>
  <c r="BR939" i="74"/>
  <c r="BR940" i="74"/>
  <c r="BR941" i="74"/>
  <c r="BR942" i="74"/>
  <c r="BR943" i="74"/>
  <c r="BR944" i="74"/>
  <c r="BR945" i="74"/>
  <c r="BR946" i="74"/>
  <c r="BR947" i="74"/>
  <c r="BR948" i="74"/>
  <c r="BR949" i="74"/>
  <c r="BR950" i="74"/>
  <c r="BR951" i="74"/>
  <c r="BR952" i="74"/>
  <c r="BR953" i="74"/>
  <c r="BR954" i="74"/>
  <c r="BR955" i="74"/>
  <c r="BR956" i="74"/>
  <c r="BR957" i="74"/>
  <c r="BR958" i="74"/>
  <c r="BR959" i="74"/>
  <c r="BR960" i="74"/>
  <c r="BR961" i="74"/>
  <c r="BR962" i="74"/>
  <c r="BR963" i="74"/>
  <c r="BR964" i="74"/>
  <c r="BR965" i="74"/>
  <c r="BR966" i="74"/>
  <c r="BR967" i="74"/>
  <c r="BR968" i="74"/>
  <c r="BR969" i="74"/>
  <c r="BR970" i="74"/>
  <c r="BR971" i="74"/>
  <c r="BR972" i="74"/>
  <c r="BR973" i="74"/>
  <c r="BR974" i="74"/>
  <c r="BR975" i="74"/>
  <c r="BR976" i="74"/>
  <c r="BR977" i="74"/>
  <c r="BR978" i="74"/>
  <c r="BR979" i="74"/>
  <c r="BR980" i="74"/>
  <c r="BR981" i="74"/>
  <c r="BR982" i="74"/>
  <c r="BR983" i="74"/>
  <c r="BR984" i="74"/>
  <c r="BR985" i="74"/>
  <c r="BR986" i="74"/>
  <c r="BR987" i="74"/>
  <c r="BR988" i="74"/>
  <c r="BR989" i="74"/>
  <c r="BR990" i="74"/>
  <c r="BR991" i="74"/>
  <c r="BR992" i="74"/>
  <c r="BR993" i="74"/>
  <c r="BR994" i="74"/>
  <c r="BR995" i="74"/>
  <c r="BR996" i="74"/>
  <c r="BR997" i="74"/>
  <c r="BR998" i="74"/>
  <c r="BR999" i="74"/>
  <c r="BR1000" i="74"/>
  <c r="BR1001" i="74"/>
  <c r="BR1002" i="74"/>
  <c r="BR1003" i="74"/>
  <c r="BR1004" i="74"/>
  <c r="BR1005" i="74"/>
  <c r="BR1006" i="74"/>
  <c r="BR1007" i="74"/>
  <c r="BR1008" i="74"/>
  <c r="BR1009" i="74"/>
  <c r="BR1010" i="74"/>
  <c r="BR1011" i="74"/>
  <c r="BR1012" i="74"/>
  <c r="BR1013" i="74"/>
  <c r="BR1014" i="74"/>
  <c r="BR1015" i="74"/>
  <c r="BR1016" i="74"/>
  <c r="BR1017" i="74"/>
  <c r="BR1018" i="74"/>
  <c r="BR1019" i="74"/>
  <c r="BR1020" i="74"/>
  <c r="BR1021" i="74"/>
  <c r="BR1022" i="74"/>
  <c r="BR1023" i="74"/>
  <c r="BR1024" i="74"/>
  <c r="BR1025" i="74"/>
  <c r="BR1026" i="74"/>
  <c r="BR1027" i="74"/>
  <c r="BR1028" i="74"/>
  <c r="BR1029" i="74"/>
  <c r="BR1030" i="74"/>
  <c r="BR1031" i="74"/>
  <c r="BR1032" i="74"/>
  <c r="BR1033" i="74"/>
  <c r="X20" i="78"/>
  <c r="X19" i="78"/>
  <c r="X16" i="78"/>
  <c r="X15" i="78"/>
  <c r="X11" i="78"/>
  <c r="X10" i="78"/>
  <c r="X7" i="78"/>
  <c r="N13" i="85" l="1"/>
  <c r="N16" i="85" s="1"/>
  <c r="I14" i="85"/>
  <c r="I17" i="85" s="1"/>
  <c r="J13" i="85"/>
  <c r="J16" i="85" s="1"/>
  <c r="K14" i="85"/>
  <c r="K17" i="85" s="1"/>
  <c r="L13" i="85"/>
  <c r="L16" i="85" s="1"/>
  <c r="O14" i="85"/>
  <c r="O17" i="85" s="1"/>
  <c r="Q7" i="85"/>
  <c r="F14" i="85"/>
  <c r="F17" i="85" s="1"/>
  <c r="Q4" i="85"/>
  <c r="E13" i="85"/>
  <c r="E16" i="85" s="1"/>
  <c r="M14" i="85"/>
  <c r="M17" i="85" s="1"/>
  <c r="H13" i="85"/>
  <c r="H16" i="85" s="1"/>
  <c r="L11" i="85"/>
  <c r="L14" i="85" s="1"/>
  <c r="L17" i="85" s="1"/>
  <c r="K13" i="85"/>
  <c r="K16" i="85" s="1"/>
  <c r="H11" i="85"/>
  <c r="H14" i="85" s="1"/>
  <c r="H17" i="85" s="1"/>
  <c r="J11" i="85"/>
  <c r="J14" i="85" s="1"/>
  <c r="J17" i="85" s="1"/>
  <c r="D11" i="85"/>
  <c r="D13" i="85"/>
  <c r="D16" i="85" s="1"/>
  <c r="O13" i="85"/>
  <c r="O16" i="85" s="1"/>
  <c r="I13" i="85"/>
  <c r="I16" i="85" s="1"/>
  <c r="N11" i="85"/>
  <c r="N14" i="85" s="1"/>
  <c r="N17" i="85" s="1"/>
  <c r="E11" i="85"/>
  <c r="E14" i="85" s="1"/>
  <c r="E17" i="85" s="1"/>
  <c r="Q8" i="85"/>
  <c r="Q5" i="85"/>
  <c r="L1" i="78"/>
  <c r="M1" i="78" s="1"/>
  <c r="N1" i="78" s="1"/>
  <c r="O1" i="78" s="1"/>
  <c r="P1" i="78" s="1"/>
  <c r="Q1" i="78" s="1"/>
  <c r="R1" i="78" s="1"/>
  <c r="S1" i="78" s="1"/>
  <c r="T1" i="78" s="1"/>
  <c r="U1" i="78" s="1"/>
  <c r="V1" i="78" s="1"/>
  <c r="Q13" i="85" l="1"/>
  <c r="Q16" i="85" s="1"/>
  <c r="D14" i="85"/>
  <c r="Q11" i="85"/>
  <c r="R62" i="78"/>
  <c r="R60" i="78" s="1"/>
  <c r="V62" i="78"/>
  <c r="U62" i="78"/>
  <c r="T62" i="78"/>
  <c r="T60" i="78" s="1"/>
  <c r="S62" i="78"/>
  <c r="S60" i="78" s="1"/>
  <c r="Q62" i="78"/>
  <c r="P62" i="78"/>
  <c r="O62" i="78"/>
  <c r="N62" i="78"/>
  <c r="M62" i="78"/>
  <c r="L62" i="78"/>
  <c r="K62" i="78"/>
  <c r="V61" i="78"/>
  <c r="U61" i="78"/>
  <c r="T61" i="78"/>
  <c r="S61" i="78"/>
  <c r="R61" i="78"/>
  <c r="Q61" i="78"/>
  <c r="Q60" i="78" s="1"/>
  <c r="P61" i="78"/>
  <c r="P60" i="78" s="1"/>
  <c r="O61" i="78"/>
  <c r="O60" i="78" s="1"/>
  <c r="N61" i="78"/>
  <c r="N60" i="78" s="1"/>
  <c r="M61" i="78"/>
  <c r="M60" i="78" s="1"/>
  <c r="L61" i="78"/>
  <c r="L60" i="78" s="1"/>
  <c r="K61" i="78"/>
  <c r="V58" i="78"/>
  <c r="U58" i="78"/>
  <c r="T58" i="78"/>
  <c r="S58" i="78"/>
  <c r="R58" i="78"/>
  <c r="Q58" i="78"/>
  <c r="P58" i="78"/>
  <c r="O58" i="78"/>
  <c r="N58" i="78"/>
  <c r="M58" i="78"/>
  <c r="L58" i="78"/>
  <c r="K58" i="78"/>
  <c r="V57" i="78"/>
  <c r="V56" i="78" s="1"/>
  <c r="U57" i="78"/>
  <c r="U56" i="78" s="1"/>
  <c r="T57" i="78"/>
  <c r="S57" i="78"/>
  <c r="R57" i="78"/>
  <c r="Q57" i="78"/>
  <c r="P57" i="78"/>
  <c r="P56" i="78" s="1"/>
  <c r="O57" i="78"/>
  <c r="N57" i="78"/>
  <c r="N56" i="78" s="1"/>
  <c r="M57" i="78"/>
  <c r="M56" i="78" s="1"/>
  <c r="L57" i="78"/>
  <c r="L56" i="78" s="1"/>
  <c r="K57" i="78"/>
  <c r="V53" i="78"/>
  <c r="U53" i="78"/>
  <c r="T53" i="78"/>
  <c r="S53" i="78"/>
  <c r="R53" i="78"/>
  <c r="Q53" i="78"/>
  <c r="P53" i="78"/>
  <c r="O53" i="78"/>
  <c r="N53" i="78"/>
  <c r="M53" i="78"/>
  <c r="L53" i="78"/>
  <c r="K53" i="78"/>
  <c r="V52" i="78"/>
  <c r="V51" i="78" s="1"/>
  <c r="U52" i="78"/>
  <c r="U51" i="78" s="1"/>
  <c r="T52" i="78"/>
  <c r="S52" i="78"/>
  <c r="R52" i="78"/>
  <c r="Q52" i="78"/>
  <c r="Q51" i="78" s="1"/>
  <c r="P52" i="78"/>
  <c r="P51" i="78" s="1"/>
  <c r="O52" i="78"/>
  <c r="O51" i="78" s="1"/>
  <c r="N52" i="78"/>
  <c r="N51" i="78" s="1"/>
  <c r="M52" i="78"/>
  <c r="M51" i="78" s="1"/>
  <c r="L52" i="78"/>
  <c r="K52" i="78"/>
  <c r="V49" i="78"/>
  <c r="U49" i="78"/>
  <c r="T49" i="78"/>
  <c r="S49" i="78"/>
  <c r="R49" i="78"/>
  <c r="Q49" i="78"/>
  <c r="P49" i="78"/>
  <c r="O49" i="78"/>
  <c r="N49" i="78"/>
  <c r="M49" i="78"/>
  <c r="L49" i="78"/>
  <c r="K49" i="78"/>
  <c r="V48" i="78"/>
  <c r="V47" i="78" s="1"/>
  <c r="U48" i="78"/>
  <c r="U47" i="78" s="1"/>
  <c r="T48" i="78"/>
  <c r="S48" i="78"/>
  <c r="S47" i="78" s="1"/>
  <c r="R48" i="78"/>
  <c r="R47" i="78" s="1"/>
  <c r="Q48" i="78"/>
  <c r="Q47" i="78" s="1"/>
  <c r="P48" i="78"/>
  <c r="P47" i="78" s="1"/>
  <c r="O48" i="78"/>
  <c r="O47" i="78" s="1"/>
  <c r="N48" i="78"/>
  <c r="N47" i="78" s="1"/>
  <c r="M48" i="78"/>
  <c r="M47" i="78" s="1"/>
  <c r="L48" i="78"/>
  <c r="L47" i="78" s="1"/>
  <c r="K48" i="78"/>
  <c r="V60" i="78"/>
  <c r="T56" i="78"/>
  <c r="S56" i="78"/>
  <c r="R56" i="78"/>
  <c r="Q56" i="78"/>
  <c r="O56" i="78"/>
  <c r="T51" i="78"/>
  <c r="S51" i="78"/>
  <c r="R51" i="78"/>
  <c r="T47" i="78"/>
  <c r="V18" i="78"/>
  <c r="U18" i="78"/>
  <c r="T18" i="78"/>
  <c r="S18" i="78"/>
  <c r="R18" i="78"/>
  <c r="Q18" i="78"/>
  <c r="P18" i="78"/>
  <c r="O18" i="78"/>
  <c r="N18" i="78"/>
  <c r="M18" i="78"/>
  <c r="L18" i="78"/>
  <c r="K18" i="78"/>
  <c r="V14" i="78"/>
  <c r="U14" i="78"/>
  <c r="T14" i="78"/>
  <c r="S14" i="78"/>
  <c r="S13" i="78" s="1"/>
  <c r="R14" i="78"/>
  <c r="R13" i="78" s="1"/>
  <c r="Q14" i="78"/>
  <c r="Q13" i="78" s="1"/>
  <c r="P14" i="78"/>
  <c r="P13" i="78" s="1"/>
  <c r="O14" i="78"/>
  <c r="O13" i="78" s="1"/>
  <c r="N14" i="78"/>
  <c r="M14" i="78"/>
  <c r="L14" i="78"/>
  <c r="K14" i="78"/>
  <c r="K13" i="78" s="1"/>
  <c r="V13" i="78"/>
  <c r="U13" i="78"/>
  <c r="T13" i="78"/>
  <c r="N4" i="78"/>
  <c r="O4" i="78"/>
  <c r="P4" i="78"/>
  <c r="P22" i="78" s="1"/>
  <c r="Q4" i="78"/>
  <c r="R4" i="78"/>
  <c r="R22" i="78" s="1"/>
  <c r="S4" i="78"/>
  <c r="S22" i="78" s="1"/>
  <c r="L5" i="78"/>
  <c r="M5" i="78"/>
  <c r="N5" i="78"/>
  <c r="O5" i="78"/>
  <c r="P5" i="78"/>
  <c r="Q5" i="78"/>
  <c r="R5" i="78"/>
  <c r="S5" i="78"/>
  <c r="T5" i="78"/>
  <c r="T4" i="78" s="1"/>
  <c r="T22" i="78" s="1"/>
  <c r="U5" i="78"/>
  <c r="U4" i="78" s="1"/>
  <c r="U22" i="78" s="1"/>
  <c r="V5" i="78"/>
  <c r="L9" i="78"/>
  <c r="M9" i="78"/>
  <c r="N9" i="78"/>
  <c r="O9" i="78"/>
  <c r="P9" i="78"/>
  <c r="Q9" i="78"/>
  <c r="R9" i="78"/>
  <c r="S9" i="78"/>
  <c r="T9" i="78"/>
  <c r="U9" i="78"/>
  <c r="V9" i="78"/>
  <c r="K9" i="78"/>
  <c r="K5" i="78"/>
  <c r="Q14" i="85" l="1"/>
  <c r="Q17" i="85" s="1"/>
  <c r="D17" i="85"/>
  <c r="X52" i="78"/>
  <c r="X53" i="78"/>
  <c r="X57" i="78"/>
  <c r="X58" i="78"/>
  <c r="X61" i="78"/>
  <c r="X62" i="78"/>
  <c r="V4" i="78"/>
  <c r="V22" i="78" s="1"/>
  <c r="Q22" i="78"/>
  <c r="O22" i="78"/>
  <c r="T46" i="78"/>
  <c r="T64" i="78" s="1"/>
  <c r="M4" i="78"/>
  <c r="L4" i="78"/>
  <c r="U60" i="78"/>
  <c r="K47" i="78"/>
  <c r="X47" i="78" s="1"/>
  <c r="X14" i="78"/>
  <c r="X18" i="78"/>
  <c r="L13" i="78"/>
  <c r="L51" i="78"/>
  <c r="L46" i="78" s="1"/>
  <c r="X5" i="78"/>
  <c r="X9" i="78"/>
  <c r="M55" i="78"/>
  <c r="Q55" i="78"/>
  <c r="T55" i="78"/>
  <c r="U55" i="78"/>
  <c r="K60" i="78"/>
  <c r="V55" i="78"/>
  <c r="O55" i="78"/>
  <c r="K56" i="78"/>
  <c r="K51" i="78"/>
  <c r="K46" i="78" s="1"/>
  <c r="P46" i="78"/>
  <c r="Q46" i="78"/>
  <c r="R46" i="78"/>
  <c r="S46" i="78"/>
  <c r="X48" i="78"/>
  <c r="X49" i="78"/>
  <c r="L55" i="78"/>
  <c r="X60" i="78"/>
  <c r="R55" i="78"/>
  <c r="S55" i="78"/>
  <c r="X56" i="78"/>
  <c r="N55" i="78"/>
  <c r="P55" i="78"/>
  <c r="P64" i="78" s="1"/>
  <c r="M46" i="78"/>
  <c r="N46" i="78"/>
  <c r="O46" i="78"/>
  <c r="U46" i="78"/>
  <c r="U64" i="78" s="1"/>
  <c r="V46" i="78"/>
  <c r="V64" i="78" s="1"/>
  <c r="M13" i="78"/>
  <c r="N13" i="78"/>
  <c r="N22" i="78" s="1"/>
  <c r="K4" i="78"/>
  <c r="X6" i="78"/>
  <c r="M64" i="78" l="1"/>
  <c r="L22" i="78"/>
  <c r="S64" i="78"/>
  <c r="R64" i="78"/>
  <c r="M22" i="78"/>
  <c r="X51" i="78"/>
  <c r="K55" i="78"/>
  <c r="X55" i="78" s="1"/>
  <c r="X13" i="78"/>
  <c r="Q64" i="78"/>
  <c r="X4" i="78"/>
  <c r="X22" i="78" s="1"/>
  <c r="K22" i="78"/>
  <c r="O64" i="78"/>
  <c r="L64" i="78"/>
  <c r="N64" i="78"/>
  <c r="X46" i="78"/>
  <c r="K64" i="78" l="1"/>
  <c r="X64" i="78" s="1"/>
</calcChain>
</file>

<file path=xl/sharedStrings.xml><?xml version="1.0" encoding="utf-8"?>
<sst xmlns="http://schemas.openxmlformats.org/spreadsheetml/2006/main" count="69168" uniqueCount="3350">
  <si>
    <t>Описание</t>
  </si>
  <si>
    <t>Задание</t>
  </si>
  <si>
    <t>Hints</t>
  </si>
  <si>
    <t>Домашнее задание №2</t>
  </si>
  <si>
    <t>STAT Учет в статистике 0/1</t>
  </si>
  <si>
    <t>D1 Дата выпуска груза</t>
  </si>
  <si>
    <t>ND  Номер  декларации на товары</t>
  </si>
  <si>
    <t>071 Таможня оформления ДТ</t>
  </si>
  <si>
    <t>073 Порядковый № ДТ</t>
  </si>
  <si>
    <t>011 ИМ.ЭК - направление перемещения</t>
  </si>
  <si>
    <t>012 Основной таможенный режим</t>
  </si>
  <si>
    <t>013 Дополнительный признак</t>
  </si>
  <si>
    <t>020 ОГРН.ОГРНИП отправителя</t>
  </si>
  <si>
    <t>021 ИНН отправителя</t>
  </si>
  <si>
    <t>022 Наименование.ФИО отправителя</t>
  </si>
  <si>
    <t>023 Адрес отправителя</t>
  </si>
  <si>
    <t>024 ОКАТО отправителя</t>
  </si>
  <si>
    <t>027 КПП отправителя</t>
  </si>
  <si>
    <t>03 Листов ДТ</t>
  </si>
  <si>
    <t>04 Спецификаций ДТ</t>
  </si>
  <si>
    <t>05 Товаров всего</t>
  </si>
  <si>
    <t>06 Мест товара всего</t>
  </si>
  <si>
    <t>080 ОГРН.ОГРНИП получателя</t>
  </si>
  <si>
    <t>081 ИНН получателя</t>
  </si>
  <si>
    <t>082 Наименование.ФИО получателя</t>
  </si>
  <si>
    <t>083 Адрес получателя</t>
  </si>
  <si>
    <t>084 ОКАТО получателя</t>
  </si>
  <si>
    <t>087 КПП получателя</t>
  </si>
  <si>
    <t>090 ОГРН.ОГРНИП контрактодержателя</t>
  </si>
  <si>
    <t>091 ИНН контрактодержателя</t>
  </si>
  <si>
    <t>092 Наименование.ФИО контрактодержателя</t>
  </si>
  <si>
    <t>093 Адрес контрактодержателя</t>
  </si>
  <si>
    <t>094 ОКАТО контрактодержателя</t>
  </si>
  <si>
    <t>097 КПП контрактодержателя</t>
  </si>
  <si>
    <t>11 Код торгующей страны</t>
  </si>
  <si>
    <t>11 Торгующая страна</t>
  </si>
  <si>
    <t>12 Общая таможенная стоимость</t>
  </si>
  <si>
    <t>140 ОГРН.ОГРНИП декларанта</t>
  </si>
  <si>
    <t>141 ИНН контрактодержателя</t>
  </si>
  <si>
    <t>142 Наименование.ФИО декларанта</t>
  </si>
  <si>
    <t>143 Адрес контрактодержателя</t>
  </si>
  <si>
    <t>144 ОКАТО контрактодержателя</t>
  </si>
  <si>
    <t>147 КПП контрактодержателя</t>
  </si>
  <si>
    <t>15А Код страны отправления</t>
  </si>
  <si>
    <t>15 Страна отправления</t>
  </si>
  <si>
    <t>16 Страна происхождения</t>
  </si>
  <si>
    <t>17А Код страны назначения</t>
  </si>
  <si>
    <t>17 Страна назначения</t>
  </si>
  <si>
    <t>18 Кол-во транспорта при отправлении</t>
  </si>
  <si>
    <t>19 Признак контейнерных перевозок 0ю1</t>
  </si>
  <si>
    <t>202 Условие поставки</t>
  </si>
  <si>
    <t>2021 Пункт поставки товара</t>
  </si>
  <si>
    <t>21 Кол-во трансп на границе</t>
  </si>
  <si>
    <t>221 Валюта контракта</t>
  </si>
  <si>
    <t>222 Общая фактурная стоимость</t>
  </si>
  <si>
    <t>2220 Общая фактурная стоимость, руб</t>
  </si>
  <si>
    <t>226 Статистическая стоимость суммарная</t>
  </si>
  <si>
    <t>23 Курс валюты</t>
  </si>
  <si>
    <t>24 Характер сделки</t>
  </si>
  <si>
    <t>25 Вид транспортного средства</t>
  </si>
  <si>
    <t>28 ОКПО банка.паспорт сделки</t>
  </si>
  <si>
    <t>29 Таможня на границе</t>
  </si>
  <si>
    <t>300 Тип информации</t>
  </si>
  <si>
    <t>301 № свидетельства СВХ.ТС</t>
  </si>
  <si>
    <t>302 Вид документа.Вид ТС</t>
  </si>
  <si>
    <t>30POST Индекс места нахождения товара</t>
  </si>
  <si>
    <t>30SUBD Регион</t>
  </si>
  <si>
    <t>30CITY Населенный пункт</t>
  </si>
  <si>
    <t>30STREET Адрес местонахождения товара</t>
  </si>
  <si>
    <t>3012 Таможня в зоне которой склад</t>
  </si>
  <si>
    <t>3 Порядковый № листа ДТ</t>
  </si>
  <si>
    <t>31_1 Описание и характеристика товара</t>
  </si>
  <si>
    <t>31_11 Товарный знак</t>
  </si>
  <si>
    <t>31_12 Наименование фирмы изготовителя</t>
  </si>
  <si>
    <t>31_2 Кол-во мест товара</t>
  </si>
  <si>
    <t>31_3 Кол-во контейнеров</t>
  </si>
  <si>
    <t>31_7 Кол-во товара в доп ед. измерения</t>
  </si>
  <si>
    <t>31_71 Дополнительная единица</t>
  </si>
  <si>
    <t>31_8 Кол-во товара в доп единице</t>
  </si>
  <si>
    <t>31_81 Дополнительная единица</t>
  </si>
  <si>
    <t>32 Номер товара по ДТ</t>
  </si>
  <si>
    <t>33 Код товара по ТН ВЭД РФ</t>
  </si>
  <si>
    <t>331 Признак нетарифного регулирования</t>
  </si>
  <si>
    <t>332 Признак объекта интеллект собственности</t>
  </si>
  <si>
    <t>34 Код страны происхождения</t>
  </si>
  <si>
    <t>35 Вес брутто, кг</t>
  </si>
  <si>
    <t>36 Преференции</t>
  </si>
  <si>
    <t>37 Процедура</t>
  </si>
  <si>
    <t>38 Вес нетто, кг</t>
  </si>
  <si>
    <t>39 Квота</t>
  </si>
  <si>
    <t>391 Код валюты квоты</t>
  </si>
  <si>
    <t>392 Единица измерения квоты</t>
  </si>
  <si>
    <t>42 Фактурная стоимость</t>
  </si>
  <si>
    <t>420 Фактурная стоимость, руб</t>
  </si>
  <si>
    <t>43 Признак корректировки таможенной стоимости (КТС)</t>
  </si>
  <si>
    <t>431 Метод определения таможенной стоимости</t>
  </si>
  <si>
    <t>45 Таможенная стоимость</t>
  </si>
  <si>
    <t>46 Статистическая стоимость</t>
  </si>
  <si>
    <t>D0 Код завршения таможенного оформления</t>
  </si>
  <si>
    <t>Стат сумма, долл</t>
  </si>
  <si>
    <t>USD/KG Статистическая стоимость, USD/Dtc НЕТТО, кг</t>
  </si>
  <si>
    <t>541 Свидетельство таможенного брокера</t>
  </si>
  <si>
    <t>5411 Договор брокера с декларантом</t>
  </si>
  <si>
    <t>5441 ФИО заполнившего ДТ</t>
  </si>
  <si>
    <t>ЛНП выпускающего инспектора</t>
  </si>
  <si>
    <t>ND_DEL Признак удаления декларации</t>
  </si>
  <si>
    <t>1</t>
  </si>
  <si>
    <t>10131010/300123/3032780</t>
  </si>
  <si>
    <t>10131010</t>
  </si>
  <si>
    <t>3032780</t>
  </si>
  <si>
    <t>ИМ</t>
  </si>
  <si>
    <t>40</t>
  </si>
  <si>
    <t/>
  </si>
  <si>
    <t>WELLPET BELGIUM BVBA</t>
  </si>
  <si>
    <t>1831, ., DIEGEM, LEONARDO DA VINCILAAN, 19</t>
  </si>
  <si>
    <t>1027700221438</t>
  </si>
  <si>
    <t>7718118019</t>
  </si>
  <si>
    <t>АО "ВАЛТА ПЕТ ПРОДАКТС"</t>
  </si>
  <si>
    <t>115230, РОССИЯ, МОСКВА, ВАРШАВСКОЕ ШОССЕ, Д.42, КОМНАТА 3134,</t>
  </si>
  <si>
    <t>45000</t>
  </si>
  <si>
    <t>772601001</t>
  </si>
  <si>
    <t>BE</t>
  </si>
  <si>
    <t>БЕЛЬГИЯ</t>
  </si>
  <si>
    <t>ФРАНЦИЯ</t>
  </si>
  <si>
    <t>RU</t>
  </si>
  <si>
    <t>РОССИЯ</t>
  </si>
  <si>
    <t>0</t>
  </si>
  <si>
    <t>EXW</t>
  </si>
  <si>
    <t>GHENT</t>
  </si>
  <si>
    <t>EUR</t>
  </si>
  <si>
    <t>010</t>
  </si>
  <si>
    <t>31</t>
  </si>
  <si>
    <t>18090220/1481/1948/2/1</t>
  </si>
  <si>
    <t>-</t>
  </si>
  <si>
    <t>99</t>
  </si>
  <si>
    <t>.</t>
  </si>
  <si>
    <t>СМОЛЕНСКАЯ ОБЛАСТЬ,СМОЛЕНСКИЙ Р-Н</t>
  </si>
  <si>
    <t>СЕЛЬСКОЕ ПОСЕЛЕНИЕ СТАБНИНСКОЕ</t>
  </si>
  <si>
    <t>СЕВЕРО-ВОСТОЧНЕЕ Д. СТАБНА,НА РАССТОЯНИИ 700 МЕТРО</t>
  </si>
  <si>
    <t>10113100 т/п Стабнинский</t>
  </si>
  <si>
    <t>СУХОЙ КОРМ ДЛЯ КОШЕК И СОБАК Т.М;"WELLNESS CORE", РАСФАСОВАННЫЙ ДЛЯ РОЗНИЧНОЙ ПРОДАЖИ В ИНДИВИДУАЛЬНУЮ УПАКОВКУ, СОДЕРЖИТ 10 МАС.% ИЛИ МЕНЕЕ КРАХМАЛА, НЕ СОДЕРЖИТ ГЛЮКОЗУ, МОЛОЧНЫЕ ПРОДУКТЫ И МАЛЬТОДЕКСТРИН</t>
  </si>
  <si>
    <t>UNITED PETFOOD FRANCE-UPF</t>
  </si>
  <si>
    <t>2309101100</t>
  </si>
  <si>
    <t>FR</t>
  </si>
  <si>
    <t>ОООО-ОО</t>
  </si>
  <si>
    <t>10</t>
  </si>
  <si>
    <t>0770/СПБ/161</t>
  </si>
  <si>
    <t>ДАШКИН АЛЕКСЕЙ ХАЛИМОВИЧ</t>
  </si>
  <si>
    <t>10131010/271223/3425397</t>
  </si>
  <si>
    <t>3425397</t>
  </si>
  <si>
    <t>UNITED PETFOOD PRODUCERS NV</t>
  </si>
  <si>
    <t>9400, , ERPE-MERE, EVENBROEKVELD 1,</t>
  </si>
  <si>
    <t>770100448470</t>
  </si>
  <si>
    <t>ИП ЭСТРИН КИРИЛЛ ВАДИМОВИЧ</t>
  </si>
  <si>
    <t>129085, РОССИЯ, МОСКВА, ПРОСПЕКТ МИРА, Д.81, КВ.101</t>
  </si>
  <si>
    <t>FCA</t>
  </si>
  <si>
    <t>ERPE-MERE</t>
  </si>
  <si>
    <t>22040387/3292/0000/2/2</t>
  </si>
  <si>
    <t>"КАЛУЖСКАЯ ОБЛ., БОРОВСКИЙ Р-Н"</t>
  </si>
  <si>
    <t>С. ВОРСИНО</t>
  </si>
  <si>
    <t>СЕВЕРНАЯ ПРОМЗОНА, ВЛД. 6</t>
  </si>
  <si>
    <t>10106050 т/п Обнинский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</si>
  <si>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</t>
  </si>
  <si>
    <t>ДРУЗЯГИНА</t>
  </si>
  <si>
    <t>10131010/300123/3031346</t>
  </si>
  <si>
    <t>3031346</t>
  </si>
  <si>
    <t>316774600208441</t>
  </si>
  <si>
    <t>11</t>
  </si>
  <si>
    <t>10106/100913/10053/9</t>
  </si>
  <si>
    <t>КАЛУЖСКАЯ ОБЛ., БОРОВСКИЙ Р-Н</t>
  </si>
  <si>
    <t>КОРМ ДЛЯ СОБАК И КОШЕК, РАСФАСОВАННЫЙ ДЛЯ РОЗНИЧНОЙ ПРОДАЖИ; БЕЗ СОДЕРЖАНИЯ КРАХМАЛА, БЕЗ СОДЕРЖАНИЯ МОЛОЧНЫХ ПРОДУКТОВ, В АССОРТИМЕНТЕ:</t>
  </si>
  <si>
    <t>2022/09 БР</t>
  </si>
  <si>
    <t>ОСИПОВА ТАТЬЯНА ВЛАДИМИРОВНА</t>
  </si>
  <si>
    <t>10131010/030123/3000794</t>
  </si>
  <si>
    <t>3000794</t>
  </si>
  <si>
    <t>UNITED PETFOOD PRODUCERS</t>
  </si>
  <si>
    <t>9042, TERDONKKAAI, 16, GENT, BE</t>
  </si>
  <si>
    <t>129085, РОССИЯ, Г. МОСКВА, ПР-КТ МИРА, Д.81, КВ. 101</t>
  </si>
  <si>
    <t>1237</t>
  </si>
  <si>
    <t>Г. КРОНШТАДТ</t>
  </si>
  <si>
    <t>КРОНШТАДТСКОЕ ШОССЕ, Д.33, ЛИТ. А</t>
  </si>
  <si>
    <t>10210040 т/п Котлинский</t>
  </si>
  <si>
    <t>СУХОЙ КОРМ ДЛЯ СОБАК И КОШЕК Т.М. "GRANDORF", РАСФАСОВАННЫЙ В ИНДИВИДУАЛЬНУЮ УПАKОВКУ ДЛЯ РОЗНИЧНОЙ ПРОДАЖИ, СОДЕРЖИТ КРАХМАЛ МЕНЕЕ 10%, НЕ СОДЕРЖИТ МОЛОЧНЫЕ ПРОДУКТЫ, ГЛЮКОЗУ И МАЛЬТОДЕКСТРИН.</t>
  </si>
  <si>
    <t>0770/СПБ/329</t>
  </si>
  <si>
    <t>10131010/030123/3000782</t>
  </si>
  <si>
    <t>3000782</t>
  </si>
  <si>
    <t>СУХОЙ КОРМ ДЛЯ СОБАК И КОШЕК Т.М. "GRANDORF", РАСФАСОВАННЫЙ В ИНДИВИДУАЛЬНУЮ УПАКОBКУ ДЛЯ РОЗНИЧНОЙ ПРОДАЖИ, СОДЕРЖИТ КРАХМАЛ МЕНЕЕ 10%, НЕ СОДЕРЖИТ МОЛОЧНЫЕ ПРОДУКТЫ, ГЛЮКОЗУ И МАЛЬТОДЕКСТРИН.</t>
  </si>
  <si>
    <t>10131010/030123/3000876</t>
  </si>
  <si>
    <t>3000876</t>
  </si>
  <si>
    <t>СУХОЙ КОРМ ДЛЯ СОБАК И КОШЕК Т.М. "GRANDORF", РАСФАСОВАННЫЙ В ИНДИВИДУАЛЬНУЮ УПАКОВКУ ДЛЯ РОЗНИЧНОЙ ПРОДАЖИ, СОДЕРЖИТ КРАХМАЛ МЕНЕЕ 10%, НЕ СОДЕРЖИТ МОЛОЧНЫЕ ПРОДУКТЫ, ГЛЮKОЗУ И МАЛЬТОДЕКСТРИН.</t>
  </si>
  <si>
    <t>СУШКОВА ОЛЬГА АЛЕКСАНДРОВНА</t>
  </si>
  <si>
    <t>10131010/030123/3000788</t>
  </si>
  <si>
    <t>3000788</t>
  </si>
  <si>
    <t>СУХОЙ КОРМ ДЛЯ СОБАК И КОШЕК Т.М. "GRANDORF", РАСФАСОBАННЫЙ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</si>
  <si>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10131010/310123/3035307</t>
  </si>
  <si>
    <t>3035307</t>
  </si>
  <si>
    <t>СУХОЙ КОРМ ДЛЯ КОШЕК И СОБАК Т.М. "WELLNESS CORE", РАСФАСОВАННЫЙ ДЛЯ РОЗНИЧНОЙ ПРОДАЖИ В ИНДИВИДУАЛЬНУЮ УПАКОВКУ; СОДЕРЖИТ 10 МАС.% ИЛИ МЕНЕЕ КРАХМАЛА, НЕ СОДЕРЖИТ ГЛЮКОЗУ, МОЛОЧНЫЕ ПРОДУКТЫ И МАЛЬТОДЕКСТРИН</t>
  </si>
  <si>
    <t>10131010/100123/3005664</t>
  </si>
  <si>
    <t>3005664</t>
  </si>
  <si>
    <t>СУХОЙ КОРМ ДЛЯ СОБАК И КОШЕК Т.М.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</si>
  <si>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10131010/100123/3006562</t>
  </si>
  <si>
    <t>3006562</t>
  </si>
  <si>
    <t>СУХОЙ КОРМ ДЛЯ СОБАК Т.М.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</si>
  <si>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10131010/211223/3417902</t>
  </si>
  <si>
    <t>3417902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</si>
  <si>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</t>
  </si>
  <si>
    <t>ОСИПОВА</t>
  </si>
  <si>
    <t>10131010/120123/3009172</t>
  </si>
  <si>
    <t>3009172</t>
  </si>
  <si>
    <t>СУХОЙ КОРМ ДЛЯ СОБАК Т.М. "PREMIER",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</si>
  <si>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10131010/281223/3426838</t>
  </si>
  <si>
    <t>3426838</t>
  </si>
  <si>
    <t>СЕВЕРНАЯ ПРОМЗОНА, ВЛАД. 6</t>
  </si>
  <si>
    <t>КОРМ ДЛЯ СОБАК, РАСФАСОВАННЫЙ ДЛЯ РОЗНИЧНОЙ ПРОДАЖИ, БЕЗ СОДЕРЖАНИЯ КРАХМАЛА, БЕЗ СОДЕРЖАНИЯ МОЛОЧНЫХ ПРОДУКТОВ, В АССОРТИМЕНТЕ:</t>
  </si>
  <si>
    <t>10131010/130123/3010787</t>
  </si>
  <si>
    <t>3010787</t>
  </si>
  <si>
    <t>10131010/130123/3010647</t>
  </si>
  <si>
    <t>3010647</t>
  </si>
  <si>
    <t>10131010/130123/3010752</t>
  </si>
  <si>
    <t>3010752</t>
  </si>
  <si>
    <t>10131010/130123/3010721</t>
  </si>
  <si>
    <t>3010721</t>
  </si>
  <si>
    <t>10131010/130123/3010913</t>
  </si>
  <si>
    <t>3010913</t>
  </si>
  <si>
    <t>10131010/130123/3010745</t>
  </si>
  <si>
    <t>3010745</t>
  </si>
  <si>
    <t>10131010/130123/3010741</t>
  </si>
  <si>
    <t>3010741</t>
  </si>
  <si>
    <t>10131010/130123/3010672</t>
  </si>
  <si>
    <t>3010672</t>
  </si>
  <si>
    <t>10131010/261223/3423394</t>
  </si>
  <si>
    <t>3423394</t>
  </si>
  <si>
    <t>КОРМ ДЛЯ СОБАК И КОШЕК, РАСФАСОВАННЫЙ ДЛЯ РОЗНИЧНОЙ ПРОДАЖИ, БЕЗ СОДЕРЖАНИЯ КРАХМАЛА, БЕЗ СОДЕРЖАНИЯ МОЛОЧНЫХ ПРОДУКТОВ, В АССОРТИМЕНТЕ:</t>
  </si>
  <si>
    <t>ЧУДИНА</t>
  </si>
  <si>
    <t>10131010/130123/3011121</t>
  </si>
  <si>
    <t>3011121</t>
  </si>
  <si>
    <t>10131010/130123/3010661</t>
  </si>
  <si>
    <t>3010661</t>
  </si>
  <si>
    <t>10131010/140123/3011420</t>
  </si>
  <si>
    <t>3011420</t>
  </si>
  <si>
    <t>10131010/140123/5000187</t>
  </si>
  <si>
    <t>5000187</t>
  </si>
  <si>
    <t>10131010/211223/3417874</t>
  </si>
  <si>
    <t>3417874</t>
  </si>
  <si>
    <t>10131010/140123/5000189</t>
  </si>
  <si>
    <t>5000189</t>
  </si>
  <si>
    <t>10131010/140123/3011540</t>
  </si>
  <si>
    <t>3011540</t>
  </si>
  <si>
    <t>10131010/130123/3011166</t>
  </si>
  <si>
    <t>3011166</t>
  </si>
  <si>
    <t>10131010/271223/3425071</t>
  </si>
  <si>
    <t>3425071</t>
  </si>
  <si>
    <t>10131010/140123/3011417</t>
  </si>
  <si>
    <t>3011417</t>
  </si>
  <si>
    <t>10131010/251223/3422354</t>
  </si>
  <si>
    <t>3422354</t>
  </si>
  <si>
    <t>10131010/140123/3011515</t>
  </si>
  <si>
    <t>3011515</t>
  </si>
  <si>
    <t>СУХОЙ КОРМ ДЛЯ КОШЕК И СОБАК Т.М. "PREMIER",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</si>
  <si>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10131010/170123/3014827</t>
  </si>
  <si>
    <t>3014827</t>
  </si>
  <si>
    <t>10131010/281223/3426842</t>
  </si>
  <si>
    <t>3426842</t>
  </si>
  <si>
    <t>10131010/261223/3424034</t>
  </si>
  <si>
    <t>3424034</t>
  </si>
  <si>
    <t>10131010/170123/3015160</t>
  </si>
  <si>
    <t>3015160</t>
  </si>
  <si>
    <t>СУХОЙ КОРМ ДЛЯ КОШЕК И СОБАК Т.М. "WELLNESS CORE", РАСФАСОВАННЫЙ ДЛЯ РОЗНИЧНОЙ ПРОДАЖИ В ИНДИВИДУАЛЬНУЮ УПАКОВКУ, СОДЕРЖИТ 10 МАС.% ИЛИ МЕНЕЕ КРАХМАЛА, НЕ СОДЕРЖИТ ГЛЮКОЗУ, МОЛОЧНЫЕ ПРОДУКТЫ И МАЛЬТОДЕКСТРИН</t>
  </si>
  <si>
    <t>10131010/180123/3017012</t>
  </si>
  <si>
    <t>3017012</t>
  </si>
  <si>
    <t>10131010/190123/3017686</t>
  </si>
  <si>
    <t>3017686</t>
  </si>
  <si>
    <t>10131010/200123/3020197</t>
  </si>
  <si>
    <t>3020197</t>
  </si>
  <si>
    <t>СУХОЙ КОРМ ДЛЯ СОБАК Т.М. "PREMIER",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</si>
  <si>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10131010/221223/3419349</t>
  </si>
  <si>
    <t>3419349</t>
  </si>
  <si>
    <t>10131010/271223/3425393</t>
  </si>
  <si>
    <t>3425393</t>
  </si>
  <si>
    <t>10131010/281223/3426841</t>
  </si>
  <si>
    <t>3426841</t>
  </si>
  <si>
    <t>КОРМ ДЛЯ СОБАК, РАСФАСОВАННЫЙ ДЛЯ РОЗНИЧНОЙ ПРОДАЖИ, БЕЗ СОДЕРЖАНИЯ КРАХМАЛА, БЕЗ СОДЕРЖАНИЯ МОЛОЧНЫХ ПРОДУКТОВ,БЕЗ СОДЕРЖАНИЯ ГМО, В АССОРТИМЕНТЕ</t>
  </si>
  <si>
    <t>10131010/200123/3019542</t>
  </si>
  <si>
    <t>3019542</t>
  </si>
  <si>
    <t>10131010/281223/3426846</t>
  </si>
  <si>
    <t>3426846</t>
  </si>
  <si>
    <t>10131010/200123/3019718</t>
  </si>
  <si>
    <t>3019718</t>
  </si>
  <si>
    <t>10131010/210123/3020521</t>
  </si>
  <si>
    <t>3020521</t>
  </si>
  <si>
    <t>10131010/210123/3020756</t>
  </si>
  <si>
    <t>3020756</t>
  </si>
  <si>
    <t>10131010/050123/3002040</t>
  </si>
  <si>
    <t>3002040</t>
  </si>
  <si>
    <t>СУХОЙ КОРМ ДЛЯ СОБАК И КОШЕК Т.М."GRANDORF",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</si>
  <si>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10131010/050123/3002124</t>
  </si>
  <si>
    <t>3002124</t>
  </si>
  <si>
    <t>СУХОЙ КОРМ ДЛЯ СOБАК Т.М.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</si>
  <si>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10131010/050123/3002101</t>
  </si>
  <si>
    <t>3002101</t>
  </si>
  <si>
    <t>СУХОЙ КОРМ ДЛЯ КОШЕК Т.М. "PREMIER",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</si>
  <si>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10131010/050123/3002183</t>
  </si>
  <si>
    <t>3002183</t>
  </si>
  <si>
    <t>СУХОЙ КОРМ ДЛЯ СОБАК И КОШЕК Т.М. "GRANDORF", РАСФАСОВAННЫЙ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</si>
  <si>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10131010/050123/3001818</t>
  </si>
  <si>
    <t>3001818</t>
  </si>
  <si>
    <t>СУХОЙ КОРМ ДЛЯ СОБАК И КОШЕК Т.M.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</si>
  <si>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10131010/050123/3002246</t>
  </si>
  <si>
    <t>3002246</t>
  </si>
  <si>
    <t>СУХОЙ КОРМ ДЛЯ СОБАК И КОШЕК Т.М. "GRANDORF", РАСФАСОВАННЫЙ В ИНДИВИДУАЛЬНУЮ УПАКОВКУ ДЛЯ РОЗНИЧНОЙ ПРОДАЖИ, СОДЕРЖИТ КРАХМАЛ МЕНЕЕ 10%, НЕ СОДЕРЖИТ МОЛОЧНЫЕ ПPОДУКТЫ, ГЛЮКОЗУ И МАЛЬТОДЕКСТРИН.</t>
  </si>
  <si>
    <t>10131010/060123/3002876</t>
  </si>
  <si>
    <t>3002876</t>
  </si>
  <si>
    <t>СУХОЙ КОРМ ДЛЯ КОШЕК Т.М."PREMIER",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</si>
  <si>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10131010/080123/3003613</t>
  </si>
  <si>
    <t>3003613</t>
  </si>
  <si>
    <t>СУХОЙ КОРМ ДЛЯ СОБАК И КОШЕК Т.М. "GRANDORF", РАСФАСОВАННЫЙ В ИНДИВИДУАЛЬНУЮ УПАКОВКУ ДЛЯ РОЗНИЧНОЙ ПРОДАЖИ, СОДЕРЖИТ КРАХМАЛ МEНЕЕ 10%, НЕ СОДЕРЖИТ МОЛОЧНЫЕ ПРОДУКТЫ, ГЛЮКОЗУ И МАЛЬТОДЕКСТРИН.</t>
  </si>
  <si>
    <t>10131010/080123/3003600</t>
  </si>
  <si>
    <t>3003600</t>
  </si>
  <si>
    <t>СУХОЙ КОРМ ДЛЯ СОБАК И КОШЕК Т.М. "GRANDORF", РАСФАСОВАННЫЙ В ИНДИВИДУАЛЬНУЮ УПАКОВКУ ДЛЯ РОЗНИЧНОЙ ПРОДАЖИ, СОДЕРЖИТ КРАХМАЛ МЕНЕЕ 10%, НЕ СОДЕРЖИТ МОЛОЧНЫЕ ПРОДУКТЫ, ГЛЮКОЗУ И МАЛЬTОДЕКСТРИН.</t>
  </si>
  <si>
    <t>10131010/261223/3424032</t>
  </si>
  <si>
    <t>3424032</t>
  </si>
  <si>
    <t>10131010/251223/3422320</t>
  </si>
  <si>
    <t>3422320</t>
  </si>
  <si>
    <t>10131010/251223/3422313</t>
  </si>
  <si>
    <t>3422313</t>
  </si>
  <si>
    <t>10131010/080123/3003591</t>
  </si>
  <si>
    <t>3003591</t>
  </si>
  <si>
    <t>СУХОЙ КОРМ ДЛЯ СОБАК И КОШЕК Т.М;"GRANDORF",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</si>
  <si>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10131010/080123/3003482</t>
  </si>
  <si>
    <t>3003482</t>
  </si>
  <si>
    <t>10210/101120/10128/2</t>
  </si>
  <si>
    <t>СПБ, Г.КРОНДШТАДТ</t>
  </si>
  <si>
    <t>КРОНШТАДСКОЕ ШОССЕ,Д.33,ЛИТ.А</t>
  </si>
  <si>
    <t>СУХОЙ КОРМ ДЛЯ СОБАК И КОШЕК Т.М:"GRANDORF",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</si>
  <si>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10131010/080123/3003601</t>
  </si>
  <si>
    <t>3003601</t>
  </si>
  <si>
    <t>СУХОЙ КОРМ ДЛЯ СОБАК И КОШЕК Т.М. "GRANDORF", РАСФАСОВАННЫЙ В ИНДИВИДУАЛЬНУЮ УПAКОВКУ ДЛЯ РОЗНИЧНОЙ ПРОДАЖИ, СОДЕРЖИТ КРАХМАЛ МЕНЕЕ 10%, НЕ СОДЕРЖИТ МОЛОЧНЫЕ ПРОДУКТЫ, ГЛЮКОЗУ И МАЛЬТОДЕКСТРИН.</t>
  </si>
  <si>
    <t>10131010/080123/3003417</t>
  </si>
  <si>
    <t>3003417</t>
  </si>
  <si>
    <t>СУХОЙ КОРМ ДЛЯ СОБАК И КОШЕК Т.М. "GRANDORF", РАСФАСОВАННЫЙ В ИНДИВИДУАЛЬНУЮ УПАКОВКУ ДЛЯ РОЗНИЧНОЙ ПРОДАЖИ, СОДЕРЖИТ КРАXМАЛ МЕНЕЕ 10%, НЕ СОДЕРЖИТ МОЛОЧНЫЕ ПРОДУКТЫ, ГЛЮКОЗУ И МАЛЬТОДЕКСТРИН.</t>
  </si>
  <si>
    <t>10131010/080123/3003620</t>
  </si>
  <si>
    <t>3003620</t>
  </si>
  <si>
    <t>10131010/261223/3424031</t>
  </si>
  <si>
    <t>3424031</t>
  </si>
  <si>
    <t>10131010/090123/3005004</t>
  </si>
  <si>
    <t>3005004</t>
  </si>
  <si>
    <t>10131010/221223/3418479</t>
  </si>
  <si>
    <t>3418479</t>
  </si>
  <si>
    <t>10131010/090123/3005289</t>
  </si>
  <si>
    <t>3005289</t>
  </si>
  <si>
    <t>ДРУЗЯГИНА ИРИНА НИКОЛАЕВНА</t>
  </si>
  <si>
    <t>10131010/210123/3020540</t>
  </si>
  <si>
    <t>3020540</t>
  </si>
  <si>
    <t>10131010/210123/3020614</t>
  </si>
  <si>
    <t>3020614</t>
  </si>
  <si>
    <t>10131010/220123/3021014</t>
  </si>
  <si>
    <t>3021014</t>
  </si>
  <si>
    <t>10131010/220123/3021244</t>
  </si>
  <si>
    <t>3021244</t>
  </si>
  <si>
    <t>10131010/210123/3020766</t>
  </si>
  <si>
    <t>3020766</t>
  </si>
  <si>
    <t>10131010/220123/3021032</t>
  </si>
  <si>
    <t>3021032</t>
  </si>
  <si>
    <t>10131010/230123/3022489</t>
  </si>
  <si>
    <t>3022489</t>
  </si>
  <si>
    <t>СУХОЙ КОРМ ДЛЯ СОБАК И КОШЕК Т.М. "GRANDORF", РАСФАСОВАННЫЙ В ИНДИВИДУАЛЬНУЮ УПАКОВКУ ДЛЯ РОЗНИЧНОЙ ПРОДАЖИ, СОДЕРЖИТ КРАХМАЛ МЕНЕЕ 10%, НЕ СОДЕРЖИТ МОЛОЧНЫЕ ПРОДУКТЫ, ГЛЮКОЗУ И МАЛЬТОДЕКCТРИН.</t>
  </si>
  <si>
    <t>10131010/240123/3023851</t>
  </si>
  <si>
    <t>3023851</t>
  </si>
  <si>
    <t>КОРМ ДЛЯ СОБАК, РАСФАСОВАННЫЙ ДЛЯ РОЗНИЧНОЙ ПРОДАЖИ, БЕЗ СОДЕРЖАНИЯ КРАXМАЛА, БЕЗ СОДЕРЖАНИЯ МОЛОЧНЫХ ПРОДУКТОВ,БЕЗ СОДЕРЖАНИЯ ГМО, В АССОРТИМЕНТЕ</t>
  </si>
  <si>
    <t>БЛАГОНРАВОВА ДАРЬЯ ДМИТРИЕВНА</t>
  </si>
  <si>
    <t>10131010/240123/3023832</t>
  </si>
  <si>
    <t>3023832</t>
  </si>
  <si>
    <t>ЯШИНА АННА СЕРГЕЕВНА</t>
  </si>
  <si>
    <t>10131010/250123/3025986</t>
  </si>
  <si>
    <t>3025986</t>
  </si>
  <si>
    <t>КОРМ ДЛЯ СОБАК, РАСФАСОВАННЫЙ ДЛЯ РОЗНИЧНОЙ ПРОДАЖИ, БЕЗ СОДЕРЖАНИЯ КРАХМАЛА, БЕЗ СОДЕРЖАНИЯ МОЛОЧНЫХ ПРОДУКТОВ,БЕЗ СОДЕРЖАНИЯ ГМО, B АССОРТИМЕНТЕ</t>
  </si>
  <si>
    <t>10131010/260123/3027497</t>
  </si>
  <si>
    <t>3027497</t>
  </si>
  <si>
    <t>10131010/260123/3028508</t>
  </si>
  <si>
    <t>3028508</t>
  </si>
  <si>
    <t>10131010/260123/3028024</t>
  </si>
  <si>
    <t>3028024</t>
  </si>
  <si>
    <t>КОРМ ДЛЯ СОБАК,РАСФАСОВАННЫЙ ДЛЯ РОЗНИЧНОЙ ПРОДАЖИ,БЕЗ СОДЕРЖАНИЯ КРАХМАЛА,БЕЗ СОДЕРЖАНИЯ МОЛОЧНЫХ ПРОДУКТОВ,В АССОРТИМЕНТЕ</t>
  </si>
  <si>
    <t>10131010/261223/3424041</t>
  </si>
  <si>
    <t>3424041</t>
  </si>
  <si>
    <t>10131010/251223/3422332</t>
  </si>
  <si>
    <t>3422332</t>
  </si>
  <si>
    <t>10131010/260123/3028499</t>
  </si>
  <si>
    <t>3028499</t>
  </si>
  <si>
    <t>10131010/270123/3029476</t>
  </si>
  <si>
    <t>3029476</t>
  </si>
  <si>
    <t>СУХОЙ КОРМ ДЛЯ СОБАК И КОШЕК Т.М. "GRANDORF", "PREMIER", РАСФАСОВАННЫЙ В ИНДИВИДУАЛЬНУЮ УПАКОВКУ ДЛЯ РОЗНИЧНOЙ ПРОДАЖИ, СОДЕРЖИТ КРАХМАЛ МЕНЕЕ 10%, НЕ СОДЕРЖИТ МОЛОЧНЫЕ ПРОДУКТЫ, ГЛЮКОЗУ И МАЛЬТОДЕКСТРИН.</t>
  </si>
  <si>
    <t>10131010/270123/3029358</t>
  </si>
  <si>
    <t>3029358</t>
  </si>
  <si>
    <t>СУХОЙ КОРМ ДЛЯ СОБАК Т.М;"PREMIER",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</si>
  <si>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10131010/270123/3029354</t>
  </si>
  <si>
    <t>3029354</t>
  </si>
  <si>
    <t>СУХОЙ КОРМ ДЛЯ СОБАК И КОШЕК Т.М. "GRANDORF",РАСФАСОВАННЫЙ В ИНДИВИДУАЛЬНУЮ УПАКОВКУ ДЛЯ РОЗНИЧНОЙ ПРОДАЖИ,СОДЕРЖИТ КРАХМАЛ МЕНЕЕ 10%,НЕ СОДЕРЖИТ МОЛОЧНЫЕ ПРОДУКТЫ,ГЛЮКОЗУ И МАЛЬТОДЕКСТРИН.</t>
  </si>
  <si>
    <t>10131010/280123/3030383</t>
  </si>
  <si>
    <t>3030383</t>
  </si>
  <si>
    <t>10131010/280123/3030561</t>
  </si>
  <si>
    <t>3030561</t>
  </si>
  <si>
    <t>СУХОЙ КОРМ ДЛЯ КОШЕК И СОБАК Т.М. "PREMIER", "GRANDORF", РАСФАСОВАННЫЙ В ИНДИВИДУАЛЬНУЮ УПАКОВКУ ДЛЯ РОЗНИЧНОЙ ПРОДАЖИ, СОДЕРЖИТ КРАХMАЛ МЕНЕЕ 10%, НЕ СОДЕРЖИТ МОЛОЧНЫЕ ПРОДУКТЫ, ГЛЮКОЗУ И МАЛЬТОДЕКСТРИН.</t>
  </si>
  <si>
    <t>10131010/280123/3030670</t>
  </si>
  <si>
    <t>3030670</t>
  </si>
  <si>
    <t>СУХОЙ КОРМ ДЛЯ СОБАК И КОШЕК Т.М. "PREMIER", "GRANDORF", РАСФАСОВАННЫЙ В ИНДИВИДУАЛЬНУЮ УПАКОВКУ ДЛЯ РОЗНИЧНОЙ ПРОДАЖИ, СОДЕРЖИТ КРАХМАЛ МЕНЕЕ 10%, НЕ СОДЕРЖИТ МОЛОЧНЫЕ ПРОДУКТЫ, ГЛЮКOЗУ И МАЛЬТОДЕКСТРИН.</t>
  </si>
  <si>
    <t>10131010/280123/3030443</t>
  </si>
  <si>
    <t>3030443</t>
  </si>
  <si>
    <t>СУХОЙ КОРМ ДЛЯ СОБАК И КОШЕК Т.М. "GRANDORF", РАСФАСОВАННЫЙ В ИНДИВИДУАЛЬНУЮ УПАКОВКУ ДЛЯ РОЗНИЧНОЙ ПРОДАЖИ, СОДЕРЖИТ КРАХМАЛ МЕНЕЕ 10%, НЕ CОДЕРЖИТ МОЛОЧНЫЕ ПРОДУКТЫ, ГЛЮКОЗУ И МАЛЬТОДЕКСТРИН.</t>
  </si>
  <si>
    <t>10131010/251223/3422331</t>
  </si>
  <si>
    <t>3422331</t>
  </si>
  <si>
    <t>10131010/290123/3030993</t>
  </si>
  <si>
    <t>3030993</t>
  </si>
  <si>
    <t>СУХОЙ КОРМ ДЛЯ СОБАК И КОШЕК Т.М. "GRANDORF", РАСФАСОВАННЫЙ В ИНДИВИДУАЛЬНУЮ УПАКОВКУ ДЛЯ РОЗНИЧНОЙ ПРОДАЖИ, СОДЕРЖИТ КРАХМАЛ МЕНЕЕ 10%, НЕ СОДЕРЖИТ МОЛОЧНЫE ПРОДУКТЫ, ГЛЮКОЗУ И МАЛЬТОДЕКСТРИН.</t>
  </si>
  <si>
    <t>10131010/290123/3031069</t>
  </si>
  <si>
    <t>3031069</t>
  </si>
  <si>
    <t>СУХОЙ КОРМ ДЛЯ СОБАК Т.М. "PREMIER", "GRANDORF", РАСФАСОВАННЫЙ В ИНДИВИДУАЛЬНУЮ УПАКОВКУ ДЛЯ РОЗНИЧНОЙ ПРОДАЖИ, СОДЕРЖИТ КРАXМАЛ МЕНЕЕ 10%, НЕ СОДЕРЖИТ МОЛОЧНЫЕ ПРОДУКТЫ, ГЛЮКОЗУ И МАЛЬТОДЕКСТРИН.</t>
  </si>
  <si>
    <t>10131010/300123/3033218</t>
  </si>
  <si>
    <t>3033218</t>
  </si>
  <si>
    <t>КОРМ ДЛЯ СОБАК И КОШЕК, РАСФАСОВАННЫЙ ДЛЯ РОЗНИЧНОЙ ПРОДАЖИ, БЕЗ СОДЕРЖАНИЯ КРАХМАЛА, БЕЗ СОДЕРЖАНИЯ MОЛОЧНЫХ ПРОДУКТОВ, В АССОРТИМЕНТЕ</t>
  </si>
  <si>
    <t>10131010/300123/3031750</t>
  </si>
  <si>
    <t>3031750</t>
  </si>
  <si>
    <t>КОРМ ДЛЯ СОБАК И КОШЕК, РАСФАСОВАННЫЙ ДЛЯ РОЗНИЧНОЙ ПРОДАЖИ, БЕЗ СОДЕРЖАНИЯ КРАХМАЛА, БЕЗ СОДЕРЖАНИЯ МОЛОЧНЫХ ПРOДУКТОВ,БЕЗ СОДЕРЖАНИЯ ГМО, В АССОРТИМЕНТЕ:</t>
  </si>
  <si>
    <t>10131010/030223/3039504</t>
  </si>
  <si>
    <t>3039504</t>
  </si>
  <si>
    <t>СУХОЙ КОРМ ДЛЯ КОШЕК И СОБАК Т.М, "WELLNESS CORE", РАСФАСОВАННЫЙ ДЛЯ РОЗНИЧНОЙ ПРОДАЖИ В ИНДИВИДУАЛЬНУЮ УПАКОВКУ, СОДЕРЖИТ 10 МАС.% ИЛИ МЕНЕЕ КРАХМАЛА, НЕ СОДЕРЖИТ ГЛЮКОЗУ, МОЛОЧНЫЕ ПРОДУКТЫ И МАЛЬТОДЕКСТРИН</t>
  </si>
  <si>
    <t>10228010/040223/3028159</t>
  </si>
  <si>
    <t>10228010</t>
  </si>
  <si>
    <t>3028159</t>
  </si>
  <si>
    <t>KATOEN NATIE CUSTOMS SERVICES</t>
  </si>
  <si>
    <t>2060, , ANTWERPEN, VAN AERDTSTRAAT, 33</t>
  </si>
  <si>
    <t>1137847143664</t>
  </si>
  <si>
    <t>7805619300</t>
  </si>
  <si>
    <t>ООО "РАДИУС"</t>
  </si>
  <si>
    <t>198095, РОССИЯ, САНКТ-ПЕТЕРБУРГ, МАРШАЛА ГОВОРОВА, Д.35, КОРП.4,ЛИТ.И, ОФ.607,</t>
  </si>
  <si>
    <t>40000</t>
  </si>
  <si>
    <t>780501001</t>
  </si>
  <si>
    <t>GB</t>
  </si>
  <si>
    <t>СОЕДИНЕННОЕ КОРОЛЕВСТВО</t>
  </si>
  <si>
    <t>GENT</t>
  </si>
  <si>
    <t>15120013/0052/0000/2/1</t>
  </si>
  <si>
    <t>СУХОЙ КОРМ ДЛЯ КОШЕК Т.М:"APPLAWS", РАСФАСОВАНЫЙ ДЛЯ РОЗНИЧНОЙ ПРОДАЖИ В ИНДИВИДУАЛЬНУЮ УПАКОВКУ, СОДЕРЖИТ 10 МАС.% ИЛИ МЕНЕЕ КРАХМАЛА, НЕ СОДЕРЖИТ МОЛОЧНЫЕ ПРОДУКТЫ</t>
  </si>
  <si>
    <t>НИКИФОРОВА ТАТЬЯНА ВАЛЕРЬЕВНА</t>
  </si>
  <si>
    <t>10228010/040223/3028125</t>
  </si>
  <si>
    <t>3028125</t>
  </si>
  <si>
    <t>СУХОЙ КОРМ ДЛЯ КОШЕК Т.М. "APPLAWS", РАСФАСОВАНЫЙ ДЛЯ РОЗНИЧНОЙ ПРОДАЖИ В ИНДИВИДУАЛЬНУЮ УПАКОВКУ, СОДЕРЖИT 10 МАС.% ИЛИ МЕНЕЕ КРАХМАЛА, НЕ СОДЕРЖИТ МОЛОЧНЫЕ ПРОДУКТЫ</t>
  </si>
  <si>
    <t>10131010/281223/3426840</t>
  </si>
  <si>
    <t>3426840</t>
  </si>
  <si>
    <t>9042, , GHENT, TERDONKKAAI 16,</t>
  </si>
  <si>
    <t>10131010/211223/3417869</t>
  </si>
  <si>
    <t>3417869</t>
  </si>
  <si>
    <t>10228010/050223/3028595</t>
  </si>
  <si>
    <t>3028595</t>
  </si>
  <si>
    <t>СУХОЙ КОРМ ДЛЯ КОШЕК Т.М. "APPLAWS", РAСФАСОВАННЫЙ ДЛЯ РОЗНИЧНОЙ ПРОДАЖИ В ИНДИВИДУАЛЬНУЮ УПАКОВКУ, СОДЕРЖИТ МЕНЕЕ 10% КРАХМАЛА, НЕ СОДЕРЖИТ МОЛОЧНЫЕ ПРОДУКТЫ</t>
  </si>
  <si>
    <t>10228010/050223/3028355</t>
  </si>
  <si>
    <t>3028355</t>
  </si>
  <si>
    <t>СУХОЙ КОРМ ДЛЯ КОШЕК T.М. "APPLAWS", РАСФАСОВАНЫЙ ДЛЯ РОЗНИЧНОЙ ПРОДАЖИ В ИНДИВИДУАЛЬНУЮ УПАКОВКУ, СОДЕРЖИТ 10 МАС.% ИЛИ МЕНЕЕ КРАХМАЛА, НЕ СОДЕРЖИТ МОЛОЧНЫЕ ПРОДУКТЫ</t>
  </si>
  <si>
    <t>10228010/050223/3028527</t>
  </si>
  <si>
    <t>3028527</t>
  </si>
  <si>
    <t>СУХОЙ КОРМ ДЛЯ КОШЕК И СОБАК Т.М. "APPLAWS", РАСФАСОВАННЫЙ ДЛЯ РОЗНИЧНОЙ ПРОДАЖИ В ИНДИВИДУАЛЬНУЮ УПАКОВКУ,СОДЕРЖИТ МЕНЕЕ 10% КРАХМАЛА, НЕ СОДЕРЖИТ MОЛОЧНЫЕ ПРОДУКТЫ</t>
  </si>
  <si>
    <t>10131010/060223/3042376</t>
  </si>
  <si>
    <t>3042376</t>
  </si>
  <si>
    <t>КОРМ ДЛЯ СОБАК И КОШЕК, РАСФАСОВАННЫЙ ДЛЯ РОЗНИЧНОЙ ПРОДАЖИ, БЕЗ СОДЕРЖАНИЯ КРАХMАЛА, БЕЗ СОДЕРЖАНИЯ МОЛОЧНЫХ ПРОДУКТОВ,БЕЗ СОДЕРЖАНИЯ ГМО, В АССОРТИМЕНТЕ</t>
  </si>
  <si>
    <t>ЧУДИНА ЭЛЬВИРА РАИСОВНА</t>
  </si>
  <si>
    <t>10131010/060223/3041071</t>
  </si>
  <si>
    <t>3041071</t>
  </si>
  <si>
    <t>КОРМ ДЛЯ СОБАК И КОШЕК, РАСФАСОВАННЫЙ ДЛЯ РОЗНИЧНОЙ ПРОДАЖИ, БЕЗ СОДЕРЖАНИЯ КРАХМАЛА, БЕЗ СОДЕРЖАНИЯ МОЛОЧНЫХ ПРОДУКТОВ, В АССОРТИМЕНТЕ</t>
  </si>
  <si>
    <t>10131010/060223/3041507</t>
  </si>
  <si>
    <t>3041507</t>
  </si>
  <si>
    <t>UNITED PETFOOD PRODUCERS BY ORDER LUXEMBURG</t>
  </si>
  <si>
    <t>КОРМ ДЛЯ СОБАК И КОШЕК, РАСФАСОВАННЫЙ ДЛЯ РОЗНИЧНОЙ ПРОДАЖИ, БЕЗ СОДЕРЖАНИЯ КРАХМАЛА, БЕЗ СОДЕРЖАНИЯ МОЛОЧНЫХ ПРОДУКТОВ, B АССОРТИМЕНТЕ:</t>
  </si>
  <si>
    <t>10131010/221223/3419545</t>
  </si>
  <si>
    <t>3419545</t>
  </si>
  <si>
    <t>10131010/070223/3043893</t>
  </si>
  <si>
    <t>3043893</t>
  </si>
  <si>
    <t>КОРМ ДЛЯ СОБАК И КОШЕК, РАСФАСОВАННЫЙ ДЛЯ PОЗНИЧНОЙ ПРОДАЖИ, БЕЗ СОДЕРЖАНИЯ КРАХМАЛА, БЕЗ СОДЕРЖАНИЯ МОЛОЧНЫХ ПРОДУКТОВ, В АССОРТИМЕНТЕ:</t>
  </si>
  <si>
    <t>10131010/070223/3043224</t>
  </si>
  <si>
    <t>3043224</t>
  </si>
  <si>
    <t>КОРМ ДЛЯ СОБАК И КОШЕК, РАСФАСОВАННЫЙ ДЛЯ РОЗНИЧНОЙ ПРОДАЖИ; БЕЗ СОДЕРЖАНИЯ КРАХМАЛА, БЕЗ СОДЕРЖАНИЯ МОЛОЧНЫХ ПРОДУКТОВ,БЕЗ СОДЕРЖАНИЯ ГМО, В АССОРТИМЕНТЕ</t>
  </si>
  <si>
    <t>10131010/070223/3044340</t>
  </si>
  <si>
    <t>3044340</t>
  </si>
  <si>
    <t>10131010/080223/3044915</t>
  </si>
  <si>
    <t>3044915</t>
  </si>
  <si>
    <t>10131010/010223/3036072</t>
  </si>
  <si>
    <t>3036072</t>
  </si>
  <si>
    <t>10131010/010223/3036543</t>
  </si>
  <si>
    <t>3036543</t>
  </si>
  <si>
    <t>КОРМ ДЛЯ СОБАК И КОШЕК, РАСФАСОВАННЫЙ ДЛЯ РОЗНИЧНОЙ ПРОДАЖИ, БЕЗ СОДЕРЖАНИЯ КРАХМАЛА, БЕЗ СОДЕРЖАНИЯ МОЛОЧНЫХ ПРОДУКТОВ, В АСCОРТИМЕНТЕ</t>
  </si>
  <si>
    <t>10131010/010223/3036551</t>
  </si>
  <si>
    <t>3036551</t>
  </si>
  <si>
    <t>КОРМ ДЛЯ СОБАК И КОШЕК, РАСФАСОВАННЫЙ ДЛЯ РОЗНИЧНОЙ ПРОДАЖИ, БЕЗ СОДЕРЖАНИЯ КРАХМАЛА, БЕЗ СОДЕРЖАНИЯ МОЛОЧНЫХ ПРОДУКТОВ, В АССОPТИМЕНТЕ,В АССОРТИМЕНТЕ:</t>
  </si>
  <si>
    <t>10131010/010223/3036531</t>
  </si>
  <si>
    <t>3036531</t>
  </si>
  <si>
    <t>КОРМ ДЛЯ СОБАК И КОШЕК, РАСФАСОВАННЫЙ ДЛЯ РОЗНИЧНОЙ ПРОДАЖИ, БЕЗ СОДЕРЖАНИЯ КРАXМАЛА, БЕЗ СОДЕРЖАНИЯ МОЛОЧНЫХ ПРОДУКТОВ,БЕЗ СОДЕРЖАНИЯ ГМО, В АССОРТИМЕНТЕ</t>
  </si>
  <si>
    <t>10131010/251223/3422346</t>
  </si>
  <si>
    <t>3422346</t>
  </si>
  <si>
    <t>10131010/221223/3419372</t>
  </si>
  <si>
    <t>3419372</t>
  </si>
  <si>
    <t>10131010/010223/3036524</t>
  </si>
  <si>
    <t>3036524</t>
  </si>
  <si>
    <t>10131010/251223/3422314</t>
  </si>
  <si>
    <t>3422314</t>
  </si>
  <si>
    <t>10131010/010223/3035828</t>
  </si>
  <si>
    <t>3035828</t>
  </si>
  <si>
    <t>КОРМ ДЛЯ СОБАК И КОШЕК, РАСФАСОВАННЫЙ ДЛЯ РОЗНИЧНОЙ ПРОДАЖИ, БЕЗ СОДЕРЖАНИЯ КРАХМАЛА, БЕЗ СОДЕРЖАНИЯ МОЛОЧHЫХ ПРОДУКТОВ, В АССОРТИМЕНТЕ:</t>
  </si>
  <si>
    <t>10131010/010223/3036882</t>
  </si>
  <si>
    <t>3036882</t>
  </si>
  <si>
    <t>B-1831, LEONARDO DA VINCILAAN, 19, DIEGEM, .</t>
  </si>
  <si>
    <t>СУХОЙ КОРМ ДЛЯ КОШЕК И СОБАК Т.М. "WELLNESS CORE", РАСФАСОВАННЫЙ ДЛЯ РОЗНИЧНОЙ ПРОДАЖИ В ИНДИВИДУАЛЬНУЮ УПАКОВКУ, СОДЕРЖИТ 10 МАС.% ИЛИ МЕНЕE КРАХМАЛА, НЕ СОДЕРЖИТ ГЛЮКОЗУ, МОЛОЧНЫЕ ПРОДУКТЫ И МАЛЬТОДЕКСТРИН</t>
  </si>
  <si>
    <t>10131010/020223/3037780</t>
  </si>
  <si>
    <t>3037780</t>
  </si>
  <si>
    <t>КОРМ ДЛЯ СОБАК И КОШЕК, РАСФАСОВАННЫЙ ДЛЯ РОЗНИЧНОЙ ПРОДАЖИ, БЕЗ СОДEРЖАНИЯ КРАХМАЛА, БЕЗ СОДЕРЖАНИЯ МОЛОЧНЫХ ПРОДУКТОВ,БЕЗ СОДЕРЖАНИЯ ГМО, В АССОРТИМЕНТЕ</t>
  </si>
  <si>
    <t>10131010/020223/3037348</t>
  </si>
  <si>
    <t>3037348</t>
  </si>
  <si>
    <t>10131010/020223/3037349</t>
  </si>
  <si>
    <t>3037349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</si>
  <si>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АССОРTИМЕНТЕ</t>
  </si>
  <si>
    <t>10131010/020223/3037518</t>
  </si>
  <si>
    <t>3037518</t>
  </si>
  <si>
    <t>10131010/020223/3037633</t>
  </si>
  <si>
    <t>3037633</t>
  </si>
  <si>
    <t>10131010/080223/3045333</t>
  </si>
  <si>
    <t>3045333</t>
  </si>
  <si>
    <t>КОРМ ДЛЯ СОБАК И КОШЕК, РАСФАСОВАННЫЙ ДЛЯ РОЗНИЧНОЙ ПРОДАЖИ, БЕЗ СОДЕРЖАHИЯ КРАХМАЛА, БЕЗ СОДЕРЖАНИЯ МОЛОЧНЫХ ПРОДУКТОВ,БЕЗ СОДЕРЖАНИЯ ГМО, В АССОРТИМЕНТЕ</t>
  </si>
  <si>
    <t>10131010/080223/3044884</t>
  </si>
  <si>
    <t>3044884</t>
  </si>
  <si>
    <t>10131010/090223/3046024</t>
  </si>
  <si>
    <t>3046024</t>
  </si>
  <si>
    <t>КОРМ ДЛЯ СОБАК И КОШЕК, РАСФАСОВАННЫЙ ДЛЯ РОЗНИЧНОЙ ПРОДАЖИ, БЕЗ СОДЕРЖАНИЯ КРАХМАЛА, БЕЗ СОДЕРЖАНИЯ МОЛОЧНЫХ ПРОДУКТОB, В АССОРТИМЕНТЕ:</t>
  </si>
  <si>
    <t>10131010/181223/3412883</t>
  </si>
  <si>
    <t>3412883</t>
  </si>
  <si>
    <t>10131010/090223/3046168</t>
  </si>
  <si>
    <t>3046168</t>
  </si>
  <si>
    <t>КОРМ ДЛЯ СОБАК И КОШЕК, РАСФАСОВАННЫЙ ДЛЯ РОЗНИЧНОЙ ПРОДАЖИ, БЕЗ СОДЕРЖАНИЯ КРАХМАЛА, БЕЗ СОДЕРЖАНИЯ МОЛОЧНЫХ ПРОДУКТОB,БЕЗ СОДЕРЖАНИЯ ГМО, В АССОРТИМЕНТЕ</t>
  </si>
  <si>
    <t>10131010/090223/3046160</t>
  </si>
  <si>
    <t>3046160</t>
  </si>
  <si>
    <t>КОРМ ДЛЯ СОБАК И КОШЕК; РАСФАСОВАННЫЙ ДЛЯ РОЗНИЧНОЙ ПРОДАЖИ, БЕЗ СОДЕРЖАНИЯ КРАХМАЛА, БЕЗ СОДЕРЖАНИЯ МОЛОЧНЫХ ПРОДУКТОВ, В АССОРТИМЕНТЕ:</t>
  </si>
  <si>
    <t>10131010/090223/3046209</t>
  </si>
  <si>
    <t>3046209</t>
  </si>
  <si>
    <t>КОРМ ДЛЯ СОБАК И КОШЕК,РАСФАСОВАННЫЙ ДЛЯ РОЗНИЧНОЙ ПРОДАЖИ,БЕЗ СОДЕРЖАНИЯ КРАХМАЛА,БЕЗ СОДЕРЖАНИЯ МОЛОЧНЫХ ПРОДУКТОВ,В АССОРТИМЕНТЕ</t>
  </si>
  <si>
    <t>10131010/100223/3048214</t>
  </si>
  <si>
    <t>3048214</t>
  </si>
  <si>
    <t>10131010/100223/3048061</t>
  </si>
  <si>
    <t>3048061</t>
  </si>
  <si>
    <t>10131010/130223/3051593</t>
  </si>
  <si>
    <t>3051593</t>
  </si>
  <si>
    <t>10131010/181223/3412887</t>
  </si>
  <si>
    <t>3412887</t>
  </si>
  <si>
    <t>10131010/130223/3051571</t>
  </si>
  <si>
    <t>3051571</t>
  </si>
  <si>
    <t>10131010/130223/3051614</t>
  </si>
  <si>
    <t>3051614</t>
  </si>
  <si>
    <t>9042, ., GENT, TERDONKKAAI 16,</t>
  </si>
  <si>
    <t>10131010/130223/3051367</t>
  </si>
  <si>
    <t>3051367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</si>
  <si>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АССОРTИМЕНТЕ:</t>
  </si>
  <si>
    <t>10131010/130223/3050230</t>
  </si>
  <si>
    <t>3050230</t>
  </si>
  <si>
    <t>КОРМ ДЛЯ СОБАК И КОШЕК, РАСФАСОВАННЫЙ ДЛЯ РОЗНИЧНОЙ ПРОДАЖИ, БЕЗ СОДЕРЖАНИЯ КРАХМАЛА; БЕЗ СОДЕРЖАНИЯ МОЛОЧНЫХ ПРОДУКТОВ, В АССОРТИМЕНТЕ:</t>
  </si>
  <si>
    <t>10131010/140223/3052310</t>
  </si>
  <si>
    <t>3052310</t>
  </si>
  <si>
    <t>КОРМ ДЛЯ СОБАК И КОШЕК, РАСФАСОВАННЫЙ ДЛЯ РОЗНИЧНОЙ ПРОДАЖИ, БЕЗ СОДЕРЖАНИЯ КРАХМАЛА, БЕЗ СОДЕРЖАНИЯ МОЛОЧНЫХ ПРОДУКТОВ, В АССОРТИМЕНТЕ,В АССОРТИМЕНТЕ</t>
  </si>
  <si>
    <t>10131010/151223/3410757</t>
  </si>
  <si>
    <t>3410757</t>
  </si>
  <si>
    <t>10131010/201223/3416453</t>
  </si>
  <si>
    <t>3416453</t>
  </si>
  <si>
    <t>10131010/140223/3052398</t>
  </si>
  <si>
    <t>3052398</t>
  </si>
  <si>
    <t>КОРМ ДЛЯ СОБАК И КОШЕК, РАСФАСОВАННЫЙ ДЛЯ РОЗНИЧНОЙ ПРОДАЖИ, БЕЗ СОДЕРЖАНИЯ КРАХМАЛА, БЕЗ СОДEРЖАНИЯ МОЛОЧНЫХ ПРОДУКТОВ,БЕЗ СОДЕРЖАНИЯ ГМО, В АССОРТИМЕНТЕ:</t>
  </si>
  <si>
    <t>10131010/140223/3053017</t>
  </si>
  <si>
    <t>3053017</t>
  </si>
  <si>
    <t>КОРМ ДЛЯ СОБАК И КОШЕК, РАСФАСОВАННЫЙ ДЛЯ РОЗНИЧНОЙ ПРОДАЖИ, БЕЗ СОДЕРЖАНИЯ КРАХМАЛА, БЕЗ СОДЕPЖАНИЯ МОЛОЧНЫХ ПРОДУКТОВ,БЕЗ СОДЕРЖАНИЯ ГМО, В АССОРТИМЕНТЕ:</t>
  </si>
  <si>
    <t>10131010/181223/3413517</t>
  </si>
  <si>
    <t>3413517</t>
  </si>
  <si>
    <t>10131010/150223/3054524</t>
  </si>
  <si>
    <t>3054524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</si>
  <si>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АССОPТИМЕНТЕ</t>
  </si>
  <si>
    <t>10131010/150223/3054529</t>
  </si>
  <si>
    <t>3054529</t>
  </si>
  <si>
    <t>КОРМ ДЛЯ СОБАК И КОШЕК, РАСФАСОВАННЫЙ ДЛЯ РОЗНИЧНОЙ ПРОДАЖИ, БЕЗ СОДЕРЖАНИЯ КРАХМАЛА, БЕЗ СОДЕРЖАНИЯ МОЛОЧНЫХ ПРОДУКТОВ, В АССОРTИМЕНТЕ:</t>
  </si>
  <si>
    <t>10131010/151223/3410761</t>
  </si>
  <si>
    <t>3410761</t>
  </si>
  <si>
    <t>10013160/150223/3071305</t>
  </si>
  <si>
    <t>10013160</t>
  </si>
  <si>
    <t>3071305</t>
  </si>
  <si>
    <t>1831, , DIEGEM, LEONARDO DA VINCILAAN 19,</t>
  </si>
  <si>
    <t>115230, , Г. МОСКВА, ВАРШАВСКОЕ ШОССЕ Д.42, КОМНАТА 3134,</t>
  </si>
  <si>
    <t>10013/200111/10118/8</t>
  </si>
  <si>
    <t>МОСКОВСКАЯ ОБЛ., ОДИНЦОВСКИЙ Р-Н</t>
  </si>
  <si>
    <t>С. АКУЛОВО (Г.П. ОДИНЦОВО)</t>
  </si>
  <si>
    <t>УЛ. НОВАЯ, Д. 137</t>
  </si>
  <si>
    <t>10013010 т/п Акуловский</t>
  </si>
  <si>
    <t>КОРМ СУХОЙ ПОЛНОРАЦИОННЫЙ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ПРОДУКТОВ:</t>
  </si>
  <si>
    <t>0952-22-875</t>
  </si>
  <si>
    <t>СНОПКОВ ДМИТРИЙ СЕРГЕЕВИЧ</t>
  </si>
  <si>
    <t>КОРМ СУХОЙ ПОЛНОРАЦИОННЫЙ ДЛЯ СОБАК ИЛИ КОШЕК, РАСФАСОВАННЫЙ, СОДЕРЖАЩИЙ БОЛЕЕ 10 МАС.%,НО НЕ БОЛЕЕ 30 МАС.% КРАХМАЛА, НЕ СОДЕРЖАЩИЙ МОЛОЧНЫХ ПРОДУКТОВ ИЛИ СОДЕРЖАЩИЙ МЕНЕЕ 10 МАС.% ТАКИХ ПРОДУКТОВ:</t>
  </si>
  <si>
    <t>2</t>
  </si>
  <si>
    <t>2309103100</t>
  </si>
  <si>
    <t>10131010/160223/3055831</t>
  </si>
  <si>
    <t>3055831</t>
  </si>
  <si>
    <t>10131010/191223/3415086</t>
  </si>
  <si>
    <t>3415086</t>
  </si>
  <si>
    <t>10131010/151223/3411227</t>
  </si>
  <si>
    <t>3411227</t>
  </si>
  <si>
    <t>10131010/160223/3056614</t>
  </si>
  <si>
    <t>3056614</t>
  </si>
  <si>
    <t>10131010/160223/3055811</t>
  </si>
  <si>
    <t>3055811</t>
  </si>
  <si>
    <t>10131010/160223/3055806</t>
  </si>
  <si>
    <t>3055806</t>
  </si>
  <si>
    <t>10013160/170223/3074924</t>
  </si>
  <si>
    <t>3074924</t>
  </si>
  <si>
    <t>КОРМ СУХОЙ ДЛЯ КОШЕК, РАСФАСОВАННЫЙ, СОДЕРЖАЩИЙ БОЛЕЕ 10 МАС.%,НО НЕ БОЛЕЕ 30 МАС.% КРАХМАЛА, НЕ СОДЕРЖАЩИЙ МОЛОЧНЫХ ПРОДУКТОВ ИЛИ СОДЕРЖАЩИЙ МЕНЕЕ 10 МАС.% ТАКИХ ПРОДУКTОВ</t>
  </si>
  <si>
    <t>СКУДАРЕВ АЛЕКСАНДР ВЛАДИМИРОВИЧ</t>
  </si>
  <si>
    <t>10131010/181223/3412864</t>
  </si>
  <si>
    <t>3412864</t>
  </si>
  <si>
    <t>КОРМ ДЛЯ СОБАК, РАСФАСОВАННЫЙ ДЛЯ РОЗНИЧНОЙ ПРОДАЖИ, БЕЗ СОДЕРЖАНИЯ КРАХМАЛА, БЕЗ СОДЕРЖАНИЯ МОЛОЧНЫХ ПРОДУКТОВ,БЕЗ СОДЕРЖАНИЯ ГМО, В АССОРТИМЕНТЕ:</t>
  </si>
  <si>
    <t>10131010/151223/3411324</t>
  </si>
  <si>
    <t>3411324</t>
  </si>
  <si>
    <t>10131010/151223/3411231</t>
  </si>
  <si>
    <t>3411231</t>
  </si>
  <si>
    <t>КОРМ СУХОЙ ДЛЯ СОБАК ИЛИ КОШЕК, РАСФАСОВАННЫЙ, НЕ СОДЕРЖАЩИЙ КРАХМАЛ, ИЛИ СОДEРЖАЩИЙ 10 МАС.% ИЛИ МЕНЕЕ КРАХМАЛА, НЕ СОДЕРЖАЩИЙ МОЛОЧНЫХ ПРОДУКТОВ ИЛИ СОДЕРЖАЩИЙ МЕНЕЕ 10 МАС.% МОЛОЧНЫХ ПРОДУКТОВ</t>
  </si>
  <si>
    <t>10131010/170223/3057234</t>
  </si>
  <si>
    <t>3057234</t>
  </si>
  <si>
    <t>10131010/170223/3057721</t>
  </si>
  <si>
    <t>3057721</t>
  </si>
  <si>
    <t>10131010/181223/3413636</t>
  </si>
  <si>
    <t>3413636</t>
  </si>
  <si>
    <t>10131010/200223/3059675</t>
  </si>
  <si>
    <t>3059675</t>
  </si>
  <si>
    <t>КОРМ ДЛЯ СОБАK И КОШЕК, РАСФАСОВАННЫЙ ДЛЯ РОЗНИЧНОЙ ПРОДАЖИ, БЕЗ СОДЕРЖАНИЯ КРАХМАЛА, БЕЗ СОДЕРЖАНИЯ МОЛОЧНЫХ ПРОДУКТОВ,БЕЗ СОДЕРЖАНИЯ ГМО, В АССОРТИМЕНТЕ:</t>
  </si>
  <si>
    <t>10013160/200223/3078871</t>
  </si>
  <si>
    <t>3078871</t>
  </si>
  <si>
    <t>1831, MACHELEN, DIEGEM, LEONARDO DA VINCILAAN 19- MC SQUARE,</t>
  </si>
  <si>
    <t>КОРМ ДЛЯ СОБАК ИЛИ КОШЕК, РАСФАСОВАННЫЙ, НЕ СОДЕРЖАЩИЙ КРАХМАЛ, ИЛИ СОДЕРЖАЩИЙ 10 МАС.% ИЛИ МЕНЕЕ КРАХМAЛА, НЕ СОДЕРЖАЩИЙ МОЛОЧНЫХ ПРОДУКТОВ ИЛИ СОДЕРЖАЩИЙ МЕНЕЕ 10 МАС.% МОЛОЧНЫХ ПРОДУКТОВ:</t>
  </si>
  <si>
    <t>СВЕТЧИКОВА АНАСТАСИЯ АНДРЕЕВНА</t>
  </si>
  <si>
    <t>КОРМ ДЛЯ СОБАК ИЛИ КОШЕК, РАСФАСОВАННЫЙ, СОДЕРЖАЩИЙ БОЛЕЕ 10 МАС.%,НО НЕ БОЛЕЕ 30 МАС,% КРАХМАЛА, НЕ СОДЕРЖАЩИЙ МОЛОЧНЫХ ПРОДУКТОВ ИЛИ СОДЕРЖАЩИЙ МЕНЕЕ 10 МАС.% ТАКИХ ПРОДУКТОВ:</t>
  </si>
  <si>
    <t>10131010/210223/3062783</t>
  </si>
  <si>
    <t>3062783</t>
  </si>
  <si>
    <t>10131010/210223/3062327</t>
  </si>
  <si>
    <t>3062327</t>
  </si>
  <si>
    <t>КОРМ ДЛЯ СОБАК И КОШЕК, РАСФАСОВАННЫЙ ДЛЯ РОЗНИЧНОЙ ПРОДАЖИ, БЕЗ СОДЕРЖАНИЯ КРАХМАЛА, БЕЗ СОДЕРЖАНИЯ МОЛОЧНЫХ ПРОДУКТOВ,БЕЗ СОДЕРЖАНИЯ ГМО, В АССОРТИМЕНТЕ:</t>
  </si>
  <si>
    <t>10131010/210223/3062758</t>
  </si>
  <si>
    <t>3062758</t>
  </si>
  <si>
    <t>10131010/220223/3064898</t>
  </si>
  <si>
    <t>3064898</t>
  </si>
  <si>
    <t>10131010/220223/3063374</t>
  </si>
  <si>
    <t>3063374</t>
  </si>
  <si>
    <t>10131010/220223/3063792</t>
  </si>
  <si>
    <t>3063792</t>
  </si>
  <si>
    <t>КОРМ ДЛЯ СОБАК И КОШЕК,РАСФАСОВАННЫЙ ДЛЯ РОЗНИЧНОЙ ПРОДАЖИ,БЕЗ СОДЕРЖАНИЯ КРАХМАЛА,БЕЗ СОДЕРЖАНИЯ МОЛОЧНЫХ ПРОДУКТОВ,БЕЗ СОДЕРЖАНИЯ ГМО,В АССОРТИМЕНТЕ</t>
  </si>
  <si>
    <t>10131010/220223/3064708</t>
  </si>
  <si>
    <t>3064708</t>
  </si>
  <si>
    <t>КОРМ ДЛЯ СОБАК И КОШЕК, РАСФАСОВАННЫЙ ДЛЯ РОЗНИЧНОЙ ПРОДАЖИ, БЕЗ СОДЕРЖАНИЯ КРАХMАЛА, БЕЗ СОДЕРЖАНИЯ МОЛОЧНЫХ ПРОДУКТОВ, В АССОРТИМЕНТЕ:</t>
  </si>
  <si>
    <t>10131010/181223/3413190</t>
  </si>
  <si>
    <t>3413190</t>
  </si>
  <si>
    <t>10131010/270223/3067013</t>
  </si>
  <si>
    <t>3067013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</si>
  <si>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АССОРТИМЕНTЕ</t>
  </si>
  <si>
    <t>10131010/270223/3067833</t>
  </si>
  <si>
    <t>3067833</t>
  </si>
  <si>
    <t>10131010/270223/3068244</t>
  </si>
  <si>
    <t>3068244</t>
  </si>
  <si>
    <t>КОРМ ДЛЯ СОБАК И КОШЕК, РАСФАСОВАННЫЙ ДЛЯ РОЗНИЧНОЙ ПРОДАЖИ, БЕЗ СОДЕРЖАНИЯ КРАХМАЛА, БЕЗ СОДЕРЖАНИЯ МОЛОЧНЫХ ПРОДУКТОВ;БЕЗ СОДЕРЖАНИЯ ГМО, В АССОРТИМЕНТЕ</t>
  </si>
  <si>
    <t>10131010/270223/3067550</t>
  </si>
  <si>
    <t>3067550</t>
  </si>
  <si>
    <t>КОРМ ДЛЯ СОБАК И КОШЕК, РАСФАСОВАННЫЙ ДЛЯ РОЗНИЧНОЙ ПPОДАЖИ, БЕЗ СОДЕРЖАНИЯ КРАХМАЛА, БЕЗ СОДЕРЖАНИЯ МОЛОЧНЫХ ПРОДУКТОВ, В АССОРТИМЕНТЕ:</t>
  </si>
  <si>
    <t>10131010/191223/3414767</t>
  </si>
  <si>
    <t>3414767</t>
  </si>
  <si>
    <t>10131010/270223/3068131</t>
  </si>
  <si>
    <t>3068131</t>
  </si>
  <si>
    <t>10131010/270223/3067029</t>
  </si>
  <si>
    <t>3067029</t>
  </si>
  <si>
    <t>10131010/270223/3067930</t>
  </si>
  <si>
    <t>3067930</t>
  </si>
  <si>
    <t>КОРМ ДЛЯ СОБАК И КОШЕК, РАСФАСОВАННЫЙ ДЛЯ РОЗНИЧНОЙ ПРОДАЖИ, БЕЗ СОДЕРЖАНИЯ КРАХМАЛА; БЕЗ СОДЕРЖАНИЯ МОЛОЧНЫХ ПРОДУКТОВ,БЕЗ СОДЕРЖАНИЯ ГМО, В АССОРТИМЕНТЕ</t>
  </si>
  <si>
    <t>10013160/270223/3089072</t>
  </si>
  <si>
    <t>3089072</t>
  </si>
  <si>
    <t>КОРМ СУХОЙ ПОЛНОРАЦИОННЫЙ ДЛЯ СОБАК ИЛИ КОШЕК, РАСФАСОВАННЫЙ, НЕ СОДЕРЖАЩИЙ КРАХМАЛ, ИЛИ СОДЕРЖАЩИЙ 10 МАС.% ИЛИ МЕНЕЕ КРАХМАЛА, НЕ СОДЕРЖАЩИЙ МОЛОЧНЫХ ПРОДУКTОВ ИЛИ СОДЕРЖАЩИЙ МЕНЕЕ 10 МАС.% МОЛОЧНЫХ ПРОДУКТОВ:</t>
  </si>
  <si>
    <t>10131010/181223/3413632</t>
  </si>
  <si>
    <t>3413632</t>
  </si>
  <si>
    <t>10131010/270223/3066945</t>
  </si>
  <si>
    <t>3066945</t>
  </si>
  <si>
    <t>10131010/270223/3068314</t>
  </si>
  <si>
    <t>3068314</t>
  </si>
  <si>
    <t>КОРМ ДЛЯ СOБАК И КОШЕК, РАСФАСОВАННЫЙ ДЛЯ РОЗНИЧНОЙ ПРОДАЖИ, БЕЗ СОДЕРЖАНИЯ КРАХМАЛА, БЕЗ СОДЕРЖАНИЯ МОЛОЧНЫХ ПРОДУКТОВ, В АССОРТИМЕНТЕ:</t>
  </si>
  <si>
    <t>10131010/181223/3413511</t>
  </si>
  <si>
    <t>3413511</t>
  </si>
  <si>
    <t>10131010/181223/3413509</t>
  </si>
  <si>
    <t>3413509</t>
  </si>
  <si>
    <t>10131010/270223/3067051</t>
  </si>
  <si>
    <t>3067051</t>
  </si>
  <si>
    <t>КОРМ ДЛЯ СОБАК,РАСФАСОВАННЫЙ ДЛЯ РОЗНИЧНОЙ ПРОДАЖИ,БЕЗ СОДЕРЖАНИЯ КРАХМАЛА,БЕЗ СОДЕРЖАНИЯ МОЛОЧНЫХ ПРОДУКТОВ,БЕЗ СОДЕРЖАНИЯ ГМО,В АССОРТИМЕНТЕ</t>
  </si>
  <si>
    <t>10131010/270223/3067658</t>
  </si>
  <si>
    <t>3067658</t>
  </si>
  <si>
    <t>КОРМ ДЛЯ СОБАК И КОШЕК, РАСФАСОВАННЫЙ ДЛЯ РОЗНИЧНОЙ ПРОДАЖИ, БЕЗ СОДЕРЖАНИЯ КРАХМАЛА, БЕЗ СОДЕРЖАНИЯ МОЛОЧНЫХ ПРОДУКТОВ, В АССОРТИMЕНТЕ</t>
  </si>
  <si>
    <t>10131010/270223/3067017</t>
  </si>
  <si>
    <t>3067017</t>
  </si>
  <si>
    <t>10131010/230323/5002151</t>
  </si>
  <si>
    <t>5002151</t>
  </si>
  <si>
    <t>КОРМ ДЛЯ СОБАК И КОШЕК, РАСФАСОВАННЫЙ ДЛЯ РОЗНИЧНОЙ ПРОДАЖИ, БЕЗ СОДЕРЖАНИЯ КРАXМАЛА, БЕЗ СОДЕРЖАНИЯ МОЛОЧНЫХ ПРОДУКТОВ, В АССОРТИМЕНТЕ:</t>
  </si>
  <si>
    <t>10131010/220323/3099965</t>
  </si>
  <si>
    <t>3099965</t>
  </si>
  <si>
    <t>10131010/181223/3412816</t>
  </si>
  <si>
    <t>3412816</t>
  </si>
  <si>
    <t>10131010/230323/3100642</t>
  </si>
  <si>
    <t>3100642</t>
  </si>
  <si>
    <t>КОРМ ДЛЯ СОБАК И КОШЕК, РАСФАСОВАННЫЙ ДЛЯ РОЗНИЧHОЙ ПРОДАЖИ, БЕЗ СОДЕРЖАНИЯ КРАХМАЛА, БЕЗ СОДЕРЖАНИЯ МОЛОЧНЫХ ПРОДУКТОВ, В АССОРТИМЕНТЕ</t>
  </si>
  <si>
    <t>10131010/230323/3100510</t>
  </si>
  <si>
    <t>3100510</t>
  </si>
  <si>
    <t>10131010/230323/3101680</t>
  </si>
  <si>
    <t>3101680</t>
  </si>
  <si>
    <t>10131010/181223/3412954</t>
  </si>
  <si>
    <t>3412954</t>
  </si>
  <si>
    <t>10131010/240323/3102394</t>
  </si>
  <si>
    <t>3102394</t>
  </si>
  <si>
    <t>КОРМ ДЛЯ СОБАК И КОШЕК, РАСФАСОВАННЫЙ ДЛЯ РОЗНИЧНОЙ ПРОДАЖИ, БЕЗ СОДЕРЖАНИЯ КРАХМАЛА, БЕЗ СОДЕРЖАНИЯ МОЛОЧНЫХ ПРОДУКТОВ,БЕЗ CОДЕРЖАНИЯ ГМО, В АССОРТИМЕНТЕ</t>
  </si>
  <si>
    <t>10131010/240323/3102365</t>
  </si>
  <si>
    <t>3102365</t>
  </si>
  <si>
    <t>КОРМ ДЛЯ СОБАК И КОШЕК, РАСФАСОВАННЫЙ ДЛЯ РОЗНИЧНОЙ ПРОДАЖИ, БЕЗ СОДЕРЖАНИЯ КРАХМАЛА, БЕЗ СОДЕРЖАНИЯ МОЛОЧНЫХ ПРОДУКТОВ; В АССОРТИМЕНТЕ:</t>
  </si>
  <si>
    <t>10131010/270323/3105864</t>
  </si>
  <si>
    <t>3105864</t>
  </si>
  <si>
    <t>СЕВЕРНАЯ ПРОМЗОНА, ВЛАД. 6,,,.</t>
  </si>
  <si>
    <t>КОРМ ДЛЯ СОБАК И КОШЕК, PАСФАСОВАННЫЙ ДЛЯ РОЗНИЧНОЙ ПРОДАЖИ, БЕЗ СОДЕРЖАНИЯ КРАХМАЛА, БЕЗ СОДЕРЖАНИЯ МОЛОЧНЫХ ПРОДУКТОВ,БЕЗ СОДЕРЖАНИЯ ГМО, В АССОРТИМЕНТЕ:</t>
  </si>
  <si>
    <t>10131010/270323/3104737</t>
  </si>
  <si>
    <t>3104737</t>
  </si>
  <si>
    <t>СЕВЕРНАЯ ПРОМЗОНА, ВЛД. 6,,,.</t>
  </si>
  <si>
    <t>10131010/111223/3405854</t>
  </si>
  <si>
    <t>3405854</t>
  </si>
  <si>
    <t>БЛАГОНРАВОВА</t>
  </si>
  <si>
    <t>10012020/270323/3019080</t>
  </si>
  <si>
    <t>10012020</t>
  </si>
  <si>
    <t>3019080</t>
  </si>
  <si>
    <t>70</t>
  </si>
  <si>
    <t>BK N.V.</t>
  </si>
  <si>
    <t>B-3012, , WILSELE, AARSCHOTSESTEENWEG 26,</t>
  </si>
  <si>
    <t>OOO TRIBUTE</t>
  </si>
  <si>
    <t>220069, , MINSK, DEKABRISTOV STREET 5/1-14,</t>
  </si>
  <si>
    <t>1203900013855</t>
  </si>
  <si>
    <t>3917054186</t>
  </si>
  <si>
    <t>ООО "ПЕТ ПЛЮС"</t>
  </si>
  <si>
    <t>238522, КАЛИНИНГРАДСКАЯ ОБЛ.ГУРЬЕВСКИЙ РАЙОН, ПОС. ЛАСКИНО, УЛ. ПОЛЕВАЯ Д.18А,</t>
  </si>
  <si>
    <t>27000</t>
  </si>
  <si>
    <t>391701001</t>
  </si>
  <si>
    <t>WILSELE</t>
  </si>
  <si>
    <t>014</t>
  </si>
  <si>
    <t>30</t>
  </si>
  <si>
    <t>23020007/0436/0028/9/1</t>
  </si>
  <si>
    <t>10012/200711/10044/3</t>
  </si>
  <si>
    <t>КАЛИНИНГРАДСКАЯ ОБЛ.</t>
  </si>
  <si>
    <t>Г.БАГРАТИОНОВСК</t>
  </si>
  <si>
    <t>УЛ.КОММУНАЛЬНАЯ,4,,,.</t>
  </si>
  <si>
    <t>10012010 т/п Багратионовский</t>
  </si>
  <si>
    <t>ОО-----</t>
  </si>
  <si>
    <t>ФКД/210</t>
  </si>
  <si>
    <t>ВЫРЖЕМКОВСКИЙ ВЛАДИСЛАВ ЦЕЗАРЕВИЧ</t>
  </si>
  <si>
    <t>10131010/121223/3407315</t>
  </si>
  <si>
    <t>3407315</t>
  </si>
  <si>
    <t>2309105100</t>
  </si>
  <si>
    <t>10131010/270323/3105025</t>
  </si>
  <si>
    <t>3105025</t>
  </si>
  <si>
    <t>КОРМ ДЛЯ СОБАК И КОШЕК, РАСФАСОВАННЫЙ ДЛЯ РОЗНИЧНОЙ ПРОДАЖИ, БЕЗ СОДЕРЖАНИЯ КРAХМАЛА, БЕЗ СОДЕРЖАНИЯ МОЛОЧНЫХ ПРОДУКТОВ, В АССОРТИМЕНТЕ</t>
  </si>
  <si>
    <t>10131010/141223/3409758</t>
  </si>
  <si>
    <t>3409758</t>
  </si>
  <si>
    <t>10131010/010323/3070634</t>
  </si>
  <si>
    <t>3070634</t>
  </si>
  <si>
    <t>10131010/010323/3069996</t>
  </si>
  <si>
    <t>3069996</t>
  </si>
  <si>
    <t>10131010/111223/3405860</t>
  </si>
  <si>
    <t>3405860</t>
  </si>
  <si>
    <t>10131010/141223/3409763</t>
  </si>
  <si>
    <t>3409763</t>
  </si>
  <si>
    <t>КОРМ ДЛЯ СОБАК И КОШЕК, РАСФАСОВАННЫЙ ДЛЯ РОЗНИЧНОЙ ПРОДАЖИ, БЕЗ СОДЕРЖАНИЯ КРАХМАЛА, БЕЗ СОДЕРЖАНИЯ МОЛОЧНЫХ ПРОДУКТОВ, В АССОРТИМЕНТЕ:СЬ.ДОПОЛНЕНИЕ</t>
  </si>
  <si>
    <t>10131010/010323/3070177</t>
  </si>
  <si>
    <t>3070177</t>
  </si>
  <si>
    <t>КОРМ ДЛЯ СОБАК И КОШЕК, РАСФАСОВАННЫЙ ДЛЯ РОЗНИЧНОЙ ПРОДАЖИ, БЕЗ СОДЕРЖАНИЯ КРАXМАЛА, БЕЗ СОДЕРЖАНИЯ МОЛОЧНЫХ ПРОДУКТОВ,БЕЗ СОДЕРЖАНИЯ ГМО, В АССОРТИМЕНТЕ:</t>
  </si>
  <si>
    <t>10131010/131223/3408436</t>
  </si>
  <si>
    <t>3408436</t>
  </si>
  <si>
    <t>10131010/121223/3407255</t>
  </si>
  <si>
    <t>3407255</t>
  </si>
  <si>
    <t>10131010/010323/3071313</t>
  </si>
  <si>
    <t>3071313</t>
  </si>
  <si>
    <t>10131010/010323/3071812</t>
  </si>
  <si>
    <t>3071812</t>
  </si>
  <si>
    <t>10131010/111223/3405004</t>
  </si>
  <si>
    <t>3405004</t>
  </si>
  <si>
    <t>10131010/010323/3070083</t>
  </si>
  <si>
    <t>3070083</t>
  </si>
  <si>
    <t>10131010/010323/3070790</t>
  </si>
  <si>
    <t>3070790</t>
  </si>
  <si>
    <t>10013160/020323/3096046</t>
  </si>
  <si>
    <t>3096046</t>
  </si>
  <si>
    <t>ДИЖЕНИНА ЕКАТЕРИНА ВЛАДИМИРОВНА</t>
  </si>
  <si>
    <t>КОРМ СУХОЙ ПОЛНОРАЦИОННЫЙ ДЛЯ СОБАК ИЛИ КОШЕК, РАСФАСОВАННЫЙ, HЕ СОДЕРЖАЩИЙ КРАХМАЛ, ИЛИ СОДЕРЖАЩИЙ 10 МАС.% ИЛИ МЕНЕЕ КРАХМАЛА, НЕ СОДЕРЖАЩИЙ МОЛОЧНЫХ ПРОДУКТОВ ИЛИ СОДЕРЖАЩИЙ МЕНЕЕ 10 МАС.% МОЛОЧНЫХ ПРОДУКТОВ:</t>
  </si>
  <si>
    <t>10131010/020323/3072764</t>
  </si>
  <si>
    <t>3072764</t>
  </si>
  <si>
    <t>10131010/020323/3072785</t>
  </si>
  <si>
    <t>3072785</t>
  </si>
  <si>
    <t>КОРМ ДЛЯ СОБАК, РАСФАСОВАННЫЙ ДЛЯ РОЗНИЧНOЙ ПРОДАЖИ, БЕЗ СОДЕРЖАНИЯ КРАХМАЛА, БЕЗ СОДЕРЖАНИЯ МОЛОЧНЫХ ПРОДУКТОВ,БЕЗ СОДЕРЖАНИЯ ГМО, В АССОРТИМЕНТЕ</t>
  </si>
  <si>
    <t>10013160/030323/3097540</t>
  </si>
  <si>
    <t>3097540</t>
  </si>
  <si>
    <t>GHENT (BE)</t>
  </si>
  <si>
    <t>КОРМ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МАС,% МОЛОЧНЫХ ПРОДУКТОВ:</t>
  </si>
  <si>
    <t>10131010/111223/3404642</t>
  </si>
  <si>
    <t>3404642</t>
  </si>
  <si>
    <t>КОРМ ДЛЯ СОБАК ИЛИ КОШЕК, РАСФАСОВАННЫЙ, СОДЕРЖАЩИЙ БОЛЕЕ 10 МАС.%,НО НЕ БОЛЕЕ 30 МАС.% КРАХМАЛА, НЕ СОДЕРЖАЩИЙ МОЛОЧНЫХ ПРОДУКТОВ ИЛИ СОДЕРЖАЩИЙ МEНЕЕ 10 МАС.% ТАКИХ ПРОДУКТОВ:</t>
  </si>
  <si>
    <t>10131010/030323/3074323</t>
  </si>
  <si>
    <t>3074323</t>
  </si>
  <si>
    <t>10131010/030323/3074923</t>
  </si>
  <si>
    <t>3074923</t>
  </si>
  <si>
    <t>КОРМ ДЛЯ СОБАК И КОШЕК, РАСФАСОBАННЫЙ ДЛЯ РОЗНИЧНОЙ ПРОДАЖИ, БЕЗ СОДЕРЖАНИЯ КРАХМАЛА, БЕЗ СОДЕРЖАНИЯ МОЛОЧНЫХ ПРОДУКТОВ, В АССОРТИМЕНТЕ:</t>
  </si>
  <si>
    <t>10131010/030323/3074212</t>
  </si>
  <si>
    <t>3074212</t>
  </si>
  <si>
    <t>КОРМ ДЛЯ СОБАК И КОШЕК, РАСФАСОВАННЫЙ ДЛЯ PОЗНИЧНОЙ ПРОДАЖИ, БЕЗ СОДЕРЖАНИЯ КРАХМАЛА, БЕЗ СОДЕРЖАНИЯ МОЛОЧНЫХ ПРОДУКТОВ,БЕЗ СОДЕРЖАНИЯ ГМО, В АССОРТИМЕНТЕ</t>
  </si>
  <si>
    <t>10131010/030323/3074925</t>
  </si>
  <si>
    <t>3074925</t>
  </si>
  <si>
    <t>10131010/111223/3404678</t>
  </si>
  <si>
    <t>3404678</t>
  </si>
  <si>
    <t>10013160/060323/3101454</t>
  </si>
  <si>
    <t>3101454</t>
  </si>
  <si>
    <t>1831, MACHELEN, DIEGEM, LEONARDO DA VINCILAAN 19,</t>
  </si>
  <si>
    <t>КОРМ СУХОЙ ДЛЯ КОШЕК, РАСФАСОBАННЫЙ, СОДЕРЖАЩИЙ БОЛЕЕ 10 МАС.%,НО НЕ БОЛЕЕ 30 МАС.% КРАХМАЛА, НЕ СОДЕРЖАЩИЙ МОЛОЧНЫХ ПРОДУКТОВ ИЛИ СОДЕРЖАЩИЙ МЕНЕЕ 10 МАС.% ТАКИХ ПРОДУКТОВ</t>
  </si>
  <si>
    <t>КОРМ СУХОЙ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</t>
  </si>
  <si>
    <t>10131010/060323/3077156</t>
  </si>
  <si>
    <t>3077156</t>
  </si>
  <si>
    <t>10131010/060323/3076888</t>
  </si>
  <si>
    <t>3076888</t>
  </si>
  <si>
    <t>10131010/060323/3077150</t>
  </si>
  <si>
    <t>3077150</t>
  </si>
  <si>
    <t>КОРМ ДЛЯ СОБАK И КОШЕК, РАСФАСОВАННЫЙ ДЛЯ РОЗНИЧНОЙ ПРОДАЖИ, БЕЗ СОДЕРЖАНИЯ КРАХМАЛА, БЕЗ СОДЕРЖАНИЯ МОЛОЧНЫХ ПРОДУКТОВ, В АССОРТИМЕНТЕ:</t>
  </si>
  <si>
    <t>10131010/111223/3404617</t>
  </si>
  <si>
    <t>3404617</t>
  </si>
  <si>
    <t>10131010/060323/3076903</t>
  </si>
  <si>
    <t>3076903</t>
  </si>
  <si>
    <t>КОРМ ДЛЯ СОБАК И КОШЕК, РАСФАСОВАННЫЙ ДЛЯ РОЗНИЧНОЙ ПРОДАЖИ, БЕЗ СОДЕРЖАНИЯ КРАХМАЛА, БЕЗ СОДЕРЖАНИЯ МОЛOЧНЫХ ПРОДУКТОВ,БЕЗ СОДЕРЖАНИЯ ГМО, В АССОРТИМЕНТЕ</t>
  </si>
  <si>
    <t>10131010/060323/3076890</t>
  </si>
  <si>
    <t>3076890</t>
  </si>
  <si>
    <t>10131010/141223/3410154</t>
  </si>
  <si>
    <t>3410154</t>
  </si>
  <si>
    <t>10131010/070323/3079713</t>
  </si>
  <si>
    <t>3079713</t>
  </si>
  <si>
    <t>КОРМ ДЛЯ СОБАК И КОШЕК, РАСФАСОВАННЫЙ ДЛЯ РOЗНИЧНОЙ ПРОДАЖИ, БЕЗ СОДЕРЖАНИЯ КРАХМАЛА, БЕЗ СОДЕРЖАНИЯ МОЛОЧНЫХ ПРОДУКТОВ,БЕЗ СОДЕРЖАНИЯ ГМО, В АССОРТИМЕНТЕ</t>
  </si>
  <si>
    <t>10131010/111223/3404984</t>
  </si>
  <si>
    <t>3404984</t>
  </si>
  <si>
    <t>10131010/070323/3079128</t>
  </si>
  <si>
    <t>3079128</t>
  </si>
  <si>
    <t>10131010/111223/3404613</t>
  </si>
  <si>
    <t>3404613</t>
  </si>
  <si>
    <t>10131010/070323/3079706</t>
  </si>
  <si>
    <t>3079706</t>
  </si>
  <si>
    <t>10131010/111223/3405852</t>
  </si>
  <si>
    <t>3405852</t>
  </si>
  <si>
    <t>10131010/070323/3079149</t>
  </si>
  <si>
    <t>3079149</t>
  </si>
  <si>
    <t>10131010/080323/3080534</t>
  </si>
  <si>
    <t>3080534</t>
  </si>
  <si>
    <t>10131010/111223/3405844</t>
  </si>
  <si>
    <t>3405844</t>
  </si>
  <si>
    <t>10131010/080323/3080651</t>
  </si>
  <si>
    <t>3080651</t>
  </si>
  <si>
    <t>КОРМ ДЛЯ СОБАК И КОШЕК, РАСФАСОВАННЫЙ ДЛЯ РОЗНИЧНОЙ ПРОДАЖИ, БЕЗ СОДЕРЖАНИЯ КРАХМАЛА, БЕЗ СОДEРЖАНИЯ МОЛОЧНЫХ ПРОДУКТОВ, В АССОРТИМЕНТЕ:</t>
  </si>
  <si>
    <t>10131010/080323/3080689</t>
  </si>
  <si>
    <t>3080689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</si>
  <si>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АССОРТИМЕHТЕ</t>
  </si>
  <si>
    <t>10131010/080323/3080643</t>
  </si>
  <si>
    <t>3080643</t>
  </si>
  <si>
    <t>10131010/080323/3080636</t>
  </si>
  <si>
    <t>3080636</t>
  </si>
  <si>
    <t>КОРМ ДЛЯ СОБАК И КОШЕК, PАСФАСОВАННЫЙ ДЛЯ РОЗНИЧНОЙ ПРОДАЖИ, БЕЗ СОДЕРЖАНИЯ КРАХМАЛА, БЕЗ СОДЕРЖАНИЯ МОЛОЧНЫХ ПРОДУКТОВ,БЕЗ СОДЕРЖАНИЯ ГМО, В АССОРТИМЕНТЕ</t>
  </si>
  <si>
    <t>10131010/090323/3081197</t>
  </si>
  <si>
    <t>3081197</t>
  </si>
  <si>
    <t>10131010/090323/3081773</t>
  </si>
  <si>
    <t>3081773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</si>
  <si>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AССОРТИМЕНТЕ</t>
  </si>
  <si>
    <t>10131010/090323/3081775</t>
  </si>
  <si>
    <t>3081775</t>
  </si>
  <si>
    <t>10131010/100323/3083878</t>
  </si>
  <si>
    <t>3083878</t>
  </si>
  <si>
    <t>КОРМ ДЛЯ СОБАК И КОШЕК, РАСФАСОВАННЫЙ ДЛЯ РОЗНИЧНОЙ ПРОДАЖИ, БЕЗ СОДЕРЖАНИЯ КРАХМАЛА, БЕЗ СОДЕРЖАНИЯ МОЛОЧНЫХ ПРOДУКТОВ, В АССОРТИМЕНТЕ</t>
  </si>
  <si>
    <t>10131010/100323/3083523</t>
  </si>
  <si>
    <t>3083523</t>
  </si>
  <si>
    <t>10131010/141223/3410155</t>
  </si>
  <si>
    <t>3410155</t>
  </si>
  <si>
    <t>10131010/111223/3405842</t>
  </si>
  <si>
    <t>3405842</t>
  </si>
  <si>
    <t>10131010/061223/3400775</t>
  </si>
  <si>
    <t>3400775</t>
  </si>
  <si>
    <t>10131010/100323/3083923</t>
  </si>
  <si>
    <t>3083923</t>
  </si>
  <si>
    <t>10131010/280323/3107639</t>
  </si>
  <si>
    <t>3107639</t>
  </si>
  <si>
    <t>КОРМ ДЛЯ СОБАК И КОШЕК, РАСФАСОВАННЫЙ ДЛЯ РОЗНИЧНОЙ ПРОДАЖИ, БЕЗ СОДЕРЖАНИЯ КРАXМАЛА, БЕЗ СОДЕРЖАНИЯ МОЛОЧНЫХ ПРОДУКТОВ, В АССОРТИМЕНТЕ</t>
  </si>
  <si>
    <t>10131010/290323/3109717</t>
  </si>
  <si>
    <t>3109717</t>
  </si>
  <si>
    <t>КОРМ ДЛЯ СОБАК И КОШЕК, РАСФАСОВАННЫЙ ДЛЯ РОЗНИЧНОЙ ПРОДАЖИ, БЕЗ СОДЕРЖАНИЯ КРАХМАЛА, БЕЗ СОДЕРЖАНИЯ МОЛОЧНЫХ ПРОДУКТОВ, В АСCОРТИМЕНТЕ:</t>
  </si>
  <si>
    <t>10131010/300323/3111138</t>
  </si>
  <si>
    <t>3111138</t>
  </si>
  <si>
    <t>КОРМ ДЛЯ СОБАК, РАСФАСОВАННЫЙ ДЛЯ РОЗНИЧНОЙ ПРОДАЖИ, БЕЗ СОДЕРЖАНИЯ КРАХМАЛА; БЕЗ СОДЕРЖАНИЯ МОЛОЧНЫХ ПРОДУКТОВ,БЕЗ СОДЕРЖАНИЯ ГМО, В АССОРТИМЕНТЕ:</t>
  </si>
  <si>
    <t>10013160/310323/3146842</t>
  </si>
  <si>
    <t>3146842</t>
  </si>
  <si>
    <t>10013/200111/10118/9</t>
  </si>
  <si>
    <t>С. АКУЛОВО</t>
  </si>
  <si>
    <t>УЛ. НОВАЯ, Д. 137,,,.</t>
  </si>
  <si>
    <t>КОРМ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ПРОДУКТОВ:</t>
  </si>
  <si>
    <t>КОРМ ДЛЯ СОБАК ИЛИ КОШЕК, РАСФАСОВАННЫЙ, СОДЕРЖАЩИЙ БОЛЕЕ 10 МАС.%,НО НЕ БОЛЕЕ 30 МАС.% КРАХМАЛА, НЕ СОДЕРЖАЩИЙ МОЛОЧНЫХ ПРОДУКТОВ ИЛИ СОДЕРЖАЩИЙ МЕНЕЕ 10 МАС.% ТАКИХ ПРОДУКТОВ:</t>
  </si>
  <si>
    <t>10131010/310323/3112890</t>
  </si>
  <si>
    <t>3112890</t>
  </si>
  <si>
    <t>10131010/310323/3112818</t>
  </si>
  <si>
    <t>3112818</t>
  </si>
  <si>
    <t>10131010/310323/3112725</t>
  </si>
  <si>
    <t>3112725</t>
  </si>
  <si>
    <t>КОРМ ДЛЯ СOБАК И КОШЕК, РАСФАСОВАННЫЙ ДЛЯ РОЗНИЧНОЙ ПРОДАЖИ, БЕЗ СОДЕРЖАНИЯ КРАХМАЛА, БЕЗ СОДЕРЖАНИЯ МОЛОЧНЫХ ПРОДУКТОВ,БЕЗ СОДЕРЖАНИЯ ГМО, В АССОРТИМЕНТЕ</t>
  </si>
  <si>
    <t>10131010/081223/3403533</t>
  </si>
  <si>
    <t>3403533</t>
  </si>
  <si>
    <t>10131010/130323/3085965</t>
  </si>
  <si>
    <t>3085965</t>
  </si>
  <si>
    <t>10131010/130323/3086205</t>
  </si>
  <si>
    <t>3086205</t>
  </si>
  <si>
    <t>10131010/130323/3087103</t>
  </si>
  <si>
    <t>3087103</t>
  </si>
  <si>
    <t>10131010/140323/3088938</t>
  </si>
  <si>
    <t>3088938</t>
  </si>
  <si>
    <t>КОРМ ДЛЯ СОБАК И КОШЕК, РАСФАСОВАННЫЙ ДЛЯ РОЗНИЧНОЙ ПРОДАЖИ, БЕЗ СОДЕРЖАНИЯ КРАХМАЛА, БЕЗ СОДЕРЖАНИЯ МОЛОЧНЫХ ПРОДУКТОВ, В АCСОРТИМЕНТЕ:</t>
  </si>
  <si>
    <t>10131010/051223/5048703</t>
  </si>
  <si>
    <t>5048703</t>
  </si>
  <si>
    <t>10131010/140323/3087737</t>
  </si>
  <si>
    <t>3087737</t>
  </si>
  <si>
    <t>КОРМ ДЛЯ СОБАК И КОШЕК, РАСФАСОВАННЫЙ ДЛЯ РОЗНИЧНОЙ ПРОДАЖИ, БЕЗ СОДЕРЖАНИЯ КРАХМАЛА, БЕЗ СОДЕРЖАНИЯ МОЛОЧНЫX ПРОДУКТОВ, В АССОРТИМЕНТЕ:</t>
  </si>
  <si>
    <t>10131010/140323/3088580</t>
  </si>
  <si>
    <t>3088580</t>
  </si>
  <si>
    <t>10131010/150323/3090643</t>
  </si>
  <si>
    <t>3090643</t>
  </si>
  <si>
    <t>10131010/150323/3089718</t>
  </si>
  <si>
    <t>3089718</t>
  </si>
  <si>
    <t>КОРМ ДЛЯ СОБАК И КОШЕК, РАСФАСОВАННЫЙ ДЛЯ РОЗНИЧНОЙ ПРОДАЖИ, БЕЗ СОДЕРЖАНИЯ КРАХМАЛА, БЕЗ СОДЕРЖАНИЯ МОЛОЧНЫХ ПРОДУКТOВ,БЕЗ СОДЕРЖАНИЯ ГМО, В АССОРТИМЕНТЕ</t>
  </si>
  <si>
    <t>10131010/150323/3089659</t>
  </si>
  <si>
    <t>3089659</t>
  </si>
  <si>
    <t>КОРМ ДЛЯ СОБАК И КОШЕК, РАСФАCОВАННЫЙ ДЛЯ РОЗНИЧНОЙ ПРОДАЖИ, БЕЗ СОДЕРЖАНИЯ КРАХМАЛА, БЕЗ СОДЕРЖАНИЯ МОЛОЧНЫХ ПРОДУКТОВ,БЕЗ СОДЕРЖАНИЯ ГМО, В АССОРТИМЕНТЕ</t>
  </si>
  <si>
    <t>10131010/160323/3092152</t>
  </si>
  <si>
    <t>3092152</t>
  </si>
  <si>
    <t>10131010/160323/3091107</t>
  </si>
  <si>
    <t>3091107</t>
  </si>
  <si>
    <t>10131010/160323/3091539</t>
  </si>
  <si>
    <t>3091539</t>
  </si>
  <si>
    <t>10131010/170323/3093116</t>
  </si>
  <si>
    <t>3093116</t>
  </si>
  <si>
    <t>КОРМ ДЛЯ СОБАК И КОШЕК, РАСФАСОBАННЫЙ ДЛЯ РОЗНИЧНОЙ ПРОДАЖИ, БЕЗ СОДЕРЖАНИЯ КРАХМАЛА, БЕЗ СОДЕРЖАНИЯ МОЛОЧНЫХ ПРОДУКТОВ, В АССОРТИМЕНТЕ</t>
  </si>
  <si>
    <t>10131010/170323/3092766</t>
  </si>
  <si>
    <t>3092766</t>
  </si>
  <si>
    <t>10131010/170323/3093155</t>
  </si>
  <si>
    <t>3093155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</si>
  <si>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АССОРТИMЕНТЕ:</t>
  </si>
  <si>
    <t>10131010/200323/3095726</t>
  </si>
  <si>
    <t>3095726</t>
  </si>
  <si>
    <t>9042, , GENT, DESTELDONK TERDONKKAAI 16,</t>
  </si>
  <si>
    <t>КОРМ ДЛЯ СОБАК И КОШЕК, РАСФАСОВАННЫЙ ДЛЯ РОЗНИЧНОЙ ПРОДАЖИ, БЕЗ СОДЕРЖАНИЯ КРАХМАЛА, БЕЗ СОДЕРЖАНИЯ MОЛОЧНЫХ ПРОДУКТОВ,БЕЗ СОДЕРЖАНИЯ ГМО, В АССОРТИМЕНТЕ:</t>
  </si>
  <si>
    <t>10131010/200323/3095765</t>
  </si>
  <si>
    <t>3095765</t>
  </si>
  <si>
    <t>10013160/200323/3126120</t>
  </si>
  <si>
    <t>3126120</t>
  </si>
  <si>
    <t>КОРМ ДЛЯ СОБАК ИЛИ КОШЕК, РАСФАСОВАННЫЙ, СОДЕРЖАЩИЙ БОЛЕЕ 10 МАС.%,НО НЕ БОЛЕЕ 30 МАС.% КРАХМАЛА, НЕ СОДЕРЖАЩИЙ МОЛОЧНЫХ ПРОДУКTОВ ИЛИ СОДЕРЖАЩИЙ МЕНЕЕ 10 МАС.% ТАКИХ ПРОДУКТОВ:</t>
  </si>
  <si>
    <t>10131010/200323/3095689</t>
  </si>
  <si>
    <t>3095689</t>
  </si>
  <si>
    <t>КОРМ ДЛЯ СОБАК И КОШЕК, РАСФАСОВАHНЫЙ ДЛЯ РОЗНИЧНОЙ ПРОДАЖИ, БЕЗ СОДЕРЖАНИЯ КРАХМАЛА, БЕЗ СОДЕРЖАНИЯ МОЛОЧНЫХ ПРОДУКТОВ, В АССОРТИМЕНТЕ</t>
  </si>
  <si>
    <t>10131010/200323/3096065</t>
  </si>
  <si>
    <t>3096065</t>
  </si>
  <si>
    <t>КОРМ ДЛЯ СОБАК И КОШЕК, PАСФАСОВАННЫЙ ДЛЯ РОЗНИЧНОЙ ПРОДАЖИ, БЕЗ СОДЕРЖАНИЯ КРАХМАЛА, БЕЗ СОДЕРЖАНИЯ МОЛОЧНЫХ ПРОДУКТОВ, В АССОРТИМЕНТЕ:</t>
  </si>
  <si>
    <t>10013160/200323/3126652</t>
  </si>
  <si>
    <t>3126652</t>
  </si>
  <si>
    <t>КОРМ ДЛЯ СОБАК ИЛИ КОШEК,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ПРОДУКТОВ:</t>
  </si>
  <si>
    <t>10013160/210323/3128530</t>
  </si>
  <si>
    <t>3128530</t>
  </si>
  <si>
    <t>КОРМ ДЛЯ СОБАК ИЛИ КОШЕК, РАСФАСОВАННЫЙ, НЕ СОДЕРЖАЩИЙ КРАХМАЛ, ИЛИ СОДЕРЖАЩИЙ 10 МАС.% ИЛИ МЕНЕЕ КРАХМАЛА, НЕ СОДЕРЖАЩИЙ МОЛОЧНЫХ ПРОДУКTОВ ИЛИ СОДЕРЖАЩИЙ МЕНЕЕ 10 МАС.% МОЛОЧНЫХ ПРОДУКТОВ:</t>
  </si>
  <si>
    <t>КОРМ ДЛЯ СОБАК ИЛИ КОШЕК, РАСФАСОВАННЫЙ, СОДЕРЖАЩИЙ БОЛЕЕ 10 МАС.%,НО НЕ БОЛЕЕ 30 МАС.% КРАXМАЛА, НЕ СОДЕРЖАЩИЙ МОЛОЧНЫХ ПРОДУКТОВ ИЛИ СОДЕРЖАЩИЙ МЕНЕЕ 10 МАС.% ТАКИХ ПРОДУКТОВ:</t>
  </si>
  <si>
    <t>10131010/041223/3396636</t>
  </si>
  <si>
    <t>3396636</t>
  </si>
  <si>
    <t>10131010/210323/3097689</t>
  </si>
  <si>
    <t>3097689</t>
  </si>
  <si>
    <t>10131010/210323/3098406</t>
  </si>
  <si>
    <t>3098406</t>
  </si>
  <si>
    <t>КОРМ ДЛЯ СОБАК, РАСФАСОВАННЫЙ ДЛЯ РОЗНИЧНОЙ ПРОДАЖИ, БЕЗ СОДЕРЖАНИЯ КРАХМАЛА, БЕЗ СОДЕРЖАНИЯ МОЛОЧНЫХ ПРОДУКТОВ, В АССОРТИМЕНTЕ:</t>
  </si>
  <si>
    <t>10131010/210323/3098411</t>
  </si>
  <si>
    <t>3098411</t>
  </si>
  <si>
    <t>10131010/210323/3097690</t>
  </si>
  <si>
    <t>3097690</t>
  </si>
  <si>
    <t>10131010/030423/3115070</t>
  </si>
  <si>
    <t>3115070</t>
  </si>
  <si>
    <t>СЕВЕРНАЯ ПРОМЗОНА, ВЛАД. 6,СТР.1,,,.</t>
  </si>
  <si>
    <t>10131010/030423/3115983</t>
  </si>
  <si>
    <t>3115983</t>
  </si>
  <si>
    <t>10131010/030423/3116359</t>
  </si>
  <si>
    <t>3116359</t>
  </si>
  <si>
    <t>10131010/040423/3118267</t>
  </si>
  <si>
    <t>3118267</t>
  </si>
  <si>
    <t>10131010/061223/3400805</t>
  </si>
  <si>
    <t>3400805</t>
  </si>
  <si>
    <t>10131010/040423/3117124</t>
  </si>
  <si>
    <t>3117124</t>
  </si>
  <si>
    <t>10131010/040423/3117694</t>
  </si>
  <si>
    <t>3117694</t>
  </si>
  <si>
    <t>10013160/040423/3153262</t>
  </si>
  <si>
    <t>3153262</t>
  </si>
  <si>
    <t>10131010/050423/3118867</t>
  </si>
  <si>
    <t>3118867</t>
  </si>
  <si>
    <t>10131010/050423/3119706</t>
  </si>
  <si>
    <t>3119706</t>
  </si>
  <si>
    <t>10131010/070423/3122721</t>
  </si>
  <si>
    <t>3122721</t>
  </si>
  <si>
    <t>10131010/061223/3400781</t>
  </si>
  <si>
    <t>3400781</t>
  </si>
  <si>
    <t>10131010/070423/3122718</t>
  </si>
  <si>
    <t>3122718</t>
  </si>
  <si>
    <t>10131010/041223/3396939</t>
  </si>
  <si>
    <t>3396939</t>
  </si>
  <si>
    <t>10131010/061223/3400780</t>
  </si>
  <si>
    <t>3400780</t>
  </si>
  <si>
    <t>10131010/070423/3122720</t>
  </si>
  <si>
    <t>3122720</t>
  </si>
  <si>
    <t>10131010/240423/3144339</t>
  </si>
  <si>
    <t>3144339</t>
  </si>
  <si>
    <t>9400, , ERPE-MERE, EVENBROEKVELD 1, ,,..</t>
  </si>
  <si>
    <t>10131010/081223/3403534</t>
  </si>
  <si>
    <t>3403534</t>
  </si>
  <si>
    <t>10131010/240423/3142848</t>
  </si>
  <si>
    <t>3142848</t>
  </si>
  <si>
    <t>10131010/250423/3146048</t>
  </si>
  <si>
    <t>3146048</t>
  </si>
  <si>
    <t>10131010/250423/3145259</t>
  </si>
  <si>
    <t>3145259</t>
  </si>
  <si>
    <t>КОРМ ДЛЯ СОБАК , РАСФАСОВАННЫЙ ДЛЯ РОЗНИЧНОЙ ПРОДАЖИ, БЕЗ СОДЕРЖАНИЯ КРАХМАЛА, БЕЗ СОДЕРЖАНИЯ МОЛОЧНЫХ ПРОДУКТОВ, В АССОРТИМЕНТЕ</t>
  </si>
  <si>
    <t>10131010/270423/3148930</t>
  </si>
  <si>
    <t>3148930</t>
  </si>
  <si>
    <t>10131010/270423/3148596</t>
  </si>
  <si>
    <t>3148596</t>
  </si>
  <si>
    <t>10131010/110423/3125038</t>
  </si>
  <si>
    <t>3125038</t>
  </si>
  <si>
    <t>9400, , ERPE-MERE, EVENBROEKVELD 1, ..,,</t>
  </si>
  <si>
    <t>10131010/120423/3127781</t>
  </si>
  <si>
    <t>3127781</t>
  </si>
  <si>
    <t>10131010/120423/3126392</t>
  </si>
  <si>
    <t>3126392</t>
  </si>
  <si>
    <t>10013160/120423/3164261</t>
  </si>
  <si>
    <t>3164261</t>
  </si>
  <si>
    <t>1831, , DIEGEM, LEONARDO DA VINCILAAN 19, ..,,</t>
  </si>
  <si>
    <t>10131010/061223/3400801</t>
  </si>
  <si>
    <t>3400801</t>
  </si>
  <si>
    <t>10131010/120423/3126391</t>
  </si>
  <si>
    <t>3126391</t>
  </si>
  <si>
    <t>10131010/130423/3129967</t>
  </si>
  <si>
    <t>3129967</t>
  </si>
  <si>
    <t>10131010/130423/3129768</t>
  </si>
  <si>
    <t>3129768</t>
  </si>
  <si>
    <t>10131010/130423/3129766</t>
  </si>
  <si>
    <t>3129766</t>
  </si>
  <si>
    <t>10131010/140423/3130978</t>
  </si>
  <si>
    <t>3130978</t>
  </si>
  <si>
    <t>10131010/130423/3129934</t>
  </si>
  <si>
    <t>3129934</t>
  </si>
  <si>
    <t>10131010/170423/3133841</t>
  </si>
  <si>
    <t>3133841</t>
  </si>
  <si>
    <t>9400, , ERPE-MERE, EVENBROEKVELD 1, .,..</t>
  </si>
  <si>
    <t>10131010/170423/3133800</t>
  </si>
  <si>
    <t>3133800</t>
  </si>
  <si>
    <t>10131010/041223/3396932</t>
  </si>
  <si>
    <t>3396932</t>
  </si>
  <si>
    <t>10131010/170423/3134212</t>
  </si>
  <si>
    <t>3134212</t>
  </si>
  <si>
    <t>10131010/170423/3134187</t>
  </si>
  <si>
    <t>3134187</t>
  </si>
  <si>
    <t>10131010/170423/3133724</t>
  </si>
  <si>
    <t>3133724</t>
  </si>
  <si>
    <t>10131010/180423/3135951</t>
  </si>
  <si>
    <t>3135951</t>
  </si>
  <si>
    <t>10131010/081223/3403531</t>
  </si>
  <si>
    <t>3403531</t>
  </si>
  <si>
    <t>10131010/190423/3137569</t>
  </si>
  <si>
    <t>3137569</t>
  </si>
  <si>
    <t>10131010/190423/3138295</t>
  </si>
  <si>
    <t>3138295</t>
  </si>
  <si>
    <t>10131010/190423/3138359</t>
  </si>
  <si>
    <t>3138359</t>
  </si>
  <si>
    <t>10131010/200423/3139269</t>
  </si>
  <si>
    <t>3139269</t>
  </si>
  <si>
    <t>10131010/200423/3139351</t>
  </si>
  <si>
    <t>3139351</t>
  </si>
  <si>
    <t>9042, , GHENT, TERDONKKAAI 16, .,..</t>
  </si>
  <si>
    <t>10131010/200423/3139225</t>
  </si>
  <si>
    <t>3139225</t>
  </si>
  <si>
    <t>КОРМ ДЛЯ СОБАК, РАСФАСОВАННЫЙ ДЛЯ РОЗНИЧНОЙ ПРОДАЖИ, БЕЗ СОДЕРЖАНИЯ КРАХМАЛА, БЕЗ СОДЕРЖАНИЯ МОЛОЧНЫХ ПРОДУКТОВ, В АССОРТИМЕНТЕ</t>
  </si>
  <si>
    <t>10131010/200423/5003069</t>
  </si>
  <si>
    <t>5003069</t>
  </si>
  <si>
    <t>10131010/270423/5003350</t>
  </si>
  <si>
    <t>5003350</t>
  </si>
  <si>
    <t>10131010/280423/3151102</t>
  </si>
  <si>
    <t>3151102</t>
  </si>
  <si>
    <t>10131010/071223/5049094</t>
  </si>
  <si>
    <t>5049094</t>
  </si>
  <si>
    <t>10131010/280423/3151100</t>
  </si>
  <si>
    <t>3151100</t>
  </si>
  <si>
    <t>10131010/280423/3151099</t>
  </si>
  <si>
    <t>3151099</t>
  </si>
  <si>
    <t>10131010/020523/3154969</t>
  </si>
  <si>
    <t>3154969</t>
  </si>
  <si>
    <t>9400, , ERPE-MERE, EVENBROEKVELD 1, ,,,</t>
  </si>
  <si>
    <t>10131010/020523/3154002</t>
  </si>
  <si>
    <t>3154002</t>
  </si>
  <si>
    <t>КОРМ ДЛЯ СОБАК РАСФАСОВАННЫЙ ДЛЯ РОЗНИЧНОЙ ПРОДАЖИ, БЕЗ СОДЕРЖАНИЯ КРАХМАЛА, БЕЗ СОДЕРЖАНИЯ МОЛОЧНЫХ ПРОДУКТОВ, В АCСОРТИМЕНТЕ</t>
  </si>
  <si>
    <t>10131010/041223/3397861</t>
  </si>
  <si>
    <t>3397861</t>
  </si>
  <si>
    <t>10131010/020523/3153548</t>
  </si>
  <si>
    <t>3153548</t>
  </si>
  <si>
    <t>10131010/020523/3154967</t>
  </si>
  <si>
    <t>3154967</t>
  </si>
  <si>
    <t>10131010/081223/3403523</t>
  </si>
  <si>
    <t>3403523</t>
  </si>
  <si>
    <t>10131010/020523/3154976</t>
  </si>
  <si>
    <t>3154976</t>
  </si>
  <si>
    <t>10131010/030523/3156701</t>
  </si>
  <si>
    <t>3156701</t>
  </si>
  <si>
    <t>10131010/030523/3156812</t>
  </si>
  <si>
    <t>3156812</t>
  </si>
  <si>
    <t>КОРМ ДЛЯ СОБАК И КОШЕК, РАСФАСОВАННЫЙ ДЛЯ РОЗНИЧНОЙ ПРОДАЖИ, БЕЗ СОДЕРЖАНИЯ КРАХМАЛА, БЕЗ СОДЕРЖAНИЯ МОЛОЧНЫХ ПРОДУКТОВ, В АССОРТИМЕНТЕ:</t>
  </si>
  <si>
    <t>10131010/040523/3158555</t>
  </si>
  <si>
    <t>3158555</t>
  </si>
  <si>
    <t>10131010/050523/3160123</t>
  </si>
  <si>
    <t>3160123</t>
  </si>
  <si>
    <t>10131010/271123/3389156</t>
  </si>
  <si>
    <t>3389156</t>
  </si>
  <si>
    <t>10131010/050523/3159368</t>
  </si>
  <si>
    <t>3159368</t>
  </si>
  <si>
    <t>10131010/301123/3394004</t>
  </si>
  <si>
    <t>3394004</t>
  </si>
  <si>
    <t>10131010/050523/3159795</t>
  </si>
  <si>
    <t>3159795</t>
  </si>
  <si>
    <t>КОРМ ДЛЯ СОБАК И КОШЕК, РАСФАСОВАННЫЙ ДЛЯ РОЗНИЧНОЙ ПРОДАЖИ, БЕЗ СОДЕРЖАНИЯ КРАХМАЛА, БЕЗ СОДЕРЖАНИЯ МОЛОЧНЫХ ПРОДУКТОВ,БЕЗ CОДЕРЖАНИЯ ГМО, В АССОРТИМЕНТЕ:</t>
  </si>
  <si>
    <t>10131010/301123/3393532</t>
  </si>
  <si>
    <t>3393532</t>
  </si>
  <si>
    <t>КОРМ ДЛЯ СОБАК И КОШЕК, РАСФАСОВАННЫЙ ДЛЯ РОЗНИЧНОЙ ПРОДАЖИ, БЕЗ СОДЕРЖАНИЯ КРАХМАЛА, БЕЗ СОДЕРЖАНИЯ МОЛОЧНЫХ ПРОДУКТОВ, В АССОРТИМЕНТЕ;</t>
  </si>
  <si>
    <t>10131010/271123/3389186</t>
  </si>
  <si>
    <t>3389186</t>
  </si>
  <si>
    <t>ЯШИНА</t>
  </si>
  <si>
    <t>10131010/100523/3163154</t>
  </si>
  <si>
    <t>3163154</t>
  </si>
  <si>
    <t>9400, , ERPE-MERE, EVENBROEKVELD 1, ...</t>
  </si>
  <si>
    <t>10131010/100523/3163542</t>
  </si>
  <si>
    <t>3163542</t>
  </si>
  <si>
    <t>10131010/100523/3164933</t>
  </si>
  <si>
    <t>3164933</t>
  </si>
  <si>
    <t>10131010/100523/3164439</t>
  </si>
  <si>
    <t>3164439</t>
  </si>
  <si>
    <t>10131010/100523/3163653</t>
  </si>
  <si>
    <t>3163653</t>
  </si>
  <si>
    <t>10131010/291123/3392769</t>
  </si>
  <si>
    <t>3392769</t>
  </si>
  <si>
    <t>10131010/100523/3164931</t>
  </si>
  <si>
    <t>3164931</t>
  </si>
  <si>
    <t>10131010/100523/3163390</t>
  </si>
  <si>
    <t>3163390</t>
  </si>
  <si>
    <t>10131010/110523/3165947</t>
  </si>
  <si>
    <t>3165947</t>
  </si>
  <si>
    <t>10131010/110523/3165916</t>
  </si>
  <si>
    <t>3165916</t>
  </si>
  <si>
    <t>10131010/291123/3392777</t>
  </si>
  <si>
    <t>3392777</t>
  </si>
  <si>
    <t>10131010/271123/3390214</t>
  </si>
  <si>
    <t>3390214</t>
  </si>
  <si>
    <t>10131010/120523/3168008</t>
  </si>
  <si>
    <t>3168008</t>
  </si>
  <si>
    <t>10131010/120523/3168395</t>
  </si>
  <si>
    <t>3168395</t>
  </si>
  <si>
    <t>10131010/120523/3167935</t>
  </si>
  <si>
    <t>3167935</t>
  </si>
  <si>
    <t>10131010/120523/3168401</t>
  </si>
  <si>
    <t>3168401</t>
  </si>
  <si>
    <t>10131010/150523/3170532</t>
  </si>
  <si>
    <t>3170532</t>
  </si>
  <si>
    <t>9400, , ERPE-MERE, EVENBROEKVELD 1, ,,...</t>
  </si>
  <si>
    <t>10131010/150523/3170531</t>
  </si>
  <si>
    <t>3170531</t>
  </si>
  <si>
    <t>10131010/160523/3173726</t>
  </si>
  <si>
    <t>3173726</t>
  </si>
  <si>
    <t>10131010/160523/3173014</t>
  </si>
  <si>
    <t>3173014</t>
  </si>
  <si>
    <t>10131010/180523/3176956</t>
  </si>
  <si>
    <t>3176956</t>
  </si>
  <si>
    <t>10131010/301123/3394453</t>
  </si>
  <si>
    <t>3394453</t>
  </si>
  <si>
    <t>10131010/180523/3176968</t>
  </si>
  <si>
    <t>3176968</t>
  </si>
  <si>
    <t>10131010/180523/3176393</t>
  </si>
  <si>
    <t>3176393</t>
  </si>
  <si>
    <t>10131010/190523/3179187</t>
  </si>
  <si>
    <t>3179187</t>
  </si>
  <si>
    <t>10131010/291123/3392898</t>
  </si>
  <si>
    <t>3392898</t>
  </si>
  <si>
    <t>10131010/291123/3393113</t>
  </si>
  <si>
    <t>3393113</t>
  </si>
  <si>
    <t>10131010/220523/3182026</t>
  </si>
  <si>
    <t>3182026</t>
  </si>
  <si>
    <t>10131010/220523/3180831</t>
  </si>
  <si>
    <t>3180831</t>
  </si>
  <si>
    <t>10131010/291123/3392775</t>
  </si>
  <si>
    <t>3392775</t>
  </si>
  <si>
    <t>10131010/220523/3180835</t>
  </si>
  <si>
    <t>3180835</t>
  </si>
  <si>
    <t>10131010/220523/3180829</t>
  </si>
  <si>
    <t>3180829</t>
  </si>
  <si>
    <t>10131010/291123/3393007</t>
  </si>
  <si>
    <t>3393007</t>
  </si>
  <si>
    <t>10131010/220523/3182633</t>
  </si>
  <si>
    <t>3182633</t>
  </si>
  <si>
    <t>10131010/281123/3391388</t>
  </si>
  <si>
    <t>3391388</t>
  </si>
  <si>
    <t>10131010/230523/3184337</t>
  </si>
  <si>
    <t>3184337</t>
  </si>
  <si>
    <t>10131010/281123/3390660</t>
  </si>
  <si>
    <t>3390660</t>
  </si>
  <si>
    <t>10131010/230523/3184288</t>
  </si>
  <si>
    <t>3184288</t>
  </si>
  <si>
    <t>10131010/240523/3185224</t>
  </si>
  <si>
    <t>3185224</t>
  </si>
  <si>
    <t>10131010/240523/3185476</t>
  </si>
  <si>
    <t>3185476</t>
  </si>
  <si>
    <t>10131010/240523/3185679</t>
  </si>
  <si>
    <t>3185679</t>
  </si>
  <si>
    <t>10131010/240523/3185980</t>
  </si>
  <si>
    <t>3185980</t>
  </si>
  <si>
    <t>10131010/240523/3185591</t>
  </si>
  <si>
    <t>3185591</t>
  </si>
  <si>
    <t>10131010/250523/3186806</t>
  </si>
  <si>
    <t>3186806</t>
  </si>
  <si>
    <t>10131010/260523/3188264</t>
  </si>
  <si>
    <t>3188264</t>
  </si>
  <si>
    <t>10131010/290523/3192215</t>
  </si>
  <si>
    <t>3192215</t>
  </si>
  <si>
    <t>10131010/290523/3192450</t>
  </si>
  <si>
    <t>3192450</t>
  </si>
  <si>
    <t>КОРМ ДЛЯ СОБАК И КОШЕК, РАСФАСОВАННЫЙ ДЛЯ РОЗНИЧНОЙ ПРОДАЖИ, БЕЗ СОДЕРЖАНИЯ КРАХМАЛА, БЕЗ СОДЕРЖАНИЯ МОЛОЧНЫX ПРОДУКТОВ,БЕЗ СОДЕРЖАНИЯ ГМО, В АССОРТИМЕНТЕ:</t>
  </si>
  <si>
    <t>10131010/290523/3192453</t>
  </si>
  <si>
    <t>3192453</t>
  </si>
  <si>
    <t>10131010/290523/3192455</t>
  </si>
  <si>
    <t>3192455</t>
  </si>
  <si>
    <t>10131010/300523/3193814</t>
  </si>
  <si>
    <t>3193814</t>
  </si>
  <si>
    <t>КОРМ ДЛЯ СОБАК И КОШЕК, РАСФАСОBАННЫЙ ДЛЯ РОЗНИЧНОЙ ПРОДАЖИ, БЕЗ СОДЕРЖАНИЯ КРАХМАЛА, БЕЗ СОДЕРЖАНИЯ МОЛОЧНЫХ ПРОДУКТОВ,БЕЗ СОДЕРЖАНИЯ ГМО, В АССОРТИМЕНТЕ</t>
  </si>
  <si>
    <t>10131010/310523/3195594</t>
  </si>
  <si>
    <t>3195594</t>
  </si>
  <si>
    <t>10131010/310523/3194813</t>
  </si>
  <si>
    <t>3194813</t>
  </si>
  <si>
    <t>КОРМ ДЛЯ СОБАК И КОШЕК, РАСФАСOВАННЫЙ ДЛЯ РОЗНИЧНОЙ ПРОДАЖИ, БЕЗ СОДЕРЖАНИЯ КРАХМАЛА, БЕЗ СОДЕРЖАНИЯ МОЛОЧНЫХ ПРОДУКТОВ, В АССОРТИМЕНТЕ:</t>
  </si>
  <si>
    <t>10131010/271123/3389197</t>
  </si>
  <si>
    <t>3389197</t>
  </si>
  <si>
    <t>10131010/310523/3194814</t>
  </si>
  <si>
    <t>3194814</t>
  </si>
  <si>
    <t>10131010/271123/3389202</t>
  </si>
  <si>
    <t>3389202</t>
  </si>
  <si>
    <t>10131010/050623/3201594</t>
  </si>
  <si>
    <t>3201594</t>
  </si>
  <si>
    <t>10131010/281123/3390664</t>
  </si>
  <si>
    <t>3390664</t>
  </si>
  <si>
    <t>10131010/050623/3201590</t>
  </si>
  <si>
    <t>3201590</t>
  </si>
  <si>
    <t>КОРМ ДЛЯ СОБАК И КОШЕК,РАСФАСОВАННЫЙ ДЛЯ РОЗНИЧНОЙ ПРОДАЖИ,БЕЗ СОДЕРЖАНИЯ КРАХМАЛА,БЕЗ СОДЕРЖАНИЯ МОЛОЧНЫХ ПРОДУКТОВ,БЕЗ СОДЕРЖАНИЯ ГМО,В АССОРТИМЕНТЕ:</t>
  </si>
  <si>
    <t>10131010/060623/3203417</t>
  </si>
  <si>
    <t>3203417</t>
  </si>
  <si>
    <t>10131010/060623/3203225</t>
  </si>
  <si>
    <t>3203225</t>
  </si>
  <si>
    <t>10131010/060623/3203228</t>
  </si>
  <si>
    <t>3203228</t>
  </si>
  <si>
    <t>КОРМ ДЛЯ СОБАК И КОШЕК, РАСФАСОВАННЫЙ ДЛЯ РОЗНИЧНОЙ ПРОДАЖИ, БЕЗ СОДЕРЖАНИЯ КРАХМАЛА, БЕЗ СОДЕРЖАНИЯ МОЛОЧНЫХ ПРОДУКТОВ, БЕЗ СОДЕРЖАНИЯ ГМО, В АССОРТИМЕНТЕ:</t>
  </si>
  <si>
    <t>10131010/060623/3203402</t>
  </si>
  <si>
    <t>3203402</t>
  </si>
  <si>
    <t>10131010/060623/3202287</t>
  </si>
  <si>
    <t>3202287</t>
  </si>
  <si>
    <t>9042, , GHENT, TERDONKKAAI 16, ..,,</t>
  </si>
  <si>
    <t>10131010/060623/3202296</t>
  </si>
  <si>
    <t>3202296</t>
  </si>
  <si>
    <t>10131010/070623/3204201</t>
  </si>
  <si>
    <t>3204201</t>
  </si>
  <si>
    <t>10131010/070623/3204782</t>
  </si>
  <si>
    <t>3204782</t>
  </si>
  <si>
    <t>КОРМ ДЛЯ СОБАК И КОШЕК,РАСФАСОВАННЫЙ ДЛЯ РОЗНИЧНОЙ ПРОДАЖИ,БЕЗ СОДЕРЖАНИЯ КРАХМАЛА,БЕЗ СОДЕРЖАНИЯ МОЛОЧНЫХ ПРОДУКТОВ,В АССОРТИМЕНТЕ:</t>
  </si>
  <si>
    <t>10131010/010623/3196592</t>
  </si>
  <si>
    <t>3196592</t>
  </si>
  <si>
    <t>10131010/271123/3389161</t>
  </si>
  <si>
    <t>3389161</t>
  </si>
  <si>
    <t>10131010/020623/3197987</t>
  </si>
  <si>
    <t>3197987</t>
  </si>
  <si>
    <t>10131010/070623/3204786</t>
  </si>
  <si>
    <t>3204786</t>
  </si>
  <si>
    <t>10131010/080623/3205862</t>
  </si>
  <si>
    <t>3205862</t>
  </si>
  <si>
    <t>КОРМ ДЛЯ СОБАК И КОШЕК, РАСФАСОВАННЫЙ ДЛЯ РОЗНИЧHОЙ ПРОДАЖИ, БЕЗ СОДЕРЖАНИЯ КРАХМАЛА, БЕЗ СОДЕРЖАНИЯ МОЛОЧНЫХ ПРОДУКТОВ, БЕЗ СОДЕРЖАНИЯ ГМО, В АССОРТИМЕНТЕ:</t>
  </si>
  <si>
    <t>10131010/271123/3389182</t>
  </si>
  <si>
    <t>3389182</t>
  </si>
  <si>
    <t>10131010/130623/3211001</t>
  </si>
  <si>
    <t>3211001</t>
  </si>
  <si>
    <t>10131010/130623/3210748</t>
  </si>
  <si>
    <t>3210748</t>
  </si>
  <si>
    <t>10131010/130623/3210242</t>
  </si>
  <si>
    <t>3210242</t>
  </si>
  <si>
    <t>10131010/130623/3210274</t>
  </si>
  <si>
    <t>3210274</t>
  </si>
  <si>
    <t>10131010/301123/3394479</t>
  </si>
  <si>
    <t>3394479</t>
  </si>
  <si>
    <t>10131010/130623/3211158</t>
  </si>
  <si>
    <t>3211158</t>
  </si>
  <si>
    <t>10131010/130623/3210236</t>
  </si>
  <si>
    <t>3210236</t>
  </si>
  <si>
    <t>10131010/130623/3211532</t>
  </si>
  <si>
    <t>3211532</t>
  </si>
  <si>
    <t>10131010/130623/3210794</t>
  </si>
  <si>
    <t>3210794</t>
  </si>
  <si>
    <t>10131010/140623/3213549</t>
  </si>
  <si>
    <t>3213549</t>
  </si>
  <si>
    <t>10131010/221123/3385670</t>
  </si>
  <si>
    <t>3385670</t>
  </si>
  <si>
    <t>10131010/140623/3213310</t>
  </si>
  <si>
    <t>3213310</t>
  </si>
  <si>
    <t>10131010/140623/3213242</t>
  </si>
  <si>
    <t>3213242</t>
  </si>
  <si>
    <t>10131010/150623/3214215</t>
  </si>
  <si>
    <t>3214215</t>
  </si>
  <si>
    <t>10131010/150623/3214062</t>
  </si>
  <si>
    <t>3214062</t>
  </si>
  <si>
    <t>10131010/150623/3214240</t>
  </si>
  <si>
    <t>3214240</t>
  </si>
  <si>
    <t>10131010/190623/3219159</t>
  </si>
  <si>
    <t>3219159</t>
  </si>
  <si>
    <t>КОРМ ДЛЯ СОБАК,РАСФАСОВАННЫЙ ДЛЯ РОЗНИЧНОЙ ПРОДАЖИ,БЕЗ СОДЕРЖАНИЯ КРАХМАЛА,БЕЗ СОДЕРЖАНИЯ МОЛОЧНЫХ ПРОДУКТОВ,В АССОРТИМЕНТЕ:</t>
  </si>
  <si>
    <t>10131010/221123/3384843</t>
  </si>
  <si>
    <t>3384843</t>
  </si>
  <si>
    <t>10131010/231123/5045335</t>
  </si>
  <si>
    <t>5045335</t>
  </si>
  <si>
    <t>10131010/221123/5045064</t>
  </si>
  <si>
    <t>5045064</t>
  </si>
  <si>
    <t>10131010/190623/3219178</t>
  </si>
  <si>
    <t>3219178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</si>
  <si>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АСCОРТИМЕНТЕ</t>
  </si>
  <si>
    <t>10131010/221123/3385660</t>
  </si>
  <si>
    <t>3385660</t>
  </si>
  <si>
    <t>10131010/221123/3384889</t>
  </si>
  <si>
    <t>3384889</t>
  </si>
  <si>
    <t>10131010/221123/3385139</t>
  </si>
  <si>
    <t>3385139</t>
  </si>
  <si>
    <t>10131010/221123/3385665</t>
  </si>
  <si>
    <t>3385665</t>
  </si>
  <si>
    <t>10131010/200623/3221383</t>
  </si>
  <si>
    <t>3221383</t>
  </si>
  <si>
    <t>КОРМ ДЛЯ СОБАК И КОШЕК, РАСФАСОВАHНЫЙ ДЛЯ РОЗНИЧНОЙ ПРОДАЖИ, БЕЗ СОДЕРЖАНИЯ КРАХМАЛА, БЕЗ СОДЕРЖАНИЯ МОЛОЧНЫХ ПРОДУКТОВ, В АССОРТИМЕНТЕ:</t>
  </si>
  <si>
    <t>10131010/221123/3385745</t>
  </si>
  <si>
    <t>3385745</t>
  </si>
  <si>
    <t>10131010/200623/3221216</t>
  </si>
  <si>
    <t>3221216</t>
  </si>
  <si>
    <t>10131010/210623/3223899</t>
  </si>
  <si>
    <t>3223899</t>
  </si>
  <si>
    <t>КОРМ ДЛЯ СОБАК И КОШЕК, РАСФАСОВАННЫЙ ДЛЯ РОЗНИЧНОЙ ПРОДАЖИ, БЕЗ СОДЕРЖАНИЯ КРАХМАЛА, БЕЗ СОДЕРЖАНИЯ МОЛОЧHЫХ ПРОДУКТОВ,БЕЗ СОДЕРЖАНИЯ ГМО, В АССОРТИМЕНТЕ:</t>
  </si>
  <si>
    <t>10131010/210623/3222977</t>
  </si>
  <si>
    <t>3222977</t>
  </si>
  <si>
    <t>10131010/210623/3222986</t>
  </si>
  <si>
    <t>3222986</t>
  </si>
  <si>
    <t>КОРМ ДЛЯ СОБАК И КОШEК, РАСФАСОВАННЫЙ ДЛЯ РОЗНИЧНОЙ ПРОДАЖИ, БЕЗ СОДЕРЖАНИЯ КРАХМАЛА, БЕЗ СОДЕРЖАНИЯ МОЛОЧНЫХ ПРОДУКТОВ, В АССОРТИМЕНТЕ:</t>
  </si>
  <si>
    <t>10131010/210623/3223005</t>
  </si>
  <si>
    <t>3223005</t>
  </si>
  <si>
    <t>10131010/220623/3225377</t>
  </si>
  <si>
    <t>3225377</t>
  </si>
  <si>
    <t>КОРМ ДЛЯ СОБАК И КОШЕК, РAСФАСОВАННЫЙ ДЛЯ РОЗНИЧНОЙ ПРОДАЖИ, БЕЗ СОДЕРЖАНИЯ КРАХМАЛА, БЕЗ СОДЕРЖАНИЯ МОЛОЧНЫХ ПРОДУКТОВ, В АССОРТИМЕНТЕ</t>
  </si>
  <si>
    <t>10131010/220623/3224724</t>
  </si>
  <si>
    <t>3224724</t>
  </si>
  <si>
    <t>КОРМ ДЛЯ СОБАК И КОШЕК, РАСФАСОВАННЫЙ ДЛЯ РОЗНИЧНОЙ ПРОДАЖИ, БЕЗ СОДЕРЖАНИЯ КРАХМАЛА, БЕЗ СОДЕРЖАНИЯ МОЛОЧНЫХ ПРОДУКТОВ, В АССОРТИМЕНТЕ,В АССОРТИМЕНТЕ:</t>
  </si>
  <si>
    <t>10131010/220623/5005558</t>
  </si>
  <si>
    <t>5005558</t>
  </si>
  <si>
    <t>КОРМ ДЛЯ СОБАК И КОШЕК, РАСФАСОВАННЫЙ ДЛЯ РОЗНИЧHОЙ ПРОДАЖИ, БЕЗ СОДЕРЖАНИЯ КРАХМАЛА, БЕЗ СОДЕРЖАНИЯ МОЛОЧНЫХ ПРОДУКТОВ, В АССОРТИМЕНТЕ:</t>
  </si>
  <si>
    <t>10131010/201123/3382119</t>
  </si>
  <si>
    <t>3382119</t>
  </si>
  <si>
    <t>10131010/220623/3224901</t>
  </si>
  <si>
    <t>3224901</t>
  </si>
  <si>
    <t>10131010/220623/3225105</t>
  </si>
  <si>
    <t>3225105</t>
  </si>
  <si>
    <t>10131010/260623/3229462</t>
  </si>
  <si>
    <t>3229462</t>
  </si>
  <si>
    <t>10131010/270623/3232013</t>
  </si>
  <si>
    <t>3232013</t>
  </si>
  <si>
    <t>КОРМ ДЛЯ СОБАК И КОШЕК, РАСФАСОВАННЫЙ ДЛЯ РОЗНИЧНОЙ ПРОДАЖИ, БЕЗ СОДЕРЖАНИЯ КРАХМАЛА, БЕЗ СОДЕРЖАНИЯ МОЛОЧНЫХ ПPОДУКТОВ, В АССОРТИМЕНТЕ:</t>
  </si>
  <si>
    <t>10131010/270623/3232133</t>
  </si>
  <si>
    <t>3232133</t>
  </si>
  <si>
    <t>10131010/280623/3232806</t>
  </si>
  <si>
    <t>3232806</t>
  </si>
  <si>
    <t>КОРМ ДЛЯ СОБАК И КOШЕК, РАСФАСОВАННЫЙ ДЛЯ РОЗНИЧНОЙ ПРОДАЖИ, БЕЗ СОДЕРЖАНИЯ КРАХМАЛА, БЕЗ СОДЕРЖАНИЯ МОЛОЧНЫХ ПРОДУКТОВ, В АССОРТИМЕНТЕ:</t>
  </si>
  <si>
    <t>10131010/290623/3234199</t>
  </si>
  <si>
    <t>3234199</t>
  </si>
  <si>
    <t>10131010/290623/3234195</t>
  </si>
  <si>
    <t>3234195</t>
  </si>
  <si>
    <t>КОРМ ДЛЯ СОБАК И КОШЕК, РАСФАСОВАННЫЙ ДЛЯ РОЗНИЧНОЙ ПРОДАЖИ, БЕЗ СОДЕРЖАНИЯ КРАХМАЛА, БЕЗ СОДЕРЖАНИЯ MОЛОЧНЫХ ПРОДУКТОВ, В АССОРТИМЕНТЕ:</t>
  </si>
  <si>
    <t>10131010/300623/3236617</t>
  </si>
  <si>
    <t>3236617</t>
  </si>
  <si>
    <t>КОРМ ДЛЯ СОБАК И КОШЕК, РАСФАСОВАННЫЙ ДЛЯ РОЗНИЧНОЙ ПРОДАЖИ, БЕЗ СОДЕРЖАHИЯ КРАХМАЛА, БЕЗ СОДЕРЖАНИЯ МОЛОЧНЫХ ПРОДУКТОВ, В АССОРТИМЕНТЕ:</t>
  </si>
  <si>
    <t>10131010/151123/3377867</t>
  </si>
  <si>
    <t>3377867</t>
  </si>
  <si>
    <t>10131010/161123/3379384</t>
  </si>
  <si>
    <t>3379384</t>
  </si>
  <si>
    <t>10131010/300623/3236356</t>
  </si>
  <si>
    <t>3236356</t>
  </si>
  <si>
    <t>10131010/030723/3239102</t>
  </si>
  <si>
    <t>3239102</t>
  </si>
  <si>
    <t>9400, , ERPE-MERE, EVENBROEKVELD 1, ..</t>
  </si>
  <si>
    <t>10131010/171123/3380482</t>
  </si>
  <si>
    <t>3380482</t>
  </si>
  <si>
    <t>10131010/030723/3239121</t>
  </si>
  <si>
    <t>3239121</t>
  </si>
  <si>
    <t>10131010/030723/3238177</t>
  </si>
  <si>
    <t>3238177</t>
  </si>
  <si>
    <t>10131010/030723/3238165</t>
  </si>
  <si>
    <t>3238165</t>
  </si>
  <si>
    <t>10131010/030723/3238631</t>
  </si>
  <si>
    <t>3238631</t>
  </si>
  <si>
    <t>10131010/050723/3241282</t>
  </si>
  <si>
    <t>3241282</t>
  </si>
  <si>
    <t>КОРМ ДЛЯ СОБАК И КОШЕК, РАСФАСОВАННЫЙ ДЛЯ РОЗНИЧНОЙ ПРОДАЖИ, БЕЗ СОДЕРЖАНИЯ КРАХМАЛА, БЕЗ СОДЕРЖАНИЯ МОЛОЧНЫХ ПРОДУКТОВ, В АССОРТИМEНТЕ:</t>
  </si>
  <si>
    <t>10131010/050723/3241858</t>
  </si>
  <si>
    <t>3241858</t>
  </si>
  <si>
    <t>10131010/060723/5006247</t>
  </si>
  <si>
    <t>5006247</t>
  </si>
  <si>
    <t>КОРМ ДЛЯ СОБАК И КОШЕК, РАСФАСОВАННЫЙ ДЛЯ РОЗНИЧНОЙ ПРОДАЖИ, БЕЗ СОДЕРЖАНИЯ КРАХМАЛА, БЕЗ СОДЕРЖАНИЯ МОЛОЧНЫХ ПРОДУКТОВ, В АССОPТИМЕНТЕ,В АССОРТИМЕНТЕ</t>
  </si>
  <si>
    <t>10131010/151123/3377623</t>
  </si>
  <si>
    <t>3377623</t>
  </si>
  <si>
    <t>КОРМ ДЛЯ КОШЕК, РАСФАСОВАННЫЙ ДЛЯ РОЗНИЧНОЙ ПРОДАЖИ, БЕЗ СОДЕРЖАНИЯ КРАХМАЛА, БЕЗ СОДЕРЖАНИЯ МОЛОЧНЫХ ПРОДУКТОВ, В АССОРТИМЕНТЕ:</t>
  </si>
  <si>
    <t>10131010/060723/3242968</t>
  </si>
  <si>
    <t>3242968</t>
  </si>
  <si>
    <t>КОРМ ДЛЯ СОБАК И КОШЕК, РАСФАСОВАННЫЙ ДЛЯ РОЗНИЧНОЙ ПРОДАЖИ, БЕЗ СОДЕРЖАНИЯ КРАХМАЛА, БЕЗ СОДЕРЖАНИЯ МОЛОЧНЫХ ПРОДУКТОВ, В AССОРТИМЕНТЕ:</t>
  </si>
  <si>
    <t>10131010/060723/3242345</t>
  </si>
  <si>
    <t>3242345</t>
  </si>
  <si>
    <t>10131010/161123/3379371</t>
  </si>
  <si>
    <t>3379371</t>
  </si>
  <si>
    <t>10131010/070723/5006363</t>
  </si>
  <si>
    <t>5006363</t>
  </si>
  <si>
    <t>КОРМ ДЛЯ СОБАК И КОШЕК, РАСФАСОВАННЫЙ ДЛЯ РОЗНИЧНОЙ ПРОДАЖИ, БЕЗ СОДЕРЖАНИЯ КРАХМАЛА, БЕЗ СОДЕРЖАНИЯ МОЛОЧНЫХ ПРОДУКТОВ, В АССОРТИМЕHТЕ:</t>
  </si>
  <si>
    <t>10131010/100723/3246009</t>
  </si>
  <si>
    <t>3246009</t>
  </si>
  <si>
    <t>9400, , ERPE-MERE, EVENBROEKVELD 1, ,,</t>
  </si>
  <si>
    <t>10131010/100723/3244875</t>
  </si>
  <si>
    <t>3244875</t>
  </si>
  <si>
    <t>КОРМ ДЛЯ СОБАК И КОШЕК, РАСФАСОВАННЫЙ ДЛЯ РОЗНИЧНОЙ ПРОДАЖИ, БЕЗ СОДЕРЖAНИЯ КРАХМАЛА, БЕЗ СОДЕРЖАНИЯ МОЛОЧНЫХ ПРОДУКТОВ, В АССОРТИМЕНТЕ:</t>
  </si>
  <si>
    <t>10131010/100723/3244854</t>
  </si>
  <si>
    <t>3244854</t>
  </si>
  <si>
    <t>10131010/100723/3244858</t>
  </si>
  <si>
    <t>3244858</t>
  </si>
  <si>
    <t>10131010/110723/3246439</t>
  </si>
  <si>
    <t>3246439</t>
  </si>
  <si>
    <t>КОРМ ДЛЯ СОБАК И КОШЕК, РАСФАСОВАННЫЙ ДЛЯ РОЗНИЧНОЙ ПРОДАЖИ, БЕЗ СОДЕРЖАНИЯ КРАХМАЛА, БЕЗ СОДЕРЖАНИЯ МОЛОЧНЫХ ПРОДУКТОВ, В АССОРТИMЕНТЕ:</t>
  </si>
  <si>
    <t>10131010/161123/3379353</t>
  </si>
  <si>
    <t>3379353</t>
  </si>
  <si>
    <t>10131010/120723/3248588</t>
  </si>
  <si>
    <t>3248588</t>
  </si>
  <si>
    <t>10131010/120723/3247832</t>
  </si>
  <si>
    <t>3247832</t>
  </si>
  <si>
    <t>КОРМ ДЛЯ СОБАК И КОШЕК, РАСФАСОВАННЫЙ ДЛЯ РОЗНИЧНОЙ ПРОДАЖИ, БЕЗ СОДЕРЖАНИЯ КРАХМАЛА, БЕЗ СОДЕРЖАНИЯ МОЛОЧНЫХ ПРОДУКТОВ, В АССОРТИМЕНТE:</t>
  </si>
  <si>
    <t>10131010/120723/3247837</t>
  </si>
  <si>
    <t>3247837</t>
  </si>
  <si>
    <t>10131010/201123/3382073</t>
  </si>
  <si>
    <t>3382073</t>
  </si>
  <si>
    <t>10131010/171123/3380583</t>
  </si>
  <si>
    <t>3380583</t>
  </si>
  <si>
    <t>10131010/130723/3249921</t>
  </si>
  <si>
    <t>3249921</t>
  </si>
  <si>
    <t>10131010/161123/3379064</t>
  </si>
  <si>
    <t>3379064</t>
  </si>
  <si>
    <t>10131010/130723/3250132</t>
  </si>
  <si>
    <t>3250132</t>
  </si>
  <si>
    <t>10131010/151123/3377872</t>
  </si>
  <si>
    <t>3377872</t>
  </si>
  <si>
    <t>10131010/130723/3250136</t>
  </si>
  <si>
    <t>3250136</t>
  </si>
  <si>
    <t>10131010/130723/3249277</t>
  </si>
  <si>
    <t>3249277</t>
  </si>
  <si>
    <t>10131010/130723/5007641</t>
  </si>
  <si>
    <t>5007641</t>
  </si>
  <si>
    <t>10131010/151123/3377357</t>
  </si>
  <si>
    <t>3377357</t>
  </si>
  <si>
    <t>10131010/201123/3382412</t>
  </si>
  <si>
    <t>3382412</t>
  </si>
  <si>
    <t>10131010/161123/3379318</t>
  </si>
  <si>
    <t>3379318</t>
  </si>
  <si>
    <t>10131010/140723/3250535</t>
  </si>
  <si>
    <t>3250535</t>
  </si>
  <si>
    <t>КОРМ ДЛЯ СОБАК И КОШЕК, РАСФАСОВАННЫЙ ДЛЯ РОЗНИЧНОЙ ПРОДАЖИ, БЕЗ СОДЕРЖАНИЯ КРАХМАЛА, БЕЗ СОДЕРЖАНИЯ МОЛОЧНЫX ПРОДУКТОВ,БЕЗ СОДЕРЖАНИЯ ГМО, В АССОРТИМЕНТЕ</t>
  </si>
  <si>
    <t>10131010/140723/3250549</t>
  </si>
  <si>
    <t>3250549</t>
  </si>
  <si>
    <t>КОРМ ДЛЯ СОБАК И КОШЕК, РАСФАСОВАННЫЙ ДЛЯ РОЗНИЧНОЙ ПРОДАЖИ, БЕЗ СОДЕРЖАНИЯ КРАХМАЛА, БЕЗ СОДЕРЖАНИЯ МОЛОЧНЫХ ПРОДУKТОВ, В АССОРТИМЕНТЕ:</t>
  </si>
  <si>
    <t>10131010/140723/3250532</t>
  </si>
  <si>
    <t>3250532</t>
  </si>
  <si>
    <t>КОРМ ДЛЯ СОБАК И КОШЕК, РАСФАСОВАННЫЙ ДЛЯ РОЗНИЧНОЙ ПРОДАЖИ, БЕЗ СОДЕРЖАНИЯ КРАХМАЛА, БЕЗ СОДЕРЖАHИЯ МОЛОЧНЫХ ПРОДУКТОВ, В АССОРТИМЕНТЕ,В АССОРТИМЕНТЕ</t>
  </si>
  <si>
    <t>10131010/170723/3253273</t>
  </si>
  <si>
    <t>3253273</t>
  </si>
  <si>
    <t>10131010/141123/3376312</t>
  </si>
  <si>
    <t>3376312</t>
  </si>
  <si>
    <t>10131010/170723/3252221</t>
  </si>
  <si>
    <t>3252221</t>
  </si>
  <si>
    <t>КОРМ ДЛЯ СОБАК, РАСФАCОВАННЫЙ ДЛЯ РОЗНИЧНОЙ ПРОДАЖИ, БЕЗ СОДЕРЖАНИЯ КРАХМАЛА, БЕЗ СОДЕРЖАНИЯ МОЛОЧНЫХ ПРОДУКТОВ,БЕЗ СОДЕРЖАНИЯ ГМО, В АССОРТИМЕНТЕ</t>
  </si>
  <si>
    <t>10131010/170723/3252027</t>
  </si>
  <si>
    <t>3252027</t>
  </si>
  <si>
    <t>КОРМ ДЛЯ СОБАК И КОШEК, РАСФАСОВАННЫЙ ДЛЯ РОЗНИЧНОЙ ПРОДАЖИ, БЕЗ СОДЕРЖАНИЯ КРАХМАЛА, БЕЗ СОДЕРЖАНИЯ МОЛОЧНЫХ ПРОДУКТОВ, В АССОРТИМЕНТЕ</t>
  </si>
  <si>
    <t>10131010/170723/3252189</t>
  </si>
  <si>
    <t>3252189</t>
  </si>
  <si>
    <t>10131010/170723/3252194</t>
  </si>
  <si>
    <t>3252194</t>
  </si>
  <si>
    <t>10131010/141123/3375669</t>
  </si>
  <si>
    <t>3375669</t>
  </si>
  <si>
    <t>10131010/131123/3374669</t>
  </si>
  <si>
    <t>3374669</t>
  </si>
  <si>
    <t>10131010/180723/3253943</t>
  </si>
  <si>
    <t>3253943</t>
  </si>
  <si>
    <t>10131010/141123/3376317</t>
  </si>
  <si>
    <t>3376317</t>
  </si>
  <si>
    <t>10131010/190723/3255293</t>
  </si>
  <si>
    <t>3255293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</si>
  <si>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АССОРТИМЕНTЕ:</t>
  </si>
  <si>
    <t>10131010/190723/3255457</t>
  </si>
  <si>
    <t>3255457</t>
  </si>
  <si>
    <t>10131010/190723/3255537</t>
  </si>
  <si>
    <t>3255537</t>
  </si>
  <si>
    <t>КОРМ ДЛЯ СОБАК И КОШЕК, РАСФАСОВАННЫЙ ДЛЯ РОЗНИЧНОЙ ПРОДАЖИ, БЕЗ СОДЕРЖАНИЯ КРАХМАЛА, БЕЗ СОДЕРЖАНИЯ МОЛОЧНЫХ ПРОДУКТОВ,БЕЗ СОДЕPЖАНИЯ ГМО, В АССОРТИМЕНТЕ:</t>
  </si>
  <si>
    <t>10131010/190723/3255268</t>
  </si>
  <si>
    <t>3255268</t>
  </si>
  <si>
    <t>КОРМ ДЛЯ СОБАК И КОШЕК, РАСФАСОВАННЫЙ ДЛЯ РОЗНИЧНОЙ ПРОДАЖИ, БЕЗ CОДЕРЖАНИЯ КРАХМАЛА, БЕЗ СОДЕРЖАНИЯ МОЛОЧНЫХ ПРОДУКТОВ, В АССОРТИМЕНТЕ:</t>
  </si>
  <si>
    <t>10131010/200723/3256377</t>
  </si>
  <si>
    <t>3256377</t>
  </si>
  <si>
    <t>КОРМ ДЛЯ СОБАК И КОШЕК, РАСФАСОВАННЫЙ ДЛЯ РОЗНИЧНОЙ ПРОДАЖИ, БЕЗ СОДЕРЖАНИЯ КРАХМAЛА, БЕЗ СОДЕРЖАНИЯ МОЛОЧНЫХ ПРОДУКТОВ, В АССОРТИМЕНТЕ:</t>
  </si>
  <si>
    <t>10131010/200723/3256371</t>
  </si>
  <si>
    <t>3256371</t>
  </si>
  <si>
    <t>КОРМ ДЛЯ СОБАК И КОШЕК, РАСФАСОВАНHЫЙ ДЛЯ РОЗНИЧНОЙ ПРОДАЖИ, БЕЗ СОДЕРЖАНИЯ КРАХМАЛА, БЕЗ СОДЕРЖАНИЯ МОЛОЧНЫХ ПРОДУКТОВ,БЕЗ СОДЕРЖАНИЯ ГМО, В АССОРТИМЕНТЕ</t>
  </si>
  <si>
    <t>10131010/151123/3377359</t>
  </si>
  <si>
    <t>3377359</t>
  </si>
  <si>
    <t>10131010/200723/3256211</t>
  </si>
  <si>
    <t>3256211</t>
  </si>
  <si>
    <t>10131010/210723/3258101</t>
  </si>
  <si>
    <t>3258101</t>
  </si>
  <si>
    <t>10131010/141123/3375605</t>
  </si>
  <si>
    <t>3375605</t>
  </si>
  <si>
    <t>10131010/131123/3374215</t>
  </si>
  <si>
    <t>3374215</t>
  </si>
  <si>
    <t>10131010/210723/3258323</t>
  </si>
  <si>
    <t>3258323</t>
  </si>
  <si>
    <t>10131010/131123/3374529</t>
  </si>
  <si>
    <t>3374529</t>
  </si>
  <si>
    <t>10131010/101123/3372204</t>
  </si>
  <si>
    <t>3372204</t>
  </si>
  <si>
    <t>10131010/101123/3371959</t>
  </si>
  <si>
    <t>3371959</t>
  </si>
  <si>
    <t>10131010/210723/3257504</t>
  </si>
  <si>
    <t>3257504</t>
  </si>
  <si>
    <t>КОРМ ДЛЯ СОБАК И КОШЕК, РАСФАСОВАННЫЙ ДЛЯ РОЗНИЧНОЙ ПРОДАЖИ, БЕЗ СОДЕРЖАНИЯ КРАХМАЛА, БЕЗ CОДЕРЖАНИЯ МОЛОЧНЫХ ПРОДУКТОВ, В АССОРТИМЕНТЕ:</t>
  </si>
  <si>
    <t>10131010/240723/3259354</t>
  </si>
  <si>
    <t>3259354</t>
  </si>
  <si>
    <t>10131010/240723/3259004</t>
  </si>
  <si>
    <t>3259004</t>
  </si>
  <si>
    <t>10131010/101123/3371660</t>
  </si>
  <si>
    <t>3371660</t>
  </si>
  <si>
    <t>10131010/081123/3368953</t>
  </si>
  <si>
    <t>3368953</t>
  </si>
  <si>
    <t>10131010/071123/3367611</t>
  </si>
  <si>
    <t>3367611</t>
  </si>
  <si>
    <t>КОРМ ДЛЯ КОШЕК, РАСФАСОВАННЫЙ ДЛЯ РОЗНИЧНОЙ ПРОДАЖИ, БЕЗ СОДЕРЖАНИЯ КРАХМАЛА, БЕЗ СОДЕРЖАНИЯ МОЛОЧНЫХ ПРОДУКТОВ,БЕЗ СОДЕРЖАНИЯ ГМО, В АССОРТИМЕНТЕ</t>
  </si>
  <si>
    <t>10131010/071123/5040655</t>
  </si>
  <si>
    <t>5040655</t>
  </si>
  <si>
    <t>10131010/081123/3369377</t>
  </si>
  <si>
    <t>3369377</t>
  </si>
  <si>
    <t>10131010/240723/3259008</t>
  </si>
  <si>
    <t>3259008</t>
  </si>
  <si>
    <t>10131010/081123/3368913</t>
  </si>
  <si>
    <t>3368913</t>
  </si>
  <si>
    <t>10131010/240723/3259999</t>
  </si>
  <si>
    <t>3259999</t>
  </si>
  <si>
    <t>10131010/240723/3259349</t>
  </si>
  <si>
    <t>3259349</t>
  </si>
  <si>
    <t>10131010/071123/3368488</t>
  </si>
  <si>
    <t>3368488</t>
  </si>
  <si>
    <t>10131010/071123/3368492</t>
  </si>
  <si>
    <t>3368492</t>
  </si>
  <si>
    <t>10131010/240723/3258994</t>
  </si>
  <si>
    <t>3258994</t>
  </si>
  <si>
    <t>10131010/250723/3261508</t>
  </si>
  <si>
    <t>3261508</t>
  </si>
  <si>
    <t>10131010/260723/3262064</t>
  </si>
  <si>
    <t>3262064</t>
  </si>
  <si>
    <t>КОРМ ДЛЯ СОБАК И КОШЕК, РАСФАСОВАННЫЙ ДЛЯ РОЗНИЧНОЙ ПРОДАЖИ, БEЗ СОДЕРЖАНИЯ КРАХМАЛА, БЕЗ СОДЕРЖАНИЯ МОЛОЧНЫХ ПРОДУКТОВ, В АССОРТИМЕНТЕ</t>
  </si>
  <si>
    <t>10131010/260723/3262536</t>
  </si>
  <si>
    <t>3262536</t>
  </si>
  <si>
    <t>КОРМ ДЛЯ СОБАК И КОШЕК, РАСФАСОВАННЫЙ ДЛЯ РОЗНИЧНОЙ ПРОДАЖИ, БЕЗ СОДЕРЖАНИЯ КРАХМАЛА, БEЗ СОДЕРЖАНИЯ МОЛОЧНЫХ ПРОДУКТОВ, В АССОРТИМЕНТЕ:</t>
  </si>
  <si>
    <t>10131010/270723/3263534</t>
  </si>
  <si>
    <t>3263534</t>
  </si>
  <si>
    <t>10131010/270723/3263521</t>
  </si>
  <si>
    <t>3263521</t>
  </si>
  <si>
    <t>10131010/270723/3263546</t>
  </si>
  <si>
    <t>3263546</t>
  </si>
  <si>
    <t>10131010/270723/3263551</t>
  </si>
  <si>
    <t>3263551</t>
  </si>
  <si>
    <t>10131010/071123/5040648</t>
  </si>
  <si>
    <t>5040648</t>
  </si>
  <si>
    <t>10131010/310723/3267044</t>
  </si>
  <si>
    <t>3267044</t>
  </si>
  <si>
    <t>10106050-т/п Обнинский</t>
  </si>
  <si>
    <t>10131010/071123/3367015</t>
  </si>
  <si>
    <t>3367015</t>
  </si>
  <si>
    <t>10131010/071123/3366979</t>
  </si>
  <si>
    <t>3366979</t>
  </si>
  <si>
    <t>10131010/310723/3267047</t>
  </si>
  <si>
    <t>3267047</t>
  </si>
  <si>
    <t>10131010/310723/3267056</t>
  </si>
  <si>
    <t>3267056</t>
  </si>
  <si>
    <t>10131010/310723/3267093</t>
  </si>
  <si>
    <t>3267093</t>
  </si>
  <si>
    <t>10131010/310723/3267102</t>
  </si>
  <si>
    <t>3267102</t>
  </si>
  <si>
    <t>10131010/071123/3368101</t>
  </si>
  <si>
    <t>3368101</t>
  </si>
  <si>
    <t>10131010/310723/3267476</t>
  </si>
  <si>
    <t>3267476</t>
  </si>
  <si>
    <t>10131010/310723/3267477</t>
  </si>
  <si>
    <t>3267477</t>
  </si>
  <si>
    <t>10131010/310723/3267480</t>
  </si>
  <si>
    <t>3267480</t>
  </si>
  <si>
    <t>10131010/010823/3268134</t>
  </si>
  <si>
    <t>3268134</t>
  </si>
  <si>
    <t>Ин</t>
  </si>
  <si>
    <t>10131010/010823/3268150</t>
  </si>
  <si>
    <t>3268150</t>
  </si>
  <si>
    <t>СВ</t>
  </si>
  <si>
    <t>10131010/010823/3268171</t>
  </si>
  <si>
    <t>3268171</t>
  </si>
  <si>
    <t>10131010/010823/3268829</t>
  </si>
  <si>
    <t>3268829</t>
  </si>
  <si>
    <t>10131010/020823/3269227</t>
  </si>
  <si>
    <t>3269227</t>
  </si>
  <si>
    <t>10131010/020823/3269706</t>
  </si>
  <si>
    <t>3269706</t>
  </si>
  <si>
    <t>10131010/030823/3270629</t>
  </si>
  <si>
    <t>3270629</t>
  </si>
  <si>
    <t>10131010/011123/3363458</t>
  </si>
  <si>
    <t>3363458</t>
  </si>
  <si>
    <t>10131010/030823/3270635</t>
  </si>
  <si>
    <t>3270635</t>
  </si>
  <si>
    <t>10131010/030823/5013241</t>
  </si>
  <si>
    <t>5013241</t>
  </si>
  <si>
    <t>10131010/040823/3271892</t>
  </si>
  <si>
    <t>3271892</t>
  </si>
  <si>
    <t>10131010/011123/3362602</t>
  </si>
  <si>
    <t>3362602</t>
  </si>
  <si>
    <t>10131010/040823/3271894</t>
  </si>
  <si>
    <t>3271894</t>
  </si>
  <si>
    <t>10131010/040823/3272225</t>
  </si>
  <si>
    <t>3272225</t>
  </si>
  <si>
    <t>10131010/021123/3364099</t>
  </si>
  <si>
    <t>3364099</t>
  </si>
  <si>
    <t>10131010/040823/5013683</t>
  </si>
  <si>
    <t>5013683</t>
  </si>
  <si>
    <t>10131010/070823/3274296</t>
  </si>
  <si>
    <t>3274296</t>
  </si>
  <si>
    <t>10131010/070823/3274298</t>
  </si>
  <si>
    <t>3274298</t>
  </si>
  <si>
    <t>10131010/070823/3274301</t>
  </si>
  <si>
    <t>3274301</t>
  </si>
  <si>
    <t>10131010/070823/3274306</t>
  </si>
  <si>
    <t>3274306</t>
  </si>
  <si>
    <t>10131010/070823/3274309</t>
  </si>
  <si>
    <t>3274309</t>
  </si>
  <si>
    <t>10131010/070823/3274312</t>
  </si>
  <si>
    <t>3274312</t>
  </si>
  <si>
    <t>10131010/070823/3274317</t>
  </si>
  <si>
    <t>3274317</t>
  </si>
  <si>
    <t>10131010/070823/3274322</t>
  </si>
  <si>
    <t>3274322</t>
  </si>
  <si>
    <t>10131010/070823/3274328</t>
  </si>
  <si>
    <t>3274328</t>
  </si>
  <si>
    <t>10131010/070823/3274378</t>
  </si>
  <si>
    <t>3274378</t>
  </si>
  <si>
    <t>10131010/080823/3275097</t>
  </si>
  <si>
    <t>3275097</t>
  </si>
  <si>
    <t>10131010/080823/3275231</t>
  </si>
  <si>
    <t>3275231</t>
  </si>
  <si>
    <t>10131010/080823/3275592</t>
  </si>
  <si>
    <t>3275592</t>
  </si>
  <si>
    <t>10131010/090823/3276368</t>
  </si>
  <si>
    <t>3276368</t>
  </si>
  <si>
    <t>10131010/100823/3277251</t>
  </si>
  <si>
    <t>3277251</t>
  </si>
  <si>
    <t>10131010/100823/3278031</t>
  </si>
  <si>
    <t>3278031</t>
  </si>
  <si>
    <t>10131010/100823/3278049</t>
  </si>
  <si>
    <t>3278049</t>
  </si>
  <si>
    <t>10131010/100823/3278057</t>
  </si>
  <si>
    <t>3278057</t>
  </si>
  <si>
    <t>10131010/100823/3278304</t>
  </si>
  <si>
    <t>3278304</t>
  </si>
  <si>
    <t>10131010/100823/3278314</t>
  </si>
  <si>
    <t>3278314</t>
  </si>
  <si>
    <t>10131010/100823/3278322</t>
  </si>
  <si>
    <t>3278322</t>
  </si>
  <si>
    <t>10131010/021123/3364089</t>
  </si>
  <si>
    <t>3364089</t>
  </si>
  <si>
    <t>10131010/100823/3278345</t>
  </si>
  <si>
    <t>3278345</t>
  </si>
  <si>
    <t>10131010/140823/3280729</t>
  </si>
  <si>
    <t>3280729</t>
  </si>
  <si>
    <t>7,7010044847</t>
  </si>
  <si>
    <t>10131010/140823/3280750</t>
  </si>
  <si>
    <t>3280750</t>
  </si>
  <si>
    <t>10131010/140823/3280755</t>
  </si>
  <si>
    <t>3280755</t>
  </si>
  <si>
    <t>10131010/021123/3364790</t>
  </si>
  <si>
    <t>3364790</t>
  </si>
  <si>
    <t>10131010/140823/3280759</t>
  </si>
  <si>
    <t>3280759</t>
  </si>
  <si>
    <t>10131010/140823/3280767</t>
  </si>
  <si>
    <t>3280767</t>
  </si>
  <si>
    <t>10131010/140823/3280778</t>
  </si>
  <si>
    <t>3280778</t>
  </si>
  <si>
    <t>10131010/140823/3280785</t>
  </si>
  <si>
    <t>3280785</t>
  </si>
  <si>
    <t>10131010/140823/3281437</t>
  </si>
  <si>
    <t>3281437</t>
  </si>
  <si>
    <t>10131010/150823/3281876</t>
  </si>
  <si>
    <t>3281876</t>
  </si>
  <si>
    <t>10131010/150823/3282397</t>
  </si>
  <si>
    <t>3282397</t>
  </si>
  <si>
    <t>10131010/150823/3282817</t>
  </si>
  <si>
    <t>3282817</t>
  </si>
  <si>
    <t>10131010/150823/3282829</t>
  </si>
  <si>
    <t>3282829</t>
  </si>
  <si>
    <t>10131010/021123/3364794</t>
  </si>
  <si>
    <t>3364794</t>
  </si>
  <si>
    <t>10131010/160823/3283466</t>
  </si>
  <si>
    <t>3283466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</si>
  <si>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АССОРТИМЕНТЕ":</t>
  </si>
  <si>
    <t>10131010/091123/3371322</t>
  </si>
  <si>
    <t>3371322</t>
  </si>
  <si>
    <t>10131010/011123/3363459</t>
  </si>
  <si>
    <t>3363459</t>
  </si>
  <si>
    <t>10131010/160823/3283843</t>
  </si>
  <si>
    <t>3283843</t>
  </si>
  <si>
    <t>10131010/170823/3285181</t>
  </si>
  <si>
    <t>3285181</t>
  </si>
  <si>
    <t>10131010/170823/3285183</t>
  </si>
  <si>
    <t>3285183</t>
  </si>
  <si>
    <t>10131010/170823/3285184</t>
  </si>
  <si>
    <t>3285184</t>
  </si>
  <si>
    <t>10131010/170823/3285191</t>
  </si>
  <si>
    <t>3285191</t>
  </si>
  <si>
    <t>10131010/170823/3285290</t>
  </si>
  <si>
    <t>3285290</t>
  </si>
  <si>
    <t>10131010/170823/3285351</t>
  </si>
  <si>
    <t>3285351</t>
  </si>
  <si>
    <t>10131010/180823/3286606</t>
  </si>
  <si>
    <t>3286606</t>
  </si>
  <si>
    <t>10131010/180823/3286591</t>
  </si>
  <si>
    <t>3286591</t>
  </si>
  <si>
    <t>10131010/180823/3286592</t>
  </si>
  <si>
    <t>3286592</t>
  </si>
  <si>
    <t>10131010/180823/3286598</t>
  </si>
  <si>
    <t>3286598</t>
  </si>
  <si>
    <t>10131010/180823/3286654</t>
  </si>
  <si>
    <t>3286654</t>
  </si>
  <si>
    <t>10131010/180823/3286658</t>
  </si>
  <si>
    <t>3286658</t>
  </si>
  <si>
    <t>10131010/311023/3362213</t>
  </si>
  <si>
    <t>3362213</t>
  </si>
  <si>
    <t>10131010/180823/3286874</t>
  </si>
  <si>
    <t>3286874</t>
  </si>
  <si>
    <t>10131010/210823/3287300</t>
  </si>
  <si>
    <t>3287300</t>
  </si>
  <si>
    <t>10131010/220823/3289962</t>
  </si>
  <si>
    <t>3289962</t>
  </si>
  <si>
    <t>10131010/230823/3290202</t>
  </si>
  <si>
    <t>3290202</t>
  </si>
  <si>
    <t>10131010/230823/5018955</t>
  </si>
  <si>
    <t>5018955</t>
  </si>
  <si>
    <t>10131010/230823/5018985</t>
  </si>
  <si>
    <t>5018985</t>
  </si>
  <si>
    <t>10131010/240823/3291636</t>
  </si>
  <si>
    <t>3291636</t>
  </si>
  <si>
    <t>10131010/301023/3359705</t>
  </si>
  <si>
    <t>3359705</t>
  </si>
  <si>
    <t>10131010/240823/3292341</t>
  </si>
  <si>
    <t>3292341</t>
  </si>
  <si>
    <t>10131010/301023/3360061</t>
  </si>
  <si>
    <t>3360061</t>
  </si>
  <si>
    <t>10131010/240823/5019237</t>
  </si>
  <si>
    <t>5019237</t>
  </si>
  <si>
    <t>10131010/250823/3293015</t>
  </si>
  <si>
    <t>3293015</t>
  </si>
  <si>
    <t>10131010/301023/3360055</t>
  </si>
  <si>
    <t>3360055</t>
  </si>
  <si>
    <t>10131010/250823/3293667</t>
  </si>
  <si>
    <t>3293667</t>
  </si>
  <si>
    <t>10131010/280823/3294334</t>
  </si>
  <si>
    <t>3294334</t>
  </si>
  <si>
    <t>10131010/280823/3294899</t>
  </si>
  <si>
    <t>3294899</t>
  </si>
  <si>
    <t>10131010/280823/3295434</t>
  </si>
  <si>
    <t>3295434</t>
  </si>
  <si>
    <t>10131010/280823/5020439</t>
  </si>
  <si>
    <t>5020439</t>
  </si>
  <si>
    <t>10131010/280823/5020452</t>
  </si>
  <si>
    <t>5020452</t>
  </si>
  <si>
    <t>10131010/290823/3296794</t>
  </si>
  <si>
    <t>3296794</t>
  </si>
  <si>
    <t>10131010/301023/3359647</t>
  </si>
  <si>
    <t>3359647</t>
  </si>
  <si>
    <t>10131010/290823/3296980</t>
  </si>
  <si>
    <t>3296980</t>
  </si>
  <si>
    <t>10131010/290823/3296996</t>
  </si>
  <si>
    <t>3296996</t>
  </si>
  <si>
    <t>10131010/290823/5020743</t>
  </si>
  <si>
    <t>5020743</t>
  </si>
  <si>
    <t>10131010/290823/5020749</t>
  </si>
  <si>
    <t>5020749</t>
  </si>
  <si>
    <t>10131010/290823/5020771</t>
  </si>
  <si>
    <t>5020771</t>
  </si>
  <si>
    <t>10131010/300823/3298066</t>
  </si>
  <si>
    <t>3298066</t>
  </si>
  <si>
    <t>10131010/300823/3298467</t>
  </si>
  <si>
    <t>3298467</t>
  </si>
  <si>
    <t>10131010/300823/3298510</t>
  </si>
  <si>
    <t>3298510</t>
  </si>
  <si>
    <t>10131010/300823/3298530</t>
  </si>
  <si>
    <t>3298530</t>
  </si>
  <si>
    <t>10131010/311023/3362194</t>
  </si>
  <si>
    <t>3362194</t>
  </si>
  <si>
    <t>10131010/300823/5020960</t>
  </si>
  <si>
    <t>5020960</t>
  </si>
  <si>
    <t>10131010/300823/5020971</t>
  </si>
  <si>
    <t>5020971</t>
  </si>
  <si>
    <t>10131010/311023/3362192</t>
  </si>
  <si>
    <t>3362192</t>
  </si>
  <si>
    <t>10131010/310823/5021240</t>
  </si>
  <si>
    <t>5021240</t>
  </si>
  <si>
    <t>11209159-11209159</t>
  </si>
  <si>
    <t>10131010/311023/3362191</t>
  </si>
  <si>
    <t>3362191</t>
  </si>
  <si>
    <t>10131010/310823/3299344</t>
  </si>
  <si>
    <t>3299344</t>
  </si>
  <si>
    <t>11216463-11216463</t>
  </si>
  <si>
    <t>10131010/010923/5021604</t>
  </si>
  <si>
    <t>5021604</t>
  </si>
  <si>
    <t>10131010/040923/3301973</t>
  </si>
  <si>
    <t>3301973</t>
  </si>
  <si>
    <t>10131010/040923/3301972</t>
  </si>
  <si>
    <t>3301972</t>
  </si>
  <si>
    <t>10131010/301023/3359764</t>
  </si>
  <si>
    <t>3359764</t>
  </si>
  <si>
    <t>10131010/040923/3301930</t>
  </si>
  <si>
    <t>3301930</t>
  </si>
  <si>
    <t>10131010/040923/3301929</t>
  </si>
  <si>
    <t>3301929</t>
  </si>
  <si>
    <t>10131010/040923/3301944</t>
  </si>
  <si>
    <t>3301944</t>
  </si>
  <si>
    <t>10131010/040923/3301943</t>
  </si>
  <si>
    <t>3301943</t>
  </si>
  <si>
    <t>10131010/050923/3303192</t>
  </si>
  <si>
    <t>3303192</t>
  </si>
  <si>
    <t>10131010/050923/3303251</t>
  </si>
  <si>
    <t>3303251</t>
  </si>
  <si>
    <t>10131010/060923/3304655</t>
  </si>
  <si>
    <t>3304655</t>
  </si>
  <si>
    <t>10131010/271023/3357918</t>
  </si>
  <si>
    <t>3357918</t>
  </si>
  <si>
    <t>10131010/060923/3304631</t>
  </si>
  <si>
    <t>3304631</t>
  </si>
  <si>
    <t>10131010/060923/3304554</t>
  </si>
  <si>
    <t>3304554</t>
  </si>
  <si>
    <t>10131010/271023/3357933</t>
  </si>
  <si>
    <t>3357933</t>
  </si>
  <si>
    <t>10131010/301023/3359947</t>
  </si>
  <si>
    <t>3359947</t>
  </si>
  <si>
    <t>10131010/060923/3304555</t>
  </si>
  <si>
    <t>3304555</t>
  </si>
  <si>
    <t>10131010/271023/3357917</t>
  </si>
  <si>
    <t>3357917</t>
  </si>
  <si>
    <t>10131010/070923/3305507</t>
  </si>
  <si>
    <t>3305507</t>
  </si>
  <si>
    <t>10131010/271023/3358070</t>
  </si>
  <si>
    <t>3358070</t>
  </si>
  <si>
    <t>10131010/070923/3306004</t>
  </si>
  <si>
    <t>3306004</t>
  </si>
  <si>
    <t>10131010/231023/3353212</t>
  </si>
  <si>
    <t>3353212</t>
  </si>
  <si>
    <t>10131010/070923/3305647</t>
  </si>
  <si>
    <t>3305647</t>
  </si>
  <si>
    <t>10131010/070923/3305773</t>
  </si>
  <si>
    <t>3305773</t>
  </si>
  <si>
    <t>10131010/070923/3305705</t>
  </si>
  <si>
    <t>3305705</t>
  </si>
  <si>
    <t>10131010/070923/3305936</t>
  </si>
  <si>
    <t>3305936</t>
  </si>
  <si>
    <t>10131010/080923/3307207</t>
  </si>
  <si>
    <t>3307207</t>
  </si>
  <si>
    <t>10131010/080923/3306761</t>
  </si>
  <si>
    <t>3306761</t>
  </si>
  <si>
    <t>10131010/080923/3306523</t>
  </si>
  <si>
    <t>3306523</t>
  </si>
  <si>
    <t>10131010/241023/3354788</t>
  </si>
  <si>
    <t>3354788</t>
  </si>
  <si>
    <t>10131010/080923/3307206</t>
  </si>
  <si>
    <t>3307206</t>
  </si>
  <si>
    <t>10131010/080923/3306799</t>
  </si>
  <si>
    <t>3306799</t>
  </si>
  <si>
    <t>10131010/080923/3306497</t>
  </si>
  <si>
    <t>3306497</t>
  </si>
  <si>
    <t>10131010/080923/3306331</t>
  </si>
  <si>
    <t>3306331</t>
  </si>
  <si>
    <t>10131010/080923/3306939</t>
  </si>
  <si>
    <t>3306939</t>
  </si>
  <si>
    <t>10131010/080923/3307230</t>
  </si>
  <si>
    <t>3307230</t>
  </si>
  <si>
    <t>10131010/110923/3308469</t>
  </si>
  <si>
    <t>3308469</t>
  </si>
  <si>
    <t>10131010/120923/3309700</t>
  </si>
  <si>
    <t>3309700</t>
  </si>
  <si>
    <t>10131010/130923/5025050</t>
  </si>
  <si>
    <t>5025050</t>
  </si>
  <si>
    <t>10131010/130923/3311371</t>
  </si>
  <si>
    <t>3311371</t>
  </si>
  <si>
    <t>10131010/261023/3357287</t>
  </si>
  <si>
    <t>3357287</t>
  </si>
  <si>
    <t>10131010/140923/5025278</t>
  </si>
  <si>
    <t>5025278</t>
  </si>
  <si>
    <t>10131010/261023/3356519</t>
  </si>
  <si>
    <t>3356519</t>
  </si>
  <si>
    <t>10131010/241023/3354812</t>
  </si>
  <si>
    <t>3354812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</si>
  <si>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 (ПОСТАВЛЯЕТСЯ В КАЧЕСТВЕ ОБРАЗЦОВ ДЛЯ ПРОВЕДЕНИЯ РАБОТ ПО ОЦЕНКЕ СООТВЕТСТВИЯ (ИССЛЕДОВАНИЙ И</t>
  </si>
  <si>
    <t>10131010/261023/3356515</t>
  </si>
  <si>
    <t>3356515</t>
  </si>
  <si>
    <t>10131010/150923/3313857</t>
  </si>
  <si>
    <t>3313857</t>
  </si>
  <si>
    <t>10131010/231023/5036452</t>
  </si>
  <si>
    <t>5036452</t>
  </si>
  <si>
    <t>10131010/231023/5036333</t>
  </si>
  <si>
    <t>5036333</t>
  </si>
  <si>
    <t>10131010/150923/3313175</t>
  </si>
  <si>
    <t>3313175</t>
  </si>
  <si>
    <t>10131010/251023/3355966</t>
  </si>
  <si>
    <t>3355966</t>
  </si>
  <si>
    <t>10131010/150923/3313868</t>
  </si>
  <si>
    <t>3313868</t>
  </si>
  <si>
    <t>10131010/231023/3353589</t>
  </si>
  <si>
    <t>3353589</t>
  </si>
  <si>
    <t>10131010/241023/3354702</t>
  </si>
  <si>
    <t>3354702</t>
  </si>
  <si>
    <t>10131010/180923/3315875</t>
  </si>
  <si>
    <t>3315875</t>
  </si>
  <si>
    <t>10131010/110923/3308472</t>
  </si>
  <si>
    <t>3308472</t>
  </si>
  <si>
    <t>10131010/241023/3354563</t>
  </si>
  <si>
    <t>3354563</t>
  </si>
  <si>
    <t>10131010/120923/3310011</t>
  </si>
  <si>
    <t>3310011</t>
  </si>
  <si>
    <t>10131010/120923/3309657</t>
  </si>
  <si>
    <t>3309657</t>
  </si>
  <si>
    <t>10131010/130923/3311369</t>
  </si>
  <si>
    <t>3311369</t>
  </si>
  <si>
    <t>10131010/180923/3315814</t>
  </si>
  <si>
    <t>3315814</t>
  </si>
  <si>
    <t>10131010/180923/3314830</t>
  </si>
  <si>
    <t>3314830</t>
  </si>
  <si>
    <t>10131010/180923/3314853</t>
  </si>
  <si>
    <t>3314853</t>
  </si>
  <si>
    <t>КОРМ ДЛЯ КОШЕК, РАСФАСОВАННЫЙ ДЛЯ РОЗНИЧНОЙ ПРОДАЖИ, БЕЗ СОДЕРЖАНИЯ КРАХМАЛА, БЕЗ СОДЕРЖАНИЯ МОЛОЧНЫХ ПРОДУКТОВ, В АССОРТИМЕНТЕ</t>
  </si>
  <si>
    <t>10131010/180923/3315595</t>
  </si>
  <si>
    <t>3315595</t>
  </si>
  <si>
    <t>10131010/180923/3314774</t>
  </si>
  <si>
    <t>3314774</t>
  </si>
  <si>
    <t>10131010/110923/3308948</t>
  </si>
  <si>
    <t>3308948</t>
  </si>
  <si>
    <t>10131010/110923/3308492</t>
  </si>
  <si>
    <t>3308492</t>
  </si>
  <si>
    <t>10131010/110923/3308463</t>
  </si>
  <si>
    <t>3308463</t>
  </si>
  <si>
    <t>10131010/110923/3309079</t>
  </si>
  <si>
    <t>3309079</t>
  </si>
  <si>
    <t>10131010/110923/3308523</t>
  </si>
  <si>
    <t>3308523</t>
  </si>
  <si>
    <t>10131010/110923/3308487</t>
  </si>
  <si>
    <t>3308487</t>
  </si>
  <si>
    <t>10131010/110923/3308571</t>
  </si>
  <si>
    <t>3308571</t>
  </si>
  <si>
    <t>10131010/120923/3309477</t>
  </si>
  <si>
    <t>3309477</t>
  </si>
  <si>
    <t>10131010/130923/5024962</t>
  </si>
  <si>
    <t>5024962</t>
  </si>
  <si>
    <t>10131010/130923/5024964</t>
  </si>
  <si>
    <t>5024964</t>
  </si>
  <si>
    <t>10131010/140923/5025244</t>
  </si>
  <si>
    <t>5025244</t>
  </si>
  <si>
    <t>10131010/150923/3313866</t>
  </si>
  <si>
    <t>3313866</t>
  </si>
  <si>
    <t>10131010/180923/3314846</t>
  </si>
  <si>
    <t>3314846</t>
  </si>
  <si>
    <t>10131010/180923/3315321</t>
  </si>
  <si>
    <t>3315321</t>
  </si>
  <si>
    <t>10131010/200923/3317659</t>
  </si>
  <si>
    <t>3317659</t>
  </si>
  <si>
    <t>10131010/200923/3318829</t>
  </si>
  <si>
    <t>3318829</t>
  </si>
  <si>
    <t>10131010/200923/3318527</t>
  </si>
  <si>
    <t>3318527</t>
  </si>
  <si>
    <t>10131010/210923/3319080</t>
  </si>
  <si>
    <t>3319080</t>
  </si>
  <si>
    <t>10131010/250923/3323280</t>
  </si>
  <si>
    <t>3323280</t>
  </si>
  <si>
    <t>10131010/250923/3322322</t>
  </si>
  <si>
    <t>3322322</t>
  </si>
  <si>
    <t>10131010/280923/5029300</t>
  </si>
  <si>
    <t>5029300</t>
  </si>
  <si>
    <t>10131010/210923/3319096</t>
  </si>
  <si>
    <t>3319096</t>
  </si>
  <si>
    <t>10131010/210923/5027166</t>
  </si>
  <si>
    <t>5027166</t>
  </si>
  <si>
    <t>10131010/250923/3322311</t>
  </si>
  <si>
    <t>3322311</t>
  </si>
  <si>
    <t>10131010/250923/3322630</t>
  </si>
  <si>
    <t>3322630</t>
  </si>
  <si>
    <t>10131010/250923/3322541</t>
  </si>
  <si>
    <t>3322541</t>
  </si>
  <si>
    <t>10012020/251023/3064812</t>
  </si>
  <si>
    <t>3064812</t>
  </si>
  <si>
    <t>B-3012, , LEUVEN (WILSELE), AARSCHOTSESTEENWEG 26,</t>
  </si>
  <si>
    <t>УЛ.КОММУНАЛЬНАЯ,4</t>
  </si>
  <si>
    <t>ВЫРЖЕМКОВСКИЙ</t>
  </si>
  <si>
    <t>10131010/250923/3322312</t>
  </si>
  <si>
    <t>3322312</t>
  </si>
  <si>
    <t>10131010/260923/5028669</t>
  </si>
  <si>
    <t>5028669</t>
  </si>
  <si>
    <t>10131010/210923/3319076</t>
  </si>
  <si>
    <t>3319076</t>
  </si>
  <si>
    <t>10131010/210923/3319377</t>
  </si>
  <si>
    <t>3319377</t>
  </si>
  <si>
    <t>10131010/210923/3319826</t>
  </si>
  <si>
    <t>3319826</t>
  </si>
  <si>
    <t>10131010/210923/3319056</t>
  </si>
  <si>
    <t>3319056</t>
  </si>
  <si>
    <t>10131010/210923/3319039</t>
  </si>
  <si>
    <t>3319039</t>
  </si>
  <si>
    <t>10131010/220923/3320386</t>
  </si>
  <si>
    <t>3320386</t>
  </si>
  <si>
    <t>10131010/250923/3322626</t>
  </si>
  <si>
    <t>3322626</t>
  </si>
  <si>
    <t>10131010/250923/3322551</t>
  </si>
  <si>
    <t>3322551</t>
  </si>
  <si>
    <t>10131010/250923/3322321</t>
  </si>
  <si>
    <t>3322321</t>
  </si>
  <si>
    <t>10131010/250923/3322324</t>
  </si>
  <si>
    <t>3322324</t>
  </si>
  <si>
    <t>10131010/250923/3322589</t>
  </si>
  <si>
    <t>3322589</t>
  </si>
  <si>
    <t>10131010/260923/5028726</t>
  </si>
  <si>
    <t>5028726</t>
  </si>
  <si>
    <t>10131010/260923/3323987</t>
  </si>
  <si>
    <t>3323987</t>
  </si>
  <si>
    <t>10131010/280923/3327083</t>
  </si>
  <si>
    <t>3327083</t>
  </si>
  <si>
    <t>10131010/280923/5029291</t>
  </si>
  <si>
    <t>5029291</t>
  </si>
  <si>
    <t>10131010/280923/3328068</t>
  </si>
  <si>
    <t>3328068</t>
  </si>
  <si>
    <t>10131010/290923/5029444</t>
  </si>
  <si>
    <t>5029444</t>
  </si>
  <si>
    <t>10131010/051023/3335886</t>
  </si>
  <si>
    <t>3335886</t>
  </si>
  <si>
    <t>10131010/021023/3330352</t>
  </si>
  <si>
    <t>3330352</t>
  </si>
  <si>
    <t>10131010/041023/3334046</t>
  </si>
  <si>
    <t>3334046</t>
  </si>
  <si>
    <t>10131010/091023/3339203</t>
  </si>
  <si>
    <t>3339203</t>
  </si>
  <si>
    <t>10131010/101023/3340301</t>
  </si>
  <si>
    <t>3340301</t>
  </si>
  <si>
    <t>10131010/031023/3332208</t>
  </si>
  <si>
    <t>3332208</t>
  </si>
  <si>
    <t>10131010/091023/3337926</t>
  </si>
  <si>
    <t>3337926</t>
  </si>
  <si>
    <t>10131010/191023/3350100</t>
  </si>
  <si>
    <t>3350100</t>
  </si>
  <si>
    <t>10131010/091023/5032408</t>
  </si>
  <si>
    <t>5032408</t>
  </si>
  <si>
    <t>10131010/021023/5030315</t>
  </si>
  <si>
    <t>5030315</t>
  </si>
  <si>
    <t>10131010/051023/3335638</t>
  </si>
  <si>
    <t>3335638</t>
  </si>
  <si>
    <t>10131010/091023/5032411</t>
  </si>
  <si>
    <t>5032411</t>
  </si>
  <si>
    <t>10131010/191023/5035308</t>
  </si>
  <si>
    <t>5035308</t>
  </si>
  <si>
    <t>10131010/201023/3350650</t>
  </si>
  <si>
    <t>3350650</t>
  </si>
  <si>
    <t>10131010/191023/3349355</t>
  </si>
  <si>
    <t>3349355</t>
  </si>
  <si>
    <t>КОРМ ДЛЯ СОБАК И КОШЕК, РАСФАСОВАННЫЙ ДЛЯ РОЗНИЧНОЙ ПРОДАЖИ, БЕЗ СОДЕРЖАНИЯ КРАХМАЛА, БЕЗ СОДЕРЖАНИЯ МОЛОЧНЫХ ПРОДУКТОВ, БЕЗ СОДЕРЖАНИЯ ГМО, В АССОРТИМЕНТЕ</t>
  </si>
  <si>
    <t>10131010/051023/3334907</t>
  </si>
  <si>
    <t>3334907</t>
  </si>
  <si>
    <t>10131010/051023/3334892</t>
  </si>
  <si>
    <t>3334892</t>
  </si>
  <si>
    <t>10131010/041023/3333962</t>
  </si>
  <si>
    <t>3333962</t>
  </si>
  <si>
    <t>10131010/101023/3340509</t>
  </si>
  <si>
    <t>3340509</t>
  </si>
  <si>
    <t>10131010/121023/3342944</t>
  </si>
  <si>
    <t>3342944</t>
  </si>
  <si>
    <t>10131010/051023/3335376</t>
  </si>
  <si>
    <t>3335376</t>
  </si>
  <si>
    <t>10131010/111023/3341251</t>
  </si>
  <si>
    <t>3341251</t>
  </si>
  <si>
    <t>10131010/161023/3344985</t>
  </si>
  <si>
    <t>3344985</t>
  </si>
  <si>
    <t>10131010/161023/5034363</t>
  </si>
  <si>
    <t>5034363</t>
  </si>
  <si>
    <t>10131010/161023/3346336</t>
  </si>
  <si>
    <t>3346336</t>
  </si>
  <si>
    <t>10131010/181023/3348987</t>
  </si>
  <si>
    <t>3348987</t>
  </si>
  <si>
    <t>10131010/161023/3344976</t>
  </si>
  <si>
    <t>3344976</t>
  </si>
  <si>
    <t>10131010/121023/3342961</t>
  </si>
  <si>
    <t>3342961</t>
  </si>
  <si>
    <t>10131010/171023/3347528</t>
  </si>
  <si>
    <t>3347528</t>
  </si>
  <si>
    <t>10131010/171023/5034665</t>
  </si>
  <si>
    <t>5034665</t>
  </si>
  <si>
    <t>10131010/131023/3344230</t>
  </si>
  <si>
    <t>3344230</t>
  </si>
  <si>
    <t>10131010/161023/3346280</t>
  </si>
  <si>
    <t>3346280</t>
  </si>
  <si>
    <t>10131010/311222/3564316</t>
  </si>
  <si>
    <t>3564316</t>
  </si>
  <si>
    <t>BDR THERMEA HVAC CO., LTD</t>
  </si>
  <si>
    <t>314000, , JIAXING, NO. 2000 GUANGQIONG ROAD,</t>
  </si>
  <si>
    <t>1087746423005</t>
  </si>
  <si>
    <t>7717615508</t>
  </si>
  <si>
    <t>ООО БДР ТЕРМИЯ РУС ЧЕРЕЗ АО ТАСКОМ</t>
  </si>
  <si>
    <t>129164, , Г. МОСКВА, ПЕР. ЗУБАРЕВ, Д.15, КОРП.1, ЭТ. 3, ПОМ.1, КОМ. 67Г</t>
  </si>
  <si>
    <t>771701001</t>
  </si>
  <si>
    <t>ООО БДР ТЕРМИЯ РУС</t>
  </si>
  <si>
    <t>CN</t>
  </si>
  <si>
    <t>КИТАЙ</t>
  </si>
  <si>
    <t>JIAXING</t>
  </si>
  <si>
    <t>22060044/0001/0000/2/1</t>
  </si>
  <si>
    <t>КОТЛЫ ЦЕНТРАЛЬНОГО ОТОПЛЕНИЯ, СТАЛЬНЫЕ, АССОРТИМЕНТ</t>
  </si>
  <si>
    <t>ШТ</t>
  </si>
  <si>
    <t>8403109000</t>
  </si>
  <si>
    <t>0719/00-16-055</t>
  </si>
  <si>
    <t>БЫКОВА ЛЮБОВЬ АЛЕКСАНДРОВНА</t>
  </si>
  <si>
    <t>10131010/311222/3564309</t>
  </si>
  <si>
    <t>3564309</t>
  </si>
  <si>
    <t>10131010/311222/3564308</t>
  </si>
  <si>
    <t>3564308</t>
  </si>
  <si>
    <t>10131010/311222/3564303</t>
  </si>
  <si>
    <t>3564303</t>
  </si>
  <si>
    <t>10131010/311222/3564307</t>
  </si>
  <si>
    <t>3564307</t>
  </si>
  <si>
    <t>10131010/161222/3542403</t>
  </si>
  <si>
    <t>3542403</t>
  </si>
  <si>
    <t>BAXI S.P.A.</t>
  </si>
  <si>
    <t>36061, VICENZA, BASSANO DEL GRAPPA, VIA TROZZETTI 20,</t>
  </si>
  <si>
    <t>IT</t>
  </si>
  <si>
    <t>ИТАЛИЯ</t>
  </si>
  <si>
    <t>БАССАНО ДЕЛЬ ГРАППА</t>
  </si>
  <si>
    <t>14100003/0001/0000/2/1</t>
  </si>
  <si>
    <t>10113/301110/10022/4</t>
  </si>
  <si>
    <t>СМОЛЕНСКАЯ ОБЛ.</t>
  </si>
  <si>
    <t>Г. ЯРЦЕВО</t>
  </si>
  <si>
    <t>УЛ. 2-Я МАШИНОСТРОИТЕЛЬНАЯ, СТР. 5/3</t>
  </si>
  <si>
    <t>10113070 т/п Ярцевский</t>
  </si>
  <si>
    <t>КОТЛЫ ЦЕНТРАЛЬНОГО ОТОПЛЕНИЯ, СТАЛЬНЫЕ, ВЕС БРУТТО С ПОДДОНАМИ 17270.0 КГ., АССОРТИМЕНТ</t>
  </si>
  <si>
    <t>10013160/161222/5001883</t>
  </si>
  <si>
    <t>5001883</t>
  </si>
  <si>
    <t>КОТЛЫ ЦЕНТРАЛЬНОГО ОТОПЛЕНИЯ, СТАЛЬНЫЕ, ВЕС БРУТТО С ПОДДОНАМИ 13990.70 КГ., АССОРТИМЕНТ</t>
  </si>
  <si>
    <t>10228010/161222/3411226</t>
  </si>
  <si>
    <t>3411226</t>
  </si>
  <si>
    <t>RIMA ISI SISTEMLERI SAN. A.S.</t>
  </si>
  <si>
    <t>34806, ISTANBUL, BASAKSEHIR, IKITELLI OSB MAHALESI 25.CADDE NO:10/A,</t>
  </si>
  <si>
    <t>1107847406237</t>
  </si>
  <si>
    <t>7820323555</t>
  </si>
  <si>
    <t>ООО ТЕРМЕКС ГАЗПРО</t>
  </si>
  <si>
    <t>196105, Г., САНКТ-ПЕТЕРБУРГ, УЛ. КУЗНЕЦОВСКАЯ, Д.52, КОРПУС 22, ЛИТЕР Г,</t>
  </si>
  <si>
    <t>781001001</t>
  </si>
  <si>
    <t>TR</t>
  </si>
  <si>
    <t>ТУРЦИЯ</t>
  </si>
  <si>
    <t>ISTANBUL</t>
  </si>
  <si>
    <t>USD</t>
  </si>
  <si>
    <t>22040530/0436/0000/2/1</t>
  </si>
  <si>
    <t>10102/091210/10039/3</t>
  </si>
  <si>
    <t>БРЯНСКАЯ ОБЛАСТЬ, Р-Н БРЯНСКИЙ</t>
  </si>
  <si>
    <t>П. СВЕНЬ</t>
  </si>
  <si>
    <t>УЛ. СОБОРНАЯ</t>
  </si>
  <si>
    <t>10102032 ОТО и ТК №2 т/п Брянский</t>
  </si>
  <si>
    <t>КОТЛЫ ГАЗОВЫЕ ОТОПИТЕЛЬНЫЕ ВОДОГРЕЙНЫЕ, ДЛЯ СИСТЕМ ВОДЯНОГО ОТОПЛЕНИЯ И ГОРЯЧЕГО ВОДОСНАБЖЕНИЯ (НЕ ИЗ ЧУГУННОГО ЛИТЬЯ, НЕ ПРЕДНАЗНАЧЕНЫ ДЛЯ ПРОИЗВОДСТВА ПАРА, НЕ ВОЕННОГО НАЗНАЧЕНИЯ)</t>
  </si>
  <si>
    <t>RIMA ISI SISTEMLERI SAN.TIC.A.S.</t>
  </si>
  <si>
    <t>СПБ-А-015</t>
  </si>
  <si>
    <t>КОРНОУХОВА ТАТЬЯНА СЕРГЕЕВНА</t>
  </si>
  <si>
    <t>10131010/161222/3542462</t>
  </si>
  <si>
    <t>3542462</t>
  </si>
  <si>
    <t>BDR THERMEA FRANCE S.A.S.</t>
  </si>
  <si>
    <t>67580, MERTZWILLER, B.P.30, 57 RUE DE LA GARE,</t>
  </si>
  <si>
    <t>129164, ГОРОД, МОСКВА, ЗУБАРЕВ ПЕРЕУЛОК, ДОМ 15, КОРПУС 1, ЭТ.3, ПОМ.1, КОМ.67Г</t>
  </si>
  <si>
    <t>MERTZWILLER</t>
  </si>
  <si>
    <t>16120140/0001/0000/2/1</t>
  </si>
  <si>
    <t>Г. РОСЛАВЛЬ</t>
  </si>
  <si>
    <t>УЛ. КАРЛА МАРКСА, Д. 166</t>
  </si>
  <si>
    <t>10113050 т/п Рославльский</t>
  </si>
  <si>
    <t>КОТЛЫ ЦЕНТРАЛЬНОГО ОТОПЛЕНИЯ НЕ ИЗ ЧУГУННОГО ЛИТЬЯ, НЕВОЕННОГО НАЗНАЧЕНИЯ, АССОРТИМЕНТ</t>
  </si>
  <si>
    <t>BDR THERMEA FRANCE S.A.S</t>
  </si>
  <si>
    <t>10323010/161222/3178880</t>
  </si>
  <si>
    <t>10323010</t>
  </si>
  <si>
    <t>3178880</t>
  </si>
  <si>
    <t>S PLUSZ K TECHNIK KFT</t>
  </si>
  <si>
    <t>4400, HUNGARY, NYIREGYHAZA, VAY ADAM KRT.4-6. 2/208,</t>
  </si>
  <si>
    <t>1026102578017</t>
  </si>
  <si>
    <t>6154001478</t>
  </si>
  <si>
    <t>ООО ЛЕМАКС</t>
  </si>
  <si>
    <t>347913, ОБЛАСТЬ РОСТОВСКАЯ, ТАГАНРОГ, УЛИЦА НИКОЛАЕВСКОЕ ШОССЕ, Д0М.10, КОРПУС В</t>
  </si>
  <si>
    <t>60000</t>
  </si>
  <si>
    <t>615401001</t>
  </si>
  <si>
    <t>HU</t>
  </si>
  <si>
    <t>ВЕНГРИЯ</t>
  </si>
  <si>
    <t>ZSURK</t>
  </si>
  <si>
    <t>19060035/1481/1898/2/1</t>
  </si>
  <si>
    <t>197761</t>
  </si>
  <si>
    <t>САНКТ-ПЕТЕРБУРГ</t>
  </si>
  <si>
    <t>КРОНШТАДТ</t>
  </si>
  <si>
    <t>КРОНШТАДТСКОЕ Ш., Д.33, ЛИТЕР А</t>
  </si>
  <si>
    <t>КОТЛЫ ОТОПИТЕЛЬНЫЕ ЭЛЕКТРИЧЕСКИЕ , ПРЕДНАЗНАЧЕНЫ ДЛЯ ОТОПЛЕНИЯ ПОМЕЩЕНИЙ ТОРГОВОЙ МАРКИ LEMАХ</t>
  </si>
  <si>
    <t>S PLUSZ K TECHNIK KFT.</t>
  </si>
  <si>
    <t>С</t>
  </si>
  <si>
    <t>0149/01-173</t>
  </si>
  <si>
    <t>АНТРОПОВА ОЛЬГА ВЕНИАМИНОВНА</t>
  </si>
  <si>
    <t>10131010/301222/3563667</t>
  </si>
  <si>
    <t>3563667</t>
  </si>
  <si>
    <t>ZHONGSHAN POWTEK APPLIANCES MFG.,LTD</t>
  </si>
  <si>
    <t>, GUANGDONG, ZHONGSHAN, 23 HEALTH ROAD,</t>
  </si>
  <si>
    <t>1094025002246</t>
  </si>
  <si>
    <t>4025422770</t>
  </si>
  <si>
    <t>АО ТАСКОМ</t>
  </si>
  <si>
    <t>249020, КАЛУЖСКАЯ ОБЛАСТЬ, РАЙОН БОРОВСКИЙ, СЕЛО ВОРСИНО, СЕВЕРНАЯ ПРОМЫШЛЕННАЯ</t>
  </si>
  <si>
    <t>29000</t>
  </si>
  <si>
    <t>402501001</t>
  </si>
  <si>
    <t>1157154020979</t>
  </si>
  <si>
    <t>7104068905</t>
  </si>
  <si>
    <t>ООО ТУЛЬСКИЙ ЗАВОД ГАЗОВОГО ОБОРУДОВАНИЯ</t>
  </si>
  <si>
    <t>301212, ТУЛЬСКАЯ ОБЛАСТЬ, ЩЕКИНСКИЙ М.Р-Н, РАБОЧИЙ ПОСЕЛОК ПЕРВОМАЙСКИЙ Г.П., СИ</t>
  </si>
  <si>
    <t>70000</t>
  </si>
  <si>
    <t>710401001</t>
  </si>
  <si>
    <t>FOB</t>
  </si>
  <si>
    <t>ZHONGSHAN</t>
  </si>
  <si>
    <t>CNY</t>
  </si>
  <si>
    <t>22100053/3475/0000/2/1</t>
  </si>
  <si>
    <t>10106/100913/10053/8</t>
  </si>
  <si>
    <t>249020</t>
  </si>
  <si>
    <t>КОТЛЫ ЦЕНТРАЛЬНОГО ОТОПЛЕНИЯ, РАБОТАЮЩИЕ НА ПРИРОДНОМ ИЛИ СЖИЖЕННОМ ГАЗЕ. ПРЕДНАЗНАЧЕНЫ ДЛЯ ОТОПЛЕНИЯ И ГОРЯЧЕГО ВОДОСНАБЖЕНИЯ ЖИЛЫХ ПОМЕЩЕНИЙ.</t>
  </si>
  <si>
    <t>POWTEK INTERNATIONAL HOLDINGS LIMITED ZHONGSHAN POWTEK APPLIANCES MFG., LTD.</t>
  </si>
  <si>
    <t>БАТАЕВ ИЛЬЯ СЕРГЕЕВИЧ</t>
  </si>
  <si>
    <t>10317120/301222/3176625</t>
  </si>
  <si>
    <t>10317120</t>
  </si>
  <si>
    <t>3176625</t>
  </si>
  <si>
    <t>VARMECOM INDUSTRY(VARMECOM ENDUSTRIYEL SANAYI VE TICARET ANONIM SIRKETI)</t>
  </si>
  <si>
    <t>49308, ODUNPAZARI, ESKISEHIR, KOBI ORGANIZE SANAYI BOLGESI 75 YIL OSB MAH. 104 C</t>
  </si>
  <si>
    <t>1131650002494</t>
  </si>
  <si>
    <t>1650258175</t>
  </si>
  <si>
    <t>ООО ТД ГИГАЗ</t>
  </si>
  <si>
    <t>450000, РЕСПУБЛИКА БАШКОРТОСТАН, Г. УФА, УЛ. 50-ЛЕТИЯ ОКТЯБРЯ, 15</t>
  </si>
  <si>
    <t>80000</t>
  </si>
  <si>
    <t>027801001</t>
  </si>
  <si>
    <t>ESKISEHIR</t>
  </si>
  <si>
    <t>22080001/0067/0000/2/1</t>
  </si>
  <si>
    <t>10317000/031221/00006/2</t>
  </si>
  <si>
    <t>КРАСНОДАРСКИЙ КРАЙ</t>
  </si>
  <si>
    <t>НОВОРОССИЙСК</t>
  </si>
  <si>
    <t>УЛ. СУХУМСКОЕ ШОССЕ, ПЗТК ООО НУТЭП</t>
  </si>
  <si>
    <t>10317110 т/п Новороссийский юго-восточный</t>
  </si>
  <si>
    <t>КОТЕЛЬНАЯ АВТОМАТИЗИРОВАННАЯ ИЗ МЕТАЛЛА(НЕ ИЗ ЧУГУНА), НОМИНАЛЬНОЙ ТЕПЛОПРОИЗВОДИТЕЛЬНОСТЬЮ ДО 33 КВТ. ПРЕДНАЗНАЧЕНА ДЛЯ ИСПОЛЬЗОВАНИЯ В КАЧЕСТВЕ ИСТОЧНИКА ТЕПЛОНОСИТЕЛЯ И ГОРЯЧЕЙ ВОДЫ ДЛЯ ЗДАНИЙ И СООРУЖЕНИЙ РАЗЛИЧНОГО НАЗНАЧЕНИЯ. КОТЕЛЬНАЯ</t>
  </si>
  <si>
    <t>VARMECOM INDUSTRY</t>
  </si>
  <si>
    <t>0491/01-15/009</t>
  </si>
  <si>
    <t>ЗАРИПОВ ЭДУАРД КАМИЛЬЕВИЧ</t>
  </si>
  <si>
    <t>10012020/301222/3103030</t>
  </si>
  <si>
    <t>3103030</t>
  </si>
  <si>
    <t>78</t>
  </si>
  <si>
    <t>BEIJING KYUNGDONG NAVIEN HEAT ENERGY EQUIPMENT CO., LTD.</t>
  </si>
  <si>
    <t>, SHUNYI DISTRICT,BEIJING,P.R.CHINA, BEIJING, 27,JUYUAN EAST ROAD MAPO TOWN,</t>
  </si>
  <si>
    <t>1053900004971</t>
  </si>
  <si>
    <t>3908030301</t>
  </si>
  <si>
    <t>ООО ПАВИАН</t>
  </si>
  <si>
    <t>238324, КАЛИНИНГРАДСКАЯ ОБЛ.,ГУРЬЕВСКИЙ Р-Н, П.НЕВСКОЕ, УЛ.ГАГАРИНА, Д. 230А, ОФ</t>
  </si>
  <si>
    <t>CIF</t>
  </si>
  <si>
    <t>КАЛИНИНГРАД</t>
  </si>
  <si>
    <t>22060008/1307/0000/2/1</t>
  </si>
  <si>
    <t>97</t>
  </si>
  <si>
    <t>10012000/281221/00042/4</t>
  </si>
  <si>
    <t>КАЛИНИНГРАДСКАЯ</t>
  </si>
  <si>
    <t>Г.КАЛИНИНГРАД</t>
  </si>
  <si>
    <t>СТ.КАЛИНИНГРАД-СОРТИРОВОЧНЫЙ,УЛ. ПОРТОВАЯ, Д. 27А</t>
  </si>
  <si>
    <t>10012040 т/п Московский</t>
  </si>
  <si>
    <t>КОТЛЫ БЫТОВЫЕ ЦЕНТРАЛЬНОГО ОТОПЛЕНИЯ, ВОДОГРЕЙНЫЕ, ГАЗОВЫЕ В СТАЛЬНОМ КОРПУСЕ</t>
  </si>
  <si>
    <t>BEIJING KYUNGDONG NAVIEN HEAT ENERGY EQUIPMENT CO., LTD</t>
  </si>
  <si>
    <t>ООПП-ПП</t>
  </si>
  <si>
    <t>ГОЛУНЦОВ ЮРИЙ МИХАЙЛОВИЧ</t>
  </si>
  <si>
    <t>10131010/301222/3563723</t>
  </si>
  <si>
    <t>3563723</t>
  </si>
  <si>
    <t>10317120/301222/3176508</t>
  </si>
  <si>
    <t>3176508</t>
  </si>
  <si>
    <t>10228010/301222/3426412</t>
  </si>
  <si>
    <t>3426412</t>
  </si>
  <si>
    <t>ARISTON SPA</t>
  </si>
  <si>
    <t>60044, ., FABRIANO (AN), VIALE A. MERLONI, 45,</t>
  </si>
  <si>
    <t>1024700561742</t>
  </si>
  <si>
    <t>4703066115</t>
  </si>
  <si>
    <t>ООО АРИСТОН ТЕРМО РУСЬ</t>
  </si>
  <si>
    <t>188676, ЛЕНИНГРАДСКАЯ ОБЛ., ВСЕВОЛОЖСКИЙ Р-ОН,Г.ВСЕВОЛОЖСК, П.З.Г.ВСЕВОЛОЖСКА,УЛ</t>
  </si>
  <si>
    <t>41000</t>
  </si>
  <si>
    <t>470301001</t>
  </si>
  <si>
    <t>DAP</t>
  </si>
  <si>
    <t>16020015/3290/0001/2/1</t>
  </si>
  <si>
    <t>1174</t>
  </si>
  <si>
    <t>Г. САНКТ-ПЕТЕРБУРГ</t>
  </si>
  <si>
    <t>ПОС. ПАРГОЛОВО</t>
  </si>
  <si>
    <t>ГОРСКОЕ ШОССЕ, Д.4, ЛИТ.А</t>
  </si>
  <si>
    <t>10210350 т/п Парголовский</t>
  </si>
  <si>
    <t>КОТЛЫ ГАЗОВЫЕ ОТОПИТЕЛЬНЫЕ ВОДОГРЕЙНЫЕ СО ВСТРОЕННОЙ ГОРЕЛКОЙ, В КОРПУСЕ ИЗ СТАЛИ, НЕЛИТЫЕ, МОЩНОСТЬЮ МЕНЕЕ 100 КВТ, МАРКИ ARISTON (В ПЕРВИЧНОЙ УПАКОВКЕ)</t>
  </si>
  <si>
    <t>ARISTON S.P.A.</t>
  </si>
  <si>
    <t>0053/03-15-005</t>
  </si>
  <si>
    <t>ВЕРШКОВА МАРИНА ЕВГЕНЬЕВНА</t>
  </si>
  <si>
    <t>10012020/301222/3102934</t>
  </si>
  <si>
    <t>3102934</t>
  </si>
  <si>
    <t>ARISTON THERMO SPA FROM TERMINAL UAB GEVARA, VILNIUS, LITHUANIA</t>
  </si>
  <si>
    <t>IT-60044, , FABRIANO, VIALE ARISTIDE MERLONI 45.,</t>
  </si>
  <si>
    <t>1153926016518</t>
  </si>
  <si>
    <t>3906962475</t>
  </si>
  <si>
    <t>ООО ТЕРМО СИСТЕМА</t>
  </si>
  <si>
    <t>238310, КАЛИНИНГРАДСКАЯ ОБЛ., ГУРЬЕВСКИЙ РАЙОН, П. МАЛОЕ ИСАКОВО, УЛ. МЕЛИОРАТИВ</t>
  </si>
  <si>
    <t>PASSATEMPO DI OSIMO</t>
  </si>
  <si>
    <t>18100006/1000/0066/2/1</t>
  </si>
  <si>
    <t>10012/140111/10039/4</t>
  </si>
  <si>
    <t>П. ДРУЖНЫЙ</t>
  </si>
  <si>
    <t>УЛ.ДЗЕРЖИНСКОГО, 248</t>
  </si>
  <si>
    <t>КОТЛЫ ЦЕНТРАЛЬНОГО ОТОПЛЕНИЯ ВОДОГРЕЙНЫЕ, СТАЛЬНЫЕ,ГАЗОВЫЕ, ОДНО-ДВУХКОНТУРНЫЕ, МАРКИ ARISTON, НАСТЕННЫЕ, МОДЕЛЕЙ:</t>
  </si>
  <si>
    <t>ARISTON THERMO SPA</t>
  </si>
  <si>
    <t>МОРОХИН АЛЕКСАНДР СЕРГЕЕВИЧ</t>
  </si>
  <si>
    <t>10012020/301222/5000802</t>
  </si>
  <si>
    <t>5000802</t>
  </si>
  <si>
    <t>10013160/291222/3636722</t>
  </si>
  <si>
    <t>3636722</t>
  </si>
  <si>
    <t>IMMERGAS EUROPE S.R.O</t>
  </si>
  <si>
    <t>05951, , POPRAD, PRIEMYSLENA UL. 4789,</t>
  </si>
  <si>
    <t>1127746114759</t>
  </si>
  <si>
    <t>7709897295</t>
  </si>
  <si>
    <t>ООО ИММЕРГАЗ</t>
  </si>
  <si>
    <t>129626, , МОСКВА, УЛ. СТАРОАЛЕКСЕЕВСКАЯ, Д. 5, ПОМЕЩЕНИЕ 300,</t>
  </si>
  <si>
    <t>SK</t>
  </si>
  <si>
    <t>СЛОВАКИЯ</t>
  </si>
  <si>
    <t>ПОПРАД</t>
  </si>
  <si>
    <t>12040088/1623/0000/2/0</t>
  </si>
  <si>
    <t>10013/200111/10089/5</t>
  </si>
  <si>
    <t>119027</t>
  </si>
  <si>
    <t>МОСКОВСКАЯ ОБЛ., ИСТРИНСКИЙ Р-Н</t>
  </si>
  <si>
    <t>П. ПЕРВОМАЙСКИЙ</t>
  </si>
  <si>
    <t>СТР. 35/2 И СТР. 35/3</t>
  </si>
  <si>
    <t>10013050 т/п Истринский</t>
  </si>
  <si>
    <t>НАСТЕННЫЕ МЕТАЛЛИЧЕСКИЕ КОТЛЫ (БОЙЛЕРЫ) ГОРЯЧЕГО ВОДОСНАБЖЕНИЯ ИЗ УГЛЕРОДИСТОЙ СТАЛИ МАРКИ FE360 СО ВСТРОЕННЫМИ ГАЗОВОЙ ГОРЕЛКОЙ, КАМЕРОЙ СГОРАНИЯ, ТЕПЛООБМЕННИКОМ, ЦИРКУЛЯЦИОННЫМ НАСОСОМ, ДЫМОУДАЛИТЕЛЯМИ,ЭЛЕКТРОННОЙ МИКРОПРОЦЕССОРНОЙ СИСТЕМОЙ</t>
  </si>
  <si>
    <t>БЫСТРИЦКАЯ ЕКАТЕРИНА БОРИСОВНА</t>
  </si>
  <si>
    <t>10228010/291222/3425456</t>
  </si>
  <si>
    <t>3425456</t>
  </si>
  <si>
    <t>THERMEX HEATING TECHNOLOGY (JIANGMEN) CO.,LTD</t>
  </si>
  <si>
    <t>, GUANGDONG PROVINCE, HESHAN CITY, TAOYUAN TOWN, JIANSHEDONGLU, NO. 51,</t>
  </si>
  <si>
    <t>АО ТАСКОМ ПО ПОРУЧЕНИЮ ООО ТОРГОВЫЙ ДОМ ТЕРМЕКС</t>
  </si>
  <si>
    <t>249020, КАЛУЖСКАЯ ОБЛАСТЬ, БОРОВСКИЙ РАЙОН,, СЕЛО ВОРСИНО, СЕВЕРНАЯ ПРОМЫШЛЕННАЯ</t>
  </si>
  <si>
    <t>1094716001907</t>
  </si>
  <si>
    <t>4716033195</t>
  </si>
  <si>
    <t>ООО ТОРГОВЫЙ ДОМ ТЕРМЕКС</t>
  </si>
  <si>
    <t>187002, ЛЕНИНГРАДСКАЯ ОБЛ., М.Р-Н ТОСНЕНСКИЙ, Г.П. ТОСНЕНС, Г.ТОСНО, МОСКОВСКОЕ</t>
  </si>
  <si>
    <t>471601001</t>
  </si>
  <si>
    <t>HESHAN</t>
  </si>
  <si>
    <t>20060023/2557/0001/2/1</t>
  </si>
  <si>
    <t>КАЛУЖСКАЯ ОБЛАСТЬ</t>
  </si>
  <si>
    <t>БОРОВСКИЙ Р-Н, СЕЛО ВОРСИНО</t>
  </si>
  <si>
    <t>СЕВЕРНАЯ ПРОМЗОНА, ВЛАДЕНИЕ 6</t>
  </si>
  <si>
    <t>КОТЛЫ ЭЛЕКТРИЧЕСКИЕ ОТОПИТЕЛЬНЫЕ ВОДОГРЕЙНЫЕ, НАСТЕННЫЕ, ДЛЯ СИСТЕМ ВОДЯНОГО ОТОПЛЕНИЯ И ГОРЯЧЕГО ВОДОСНАБЖЕНИЯ, ДЛЯ ИСПОЛЬЗОВАНИЯ В БЫТУ (НЕ ИЗ ЧУГУННОГО ЛИТЬЯ, НЕ ПРЕДНАЗНАЧЕНЫ ДЛЯ ПРОИЗВОДСТВА ПАРА, НЕ ВОЕННОГО НАЗНАЧЕНИЯ)</t>
  </si>
  <si>
    <t>THERMEX HEATING TECHNOLOGY(JIANGMEN)CO.,LTD</t>
  </si>
  <si>
    <t>СПБ-А-072</t>
  </si>
  <si>
    <t>САВЧЕНКО ЮЛИЯ СТАНИСЛАВОВНА</t>
  </si>
  <si>
    <t>10131010/281222/3560559</t>
  </si>
  <si>
    <t>3560559</t>
  </si>
  <si>
    <t>DDC KLIMAT GMBH FROM SIA WELLMAN LOGISTICS, LATVIA</t>
  </si>
  <si>
    <t>21376, , SALZHAUSEN, KREUZWEG, 1B,</t>
  </si>
  <si>
    <t>5087746162983</t>
  </si>
  <si>
    <t>7703675923</t>
  </si>
  <si>
    <t>ООО ДАИЧИ</t>
  </si>
  <si>
    <t>125130, , Г.МОСКВА, СТАРОПЕТРОВСКИЙ ПРОЕЗД,, Д.11,КОРП.1,ЭТАЖ 3,ОФИС 20</t>
  </si>
  <si>
    <t>774301001</t>
  </si>
  <si>
    <t>DE</t>
  </si>
  <si>
    <t>ГЕРМАНИЯ</t>
  </si>
  <si>
    <t>LV</t>
  </si>
  <si>
    <t>ЛАТВИЯ</t>
  </si>
  <si>
    <t>CIР</t>
  </si>
  <si>
    <t>МОСКВА</t>
  </si>
  <si>
    <t>13010001/2156/0000/2/1</t>
  </si>
  <si>
    <t>512</t>
  </si>
  <si>
    <t>ТВЕРСКАЯ ОБЛ.</t>
  </si>
  <si>
    <t>Г. РЖЕВ</t>
  </si>
  <si>
    <t>УЛ. СОЛНЕЧНАЯ, Д. 22</t>
  </si>
  <si>
    <t>10113150 т/п Ржевский</t>
  </si>
  <si>
    <t>КОТЛЫ ЦЕНТРАЛЬНОГО ОТОПЛЕНИЯ, ГАЗОВЫЕ ВОДОГРЕЙНЫЕ:</t>
  </si>
  <si>
    <t>DAIKIN ISITMA VE SOGUTMA SISTEMLERI SAN.TIC. A.S.</t>
  </si>
  <si>
    <t>5</t>
  </si>
  <si>
    <t>ЛАПИНА АЛЛА АЛЕКСЕЕВНА</t>
  </si>
  <si>
    <t>CIP</t>
  </si>
  <si>
    <t>WUHU MIDEA KITCHEN &amp; BATH APPLIANCES MFG. CO., LTD</t>
  </si>
  <si>
    <t>4</t>
  </si>
  <si>
    <t>10228010/281222/3423741</t>
  </si>
  <si>
    <t>3423741</t>
  </si>
  <si>
    <t>RIMA ISI SISTEMLERI SAN.A.S. AS JUPITER PLUS CUSTOMS WAREHOUSE,LAO 13B,MAARDU 74114,ESTONIA</t>
  </si>
  <si>
    <t>ISTAMBUL, BASAKSEHIR,PK 34306, CADDE NO.10, IKITELLI OSB MAHALLESI, 25</t>
  </si>
  <si>
    <t>1227800055845</t>
  </si>
  <si>
    <t>7804692788</t>
  </si>
  <si>
    <t>ООО ЕТК</t>
  </si>
  <si>
    <t>195221, Г.САНКТ-ПЕТЕРБУРГ,, ВН.ТЕР.Г. МУНИЦИПАЛЬНЫЙ ОКРУГ, ФИНЛЯНДСКИЙ ОКРУГ УЛ</t>
  </si>
  <si>
    <t>780401001</t>
  </si>
  <si>
    <t>ISTAMBUL</t>
  </si>
  <si>
    <t>TRY</t>
  </si>
  <si>
    <t>10210/300413/10110/2</t>
  </si>
  <si>
    <t>ГОРОД САНКТ-ПЕТЕРБУРГ</t>
  </si>
  <si>
    <t>ПОСЕЛОК ШУШУРЫ</t>
  </si>
  <si>
    <t>УЛ.ПОСЕЛКОВАЯ,</t>
  </si>
  <si>
    <t>10210100 т/п Южный</t>
  </si>
  <si>
    <t>КОТЛЫ ГАЗОВЫЕ ОТОПИТЕЛЬНЫЕ, НЕ ВОЕННОГО НАЗНАЧЕНИЯ, ОБРАЗЦЫ ДЛЯ ЦЕЛЕЙ ПРОВЕДЕНИЯ ИСПЫТАНИЯ ПРОЦЕДУРЫ ДЕКЛАРИРОВАНИЯ СООТВЕТСТВИЯ,</t>
  </si>
  <si>
    <t>RIMA ISI SISTEMLERI SAN. A.S</t>
  </si>
  <si>
    <t>Б/Н</t>
  </si>
  <si>
    <t>КОЛПАКОВА АЛЕКСАНДРА СЕРГЕЕВНА</t>
  </si>
  <si>
    <t>10511010/281222/3174551</t>
  </si>
  <si>
    <t>10511010</t>
  </si>
  <si>
    <t>3174551</t>
  </si>
  <si>
    <t>UNICAL A.G. S.P.A.</t>
  </si>
  <si>
    <t>460033, , CASTEL D'ARIO (MN), VIA ROMA 123,</t>
  </si>
  <si>
    <t>1069674029050</t>
  </si>
  <si>
    <t>6674177799</t>
  </si>
  <si>
    <t>ООО КОТЕЛЬНЫЕ СИСТЕМЫ УРАЛА</t>
  </si>
  <si>
    <t>620076, СВЕРДЛОВСКАЯ ОБЛ, Г ЕКАТЕРИНБУРГ, ГОНЧАРНЫЙ ПЕР, ДОМ 4</t>
  </si>
  <si>
    <t>65000</t>
  </si>
  <si>
    <t>667901001</t>
  </si>
  <si>
    <t>BORGOCАRBONARA (MN)</t>
  </si>
  <si>
    <t>21110008/1481/0373/2/1</t>
  </si>
  <si>
    <t>10113/160611/10039/6</t>
  </si>
  <si>
    <t>СМОЛЕНСКАЯ ОБЛАСТЬ</t>
  </si>
  <si>
    <t>КРАСНИНСКИЙ РАЙОН</t>
  </si>
  <si>
    <t>В 250 М ЗАПАДНЕЕ Д.БУДА И СЕВЕРНЕЕ (В 650 М)  ЖЕЛЕ</t>
  </si>
  <si>
    <t>10113090 т/п Краснинский</t>
  </si>
  <si>
    <t>КОТЛЫ СТАЛЬНЫЕ,ВОДОГРЕЙНЫЕ,ДЫМОГАРНЫЕ,ДВУХХОДОВЫЕ ПРОМЫШЛЕННЫЕ:   АРТ.102258RU/UNICAL ELLPREX 970-7ШТ.  ПРЕДНАЗНАЧЕНЫ ДЛЯ РАБОТЫ НА ГАЗООБРАЗНОМ И ЖИДКОМ ТОПЛИВЕ И ПРИМЕНЕНИЯ В СИСТЕМАХ ЦЕНТРАЛЬНОГО ОТОПЛЕНИЯ С ТЕМПЕРАТУРОЙ ДО 100С</t>
  </si>
  <si>
    <t>UNICAL AG  S.P.A.</t>
  </si>
  <si>
    <t>ФАЙЗУЛИНА ДАРЬЯ ВИТАЛЬЕВНА</t>
  </si>
  <si>
    <t>10013160/271222/3631837</t>
  </si>
  <si>
    <t>3631837</t>
  </si>
  <si>
    <t>FONDERIE SIME S.P.A.</t>
  </si>
  <si>
    <t>37045, , LEGNAGO (VR), VIA GARBO, 27,</t>
  </si>
  <si>
    <t>315774600373581</t>
  </si>
  <si>
    <t>504601572998</t>
  </si>
  <si>
    <t>ИП СКОПНЕНКО АЛЕКСЕЙ АНДРЕЕВИЧ</t>
  </si>
  <si>
    <t>108811, Г. МОСКВА, ПОС. МОСКОВСКИЙ, 22Й КМ КИЕВСКОГО Ш., Д. 2, КОРП. В,</t>
  </si>
  <si>
    <t>LEGNAGO (VR)</t>
  </si>
  <si>
    <t>19110189/1000/0097/2/2</t>
  </si>
  <si>
    <t>КОТЛЫ ОТОПИТЕЛЬНЫЕ ВОДОГРЕЙНЫЕ ГАЗОВЫЕ, ИЗ ЧУГУННОГО ЛИТЬЯ, БЫТОВЫЕ, УНИВЕРСАЛЬНЫЕ, ДЛЯ ОБОГРЕВА ЛЮБЫХ ПОМЕЩЕНИЙ, ЧАСТИЧНО В РАЗОБРАННОМ ВИДЕ ДЛЯ УДОБСТВА ТРАНСПОРТИРОВКИ, НЕ ВОЕННОГО НАЗНАЧЕНИЯ:</t>
  </si>
  <si>
    <t>8403101000</t>
  </si>
  <si>
    <t>СКОПНЕНКО АЛЕКСЕЙ АНДРЕЕВИЧ</t>
  </si>
  <si>
    <t>10317120/261222/3173190</t>
  </si>
  <si>
    <t>3173190</t>
  </si>
  <si>
    <t>ELEKS DIS TICARET A.S.</t>
  </si>
  <si>
    <t>34394, SISLI, ISTANBUL, ESENTERE MAH.KASAR SK. ELGINKAN HOLDING BLOK NO:15,</t>
  </si>
  <si>
    <t>1197746381986</t>
  </si>
  <si>
    <t>7720470130</t>
  </si>
  <si>
    <t>ООО ВЕССЕН</t>
  </si>
  <si>
    <t>109518, ЮВАО РАЙОН ТЕКСТИЛЬЩИКИ, Г. МОСКВА, 1-Й ГРАЙВОРОНОВСКИЙ ПРОЕЗД, Д. 20, С</t>
  </si>
  <si>
    <t>772201001</t>
  </si>
  <si>
    <t>MANISA (ТУРЦИЯ)</t>
  </si>
  <si>
    <t>20050760/1326/0000/2/1</t>
  </si>
  <si>
    <t>95</t>
  </si>
  <si>
    <t>10317000/021222/00006/2</t>
  </si>
  <si>
    <t>Г. НОВОРОССИЙСК</t>
  </si>
  <si>
    <t>СУХУМСКОЕ ШОССЕ, Д.17А</t>
  </si>
  <si>
    <t>КОТЛЫ БЫТОВЫЕ, ЦЕНТРАЛЬНОГО ОТОПЛЕНИЯ, ГАЗОВЫЕ, ОДНОКОНТУРНЫЕ, НАСТЕННЫЕ. ТОРГОВАЯ МАРКА Е.С.А., ИЗГОТОВЛЕНЫ ИЗ КОМПОЗИТНЫХ МАТЕРИАЛОВ, ЛАТУННЫХ И МЕТАЛЛИЧЕСКИХ ЧАСТЕЙ, В КОМПЛЕКТЕ С ИНСТРУКЦИЕЙ ПО УСТАНОВКЕ И ЭКСПЛУАТАЦИИ И КРЕПЕЖНОЙ ФУРНИТУРОЙ.</t>
  </si>
  <si>
    <t>EMAS MAKINA SANAYI A.S.</t>
  </si>
  <si>
    <t>КОЛЕСНИКОВА ЕКАТЕРИНА ИВАНОВНА</t>
  </si>
  <si>
    <t>10013160/271222/3632006</t>
  </si>
  <si>
    <t>3632006</t>
  </si>
  <si>
    <t>10131010/271222/3559363</t>
  </si>
  <si>
    <t>3559363</t>
  </si>
  <si>
    <t>10131010/271222/3559258</t>
  </si>
  <si>
    <t>3559258</t>
  </si>
  <si>
    <t>BASSANO DEL GRAPPA</t>
  </si>
  <si>
    <t>БРЯНСКАЯ ОБЛ.</t>
  </si>
  <si>
    <t>Г.БРЯНСК,ФОКИНСКИЙ Р-Н</t>
  </si>
  <si>
    <t>ПГТ БЕЛЫЕ БЕРЕГА</t>
  </si>
  <si>
    <t>10102030 т/п Брянский</t>
  </si>
  <si>
    <t>10131010/221222/3552467</t>
  </si>
  <si>
    <t>3552467</t>
  </si>
  <si>
    <t>OU ELECTROAIR TRADE</t>
  </si>
  <si>
    <t>75322, RAE VALD, SOODEVAHE, KAPTENI TEE 1, 1</t>
  </si>
  <si>
    <t>1117746229281</t>
  </si>
  <si>
    <t>7743812781</t>
  </si>
  <si>
    <t>ООО СТРОЙПРОЕКТ</t>
  </si>
  <si>
    <t>117218, МОСКВА, МОСКВА, ПР.НАХИМОВСКИЙ, Д.32, ЭТАЖ 12, ПОМ.1, ОФИС 13 И 14,</t>
  </si>
  <si>
    <t>772701001</t>
  </si>
  <si>
    <t>EE</t>
  </si>
  <si>
    <t>ЭСТОНИЯ</t>
  </si>
  <si>
    <t>ТАЛЛИНН</t>
  </si>
  <si>
    <t>196626</t>
  </si>
  <si>
    <t>СПБ</t>
  </si>
  <si>
    <t>П.ШУШАРЫ, УЛ.ПОСЕЛКОВАЯ, Д.12, ЛИТ.В; ТЕР.ПРЕДП.Ш</t>
  </si>
  <si>
    <t>КОТЛЫ ЦЕНТРАЛЬНОГО ОТОПЛЕНИЯ, ВОДОГРЕЙНЫЕ, ГАЗОВЫЕ В СТАЛЬНОМ КОРПУСЕ, НАПОЛЬНЫЕ КОНДЕНСАЦИОННЫЕ, МОЩНОСТЬ 150КВТ, ТИП LOGANO PLUS KB372</t>
  </si>
  <si>
    <t>BOSCH THERMOTECHNIEK GMBH</t>
  </si>
  <si>
    <t>3</t>
  </si>
  <si>
    <t>ШАДРИН НИКОЛАЙ ОЛЕГОВИЧ</t>
  </si>
  <si>
    <t>10317120/261222/3173172</t>
  </si>
  <si>
    <t>3173172</t>
  </si>
  <si>
    <t>KATRE ISI SANAYI TICARET A. S.</t>
  </si>
  <si>
    <t>34394, ZEYTINBURNU/, ISTANBUL, SEYITNIZAM MAH. DEMIRCILER SITESI 1 YOL NO:73/75,</t>
  </si>
  <si>
    <t>109518, ВН.ТЕР.Г. МУНИЦИПАЛЬНЫЙ ОКРУГ ТЕКСТИЛЬЩИКИ, МОСКВА, 1-Й ГРАЙВОРОНОВСКИЙ</t>
  </si>
  <si>
    <t>20081050/1326/0000/2/1</t>
  </si>
  <si>
    <t>КОТЛЫ БЫТОВЫЕ, ЦЕНТРАЛЬНОГО ОТОПЛЕНИЯ, ГАЗОВЫЕ, ОДНОКОНТУРНЫЕ, НАСТЕННЫЕ. ТОРГОВАЯ МАРКА Е.С.А., ИЗГОТОВЛЕНЫ ИЗ КОМПОЗИТНЫХ МАТЕРИАЛОВ, ЛАТУННЫХ И МЕТАЛЛИЧЕСКИХ ЧАСТЕЙ, В КОМПЛЕКТЕ С ИНСТРУКЦИЕЙ ПО УСТАНОВКЕ И ЭКСПЛУАТАЦИИ И КРЕПЕЖНОЙ ФУРНИТУРОЙ. С</t>
  </si>
  <si>
    <t>ЕМАS MAKINA SANAYI A.S.</t>
  </si>
  <si>
    <t>10228010/261222/5001301</t>
  </si>
  <si>
    <t>5001301</t>
  </si>
  <si>
    <t>SUMEC MACHINERY AND ELECTRIC CO LTD</t>
  </si>
  <si>
    <t>, ., NANJING, CHANGJIANG ROAD 198,</t>
  </si>
  <si>
    <t>1027809170069</t>
  </si>
  <si>
    <t>7815012515</t>
  </si>
  <si>
    <t>ООО ВОСХОД ПО ПОРУЧЕНИЮ ИМПОРТЕРА ООО ТОРГОВЫЙ ДОМ ТЕРМЕКС</t>
  </si>
  <si>
    <t>191144, , Г. САНКТ-ПЕТЕРБУРГ, УЛ. НОВГОРОДСКАЯ, Д. 14, ЛИТЕР А,</t>
  </si>
  <si>
    <t>784201001</t>
  </si>
  <si>
    <t>NANJING</t>
  </si>
  <si>
    <t>18120007/0436/0000/2/1</t>
  </si>
  <si>
    <t>10210000/130422/00004/4</t>
  </si>
  <si>
    <t>С-ПБ</t>
  </si>
  <si>
    <t>ПОС.ШУШАРЫ</t>
  </si>
  <si>
    <t>УЧ.Ж.Д МОСКОВСКОЕ ШОССЕ-РЕКА КУЗЬМИНКА</t>
  </si>
  <si>
    <t>10210130 т/п Шушарский</t>
  </si>
  <si>
    <t>КОТЛЫ ЭЛЕКТРИЧЕСКИЕ ОТОПИТЕЛЬНЫЕ ВОДОГРЕЙНЫЕ, НАСТЕННЫЕ, С ТЭНАМИ ВМОНТИРОВАННЫМИ В ТЕПЛООБМЕННИК ИЗ АЛЮМИНИЙ-МАГНИЕВОГО СПЛАВА, ДЛЯ СИСТЕМ ВОДЯНОГО ОТОПЛЕНИЯ И ГОРЯЧЕГО ВОДОСНАБЖЕНИЯ, ДЛЯ ИСПОЛЬЗОВАНИЯ В БЫТУ (НЕ ПРЕДНАЗНАЧЕНЫ ДЛЯ ПРОИЗВОДСТВА ПАРА,</t>
  </si>
  <si>
    <t>THERMEX HEATING TECHNOLOGY (JIANGMEN) CO., LTD</t>
  </si>
  <si>
    <t>ТИХОНОВ АНДРЕЙ ВЛАДИМИРОВИЧ</t>
  </si>
  <si>
    <t>10013160/251222/3628138</t>
  </si>
  <si>
    <t>3628138</t>
  </si>
  <si>
    <t>ICI CALDAIE S.P.A.</t>
  </si>
  <si>
    <t>37059, CAMPAGNOLA DI ZEVIO (VR), VERONA, VIA G.PASCOLI, 38,</t>
  </si>
  <si>
    <t>1044003101658</t>
  </si>
  <si>
    <t>4004400328</t>
  </si>
  <si>
    <t>ООО АЛЬБА</t>
  </si>
  <si>
    <t>141401, МОСКОВСКАЯ ОБЛ., Г.ХИМКИ, УЛ.РАБОЧАЯ, Д.2А, СТРОЕНИЕ 1, ЭТАЖ/ПОМ 1/40,</t>
  </si>
  <si>
    <t>46000</t>
  </si>
  <si>
    <t>504701001</t>
  </si>
  <si>
    <t>ВЕРОНА</t>
  </si>
  <si>
    <t>09100006/2306/0000/2/0</t>
  </si>
  <si>
    <t>БРЯНСКАЯ ОБЛ., БРЯНСКИЙ Р-Н</t>
  </si>
  <si>
    <t>Г.БРЯНСК</t>
  </si>
  <si>
    <t>ПОС.БЕЛЫЕ БЕРЕГА</t>
  </si>
  <si>
    <t>КОТЛЫ ЦЕНТРАЛЬНОГО ОТОПЛЕНИЯ, В ЧАСТИЧНО РАЗОБРАННОМ ВИДЕ ДЛЯ УДОБСТВА ТРАНСПОРТИРОВКИ, :</t>
  </si>
  <si>
    <t>12</t>
  </si>
  <si>
    <t>МОТОРИНА ИРИНА АЛЕКСАНДРОВНА</t>
  </si>
  <si>
    <t>10012020/261222/3101664</t>
  </si>
  <si>
    <t>3101664</t>
  </si>
  <si>
    <t>KYUNG DONG NAVIEN CO., LTD.</t>
  </si>
  <si>
    <t>, YEONGDEUNGPO-GU, SEOUL, 22, GUKHOE-DAERO 76-GIL,</t>
  </si>
  <si>
    <t>1023900764238</t>
  </si>
  <si>
    <t>3905033079</t>
  </si>
  <si>
    <t>ООО МЕНАКОМ</t>
  </si>
  <si>
    <t>KR</t>
  </si>
  <si>
    <t>КОРЕЯ, РЕСПУБЛИКА</t>
  </si>
  <si>
    <t>20010084/1000/0074/2/1</t>
  </si>
  <si>
    <t>KYUNG DONG NAVIEN CO., LTD</t>
  </si>
  <si>
    <t>10131010/261222/3556239</t>
  </si>
  <si>
    <t>3556239</t>
  </si>
  <si>
    <t>УЛ. СОБОРНАЯ, Д. 21</t>
  </si>
  <si>
    <t>10013160/261222/3628607</t>
  </si>
  <si>
    <t>3628607</t>
  </si>
  <si>
    <t>UNICAL AG S.P.A.</t>
  </si>
  <si>
    <t>46020, , CARBONARA DI PO (MN), VIA RONCADA N. 81,</t>
  </si>
  <si>
    <t>1185027003226</t>
  </si>
  <si>
    <t>5003126900</t>
  </si>
  <si>
    <t>ООО ИТЕПЛО</t>
  </si>
  <si>
    <t>142717, МОСКОВСКАЯ ОБЛАСТЬ ЛЕНИНСКИЙ РАЙОН, С.П. РАЗВИЛКОВСКОЕ,, ПОС. РАЗВИЛКА,</t>
  </si>
  <si>
    <t>500301001</t>
  </si>
  <si>
    <t>РАЗНЫЕ</t>
  </si>
  <si>
    <t>18050061/1000/0081/2/1</t>
  </si>
  <si>
    <t>МОСКОВСКАЯ ОБЛ.</t>
  </si>
  <si>
    <t>Г. ХИМКИ</t>
  </si>
  <si>
    <t>ВАШУТИНСКОЕ Ш., Д. 20, К. 1</t>
  </si>
  <si>
    <t>10013020 т/п Вашутинский</t>
  </si>
  <si>
    <t>КОТЛЫ ОТОПИТЕЛЬНЫЕ, РАБОТАЮЩИЕ НА ГАЗОВОМ ТОПЛИВЕ, В ЧАСТИЧНО РАЗОБРАННОМ ВИДЕ:</t>
  </si>
  <si>
    <t>КЛ/19/21</t>
  </si>
  <si>
    <t>ДЕМЧУК ЕКАТЕРИНА СЕРГЕЕВНА</t>
  </si>
  <si>
    <t>10131010/261222/3556267</t>
  </si>
  <si>
    <t>3556267</t>
  </si>
  <si>
    <t>КОТЛЫ ЦЕНТРАЛЬНОГО ОТОПЛЕНИЯ, СТАЛЬНЫЕ, БРУТТО С ПОДДОНАМИ 15972.6 КГ., АССОРТИМЕНТ</t>
  </si>
  <si>
    <t>10013160/251222/3627558</t>
  </si>
  <si>
    <t>3627558</t>
  </si>
  <si>
    <t>КОТЛЫ ЦЕНТРАЛЬНОГО ОТОПЛЕНИЯ, СТАЛЬНЫЕ, БРУТТО С ПОДДОНАМИ 18383.9 КГ., АССОРТИМЕНТ</t>
  </si>
  <si>
    <t>10317120/261222/3173152</t>
  </si>
  <si>
    <t>3173152</t>
  </si>
  <si>
    <t>VESSEN DIS TICARET A. S.</t>
  </si>
  <si>
    <t>, ZEYTINBURNU, ISTANBUL, SEYITNIZAM MAH. DEMIRCILER SITESI 1 YOL NO:75,</t>
  </si>
  <si>
    <t>22110090/3311/0000/2/1</t>
  </si>
  <si>
    <t>КОТЛЫ БЫТОВЫЕ, ЦЕНТРАЛЬНОГО ОТОПЛЕНИЯ, ГАЗОВЫЕ, ИЗГОТОВЛЕНЫ ИЗ КОМПОЗИТНЫХ МАТЕРИАЛОВ, ЛАТУННЫХ И МЕТАЛЛИЧЕСКИХ ЧАСТЕЙ. ОДНОКОНТУРНЫЕ, НАСТЕННЫЕ КОНДЕНСАЦИОННЫЕ, НА НАПРЯЖЕНИЕ 220-240 В. В КОМПЛЕКТЕ С ДЫМОХОДОМ. ПРЕДНАЗНАЧЕНЫ ДЛЯ ОТОПЛЕНИЯ ЧАСТНЫХ</t>
  </si>
  <si>
    <t>TERMO ISI SISTEMLERI TIC. VE SAN. A.S.</t>
  </si>
  <si>
    <t>10013160/261222/3629152</t>
  </si>
  <si>
    <t>3629152</t>
  </si>
  <si>
    <t>CARBONARA</t>
  </si>
  <si>
    <t>10228010/261222/3421030</t>
  </si>
  <si>
    <t>3421030</t>
  </si>
  <si>
    <t>ARISTON SPA C/W LT LOGIC</t>
  </si>
  <si>
    <t>60044, ., FABRIANO (AN), VIALE ARISTIDE MERLONI, 45,</t>
  </si>
  <si>
    <t>10131010/261222/3556073</t>
  </si>
  <si>
    <t>3556073</t>
  </si>
  <si>
    <t>10012020/261222/5000738</t>
  </si>
  <si>
    <t>5000738</t>
  </si>
  <si>
    <t>20010073/1000/0074/2/1</t>
  </si>
  <si>
    <t>10805010/261222/3028298</t>
  </si>
  <si>
    <t>10805010</t>
  </si>
  <si>
    <t>3028298</t>
  </si>
  <si>
    <t>ITALTHERM S.P.A.</t>
  </si>
  <si>
    <t>29010, , PONTENURE (PC), VIA SALVO D'ACQUISTO SNC,</t>
  </si>
  <si>
    <t>1212600005826</t>
  </si>
  <si>
    <t>2632117991</t>
  </si>
  <si>
    <t>ООО ТЁПЛЫЙ РИМ</t>
  </si>
  <si>
    <t>357502, СТАВРОПОЛЬСКИЙ КРАЙ, Г. ПЯТИГОРСК, Ш. ЧЕРКЕССКОЕ, Д. 56,ПОМЕЩ. 8</t>
  </si>
  <si>
    <t>07000</t>
  </si>
  <si>
    <t>263201001</t>
  </si>
  <si>
    <t>PONTENURE (PIACENZA)</t>
  </si>
  <si>
    <t>21090222/1000/0081/2/1</t>
  </si>
  <si>
    <t>КОТЛЫ ОТОПИТЕЛЬНЫЕ ГАЗОВЫЕ (ВОДОГРЕЙНЫЕ) СТАЛЬНЫЕ. ПРЕДНАЗНАЧЕНЫ ДЛЯ ОТОПЛЕНИЯ ЖИЛЫХ ДОМОВ И ЗДАНИЙ КОММУНАЛЬНО-БЫТОВОГО НАЗНАЧЕНИЯ, ОБОРУДОВАННЫХ СИСТЕМАМИ ОТОПЛЕНИЯ НЕПРЕРЫВНОГО ДЕЙСТВИЯ С ЕСТЕСТВЕННОЙ ИЛИ ПРИНУДИТЕЛЬНОЙ ЦИРКУЛЯЦИЕЙ ТЕПЛОНОСИТЕЛЯ,</t>
  </si>
  <si>
    <t>1069-21-54-1264</t>
  </si>
  <si>
    <t>ЖУРАВКОВ СЕРГЕЙ ИВАНОВИЧ</t>
  </si>
  <si>
    <t>10013160/261222/3628678</t>
  </si>
  <si>
    <t>3628678</t>
  </si>
  <si>
    <t>WOLF GMBH</t>
  </si>
  <si>
    <t>84048, , MAINBURG, INDUSTRIESTRABE 1,</t>
  </si>
  <si>
    <t>1117746958152</t>
  </si>
  <si>
    <t>7705970152</t>
  </si>
  <si>
    <t>ООО ВОЛЬФ ЭНЕРГОСБЕРЕГАЮЩИЕ СИСТЕМЫ</t>
  </si>
  <si>
    <t>127238, , МОСКВА, ШОССЕ ДМИТРОВСКОЕ, ДОМ 71Б, ЭТ.5, КОМ.18,</t>
  </si>
  <si>
    <t>RUB</t>
  </si>
  <si>
    <t>13100004/3333/0000/2/1</t>
  </si>
  <si>
    <t>МОСКОВСКАЯ ОБЛ. ОДИНЦОВСКИЙ Г.О.</t>
  </si>
  <si>
    <t>ТЕРР. ЗВЕНИГОРОДСКОЕ</t>
  </si>
  <si>
    <t>Ш., 33-Й КМ., СТР. 6, 8, 9, 13, 19; ЗЕМ. УЧ. 1/1 И</t>
  </si>
  <si>
    <t>10013210 т/п Кубинка</t>
  </si>
  <si>
    <t>КОТЛЫ ЦЕНТРАЛЬНОГО ОТОПЛЕНИЯ: ИТОГО-221ШТ.</t>
  </si>
  <si>
    <t>6</t>
  </si>
  <si>
    <t>443/01/2022</t>
  </si>
  <si>
    <t>РАССОЛОВ АЛЕКСАНДР НИКОЛАЕВИЧ</t>
  </si>
  <si>
    <t>10131010/261222/3556242</t>
  </si>
  <si>
    <t>3556242</t>
  </si>
  <si>
    <t>БРЯНСКАЯ ОБЛ.,</t>
  </si>
  <si>
    <t>Г.БРЯНСК,ФОКИНСКИЙ Р-Н,</t>
  </si>
  <si>
    <t>КОТЛЫ ЦЕНТРАЛЬНОГО ОТОПЛЕНИЯ, СТАЛЬНЫЕ, БРУТТО С ПОДДОНАМИ 15807.40 КГ., АССОРТИМЕНТ</t>
  </si>
  <si>
    <t>10131010/261222/3557440</t>
  </si>
  <si>
    <t>3557440</t>
  </si>
  <si>
    <t>КОТЛЫ ЦЕНТРАЛЬНОГО ОТОПЛЕНИЯ, СТАЛЬНЫЕ, ВЕС БРУТТО С ПОДДОНАМИ 17892.0 КГ., АССОРТИМЕНТ</t>
  </si>
  <si>
    <t>10013160/261222/3630065</t>
  </si>
  <si>
    <t>3630065</t>
  </si>
  <si>
    <t>10013160/241222/3626725</t>
  </si>
  <si>
    <t>3626725</t>
  </si>
  <si>
    <t>ООО TECHNO EXPORT</t>
  </si>
  <si>
    <t>., РЕСПУБЛИКА УЗБЕКИСТАН, Г.ТАШКЕНТ, ШАЙХАНТАХУРСКИЙ Р-Н, УЛ. КИЧИК ХАЛКА ЙУЛИ,</t>
  </si>
  <si>
    <t>1037700024933</t>
  </si>
  <si>
    <t>7716168776</t>
  </si>
  <si>
    <t>ООО ВИССМАНН</t>
  </si>
  <si>
    <t>141014, , Г. МЫТИЩИ, УЛ.ЦЕНТРАЛЬНАЯ, СТРОЕНИЕ 20Б, ОФИС 815,</t>
  </si>
  <si>
    <t>502901001</t>
  </si>
  <si>
    <t>UZ</t>
  </si>
  <si>
    <t>УЗБЕКИСТАН</t>
  </si>
  <si>
    <t>CPT</t>
  </si>
  <si>
    <t>Г. ПОДОЛЬСК</t>
  </si>
  <si>
    <t>22070302/0001/0000/2/1</t>
  </si>
  <si>
    <t>Г. МОЖАЙСК</t>
  </si>
  <si>
    <t>Д. ОТЯКОВО</t>
  </si>
  <si>
    <t>10013150 т/п Можайский</t>
  </si>
  <si>
    <t>КОТЛЫ, МАТЕРИАЛ ИЗГ.-СТАЛЬ, ОБЛАСТЬ ПРИМЕНЕНИЯ-ДЛЯ СИСТЕМЫ ЦЕНТРАЛЬНОГО ОТОПЛЕНИЯ И ГОРЯЧЕГО ВОДОСНАБЖЕНИЯ, ПРИНЦИП РАБОТЫ-РАБОТАЮЩИЕ НА ГАЗООБРАЗНОМ ТОПЛИВЕ, ТЕХНИЧЕСКИЕ ХАРАКТЕРИСТИКИ-МОЩНОСТЬ 24/30/34 КВТ, (НЕВОЕННОГО НАЗНАЧЕНИЯ), :</t>
  </si>
  <si>
    <t>ООО NEXT GENERATION PRODUCT</t>
  </si>
  <si>
    <t>ООЭР-ОО</t>
  </si>
  <si>
    <t>1019/00-19-056</t>
  </si>
  <si>
    <t>СОЛОДАЙ ОЛЕСЯ ЮРЬЕВНА</t>
  </si>
  <si>
    <t>10720010/251222/3095701</t>
  </si>
  <si>
    <t>10720010</t>
  </si>
  <si>
    <t>3095701</t>
  </si>
  <si>
    <t>INNER MONGOLIA THE ERA OF BINHANG SUPPLY CHAIN MANAGEMENT CO, LTD</t>
  </si>
  <si>
    <t>, INNER MONGOLIA, MANZHOULI CITY, BICAO YUNTIAN 20,STREET, HUMAO DISTRICT, NO. 7</t>
  </si>
  <si>
    <t>1227500001860</t>
  </si>
  <si>
    <t>7500002418</t>
  </si>
  <si>
    <t>ООО ФРЕГАТ</t>
  </si>
  <si>
    <t>672000, ЗАБАЙКАЛЬСКИЙ КРАЙ, Г.ЧИТА, УЛ. БАБУШКИНА, Д.42, КОРП. А, ОФИС 209</t>
  </si>
  <si>
    <t>76000</t>
  </si>
  <si>
    <t>750001001</t>
  </si>
  <si>
    <t>ЗАБАЙКАЛЬСК</t>
  </si>
  <si>
    <t>22050009/1481/1727/2/1</t>
  </si>
  <si>
    <t>10719/291015/10027/8</t>
  </si>
  <si>
    <t>ЗАБАЙКАЛЬСКИЙ КРАЙ</t>
  </si>
  <si>
    <t>ПГТ. ЗАБАЙКАЛЬСК</t>
  </si>
  <si>
    <t>МКР.МАПП ЗАБАЙКАЛЬСК УЧАСТОК № 6</t>
  </si>
  <si>
    <t>10719030 т/п Забайкальский</t>
  </si>
  <si>
    <t>ТВЕРДОТОПЛИВНЫЙ ВОДОГРЕЙНЫЙ ОТОПИТЕЛЬНЫЙ КОТЕЛ ТОРГОВОЙ МАРКИ CHENG CHENG, МОДЕЛЬ СС-2000W-01, ИЗГОТОВИТЕЛЬ ANHUI CHENGCHENG MACHINERY CO., LTD.В ЧАСТИЧНО РАЗОБРАННОМ ВИДЕ ДЛЯ УДОБСТВА ТРАНСПОРТИРОВКИ СОГЛАСНО УПАКОВОЧНОГО ЛИСТА:КАБЕЛЬ ПИТАНИЯ1 ШТ 1</t>
  </si>
  <si>
    <t>ANHUI CHENGCHENG MACHINERY CO., LTD</t>
  </si>
  <si>
    <t>ЕКИМОВ ОЛЕГ ВАЛЕРЬЕВИЧ</t>
  </si>
  <si>
    <t>10228010/251222/3420314</t>
  </si>
  <si>
    <t>3420314</t>
  </si>
  <si>
    <t>90</t>
  </si>
  <si>
    <t>10013160/251222/3628186</t>
  </si>
  <si>
    <t>3628186</t>
  </si>
  <si>
    <t>10013/200111/10099/7</t>
  </si>
  <si>
    <t>Г. ДОМОДЕДОВО</t>
  </si>
  <si>
    <t>УЛ. ЛОГИСТИЧЕСКАЯ, Д. 1/6, К. 7Б</t>
  </si>
  <si>
    <t>10013060 т/п Каширский</t>
  </si>
  <si>
    <t>10013160/161222/3612657</t>
  </si>
  <si>
    <t>3612657</t>
  </si>
  <si>
    <t>ПТД</t>
  </si>
  <si>
    <t>ANATOLIA TRADING TEAM DIS TICARET LIMITED SIRKETI</t>
  </si>
  <si>
    <t>96061, MOLLA GURANI MAH. GENCTURK CAD., ISTANBUL, KARAGUL CENTER NO:84 INTERIOR</t>
  </si>
  <si>
    <t>1217700232640</t>
  </si>
  <si>
    <t>9723116395</t>
  </si>
  <si>
    <t>ООО ТРЕЙДИНГ ЛТД</t>
  </si>
  <si>
    <t>115054, ., Г.МОСКВА, ПЕР БОЛЬШОЙ СТРОЧЕНОВСКИЙ Д. 7, ПОМЕЩ. 39/3/1, ОФИ,</t>
  </si>
  <si>
    <t>770501001</t>
  </si>
  <si>
    <t>FI</t>
  </si>
  <si>
    <t>ФИНЛЯНДИЯ</t>
  </si>
  <si>
    <t>22080465/2275/0000/2/1</t>
  </si>
  <si>
    <t>МОСКОВСКАЯ ОБЛ., ОДИНЦОВСКИЙ Р-Н, С/О НИКОЛЬСКИЙ</t>
  </si>
  <si>
    <t>П. НОВЫЙ ГОРОДОК</t>
  </si>
  <si>
    <t>СТР. 1, ОФИС 3</t>
  </si>
  <si>
    <t>10013100 т/п Краснознаменский (центр эл.декл.)</t>
  </si>
  <si>
    <t>ВОДОГРЕЙНЫЕ ЭЛЕКТРИЧЕСКИЕ КОТЛЫ ЦЕНТРАЛЬНОГО ОТОПЛЕНИЯ :</t>
  </si>
  <si>
    <t>FOSHAN SHUNDE CAFOS ELECTRIC APPLIANCE CO., LTD.</t>
  </si>
  <si>
    <t>41</t>
  </si>
  <si>
    <t>ПУШКАРЕВ МАКСИМ АНДРЕЕВИЧ</t>
  </si>
  <si>
    <t>10013160/251222/3627809</t>
  </si>
  <si>
    <t>3627809</t>
  </si>
  <si>
    <t xml:space="preserve">SIA FRIGO TRANS </t>
  </si>
  <si>
    <t>LV-1005, LATVIJA, RIGA, DAMBJA IELA, 3A</t>
  </si>
  <si>
    <t>1195081081700</t>
  </si>
  <si>
    <t>5029251630</t>
  </si>
  <si>
    <t>ООО ЕВРОПРОМИМПОРТ</t>
  </si>
  <si>
    <t>141006, МО, Г. МЫТИЩИ, РУПАСОВСКИЙ 1-Й ПЕРЕУЛОК,ЛИТЕР 4В,ОФИС 24А, 19</t>
  </si>
  <si>
    <t>ЧЕХИЯ</t>
  </si>
  <si>
    <t>RIGA</t>
  </si>
  <si>
    <t>22112925/3292/0000/2/1</t>
  </si>
  <si>
    <t>Г. КРАСНОЗНАМЕНСК</t>
  </si>
  <si>
    <t>УЛ. БЕРЕЗОВАЯ АЛЛЕЯ</t>
  </si>
  <si>
    <t>10013070 т/п Красноармейский</t>
  </si>
  <si>
    <t>КОТЛЫ ЦЕНТРАЛЬНОГО ОТОПЛЕНИЯ:</t>
  </si>
  <si>
    <t>THERMONA SPOL. S.R.O.</t>
  </si>
  <si>
    <t>CZ</t>
  </si>
  <si>
    <t>ОСНОВИНА ОЛЬГА НИКОЛАЕВНА</t>
  </si>
  <si>
    <t>КОТЛЫ ЦЕНТРАЛЬНОГО ОТОПЛЕНИЯ, ИЗ ЧУГУННОГО ЛИТЬЯ: :</t>
  </si>
  <si>
    <t>10131010/241222/3554408</t>
  </si>
  <si>
    <t>3554408</t>
  </si>
  <si>
    <t>КОТЛЫ ЦЕНТРАЛЬНОГО ОТОПЛЕНИЯ, СТАЛЬНЫЕ, ВЕС БРУТТО С ПОДДОНАМИ 16870.25 КГ., АССОРТИМЕНТ</t>
  </si>
  <si>
    <t>10131010/241222/5001977</t>
  </si>
  <si>
    <t>5001977</t>
  </si>
  <si>
    <t>10131010/241222/3554640</t>
  </si>
  <si>
    <t>3554640</t>
  </si>
  <si>
    <t>КОТЛЫ ЦЕНТРАЛЬНОГО ОТОПЛЕНИЯ, СТАЛЬНЫЕ, ВЕС БРУТТО С ПОДДОНАМИ 17851.5 КГ., АССОРТИМЕНТ</t>
  </si>
  <si>
    <t>10131010/241222/3554601</t>
  </si>
  <si>
    <t>3554601</t>
  </si>
  <si>
    <t>КОТЛЫ ЦЕНТРАЛЬНОГО ОТОПЛЕНИЯ, СТАЛЬНЫЕ, ВЕС БРУТТО С ПОДДОНАМИ 15636.8 КГ., АССОРТИМЕНТ</t>
  </si>
  <si>
    <t>10012020/241222/5000713</t>
  </si>
  <si>
    <t>5000713</t>
  </si>
  <si>
    <t>RADIANT BRUCIATORI SPA ON BEHALF OF LLC EURONEKA KG TRANSSHIPMENT BY DM GROUP PLANET SP.ZO.O. SP.K.</t>
  </si>
  <si>
    <t>, , GDANSK, MIKOLAJA REJA 3,</t>
  </si>
  <si>
    <t>1023900984997</t>
  </si>
  <si>
    <t>3906086732</t>
  </si>
  <si>
    <t>ООО ЭКОТЕХНИКА</t>
  </si>
  <si>
    <t>236000, КАЛИНИНГРАДСКАЯ ОБЛ., Г.КАЛИНИНГРАД, ПР-КТ МИРА 142, ЛИТЕР М,</t>
  </si>
  <si>
    <t>390601001</t>
  </si>
  <si>
    <t>KG</t>
  </si>
  <si>
    <t>КЫРГЫЗСТАН</t>
  </si>
  <si>
    <t>PL</t>
  </si>
  <si>
    <t>ПОЛЬША</t>
  </si>
  <si>
    <t>22110015/0436/0028/9/1</t>
  </si>
  <si>
    <t>КАЛИНИНГРАДСКАЯ ОБЛ., ГУРЬЕВСКИЙ Р-Н</t>
  </si>
  <si>
    <t>ПОС. ДРУЖНЫЙ</t>
  </si>
  <si>
    <t>УЛ. ДЗЕРЖИНСКОГО,248.</t>
  </si>
  <si>
    <t>КОТЛЫ ОТОПИТЕЛЬНЫЕ ВОДОГРЕЙНЫЕ ГАЗОВЫЕ, ТЕПЛОВОЙ МОЩНОСТЬЮ ДО 100 КВТ, ДЛЯ ЦЕНТРАЛЬНОГО ОТОПЛЕНИЯ И ПРОИЗВОДСТВА ГОРЯЧЕЙ ВОДЫ, БЫТОВЫЕ, НАСТЕННЫЕ, В КОРПУСЕ ИЗ СТАЛИ, НЕ ВОЕННОГО НАЗНАЧЕНИЯ, ПРЕДНАЗНАЧЕНЫ ДЛЯ НЕБОЛЬШИХ СИСТЕМ ЦЕНТРАЛЬНОГО ОТОПЛЕНИЯ И</t>
  </si>
  <si>
    <t>RADIANT BRUCIATORI S.P.A.</t>
  </si>
  <si>
    <t>ХЛЕБОДАРОВ СЕРГЕЙ ВАЛЕНТИНОВИЧ</t>
  </si>
  <si>
    <t>КОТЛЫ ОТОПИТЕЛЬНЫЕ ВОДОГРЕЙНЫЕ ГАЗОВЫЕ, ТЕПЛОВОЙ МОЩНОСТЬЮ ДО 100 КВТ, КОНДЕНСАЦИОННЫЕ, ДЛЯ ЦЕНТРАЛЬНОГО ОТОПЛЕНИЯ И ПРОИЗВОДСТВА ГОРЯЧЕЙ ВОДЫ, БЫТОВЫЕ, НАСТЕННЫЕ, В КОРПУСЕ ИЗ СТАЛИ, НЕ ВОЕННОГО НАЗНАЧЕНИЯ, ПРЕДНАЗНАЧЕНЫ ДЛЯ НЕБОЛЬШИХ СИСТЕМЦЕНТРАЛЬ</t>
  </si>
  <si>
    <t>10012020/231222/3101323</t>
  </si>
  <si>
    <t>3101323</t>
  </si>
  <si>
    <t>80-404, , GDANSK, MIKOLAJA REJA 3,</t>
  </si>
  <si>
    <t>КОТЕЛ ОТОПИТЕЛЬНЫЙ ВОДОГРЕЙНЫЙ ГАЗОВЫЙ, ДЛЯ ЦЕНТРАЛЬНОГО ОТОПЛЕНИЯ, В КОРПУСЕ ИЗ СТАЛИ, НЕ ВОЕННОГО НАЗНАЧЕНИЯ, ДАННАЯ ПРОДУКЦИЯ ЗАВОЗИТСЯ В КАЧЕСТВЕ ПРОБ (ОБРАЗЦОВ) ДЛЯ ЦЕЛЕЙ ПРОВЕДЕНИЯ ОЦЕНКИ СООТВЕТСТВИЯ ОБЯЗАТЕЛЬНЫМ ТРЕБОВАНИЯМ ТЕХНИЧЕСКИХ</t>
  </si>
  <si>
    <t>10013160/231222/3624301</t>
  </si>
  <si>
    <t>3624301</t>
  </si>
  <si>
    <t>STEELSOFT DOO BEOGRAD</t>
  </si>
  <si>
    <t>11080, , ZEMUN, AUTOPUT ZA NOVI SAD 71,</t>
  </si>
  <si>
    <t>1027739216350</t>
  </si>
  <si>
    <t>7705238125</t>
  </si>
  <si>
    <t>ООО ФИРМА ВОДОКОМФОРТ</t>
  </si>
  <si>
    <t>115114, ГОРОД, МОСКВА, УЛ. КОЖЕВНИЧЕСКАЯ, 16</t>
  </si>
  <si>
    <t>772501001</t>
  </si>
  <si>
    <t>RS</t>
  </si>
  <si>
    <t>СЕРБИЯ</t>
  </si>
  <si>
    <t>BEOGRAD</t>
  </si>
  <si>
    <t>22090197/1927/0006/2/1</t>
  </si>
  <si>
    <t>10013/200111/10101/6</t>
  </si>
  <si>
    <t>ТЕР. ЗВЕНИГОРОДСКОЕ</t>
  </si>
  <si>
    <t>КОТЛЫ ЦЕНТРАЛЬНОГО ОТОПЛЕНИЯ</t>
  </si>
  <si>
    <t>VAILLANT GMBH</t>
  </si>
  <si>
    <t>15ТО-19082022-3</t>
  </si>
  <si>
    <t>СЕРГЕЕВА АНАСТАСИЯ НИКОЛАЕВНА</t>
  </si>
  <si>
    <t>10131010/231222/3552897</t>
  </si>
  <si>
    <t>3552897</t>
  </si>
  <si>
    <t>КОТЛЫ ЦЕНТРАЛЬНОГО ОТОПЛЕНИЯ, СТАЛЬНЫЕ, ВЕС БРУТТО С ПОДДОНАМИ 17557.80 КГ., АССОРТИМЕНТ</t>
  </si>
  <si>
    <t>10131010/221222/3552385</t>
  </si>
  <si>
    <t>3552385</t>
  </si>
  <si>
    <t>КОТЛЫ ЦЕНТРАЛЬНОГО ОТОПЛЕНИЯ, СТАЛЬНЫЕ, БРУТТО С ПОДДОНАМИ 11632.0 КГ., АССОРТИМЕНТ</t>
  </si>
  <si>
    <t>BDR THERMEA HVAC &amp; CO., LTD</t>
  </si>
  <si>
    <t>НОВИКОВА ЕЛЕНА ПЕТРОВНА</t>
  </si>
  <si>
    <t>10013160/231222/3625264</t>
  </si>
  <si>
    <t>3625264</t>
  </si>
  <si>
    <t>10228010/231222/3419018</t>
  </si>
  <si>
    <t>3419018</t>
  </si>
  <si>
    <t>10012020/231222/3101286</t>
  </si>
  <si>
    <t>3101286</t>
  </si>
  <si>
    <t>FERROLI S.P.A. ON BEHALF OF LLC EURONEKA KG TRANSSHIPMENT BY DM GROUP PLANET SP.ZO.O. SP.K.</t>
  </si>
  <si>
    <t>КОТЛЫ ЦЕНТРАЛЬНОГО ОТОПЛЕНИЯ ИЗ ЧУГУННОГО ЛИТЬЯ, ВОДОГРЕЙНЫЕ НАПОЛЬНЫЕ ЧУГУННЫЕ ОТОПИТЕЛЬНЫЕ КОТЛЫ ТЕПЛОВОЙ МОЩНОСТЬЮ 32 КВТ, С ОТКРЫТОЙ КАМЕРОЙ СГОРАНИЯ, ТОПЛИВО ГАЗ, С АТМОСФЕРНОЙ ГОРЕЛКОЙ, ДЛЯ ОТОПЛЕНИЯ ЖИЛЫХ ПОМЕЩЕНИЙ, НЕ ВОЕННОГО НАЗНАЧЕНИЯ,</t>
  </si>
  <si>
    <t>FERROLI S.P.A.</t>
  </si>
  <si>
    <t>10228010/221222/3417894</t>
  </si>
  <si>
    <t>3417894</t>
  </si>
  <si>
    <t>THERMEX IKLIMLENDIRME VE ISITMA SISTEMLERI SANAYI TIC  LTD. STI</t>
  </si>
  <si>
    <t>35865, TORBALI, IZMIR, ORGANIZE SANAYI BOLGESI MAH. 7.CAD. NO.17/2,</t>
  </si>
  <si>
    <t>IZMIR</t>
  </si>
  <si>
    <t>21070038/0436/0000/2/1</t>
  </si>
  <si>
    <t>КОТЛЫ ГАЗОВЫЕ ОТОПИТЕЛЬНЫЕ ВОДОГРЕЙНЫЕ, НАСТЕННЫЕ, СТАЛЬНЫЕ, ДЛЯ СИСТЕМ ВОДЯНОГО ОТОПЛЕНИЯ И ГОРЯЧЕГО ВОДОСНАБЖЕНИЯ, ДЛЯ ИСПОЛЬЗОВАНИЯ В БЫТУ, МАТЕРИАЛ ТЕПЛООБМЕННИКА СТАЛЬ И АЛЮМИНИЙ (НЕ ПРЕДНАЗНАЧЕНЫ ДЛЯ ПРОИЗВОДСТВА ПАРА, НЕ ВОЕННОГО НАЗНАЧЕНИЯ)</t>
  </si>
  <si>
    <t>THERMEX IKLIMLENDIRME VE ISITMA SISTEMLERI SAN. VE TIC. LTD.STI.</t>
  </si>
  <si>
    <t>10131010/221222/3552355</t>
  </si>
  <si>
    <t>3552355</t>
  </si>
  <si>
    <t>142455</t>
  </si>
  <si>
    <t>10005030/171222/3346812</t>
  </si>
  <si>
    <t>10005030</t>
  </si>
  <si>
    <t>3346812</t>
  </si>
  <si>
    <t>TRANS HOPE INTERNATIONAL CO.,LTD</t>
  </si>
  <si>
    <t>, NANSHAN DISTRICT, SHENZHEN CITY, EAST TOWER,COASTAL BUILDING,3RD HAIDE AVENUE,</t>
  </si>
  <si>
    <t>1046206007220</t>
  </si>
  <si>
    <t>6229047095</t>
  </si>
  <si>
    <t>ООО ТРАНСТЕХСЕРВИС</t>
  </si>
  <si>
    <t>391121, РЯЗАНСКАЯ ОБЛ., РЫБНОВСКИЙ Р-Н, Д.ЗЕЛЕНИНСКИЕ ДВОРИКИ, , ЗДАНИЕ 55М</t>
  </si>
  <si>
    <t>61000</t>
  </si>
  <si>
    <t>621301001</t>
  </si>
  <si>
    <t>1226200004359</t>
  </si>
  <si>
    <t>6234200006</t>
  </si>
  <si>
    <t>ООО МАРТЛАЙН</t>
  </si>
  <si>
    <t>390035, РЯЗАНСКАЯ ОБЛ., Г.РЯЗАНЬ, УЛ.ОСТРОВСКОГО, Д.23/2, КВ.96</t>
  </si>
  <si>
    <t>623401001</t>
  </si>
  <si>
    <t>SHENZHEN</t>
  </si>
  <si>
    <t>018</t>
  </si>
  <si>
    <t>10005/060917/10048/2</t>
  </si>
  <si>
    <t>Г.ХИМКИ</t>
  </si>
  <si>
    <t>ШЕРЕМЕТЬЕВСКОЕ ШОССЕ</t>
  </si>
  <si>
    <t>10005020 т/п Аэропорт Шереметьево (грузовой)</t>
  </si>
  <si>
    <t>КОТЛЫ ЭЛЕКТРИЧЕСКИЕ ЦЕНТРАЛЬНОГО ОТОПЛЕНИЯ МАРКИ OSMAX, БЫТОВЫЕ, СТАЛЬНЫЕ, НАПРЯЖЕНИЕ ПИТАНИЯ 220-380 В, МОЩНОСТЬЮ ОТ 10 ДО 16 КВАТТ, ТЕМПЕРАТУРА ВОДЫ 25-75 ГРАД.ЦЕЛЬСИЯ. ИСПОЛЬЗУЮТСЯ В БЫТУ ДЛЯ ПОДКЛЮЧЕНИЯ К СИСТЕМЕ ЦЕНТРАЛЬНОГО ОТОПЛЕНИЯ ДЛЯ ОБОГ</t>
  </si>
  <si>
    <t>ZHONGSHAN CHONGDE ELECTRIC CO., LTD</t>
  </si>
  <si>
    <t>МАРТЫНОВ АЛЕКСАНДР ЕВГЕНЬЕВИЧ</t>
  </si>
  <si>
    <t>10131010/221222/3551386</t>
  </si>
  <si>
    <t>3551386</t>
  </si>
  <si>
    <t>10131010/221222/3552377</t>
  </si>
  <si>
    <t>3552377</t>
  </si>
  <si>
    <t>10418010/221222/3235079</t>
  </si>
  <si>
    <t>10418010</t>
  </si>
  <si>
    <t>3235079</t>
  </si>
  <si>
    <t>VARMECOM INDUSTRY INC.</t>
  </si>
  <si>
    <t>, ESKISEHIR, ODUNPAZAR, 75TH YEAR OSB DISTRICT, STREET 104, 12</t>
  </si>
  <si>
    <t>1060278101982</t>
  </si>
  <si>
    <t>0278122273</t>
  </si>
  <si>
    <t>ООО ГАЗСТРОЙИНВЕСТ</t>
  </si>
  <si>
    <t>450006, РЕСПУБЛИКА БАШКОРТОСТАН, УФА, УЛ. 50-ЛЕТИЯ ОКТЯБРЯ, 15</t>
  </si>
  <si>
    <t>22110036/3292/0006/2/1</t>
  </si>
  <si>
    <t>10413/070318/10059/1</t>
  </si>
  <si>
    <t>САРАТОВСКАЯ ОБЛ.</t>
  </si>
  <si>
    <t>Г. САРАТОВ</t>
  </si>
  <si>
    <t>УЛ. ТАМОЖЕННЫЙ ПР-Д, Д. 6</t>
  </si>
  <si>
    <t>10413070 т/п Саратовский</t>
  </si>
  <si>
    <t>ГАЗОВЫЙ НАСТЕННЫЙ КОТЕЛ КОНВЕКЦИОННОГО ТИПА FEDERICA BUGATTI VARME ПРЕДНАЗНАЧЕН ДЛЯ ОТОПЛЕНИЯ И ПРИГОТОВЛЕНИЯ ГОРЯЧЕЙ ВОДЫ В КОТТЕДЖАХ, В КВАРТИРАХ МНОГОЭТАЖНЫХ ДОМОВ С КОЛЛЕКТИВНЫМИ ДЫМОХОДАМИ И ДРУГИХ ЗДАНИЯХ ПЛОЩАДЬЮ ДО 360 М2.</t>
  </si>
  <si>
    <t>ТБ696/18/06/15/3</t>
  </si>
  <si>
    <t>ДАВИТАШВИЛИ ДЖАМАЛ РОЛАНДОВИЧ</t>
  </si>
  <si>
    <t>10317120/221222/3169345</t>
  </si>
  <si>
    <t>3169345</t>
  </si>
  <si>
    <t>BAYMAK MAKINA SANAYI VE TICARET A.S.</t>
  </si>
  <si>
    <t>34959, ORHANLI/TUZLA, ISTANBUL, ORHANLI BELDESI, ORTA MAHALLE, AKDENIZ SOK.NO:8,</t>
  </si>
  <si>
    <t>129164, , Г.МОСКВА, ЗУБАРЕВ ПЕР., Д.15, К.1, ЭТ.3, ПОМ.1, КОМ.67Г,</t>
  </si>
  <si>
    <t>TUZLA</t>
  </si>
  <si>
    <t>16080084/0001/0000/2/1</t>
  </si>
  <si>
    <t>СУХУМСКОЕ ШОССЕ, Д. 17 А. ПЗТК ООО НУТЭП</t>
  </si>
  <si>
    <t>КОТЛЫ ЦЕНТРАЛЬНОГО ОТОПЛЕНИЯ ГАЗОВЫЕ СТАЛЬНЫЕ</t>
  </si>
  <si>
    <t>ЛС-БДРТР/220/07/2022</t>
  </si>
  <si>
    <t>СЛЮСАРЬ ЕГОР ВИТАЛЬЕВИЧ</t>
  </si>
  <si>
    <t>10013160/221222/3622350</t>
  </si>
  <si>
    <t>3622350</t>
  </si>
  <si>
    <t>КОТЛЫ ЦЕНТРАЛЬНОГО ОТОПЛЕНИЯ: ИТОГО-47ШТ.</t>
  </si>
  <si>
    <t>8</t>
  </si>
  <si>
    <t>10131010/221222/3552370</t>
  </si>
  <si>
    <t>3552370</t>
  </si>
  <si>
    <t>10013160/221222/3623828</t>
  </si>
  <si>
    <t>3623828</t>
  </si>
  <si>
    <t>CРТ</t>
  </si>
  <si>
    <t>10317120/221222/5000957</t>
  </si>
  <si>
    <t>5000957</t>
  </si>
  <si>
    <t>34959, , ORHANLI-TUZLA/ISTANBUL, ORHANLI BELDESI ORTA MAH. AKDENIZ SOK.NO:8,</t>
  </si>
  <si>
    <t>СУХУМСКОЕ ШОССЕ, Д. 17А ПЗТК ООО НУТЭП</t>
  </si>
  <si>
    <t>КОТЛЫ ГАЗОВЫЕ ЦЕНТРАЛЬНОГО ОТОПЛЕНИЯ, СТАЛЬНЫЕ:</t>
  </si>
  <si>
    <t>ДАВЫДОВА СВЕТЛАНА АЛЕКСАНДРОВНА</t>
  </si>
  <si>
    <t>10228010/221222/3417999</t>
  </si>
  <si>
    <t>3417999</t>
  </si>
  <si>
    <t>ООО ВОСХОД ПО ПОРУЧЕНИЮ ООО ТОРГОВЫЙ ДОМ ТЕРМЕКС</t>
  </si>
  <si>
    <t>10013160/221222/3623011</t>
  </si>
  <si>
    <t>3623011</t>
  </si>
  <si>
    <t>BRANO A.S.</t>
  </si>
  <si>
    <t>74741, , HRADEC NAD MORAVICI, OPAVSKA 1000,</t>
  </si>
  <si>
    <t>1137746059956</t>
  </si>
  <si>
    <t>7720772444</t>
  </si>
  <si>
    <t>ООО ТД МОРА-ТОП</t>
  </si>
  <si>
    <t>143430, МОСКОВСКАЯ ОБЛ., Г. КРАСНОГОРСК, РП НАХАБИНО, УЛ.СОВЕТСКАЯ,Д.86,</t>
  </si>
  <si>
    <t>502401001</t>
  </si>
  <si>
    <t>OLOMOUC (ЧЕХИЯ)</t>
  </si>
  <si>
    <t>143090</t>
  </si>
  <si>
    <t>УЛ. БЕРЕЗОВАЯ АЛЛЕЯ, Д. 5</t>
  </si>
  <si>
    <t>КОТЛЫ ЦЕНТРАЛЬНОГО ОТОПЛЕНИЯ ЧУГУННЫЕ, НАПОЛЬНЫЕ, ПРЕДНАЗНАЧЕНЫ ДЛЯ ОТОПЛЕНИЯ И НАГРЕВА ХОЗЯЙСТВЕННОЙ ВОДЫ В ДОМАШНИХ УСЛОВИЯХ И НА ПРЕДПРИЯТИЯХ</t>
  </si>
  <si>
    <t>МИТИНА СВЕТЛАНА ВИКТОРОВНА</t>
  </si>
  <si>
    <t>НАСТЕННЫЕ ЭЛЕКТРИЧЕСКИЕ КОТЛЫ ЦЕНТРАЛЬНОГО ОТОПЛЕНИЯ, ПРЕДНАЗНАЧЕНЫ ДЛЯ ОТОПЛЕНИЯ И НАГРЕВА ХОЗЯЙСТВЕННОЙ ВОДЫ В ДОМАШНИХ УСЛОВИЯХ И НА ПРЕДПРИЯТИЯХ</t>
  </si>
  <si>
    <t>10012020/221222/5000681</t>
  </si>
  <si>
    <t>5000681</t>
  </si>
  <si>
    <t>10228010/211222/3415856</t>
  </si>
  <si>
    <t>3415856</t>
  </si>
  <si>
    <t>ARISTON SPA C/W LT LOGIS VILNIUS,LITHUANIA, NEMEZIO SEN</t>
  </si>
  <si>
    <t>LT</t>
  </si>
  <si>
    <t>ЛИТВА</t>
  </si>
  <si>
    <t>10013160/211222/3620243</t>
  </si>
  <si>
    <t>3620243</t>
  </si>
  <si>
    <t>10317120/211222/3168635</t>
  </si>
  <si>
    <t>3168635</t>
  </si>
  <si>
    <t>BAYMAK MAK SAN VE TIC. AS.</t>
  </si>
  <si>
    <t>34959, ISTANBUL, ORHANLI-TUZLA, ORHANLI BELDESI ORTA MAH. AKDENIZ, SOK.NO:8</t>
  </si>
  <si>
    <t>129164, , Г. МОСКВА, ЗУБАРЕВ ПЕРЕУЛОК, Д. 15, КОРП.1, ЭТАЖ 3, ПОМ.1, КО,</t>
  </si>
  <si>
    <t>УЛ.СУХУМСКОЕ ШОССЕ</t>
  </si>
  <si>
    <t>0897/00-2022-078</t>
  </si>
  <si>
    <t>ПАСЛЕН АННА ПЕТРОВНА</t>
  </si>
  <si>
    <t>10702070/211222/3458521</t>
  </si>
  <si>
    <t>10702070</t>
  </si>
  <si>
    <t>3458521</t>
  </si>
  <si>
    <t>HYDROSTA CO.,LTD</t>
  </si>
  <si>
    <t>, BUSAN, HAEUNDAE-GU,U-DONG, ACE HIGHTECH 1470,21, NO.1813,</t>
  </si>
  <si>
    <t>1042502960500</t>
  </si>
  <si>
    <t>2536144625</t>
  </si>
  <si>
    <t>ООО  ИМПОРТ-СЕРВИС</t>
  </si>
  <si>
    <t>690001, ПРИМОРСКИЙ КРАЙ, ВЛАДИВОСТОК, УЛ.АБРЕКСКАЯ, ДОМ 8 В ОФ.6,</t>
  </si>
  <si>
    <t>05000</t>
  </si>
  <si>
    <t>253601001</t>
  </si>
  <si>
    <t>CFR</t>
  </si>
  <si>
    <t>ВЛАДИВОСТОК</t>
  </si>
  <si>
    <t>15120005/2733/0000/2/1</t>
  </si>
  <si>
    <t>10702000/180322/00045/2</t>
  </si>
  <si>
    <t>ПРИМОРСКИЙ КРАЙ</t>
  </si>
  <si>
    <t>Г. ВЛАДИВОСТОК</t>
  </si>
  <si>
    <t>УЛ.СТРЕЛЬНИКОВА,9 ВМТП</t>
  </si>
  <si>
    <t>10702030 т/п Морской порт Владивосток</t>
  </si>
  <si>
    <t>КОТЛЫ МАРКИ OLYMPIA ВОДОГРЕЙНЫЕ:ДИЗЕЛЬНЫЕ,ГАЗОВЫЕ ДЛЯ ЦЕНТРАЛЬНОГО ОТОПЛЕНИЯ, С ГОРЕЛКАМИ БЛОЧНЫМИ НА ЖИДКОМ ТОПЛИВЕ И ГАЗОВЫМИ ГОРЕЛКАМИ. КОД ОКП 493112 OLYMPIA OIL BOILER/ДИЗЕЛЬНЫЕ КОТЛЫ ВОДОГЕЙНЫЕ      OLB-250F-R(Q=25000KCAL/H)WITH OIL BURNER (T</t>
  </si>
  <si>
    <t>OLYMPIA INDUSTRIAL  CO.,LTD</t>
  </si>
  <si>
    <t>СУЩИНСКАЯ ТАТЬЯНА ЭДУАРДОВНА</t>
  </si>
  <si>
    <t>10228010/211222/3415975</t>
  </si>
  <si>
    <t>3415975</t>
  </si>
  <si>
    <t>ARISTON THERMO S.P.A.</t>
  </si>
  <si>
    <t>НИДЕРЛАНДЫ</t>
  </si>
  <si>
    <t>КОТЛЫ ГАЗОВЫЕ ОТОПИТЕЛЬНЫЕ ВОДОГРЕЙНЫЕ, В КОРПУСЕ ИЗ СТАЛИ, НЕЛИТЫЕ, МОЩНОСТЬЮ БОЛЕЕ 100 КВТ, МАРКИ ЕLСО (В ПЕРВИЧНОЙ УПАКОВКЕ)</t>
  </si>
  <si>
    <t>ATAG HEATING BV</t>
  </si>
  <si>
    <t>NL</t>
  </si>
  <si>
    <t>СИНИЦИНА ОЛЬГА ЮРЬЕВНА</t>
  </si>
  <si>
    <t>КОТЛЫ ОТОПИТЕЛЬНЫЕ ВОДОГРЕЙНЫЕ ГАЗОВЫЕ, В КОРПУСЕ ИЗ СТАЛИ, НЕЛИТОЙ, МОЩНОСТЬЮ МЕНЕЕ/БОЛЕЕ 100 КВТ, МАРКИ ARISTON (В ПЕРВИЧНОЙ УПАКОВКЕ)</t>
  </si>
  <si>
    <t>КОТЛЫ КОНДЕНСАЦИОННЫЕ ОТОПИТЕЛЬНЫЕ ВОДОГРЕЙНЫЕ ГАЗОВЫЕ СО ВСТРОЕННОЙ ГОРЕЛКОЙ, В КОРПУСЕ ИЗ СТАЛИ, НЕЛИТЫЕ, МОЩНОСТЬЮ СВЫШЕ 100 КВТ, МАРКИ ELCO</t>
  </si>
  <si>
    <t>10317120/201222/3167790</t>
  </si>
  <si>
    <t>3167790</t>
  </si>
  <si>
    <t>CAGDAS KARAGOL-CAGDAS NAKLIYAT</t>
  </si>
  <si>
    <t>, , ISTANBUL, INONU MH. ORKIDEM SK. NO:NO:4/4 ATASEHIR,</t>
  </si>
  <si>
    <t>1213000003908</t>
  </si>
  <si>
    <t>3019030445</t>
  </si>
  <si>
    <t>ООО САРМАТ +</t>
  </si>
  <si>
    <t>414041, АСТРАХАНСКАЯ ОБЛ.,Г.О. ГОРОД АСТРАХАНЬ, Г АСТРАХАНЬ, УЛ ЕРЕВАНСКАЯ,Д. 3,</t>
  </si>
  <si>
    <t>12000</t>
  </si>
  <si>
    <t>301901001</t>
  </si>
  <si>
    <t>22090030/2272/0026/2/1</t>
  </si>
  <si>
    <t>СУХУМСКОЕ ШОССЕ, 17А</t>
  </si>
  <si>
    <t>КОТЛЫ БЫТОВЫЕ ЦЕНТРАЛЬНОГО ОТОПЛЕНИЯ, ВОДОГРЕЙНЫЕ, ГАЗОВЫЕ В СТАЛЬНОМ КОРПУСЕ; ДВУХКОНТУРНЫЕ НАСТЕННЫЕ ГАЗОВЫЕ КОТЛЫ</t>
  </si>
  <si>
    <t>TURK DEMIR DOKUM FABRIKALARI A.S.</t>
  </si>
  <si>
    <t>1027/22/1002-01</t>
  </si>
  <si>
    <t>ДОРОФЕЕВА ЕЛЕНА АЛЕКСАНДРОВНА</t>
  </si>
  <si>
    <t>10013160/211222/3619966</t>
  </si>
  <si>
    <t>3619966</t>
  </si>
  <si>
    <t>10131010/211222/3550312</t>
  </si>
  <si>
    <t>3550312</t>
  </si>
  <si>
    <t>22040034/3475/0000/2/1</t>
  </si>
  <si>
    <t>10005030/201222/3351842</t>
  </si>
  <si>
    <t>3351842</t>
  </si>
  <si>
    <t>QIANTONG INTERNATIONAL FREIGHT AND FORWARDING(SHANGHAI)CO.,LTD ПО ПОРУЧ.HANGZHOU ELAND COMMUNICATION TECHNOLOGY CO., LTD</t>
  </si>
  <si>
    <t>200040, , SHANGHAI, OFFICE 438,EAST TOWER,CENTER1376,NANJING ROAD WEST,</t>
  </si>
  <si>
    <t>1155022000352</t>
  </si>
  <si>
    <t>5022047481</t>
  </si>
  <si>
    <t>ООО ТПК ЗОЛОТОЙ ТИГР</t>
  </si>
  <si>
    <t>121601, , МОСКВА, ФИЛЁВСКИЙ БУЛЬВАР, Д.10</t>
  </si>
  <si>
    <t>773001001</t>
  </si>
  <si>
    <t>HANGZHOU</t>
  </si>
  <si>
    <t>10005/230712/10031/5</t>
  </si>
  <si>
    <t>АЭРОПОРТ ШЕРЕМЕТЬЕВО, ШЕРЕМЕТЬЕВСКОЕ Ш., Д. 9</t>
  </si>
  <si>
    <t>КОТЕЛ НАСТЕННЫЙ ОТОПИТЕЛЬНЫЙ ГАЗОВЫЙ ПРЕДНАЗНАЧЕН ДЛЯ РАБОТЫ В КАЧЕСТВЕ ТЕПЛОГЕНЕРИРУЮЩЕГО АГРЕГАТА В СОСТАВЕ СИСТЕМЫ ОТОПЛЕНИЯ. БЫТОВОЙ.НЕ ВОЕННОГО НАЗНАЧЕНИЯ ,ЗАВОЗИТСЯ В КАЧЕСТВЕ ОБРАЗЦА ДЛЯ ТЕСТИРОВАНИЯ ДЛЯ УДОБСТВА ТРАНСПОРТИРОВКИ ПОСТАВЛЯЕТСЯ</t>
  </si>
  <si>
    <t>GUANGDONG HAOSENRE EQUIPMENT CO.,LTD.</t>
  </si>
  <si>
    <t>TATL/GOLDEN TIGER-2021/11-1-BR</t>
  </si>
  <si>
    <t>КОГАН ТАТЬЯНА ЛЕОНИДОВНА</t>
  </si>
  <si>
    <t>10131010/201222/3547976</t>
  </si>
  <si>
    <t>3547976</t>
  </si>
  <si>
    <t>КОТЛЫ ЦЕНТРАЛЬНОГО ОТОПЛЕНИЯ, СТАЛЬНЫЕ, ВЕС БРУТТО С ПОДДОНАМИ 14994.4 КГ., АССОРТИМЕНТ</t>
  </si>
  <si>
    <t>10131010/201222/3548892</t>
  </si>
  <si>
    <t>3548892</t>
  </si>
  <si>
    <t>КОТЛЫ ЦЕНТРАЛЬНОГО ОТОПЛЕНИЯ, ДВУХКОНТУРНЫЕ ДЛЯ РАБОТЫ В СИСТЕМАХ ОТОПЛЕНИЯ И ГОРЯЧЕГО ВОДОСНАБЖЕНИЯ:</t>
  </si>
  <si>
    <t>10131010/191222/3546920</t>
  </si>
  <si>
    <t>3546920</t>
  </si>
  <si>
    <t>37059, , CAMPAGNOLA DI ZEVIO(VR), VIA G.PASCOLI,38,</t>
  </si>
  <si>
    <t>1157746439080</t>
  </si>
  <si>
    <t>7718171799</t>
  </si>
  <si>
    <t>ОООРИЗКО ИЧИ</t>
  </si>
  <si>
    <t>107023, , Г.МОСКВА, УЛ.ЭЛЕКТРОЗАВОДСКАЯ,Д.52,СТР.16, ПОМЕЩ. 21А,</t>
  </si>
  <si>
    <t>771801001</t>
  </si>
  <si>
    <t>CAMPAGNOLA DI ZEVIO VERONA</t>
  </si>
  <si>
    <t>15110008/2216/0000/2/1</t>
  </si>
  <si>
    <t>215119</t>
  </si>
  <si>
    <t>Г. ВЯЗЬМА</t>
  </si>
  <si>
    <t>УЛ. ЭЛЕВАТОРНАЯ, Д. 12</t>
  </si>
  <si>
    <t>10113020 т/п Вяземский</t>
  </si>
  <si>
    <t>КОТЕЛ ОТОПИТЕЛЬНЫЙ ВОДОГРЕЙНЫЙ, РАБОТАЮЩИЙ НА ГАЗЕ(МЕТАН, СЖИЖЕННЫЙ ГАЗ), ИЗ СТАЛИ, ДВУХХОДОВОЙ, ДЛЯ СИСТЕМ ОТОПЛЕНИЯ: МОЩНОСТЬ 1400 КВТ, 2900Х1470Х1750Н ММ</t>
  </si>
  <si>
    <t>0526/01-15-032</t>
  </si>
  <si>
    <t>ПАНОВА ЖАННА АЛЕКСАНДРОВНА</t>
  </si>
  <si>
    <t>10702070/191222/3455568</t>
  </si>
  <si>
    <t>3455568</t>
  </si>
  <si>
    <t>NINGBO FOURTH PARTY LOGISTICS CO.,LTD</t>
  </si>
  <si>
    <t>315000, ., NINGBO, RM 1815 FIFTH AVENUE HUAHONG NO.719 ZHONGXING RD N,</t>
  </si>
  <si>
    <t>NINGBO</t>
  </si>
  <si>
    <t>22050007/2272/0026/2/1</t>
  </si>
  <si>
    <t>ВЛАДИВОСТОК Г</t>
  </si>
  <si>
    <t>СТРЕЛЬНИКОВА УЛ, ДОМ № 9</t>
  </si>
  <si>
    <t>КОТЛЫ БЫТОВЫЕ ЦЕНТРАЛЬНОГО ОТОПЛЕНИЯ, ВОДОГРЕЙНЫЕ, ГАЗОВЫЕ В СТАЛЬНОМ КОРПУСЕ; ДВУХКОНТУРНЫЕ НАСТЕННЫЕ ГАЗОВЫЕ КОТЛЫ.</t>
  </si>
  <si>
    <t>JIANGSU SPRING THERMAL TECHNOLOGY CO., LTD</t>
  </si>
  <si>
    <t>10131010/201222/3548012</t>
  </si>
  <si>
    <t>3548012</t>
  </si>
  <si>
    <t>КОТЛЫ ЦЕНТРАЛЬНОГО ОТОПЛЕНИЯ, СТАЛЬНЫЕ, ВЕС БРУТТО С ПОДДОНАМИ 15462.40 КГ., АССОРТИМЕНТ</t>
  </si>
  <si>
    <t>10131010/201222/3548232</t>
  </si>
  <si>
    <t>3548232</t>
  </si>
  <si>
    <t>, GUANGDONG, ZHONGSHAN, 23 HEALTH ROAD, NATIONAL HEALTH TECHNOLOGY PARK,</t>
  </si>
  <si>
    <t>10131010/191222/3546320</t>
  </si>
  <si>
    <t>3546320</t>
  </si>
  <si>
    <t>RADIJATOR INZENJERING D.O.O.</t>
  </si>
  <si>
    <t>36000, СЕРБИЯ, KRALJEVO, UL. ZIVOJINA LAZICA-SOLUNCA BR.6,</t>
  </si>
  <si>
    <t>5117746059460</t>
  </si>
  <si>
    <t>7701943983</t>
  </si>
  <si>
    <t>ООО АТЛАНТИК НЕМАН</t>
  </si>
  <si>
    <t>107023, , МОСКВА, СЕМЕНОВСКАЯ ПЛ.,1А, 24 ЭТАЖ ПОМ. XXXIII КОМ.9,</t>
  </si>
  <si>
    <t>771901001</t>
  </si>
  <si>
    <t>19100232/3292/0000/2/1</t>
  </si>
  <si>
    <t>КАЛУЖ.ОБЛ.,БОРОВСК.Р-Н,</t>
  </si>
  <si>
    <t>С.ВОРСИНО,</t>
  </si>
  <si>
    <t>СЕВЕРНАЯ ПРОМ.ЗОНА, ВЛД.6</t>
  </si>
  <si>
    <t>RADIJATOR INZENJERING</t>
  </si>
  <si>
    <t>ООСБ-ОО</t>
  </si>
  <si>
    <t>ИНК-06/05/2019/1</t>
  </si>
  <si>
    <t>ХЛАНЬ ЛИЛИЯ АНАТОЛЬЕВНА</t>
  </si>
  <si>
    <t>10317120/191222/3166454</t>
  </si>
  <si>
    <t>3166454</t>
  </si>
  <si>
    <t>VARMECOM ENDUSTRIYEL SANAYI VE TICARET ANONIM SIRKETI</t>
  </si>
  <si>
    <t>26250, ODUNPAZARI, ESKISEHIR, 75 YIL OSB MAH. 104 CD. ADAR APT. NO 6,</t>
  </si>
  <si>
    <t>1161690104234</t>
  </si>
  <si>
    <t>1650331192</t>
  </si>
  <si>
    <t>ООО ФЕДЕРИКА БУГАТТИ</t>
  </si>
  <si>
    <t>423800, ТАТАРСТАН, НАБЕРЕЖНЫЕ ЧЕЛНЫ, КАЗАНСКИЙ ПРОСПЕКТ, 226</t>
  </si>
  <si>
    <t>92000</t>
  </si>
  <si>
    <t>165001001</t>
  </si>
  <si>
    <t>21040004/0067/0000/2/1</t>
  </si>
  <si>
    <t>КОТЕЛЬНАЯ АВТОМАТИЗИРОВАННАЯ ИЗ МЕТАЛЛА(НЕ ИЗ ЧУГУНА), НОМИНАЛЬНОЙ ТЕПЛОПРОИЗВОДИТЕЛЬНОСТЬЮ ДО 32 КВТ. ПРЕДНАЗНАЧЕНА ДЛЯ ИСПОЛЬЗОВАНИЯ В КАЧЕСТВЕ ИСТОЧНИКА ТЕПЛОНОСИТЕЛЯ И ГОРЯЧЕЙ ВОДЫ ДЛЯ ЗДАНИЙ И СООРУЖЕНИЙ РАЗЛИЧНОГО НАЗНАЧЕНИЯ. КОТЕЛЬНАЯ</t>
  </si>
  <si>
    <t>0491/01-21/25</t>
  </si>
  <si>
    <t>10131010/191222/3545723</t>
  </si>
  <si>
    <t>3545723</t>
  </si>
  <si>
    <t>I.VAR. INDUSTRY S.R.L.</t>
  </si>
  <si>
    <t>37060, , TREVENZUOLO (VR), VIA S.PIERINO N.4,</t>
  </si>
  <si>
    <t>1037739409146</t>
  </si>
  <si>
    <t>7707236490</t>
  </si>
  <si>
    <t>ООО ТЕПЛОТРАНССЕРВИС</t>
  </si>
  <si>
    <t>119296, МОСКОВСКАЯ ОБЛАСТЬ, Г. МОСКВА, УЛ. МОЛОДЕЖНАЯ, Д.5, К.21,</t>
  </si>
  <si>
    <t>773601001</t>
  </si>
  <si>
    <t>ТУЛА</t>
  </si>
  <si>
    <t>20020005/2879/0000/9/1</t>
  </si>
  <si>
    <t>УЛ. СОБОРНАЯ, 21</t>
  </si>
  <si>
    <t>СТАЛЬНЫЕ КОТЛЫ ЯВЛЯЮТСЯ ВЫСОКОПРОИЗВОДИТЕЛЬНЫМИ ГЕНЕРАТОРАМИ ТЕПЛА ДЛЯ СИСТЕМ ОБОГРЕВА НА ГОРЯЧЕЙ ВОДЕ С ТЕМПЕРАТУРОЙ ДО 120°C</t>
  </si>
  <si>
    <t>I.VAR INDUSTRY S.R.L.</t>
  </si>
  <si>
    <t>ГОЛОЩАПОВА ИРИНА АЛЕКСАНДРОВНА</t>
  </si>
  <si>
    <t>10131010/181222/3544468</t>
  </si>
  <si>
    <t>3544468</t>
  </si>
  <si>
    <t>10131010/191222/3546106</t>
  </si>
  <si>
    <t>3546106</t>
  </si>
  <si>
    <t>FONDITAL S.P.A.</t>
  </si>
  <si>
    <t>25079, BS, VOBARNO, VIA CERRETO, 40</t>
  </si>
  <si>
    <t>1104802000753</t>
  </si>
  <si>
    <t>4802013114</t>
  </si>
  <si>
    <t>ООО ФОНДИТАЛЬ</t>
  </si>
  <si>
    <t>399071, ЛИПЕЦКАЯ ОБЛАСТЬ, ГРЯЗИНСКИЙ РАЙОН, Г.ГРЯЗИ, ТЕР.ОЭЗ ППТ ЛИПЕЦК, СТРОЕ</t>
  </si>
  <si>
    <t>42000</t>
  </si>
  <si>
    <t>480201001</t>
  </si>
  <si>
    <t>ВОБАРНО</t>
  </si>
  <si>
    <t>22080014/2216/0000/2/1</t>
  </si>
  <si>
    <t>80</t>
  </si>
  <si>
    <t>38</t>
  </si>
  <si>
    <t>ЛИПЕЦКАЯ ОБЛАСТЬ, ГРЯЗИНСКИЙ РАЙОН</t>
  </si>
  <si>
    <t>С. КАЗИНКА</t>
  </si>
  <si>
    <t>ОЭЗ ППТ ЛИПЕЦК</t>
  </si>
  <si>
    <t>10104120 т/п Липецкий</t>
  </si>
  <si>
    <t>КОТЛЫ ГАЗОВЫЕ ЦЕНТРАЛЬНОГО ОТОПЛЕНИЯ, ПРЕДНАЗНАЧЕНЫ ДЛЯ ОТОПЛЕНИЯ И ГОРЯЧЕГО ВОДОСНАБЖЕНИЯ ЖИЛЫХ ПОМЕЩЕНИЙ ОБЛАСТЬ ПРИМЕНЕНИЯ: ДЛЯ ПРИМЕНЕНИЯ В СИСТЕМАХ ОТОПЛЕНИЯ И НАГРЕВА ВОДЫ ЖИЛЫХ, ПРОМЫШЛЕННЫХ И ОБЩЕСТВЕННЫХ ЗДАНИЙ. ПРИНЦИП РАБОТЫ: РАБОТАЕТ</t>
  </si>
  <si>
    <t>ПРИХОДЬКО МАРИНА АЛЕКСАНДРОВНА</t>
  </si>
  <si>
    <t>КОТЛЫ ГАЗОВЫЕ ЦЕНТРАЛЬНОГО ОТОПЛЕНИЯ, ПРЕДНАЗНАЧЕНЫ ДЛЯ ОТОПЛЕНИЕ И ГОРЯЧЕГО ВОДОСНАБЖЕНИЯ ЖИЛЫХ ПОМЕЩЕНИЙ. ВЫПОЛНЕНЫ ИЗ СТАЛИ. ПРЕДСТАВЛЯЕТ СОБОЙ НАПОЛЬНЫЙ /НАСТЕННЫЙ ОДНОКОНТУРНЫЙ КОТЕЛ ТОЛЬКО ДЛЯ ОТОПЛЕНИЯ.С ЭЛЕКТРОННЫМ ПОДЖИГОМ И КОНТРОЛЕМ</t>
  </si>
  <si>
    <t>10131010/191222/3546277</t>
  </si>
  <si>
    <t>3546277</t>
  </si>
  <si>
    <t>КОТЛЫ ЦЕНТРАЛЬНОГО ОТОПЛЕНИЯ, СТАЛЬНЫЕ, ВЕС БРУТТО С ПОДДОНАМИ 16791.40 КГ., АССОРТИМЕНТ</t>
  </si>
  <si>
    <t>10317120/191222/3166354</t>
  </si>
  <si>
    <t>3166354</t>
  </si>
  <si>
    <t>262502, ODUNPAZARI, ESKISEHIR, 75 YIL OSB MAH. 104 CD. ADAR APT. NO 6,</t>
  </si>
  <si>
    <t>10013160/191222/3615529</t>
  </si>
  <si>
    <t>3615529</t>
  </si>
  <si>
    <t>BOSCH THERMOTECHNIEK B.V.</t>
  </si>
  <si>
    <t>7418, ., DEVENTER, ZWEEDSESTRAAT 1,</t>
  </si>
  <si>
    <t>1047796138862</t>
  </si>
  <si>
    <t>7724506852</t>
  </si>
  <si>
    <t>ООО БОШ ТЕРМОТЕХНИКА</t>
  </si>
  <si>
    <t>115201, РФ, Г. МОСКВА, УЛ. КОТЛЯКОВСКАЯ, Д. 3, СТР.1, ПОМ. XXVI, ЧЕРДАК, КАБ. 15</t>
  </si>
  <si>
    <t>772401001</t>
  </si>
  <si>
    <t>ХИМКИ</t>
  </si>
  <si>
    <t>16010011/3328/0000/2/1</t>
  </si>
  <si>
    <t>10013/200111/10107/9</t>
  </si>
  <si>
    <t>КОТЛЫ ЦЕНТРАЛЬНОГО ОТОПЛЕНИЯ, КРОМЕ КОТЛОВ ТОВАРНОЙ ПОЗИЦИИ 8402:</t>
  </si>
  <si>
    <t>0035/03-19-1943</t>
  </si>
  <si>
    <t>НИЧИПОРЕНКО СВЕТЛАНА ВАСИЛЬЕВНА</t>
  </si>
  <si>
    <t>10013160/191222/3616051</t>
  </si>
  <si>
    <t>3616051</t>
  </si>
  <si>
    <t>КОТЛЫ ЦЕНТРАЛЬНОГО ОТОПЛЕНИЯ: ИТОГО-101ШТ.</t>
  </si>
  <si>
    <t>10702070/191222/3454036</t>
  </si>
  <si>
    <t>3454036</t>
  </si>
  <si>
    <t>HAINAN LITA IMPORT &amp; EXPORT TRADE CO., LTD</t>
  </si>
  <si>
    <t>, , DISTRICT HAIKOU CITY, SAN XIAN HUI FU, NO.9 CHANG BIN 4TH ROAD, XIU YING,</t>
  </si>
  <si>
    <t>1024900953043</t>
  </si>
  <si>
    <t>4909021566</t>
  </si>
  <si>
    <t>СП ЗАО ОМСУКЧАНСКАЯ ГОРНО-ГЕОЛОГИЧЕСКАЯ КОМПАНИЯ</t>
  </si>
  <si>
    <t>685030```, `````МАГАДАНСКАЯ ОБЛАСТЬ, Г. МАГАДАН, УЛ. ПРОЛЕТАРСКАЯ, Д. 84, КОРП.</t>
  </si>
  <si>
    <t>44000</t>
  </si>
  <si>
    <t>490901001</t>
  </si>
  <si>
    <t>MAGADAN</t>
  </si>
  <si>
    <t>10707000/251122/00089/2</t>
  </si>
  <si>
    <t>МАГАДАНСКАЯ ОБЛ.</t>
  </si>
  <si>
    <t>Г. МАГАДАН</t>
  </si>
  <si>
    <t>ММТП</t>
  </si>
  <si>
    <t>10707160 т/п Морской порт Магадан</t>
  </si>
  <si>
    <t>БОЙЛЕР ЕМКОСТНОЙ НЕЭЛЕКТРИЧЕСКИЙ ВЕРТИКАЛЬНОГО ИСПОЛНЕНИЯ, ПРЕДНАЗНАЧЕН ДЛЯ ОТОПЛЕНИЯ КОМНАТ ФАБРИКИ, ОБЪЕМОМ 0.75 М3, РАСХОД ТОПЛИВА 10 КГ/Ч, ВЫХОДНАЯ МОЩНОСТЬ 120 КВТ, ПЛОЩАДЬ ОБОГРЕВА 1000 КВ.М., НАПРЯЖЕНИЕ 120 ВОЛЬТ, ОСНАЩЕН КОМПЛЕКТОМ</t>
  </si>
  <si>
    <t>DONGGUAN HENGSEN THERMAL ENERGY TECHNOLOGY CO.,LTD</t>
  </si>
  <si>
    <t>7</t>
  </si>
  <si>
    <t>0714/00-15-01</t>
  </si>
  <si>
    <t>БЕЛЬМАС ЭДУАРД ВЛАДИМИРОВИЧ</t>
  </si>
  <si>
    <t>10013160/191222/3616508</t>
  </si>
  <si>
    <t>3616508</t>
  </si>
  <si>
    <t>КОТЛЫ ЦЕНТРАЛЬНОГО ОТОПЛЕНИЯ :</t>
  </si>
  <si>
    <t>10317120/191222/3166230</t>
  </si>
  <si>
    <t>3166230</t>
  </si>
  <si>
    <t>, KARTAL, ISTANBUL, MONUMENTO PLAZA, ESENTEPE MAH. MILANGAZ, NO:75 KAT:3</t>
  </si>
  <si>
    <t>1147847439046</t>
  </si>
  <si>
    <t>7810372426</t>
  </si>
  <si>
    <t>ООО ХОРТЭК-ПРОЕКТ</t>
  </si>
  <si>
    <t>196191, , САНКТ-ПЕТЕРБУРГ, НОВОИЗМАЙЛОВСКИЙ ПР, Д.46, КОРП.2, ЛИТ. А, ПОМ. 10,</t>
  </si>
  <si>
    <t>CORLU</t>
  </si>
  <si>
    <t>22060031/2867/0000/2/1</t>
  </si>
  <si>
    <t>10317/080914/10025/4</t>
  </si>
  <si>
    <t>С. ЦЕМДОЛИНА</t>
  </si>
  <si>
    <t>10317080 т/п Приморский</t>
  </si>
  <si>
    <t>КОТЛЫ ОТОПИТЕЛЬНЫЕ ГАЗОВЫЕ КОНДЕНСАЦИОННЫЕ, ТОРГОВОЙ МАРКИ ECODENSE И HORTEK. МАТЕРИАЛ ИЗГОТОВЛЕНИЯ СТАЛЬ. В ЧАСТИЧНО РАЗОБРАННОМ ВИДЕ ДЛЯ УДОБСТВА ТРАНСПОРТИРОВКИ. ТОВАР РАСТАРЕН ИЗ КОНТЕЙНЕРА № TCKU3797157.</t>
  </si>
  <si>
    <t>TERMO ISI SISTEMLERI TIC. VE SAN.A.S</t>
  </si>
  <si>
    <t>0905/18/12-3002</t>
  </si>
  <si>
    <t>МИХАЙЛОВ АНДРЕЙ НИКОЛАЕВИЧ</t>
  </si>
  <si>
    <t>10131010/181222/3544440</t>
  </si>
  <si>
    <t>3544440</t>
  </si>
  <si>
    <t>КОТЛЫ ЦЕНТРАЛЬНОГО ОТОПЛЕНИЯ СТАЛЬНЫЕ, НЕВОЕННОГО НАЗНАЧЕНИЯ. ВЕС БРУТТО С ПОДДОНАМИ 5042.000 КГ. АССОРТИМЕНТ</t>
  </si>
  <si>
    <t>10228010/181222/3412529</t>
  </si>
  <si>
    <t>3412529</t>
  </si>
  <si>
    <t>10210/110312/10115/5</t>
  </si>
  <si>
    <t>194362</t>
  </si>
  <si>
    <t>10013160/171222/3613789</t>
  </si>
  <si>
    <t>3613789</t>
  </si>
  <si>
    <t>КОТЛЫ ЦЕНТРАЛЬНОГО ОТОПЛЕНИЯ, СТАЛЬНЫЕ, ВЕС БРУТТО С ПОДДОНАМИ 16836.0 КГ., АССОРТИМЕНТ</t>
  </si>
  <si>
    <t>10012020/171222/3099561</t>
  </si>
  <si>
    <t>3099561</t>
  </si>
  <si>
    <t>BAXI S.P.A TRANSSHIPMENT BY ENERGO KLIM ANDRZEI FIEREK</t>
  </si>
  <si>
    <t>36061, , BASSAN DEL GRAPPA(VI), VIA TROZZETTI 20,</t>
  </si>
  <si>
    <t>1033910504187</t>
  </si>
  <si>
    <t>3913008510</t>
  </si>
  <si>
    <t>ООО БАЛТТЕПЛОСЕРВИС</t>
  </si>
  <si>
    <t>236022, КАЛИНИНГРАДСКАЯ ОБЛАСТЬ, КАЛИНИНГРАД, РЕПИНА 46/50,</t>
  </si>
  <si>
    <t>BASSAN DEL GRAPPA</t>
  </si>
  <si>
    <t>14010055/1307/0000/2/1</t>
  </si>
  <si>
    <t>10012/080411/10043/3</t>
  </si>
  <si>
    <t>КАЛИНИНГРАДСКАЯ ОБЛАСТИ</t>
  </si>
  <si>
    <t>СВЕТЛЫЙ</t>
  </si>
  <si>
    <t>УЛ. СОВЕТСКАЯ, Д. 31</t>
  </si>
  <si>
    <t>10012180 т/п Светлый</t>
  </si>
  <si>
    <t>КОТЛЫ ОТОПИТЕЛЬНЫЕ, ВОДОГРЕЙНЫЕ, ГАЗОВЫЕ, СТАЛЬНЫЕ, АТМОСФЕРНЫЕ И КОНДЕНСАЦИОННЫЕ, С ЦИФРОВЫМ УПРАВЛЕНИЕМ, НАСТЕННОГО И НАПОЛЬНОГО ИСПОЛНЕНИЯ МОЩНОСТЬЮ ДО 100 КВТ, ПРЕДНАЗНАЧЕНЫ ДЛЯ ОТОПЛЕНИЯ И ГОРЯЧЕГО ВОДОСНАБЖЕНИЯ, КОД ОКП 493112</t>
  </si>
  <si>
    <t>ГОДУНОВА ТАТЬЯНА</t>
  </si>
  <si>
    <t>10317120/171222/3165437</t>
  </si>
  <si>
    <t>3165437</t>
  </si>
  <si>
    <t>, IKITELLI ORGANIZE SANAYI BOLGESI MAHALLESI, 25. CADDE, NO:10/A-BASAKSEHIR, IST</t>
  </si>
  <si>
    <t>125130, ГОРОД ФЕДЕРАЛЬНОГО ЗНАЧЕНИЯ, Г.МОСКВА, СТАРОПЕТРОВСКИЙ ПРОЕЗД Д.11,КОРП.</t>
  </si>
  <si>
    <t>16030057/1637/0000/2/1</t>
  </si>
  <si>
    <t>СУХУМСКОЕ Ш. 17А</t>
  </si>
  <si>
    <t>КОТЛЫ ЦЕНРАЛЬНОГО ОТОПЛЕНИЯ, НАПОЛЬНЫЙ, ВОДОГРЕЙНЫЕ, БЫТОВЫЕ, В КОМПЛЕКТЕ С КОМПЛЕКУЮЩИМЕ, КРЕПЕЖЕМ, ИНСТРУКЦИЕЙ.</t>
  </si>
  <si>
    <t>НР/07-07.17</t>
  </si>
  <si>
    <t>ЛЕБЕДЕВ НИКОЛАЙ НИКОЛАЕВИЧ</t>
  </si>
  <si>
    <t>10013160/171222/3613333</t>
  </si>
  <si>
    <t>3613333</t>
  </si>
  <si>
    <t>КОТЛЫ ЦЕНТРАЛЬНОГО ОТОПЛЕНИЯ, СТАЛЬНЫЕ, ВЕС БРУТТО С ПОДДОНАМИ 15540.0 КГ., АССОРТИМЕНТ</t>
  </si>
  <si>
    <t>10702070/151222/3450013</t>
  </si>
  <si>
    <t>3450013</t>
  </si>
  <si>
    <t>HEATMASTER (NANTONG) BOILER CO., LTD</t>
  </si>
  <si>
    <t>, JIANGSU PROVINCE, NANTONG CITY, XINGHE ROAD, GANGZHA ECONOMIC DEVELOPMENT ZONE</t>
  </si>
  <si>
    <t>1095190011333</t>
  </si>
  <si>
    <t>5190909506</t>
  </si>
  <si>
    <t>АО НОРД ВЕСТ ФЛОТ КОМПАНИ</t>
  </si>
  <si>
    <t>183039, МУРМАНСКАЯ ОБЛАСТЬ, МУРМАНСК, РОГОЗЕРСКАЯ, 15</t>
  </si>
  <si>
    <t>47000</t>
  </si>
  <si>
    <t>519001001</t>
  </si>
  <si>
    <t>NANTONG CITY</t>
  </si>
  <si>
    <t>21110073/1326/0002/2/1</t>
  </si>
  <si>
    <t>Г.ВЛАДИВОСТОК</t>
  </si>
  <si>
    <t>УЛ.СТРЕЛЬНИКОВА</t>
  </si>
  <si>
    <t>СИСТЕМА ПОДОГРЕВА ВОДЫ НА СУДНЕ, ПОСТАВЛЯЕТСЯ В РАЗОБРАННОМ ВИДЕ ДЛЯ УДОБСТВА ТРАНСПОРТИРОВКИ. ВВОЗИТСЯ ДЛЯ СОБСТВЕННОГО ИСПОЛЬЗОВАНИЯ; ПРОДАЖЕ НЕ ПОДЛЕЖИТ</t>
  </si>
  <si>
    <t>202012/32</t>
  </si>
  <si>
    <t>РОССОЛОВ АРТЕМ НИКОЛАЕВИЧ</t>
  </si>
  <si>
    <t>10013160/151222/3609949</t>
  </si>
  <si>
    <t>3609949</t>
  </si>
  <si>
    <t>ЭК</t>
  </si>
  <si>
    <t>ИСПАНИЯ</t>
  </si>
  <si>
    <t xml:space="preserve">    Сибирский федеральный округ</t>
  </si>
  <si>
    <t>Российская Федерация</t>
  </si>
  <si>
    <t>Тонна;^метрическая тонна (1000 кг)</t>
  </si>
  <si>
    <t xml:space="preserve">    Приволжский федеральный округ</t>
  </si>
  <si>
    <t xml:space="preserve">    Центральный федеральный округ</t>
  </si>
  <si>
    <t xml:space="preserve">    Дальневосточный федеральный округ</t>
  </si>
  <si>
    <t xml:space="preserve">    Уральский федеральный округ</t>
  </si>
  <si>
    <t xml:space="preserve">    Северо-Западный федеральный округ</t>
  </si>
  <si>
    <t>Корма для домашних животных</t>
  </si>
  <si>
    <t>декабрь</t>
  </si>
  <si>
    <t>ноябрь</t>
  </si>
  <si>
    <t>октябрь</t>
  </si>
  <si>
    <t>сентябрь</t>
  </si>
  <si>
    <t>август</t>
  </si>
  <si>
    <t>июль</t>
  </si>
  <si>
    <t>июнь</t>
  </si>
  <si>
    <t>май</t>
  </si>
  <si>
    <t>апрель</t>
  </si>
  <si>
    <t>март</t>
  </si>
  <si>
    <t>февраль</t>
  </si>
  <si>
    <t>январь</t>
  </si>
  <si>
    <t>2023</t>
  </si>
  <si>
    <t>Производство основных видов продукции в натуральном выражении  с 2017 г. (оперативные данные в соответствии с ОКПД2) (-)</t>
  </si>
  <si>
    <t>Средние потребительские цены (тарифы) на товары и услуги (рубль)</t>
  </si>
  <si>
    <t>Маргарин, кг</t>
  </si>
  <si>
    <t>Соки фруктовые, л</t>
  </si>
  <si>
    <t>Мука пшеничная, кг</t>
  </si>
  <si>
    <t>Коньяк ординарный отечественный, л</t>
  </si>
  <si>
    <t>Платье (сарафан) летнее для девочек дошкольного возраста, шт.</t>
  </si>
  <si>
    <t>Сапоги женские осенние с верхом из натуральной кожи, пара</t>
  </si>
  <si>
    <t>Бритвенные станки одноразовые, шт.</t>
  </si>
  <si>
    <t>Учебник, учебное пособие, дидактический материал для общеобразовательной школы, шт.</t>
  </si>
  <si>
    <t>Исходные данные</t>
  </si>
  <si>
    <t>Таможенные декларации по импорту и экспорту кормов для домашних животных</t>
  </si>
  <si>
    <t xml:space="preserve">Цены на корма для домашних животных </t>
  </si>
  <si>
    <t>Провести анализ внешней торговли</t>
  </si>
  <si>
    <t>1.1</t>
  </si>
  <si>
    <t>Для расчета в рублях использовать столбец "46 Статистическая стоимость" с дальнейшим переводом в рубли по курсу доллара 90</t>
  </si>
  <si>
    <t>1.2</t>
  </si>
  <si>
    <t>* Объем рынка = производство + импорт - экспорт</t>
  </si>
  <si>
    <t>Аккуратно все структурировать и сгруппировать</t>
  </si>
  <si>
    <t>Использовать корректные форматы чисел</t>
  </si>
  <si>
    <t>Единообразный формат (ссылки, итоги и пр.)</t>
  </si>
  <si>
    <t>Обязательно:</t>
  </si>
  <si>
    <t>Не нужно искать/использовать дополнительные данные</t>
  </si>
  <si>
    <t>Корма для домашних животных, кг</t>
  </si>
  <si>
    <t>Нужные столбцы на листе Декларации:</t>
  </si>
  <si>
    <t>Можно что-то изменять на листах исходных данных (например, разъединять ячейки, добавлять столбцы, делать расчеты и тд)</t>
  </si>
  <si>
    <r>
      <t xml:space="preserve">Посчитать </t>
    </r>
    <r>
      <rPr>
        <sz val="9"/>
        <color theme="1"/>
        <rFont val="Verdana"/>
        <family val="2"/>
        <charset val="204"/>
      </rPr>
      <t xml:space="preserve">за 2023 г. </t>
    </r>
    <r>
      <rPr>
        <sz val="9"/>
        <color theme="1"/>
        <rFont val="Verdana"/>
        <family val="2"/>
        <charset val="204"/>
        <scheme val="minor"/>
      </rPr>
      <t>импорт и экспорт кормов для домашних животных в тоннах и в рублях - по месяцам и суммарно по году</t>
    </r>
  </si>
  <si>
    <t>Посчитать объем рынка* кормов за 2023 г. в стоимостном и натуральном выражении - по месяцам и суммарно по году</t>
  </si>
  <si>
    <t>Посчитать долю рынка Компании по месяцам и суммарно по году в стоимостном и натуральном выражении</t>
  </si>
  <si>
    <t>Показатель</t>
  </si>
  <si>
    <t>ед. изм.</t>
  </si>
  <si>
    <t>Предпосылка</t>
  </si>
  <si>
    <t>Продажи в натуральном выражении</t>
  </si>
  <si>
    <t>Продажи Компании</t>
  </si>
  <si>
    <t>Корма для собак</t>
  </si>
  <si>
    <t>т</t>
  </si>
  <si>
    <t>Онлайн продажи</t>
  </si>
  <si>
    <t>Эконом сегмент</t>
  </si>
  <si>
    <t>Премиум сегмент</t>
  </si>
  <si>
    <t>Офлайн продажи</t>
  </si>
  <si>
    <t>Корма для кошек</t>
  </si>
  <si>
    <t>Цены реализации</t>
  </si>
  <si>
    <t>Выручка</t>
  </si>
  <si>
    <t>Всего</t>
  </si>
  <si>
    <t>руб./кг</t>
  </si>
  <si>
    <t>млн руб.</t>
  </si>
  <si>
    <t>* Проиводство в стоим. выражении = Проиводство выражении в тоннах * цены</t>
  </si>
  <si>
    <t>В декларациях могут быть не только корма и не только 2023 г. Делайте поиск по слову "корм"</t>
  </si>
  <si>
    <t xml:space="preserve">    Южный федеральный округ</t>
  </si>
  <si>
    <t>Объемы производства кормов для домашних животных (7 листов)</t>
  </si>
  <si>
    <t>Дата</t>
  </si>
  <si>
    <t>Определить топ стран-поставщиков кормов в Россию по итогам годам 2023 г. (столбец - 16 Страна происхождения)</t>
  </si>
  <si>
    <t>Импорт</t>
  </si>
  <si>
    <t>тыс. руб.</t>
  </si>
  <si>
    <t>Экспорт</t>
  </si>
  <si>
    <t>Производство</t>
  </si>
  <si>
    <t>Объем рынка</t>
  </si>
  <si>
    <t>янв</t>
  </si>
  <si>
    <t>фев</t>
  </si>
  <si>
    <t>мар</t>
  </si>
  <si>
    <t>апр</t>
  </si>
  <si>
    <t>июн</t>
  </si>
  <si>
    <t>июл</t>
  </si>
  <si>
    <t>авг</t>
  </si>
  <si>
    <t>сен</t>
  </si>
  <si>
    <t>окт</t>
  </si>
  <si>
    <t>ноя</t>
  </si>
  <si>
    <t>дек</t>
  </si>
  <si>
    <t>Доля компании, нат. выраж.</t>
  </si>
  <si>
    <t>Доля компании, стоим. выраж.</t>
  </si>
  <si>
    <t>%</t>
  </si>
  <si>
    <t>Column1</t>
  </si>
  <si>
    <t>ДАТА2</t>
  </si>
  <si>
    <t>корм</t>
  </si>
  <si>
    <t>Вспом. столб.</t>
  </si>
  <si>
    <t>Номер месяца</t>
  </si>
  <si>
    <t>Row Labels</t>
  </si>
  <si>
    <t>Grand Total</t>
  </si>
  <si>
    <t>Sum of 38 Вес нетто, кг</t>
  </si>
  <si>
    <t>Sum of 46 Статистическая стоимость</t>
  </si>
  <si>
    <t>(Multiple Items)</t>
  </si>
  <si>
    <t>Топ импортеров в 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</si>
</sst>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\(#,##0\);\-"/>
    <numFmt numFmtId="165" formatCode="#,##0.####"/>
    <numFmt numFmtId="166" formatCode="mmmm"/>
    <numFmt numFmtId="167" formatCode="#,##0_ ;\-#,##0\ "/>
    <numFmt numFmtId="171" formatCode="_-* #,##0_-;\-* #,##0_-;_-* &quot;-&quot;??_-;_-@_-"/>
  </numFmts>
  <fonts count="22" x14ac:knownFonts="1">
    <font>
      <sz val="11"/>
      <color theme="1"/>
      <name val="Verdana"/>
      <family val="2"/>
      <charset val="204"/>
      <scheme val="minor"/>
    </font>
    <font>
      <sz val="9"/>
      <color theme="1"/>
      <name val="Verdana"/>
      <family val="2"/>
      <charset val="204"/>
      <scheme val="minor"/>
    </font>
    <font>
      <sz val="9"/>
      <color theme="1"/>
      <name val="Verdana"/>
      <family val="2"/>
      <charset val="204"/>
      <scheme val="minor"/>
    </font>
    <font>
      <sz val="9"/>
      <color theme="1"/>
      <name val="Verdana"/>
      <family val="2"/>
      <charset val="204"/>
      <scheme val="minor"/>
    </font>
    <font>
      <sz val="9"/>
      <color theme="1"/>
      <name val="Verdana"/>
      <family val="2"/>
      <charset val="204"/>
      <scheme val="minor"/>
    </font>
    <font>
      <sz val="11"/>
      <color theme="1"/>
      <name val="Verdana"/>
      <family val="2"/>
      <scheme val="minor"/>
    </font>
    <font>
      <sz val="12"/>
      <name val="Calibri"/>
      <family val="2"/>
      <charset val="1"/>
    </font>
    <font>
      <u/>
      <sz val="11"/>
      <color theme="10"/>
      <name val="Verdana"/>
      <family val="2"/>
      <charset val="204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Verdana"/>
      <family val="2"/>
      <scheme val="minor"/>
    </font>
    <font>
      <u/>
      <sz val="11"/>
      <color theme="10"/>
      <name val="Verdana"/>
      <family val="2"/>
      <scheme val="minor"/>
    </font>
    <font>
      <sz val="11"/>
      <name val="Calibri"/>
      <family val="2"/>
      <charset val="204"/>
    </font>
    <font>
      <b/>
      <sz val="9"/>
      <color theme="0"/>
      <name val="Verdana"/>
      <family val="2"/>
      <charset val="204"/>
      <scheme val="minor"/>
    </font>
    <font>
      <b/>
      <sz val="9"/>
      <color theme="1"/>
      <name val="Verdana"/>
      <family val="2"/>
      <charset val="204"/>
      <scheme val="minor"/>
    </font>
    <font>
      <sz val="9"/>
      <color theme="0"/>
      <name val="Verdana"/>
      <family val="2"/>
      <charset val="204"/>
      <scheme val="minor"/>
    </font>
    <font>
      <sz val="10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name val="Arial"/>
      <family val="2"/>
      <charset val="204"/>
    </font>
    <font>
      <sz val="9"/>
      <color theme="1"/>
      <name val="Verdana"/>
      <family val="2"/>
      <charset val="204"/>
    </font>
    <font>
      <sz val="11"/>
      <color theme="1"/>
      <name val="Verdana"/>
      <family val="2"/>
      <charset val="204"/>
      <scheme val="minor"/>
    </font>
    <font>
      <sz val="8"/>
      <name val="Verdana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5" fillId="0" borderId="0"/>
    <xf numFmtId="0" fontId="6" fillId="0" borderId="0"/>
    <xf numFmtId="0" fontId="8" fillId="0" borderId="0"/>
    <xf numFmtId="0" fontId="9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/>
    <xf numFmtId="0" fontId="12" fillId="0" borderId="0"/>
    <xf numFmtId="0" fontId="5" fillId="0" borderId="0"/>
    <xf numFmtId="164" fontId="4" fillId="0" borderId="0"/>
    <xf numFmtId="0" fontId="16" fillId="0" borderId="0"/>
    <xf numFmtId="0" fontId="13" fillId="2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indent="1"/>
    </xf>
    <xf numFmtId="0" fontId="13" fillId="2" borderId="0" xfId="0" applyFont="1" applyFill="1"/>
    <xf numFmtId="0" fontId="15" fillId="2" borderId="0" xfId="0" applyFont="1" applyFill="1"/>
    <xf numFmtId="0" fontId="14" fillId="3" borderId="0" xfId="0" applyFont="1" applyFill="1"/>
    <xf numFmtId="0" fontId="3" fillId="3" borderId="0" xfId="0" applyFont="1" applyFill="1"/>
    <xf numFmtId="0" fontId="3" fillId="0" borderId="0" xfId="0" applyFont="1" applyAlignment="1">
      <alignment vertical="center" wrapText="1"/>
    </xf>
    <xf numFmtId="49" fontId="0" fillId="0" borderId="0" xfId="0" applyNumberFormat="1"/>
    <xf numFmtId="0" fontId="16" fillId="0" borderId="0" xfId="12"/>
    <xf numFmtId="165" fontId="16" fillId="0" borderId="0" xfId="12" applyNumberFormat="1" applyAlignment="1">
      <alignment horizontal="right" vertical="top"/>
    </xf>
    <xf numFmtId="3" fontId="16" fillId="0" borderId="1" xfId="12" applyNumberFormat="1" applyBorder="1" applyAlignment="1">
      <alignment horizontal="right" vertical="top"/>
    </xf>
    <xf numFmtId="0" fontId="17" fillId="4" borderId="1" xfId="12" applyFont="1" applyFill="1" applyBorder="1" applyAlignment="1">
      <alignment horizontal="left" vertical="top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14" fillId="5" borderId="0" xfId="0" applyFont="1" applyFill="1" applyAlignment="1">
      <alignment vertical="center"/>
    </xf>
    <xf numFmtId="166" fontId="14" fillId="5" borderId="0" xfId="0" applyNumberFormat="1" applyFont="1" applyFill="1" applyAlignment="1">
      <alignment vertical="center"/>
    </xf>
    <xf numFmtId="0" fontId="2" fillId="0" borderId="0" xfId="0" applyFont="1"/>
    <xf numFmtId="0" fontId="14" fillId="0" borderId="0" xfId="0" applyFont="1"/>
    <xf numFmtId="0" fontId="14" fillId="5" borderId="0" xfId="0" applyFont="1" applyFill="1"/>
    <xf numFmtId="0" fontId="2" fillId="5" borderId="0" xfId="0" applyFont="1" applyFill="1"/>
    <xf numFmtId="164" fontId="14" fillId="5" borderId="0" xfId="0" applyNumberFormat="1" applyFont="1" applyFill="1"/>
    <xf numFmtId="164" fontId="14" fillId="0" borderId="0" xfId="0" applyNumberFormat="1" applyFont="1"/>
    <xf numFmtId="164" fontId="2" fillId="0" borderId="0" xfId="0" applyNumberFormat="1" applyFont="1"/>
    <xf numFmtId="164" fontId="2" fillId="6" borderId="0" xfId="0" applyNumberFormat="1" applyFont="1" applyFill="1"/>
    <xf numFmtId="0" fontId="14" fillId="0" borderId="3" xfId="0" applyFont="1" applyBorder="1"/>
    <xf numFmtId="164" fontId="14" fillId="0" borderId="3" xfId="0" applyNumberFormat="1" applyFont="1" applyBorder="1"/>
    <xf numFmtId="164" fontId="14" fillId="0" borderId="2" xfId="0" applyNumberFormat="1" applyFont="1" applyBorder="1"/>
    <xf numFmtId="0" fontId="13" fillId="2" borderId="0" xfId="13"/>
    <xf numFmtId="164" fontId="2" fillId="0" borderId="3" xfId="0" applyNumberFormat="1" applyFont="1" applyBorder="1"/>
    <xf numFmtId="0" fontId="14" fillId="7" borderId="2" xfId="0" applyFont="1" applyFill="1" applyBorder="1"/>
    <xf numFmtId="164" fontId="14" fillId="7" borderId="2" xfId="0" applyNumberFormat="1" applyFont="1" applyFill="1" applyBorder="1"/>
    <xf numFmtId="14" fontId="0" fillId="0" borderId="0" xfId="14" applyNumberFormat="1" applyFont="1"/>
    <xf numFmtId="0" fontId="18" fillId="0" borderId="0" xfId="12" applyFont="1"/>
    <xf numFmtId="2" fontId="13" fillId="2" borderId="0" xfId="0" applyNumberFormat="1" applyFont="1" applyFill="1"/>
    <xf numFmtId="2" fontId="1" fillId="0" borderId="0" xfId="0" applyNumberFormat="1" applyFont="1"/>
    <xf numFmtId="0" fontId="0" fillId="8" borderId="0" xfId="0" applyFill="1"/>
    <xf numFmtId="43" fontId="0" fillId="0" borderId="0" xfId="14" applyFont="1"/>
    <xf numFmtId="0" fontId="0" fillId="0" borderId="0" xfId="0" applyNumberFormat="1"/>
    <xf numFmtId="167" fontId="0" fillId="0" borderId="0" xfId="14" applyNumberFormat="1" applyFont="1"/>
    <xf numFmtId="1" fontId="1" fillId="0" borderId="0" xfId="0" applyNumberFormat="1" applyFont="1"/>
    <xf numFmtId="1" fontId="13" fillId="2" borderId="0" xfId="0" applyNumberFormat="1" applyFont="1" applyFill="1"/>
    <xf numFmtId="9" fontId="1" fillId="0" borderId="0" xfId="15" applyFont="1"/>
    <xf numFmtId="171" fontId="1" fillId="0" borderId="0" xfId="14" applyNumberFormat="1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 applyAlignment="1">
      <alignment horizontal="left"/>
    </xf>
    <xf numFmtId="167" fontId="0" fillId="0" borderId="0" xfId="0" applyNumberFormat="1"/>
  </cellXfs>
  <cellStyles count="16">
    <cellStyle name="Comma" xfId="14" builtinId="3"/>
    <cellStyle name="Normal" xfId="0" builtinId="0"/>
    <cellStyle name="Normal 2" xfId="1" xr:uid="{00000000-0005-0000-0000-000000000000}"/>
    <cellStyle name="Normal 2 2" xfId="10" xr:uid="{00000000-0005-0000-0000-000001000000}"/>
    <cellStyle name="Normal 2 3" xfId="9" xr:uid="{00000000-0005-0000-0000-000002000000}"/>
    <cellStyle name="Percent" xfId="15" builtinId="5"/>
    <cellStyle name="Гиперссылка 2" xfId="4" xr:uid="{00000000-0005-0000-0000-000003000000}"/>
    <cellStyle name="Гиперссылка 2 2" xfId="8" xr:uid="{00000000-0005-0000-0000-000004000000}"/>
    <cellStyle name="Гиперссылка 3" xfId="6" xr:uid="{00000000-0005-0000-0000-000005000000}"/>
    <cellStyle name="Заголовок_1" xfId="13" xr:uid="{00000000-0005-0000-0000-000006000000}"/>
    <cellStyle name="Обычный 2" xfId="2" xr:uid="{00000000-0005-0000-0000-000008000000}"/>
    <cellStyle name="Обычный 3" xfId="3" xr:uid="{00000000-0005-0000-0000-000009000000}"/>
    <cellStyle name="Обычный 3 2" xfId="5" xr:uid="{00000000-0005-0000-0000-00000A000000}"/>
    <cellStyle name="Обычный 4" xfId="7" xr:uid="{00000000-0005-0000-0000-00000B000000}"/>
    <cellStyle name="Обычный 5" xfId="12" xr:uid="{00000000-0005-0000-0000-00000C000000}"/>
    <cellStyle name="Число" xfId="11" xr:uid="{00000000-0005-0000-0000-00000E000000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charset val="204"/>
        <scheme val="minor"/>
      </font>
      <numFmt numFmtId="35" formatCode="_-* #,##0.00_-;\-* #,##0.00_-;_-* &quot;-&quot;??_-;_-@_-"/>
    </dxf>
    <dxf>
      <numFmt numFmtId="167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minor"/>
      </font>
      <numFmt numFmtId="19" formatCode="dd/mm/yyyy"/>
    </dxf>
  </dxfs>
  <tableStyles count="0" defaultTableStyle="TableStyleMedium2" defaultPivotStyle="PivotStyleLight16"/>
  <colors>
    <mruColors>
      <color rgb="FFF9CE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tsaini/AppData/Local/Temp/Rar$DIa0.090/DUTY%20T2%20Import%20Melamine%2010th%20June%202016.xlsx" TargetMode="External"/><Relationship Id="rId1" Type="http://schemas.openxmlformats.org/officeDocument/2006/relationships/externalLinkPath" Target="/Users/tsaini/AppData/Local/Temp/Rar$DIa0.090/DUTY%20T2%20Import%20Melamine%2010th%20June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Sheet"/>
      <sheetName val="Chartsv"/>
      <sheetName val="Sheet2"/>
      <sheetName val="Sheet1"/>
      <sheetName val="Output"/>
      <sheetName val="excludesheet"/>
      <sheetName val="autovarouttest"/>
      <sheetName val="autovaroutput"/>
      <sheetName val="autovarinput"/>
      <sheetName val="ssss"/>
      <sheetName val="rawsheet"/>
      <sheetName val="Chartsq"/>
      <sheetName val="Chartsup"/>
      <sheetName val="Index"/>
      <sheetName val="Dashboard"/>
      <sheetName val="Dutydata top15"/>
      <sheetName val="Duty Distribution"/>
      <sheetName val="|Summary|"/>
      <sheetName val="|Comparison|"/>
      <sheetName val="|Price Analysis|"/>
      <sheetName val="|Importer Analysis|"/>
      <sheetName val="IMPORTER|EXPORTER|Relationship|"/>
      <sheetName val="MONTH|SUMMARY||"/>
      <sheetName val="EXPORTER|SUMMARY||"/>
      <sheetName val="EXPORTER|MONTH|AVG COST|"/>
      <sheetName val="EXPORTER|MONTH|VALUE|"/>
      <sheetName val="EXPORTER|QTR|VALUE|"/>
      <sheetName val="EXPORTER|MONTH|QTY|"/>
      <sheetName val="EXPORTER|QTR|QTY|"/>
      <sheetName val="IMPORTER|SUMMARY||"/>
      <sheetName val="IMPORTER|MONTH|AVG COST|"/>
      <sheetName val="IMPORTER|MONTH|VALUE|"/>
      <sheetName val="IMPORTER|QTR|VALUE|"/>
      <sheetName val="IMPORTER|MONTH|QTY|"/>
      <sheetName val="IMPORTER|QTR|QTY|"/>
      <sheetName val="HSCODE|SUMMARY||"/>
      <sheetName val="HSCODE|MONTH|AVG COST|"/>
      <sheetName val="HSCODE|MONTH|VALUE|"/>
      <sheetName val="HSCODE|QTR|VALUE|"/>
      <sheetName val="HSCODE|MONTH|QTY|"/>
      <sheetName val="HSCODE|QTR|QTY|"/>
      <sheetName val="DEST PORT|SUMMARY||"/>
      <sheetName val="DEST PORT|MONTH|AVG COST|"/>
      <sheetName val="DEST PORT|MONTH|VALUE|"/>
      <sheetName val="DEST PORT|QTR|VALUE|"/>
      <sheetName val="DEST PORT|MONTH|QTY|"/>
      <sheetName val="DEST PORT|QTR|QTY|"/>
      <sheetName val="ORIGIN PORT|SUMMARY||"/>
      <sheetName val="ORIGIN PORT|MONTH|AVG COST|"/>
      <sheetName val="ORIGIN PORT|MONTH|VALUE|"/>
      <sheetName val="ORIGIN PORT|QTR|VALUE|"/>
      <sheetName val="ORIGIN PORT|MONTH|QTY|"/>
      <sheetName val="ORIGIN PORT|QTR|QTY|"/>
      <sheetName val="DEST COUNTRY|SUMMARY||"/>
      <sheetName val="DEST COUNTRY|MONTH|AVG COST|"/>
      <sheetName val="DEST COUNTRY|MONTH|VALUE|"/>
      <sheetName val="DEST COUNTRY|QTR|VALUE|"/>
      <sheetName val="DEST COUNTRY|MONTH|QTY|"/>
      <sheetName val="DEST COUNTRY|QTR|QTY|"/>
      <sheetName val="ORIGIN COUNTRY|SUMMARY||"/>
      <sheetName val="ORIGIN COUNTRY|MONTH|AVG COST|"/>
      <sheetName val="ORIGIN COUNTRY|MONTH|VALUE|"/>
      <sheetName val="ORIGIN COUNTRY|QTR|VALUE|"/>
      <sheetName val="ORIGIN COUNTRY|MONTH|QTY|"/>
      <sheetName val="ORIGIN COUNTRY|QTR|QTY|"/>
    </sheetNames>
    <sheetDataSet>
      <sheetData sheetId="0"/>
      <sheetData sheetId="1" refreshError="1">
        <row r="2">
          <cell r="HB2" t="str">
            <v>1|Jan|16</v>
          </cell>
          <cell r="HC2">
            <v>1.34</v>
          </cell>
          <cell r="HD2">
            <v>140000</v>
          </cell>
          <cell r="HF2">
            <v>187449.92</v>
          </cell>
        </row>
        <row r="3">
          <cell r="HB3" t="str">
            <v>2|Jan|16</v>
          </cell>
          <cell r="HC3">
            <v>1.27</v>
          </cell>
          <cell r="HD3">
            <v>639000</v>
          </cell>
          <cell r="HF3">
            <v>809127.41</v>
          </cell>
        </row>
        <row r="4">
          <cell r="HB4" t="str">
            <v>9|Jan|16</v>
          </cell>
          <cell r="HC4">
            <v>1.38</v>
          </cell>
          <cell r="HD4">
            <v>421002</v>
          </cell>
          <cell r="HF4">
            <v>582411.34</v>
          </cell>
        </row>
        <row r="5">
          <cell r="HB5" t="str">
            <v>16|Jan|16</v>
          </cell>
          <cell r="HC5">
            <v>1.1200000000000001</v>
          </cell>
          <cell r="HD5">
            <v>682750</v>
          </cell>
          <cell r="HF5">
            <v>766266.92999999993</v>
          </cell>
        </row>
        <row r="6">
          <cell r="HB6" t="str">
            <v>23|Jan|16</v>
          </cell>
          <cell r="HC6">
            <v>1.31</v>
          </cell>
          <cell r="HD6">
            <v>733000</v>
          </cell>
          <cell r="HF6">
            <v>959538.14</v>
          </cell>
        </row>
        <row r="7">
          <cell r="HB7" t="str">
            <v>30|Jan|16</v>
          </cell>
          <cell r="HC7">
            <v>1.28</v>
          </cell>
          <cell r="HD7">
            <v>412000</v>
          </cell>
          <cell r="HF7">
            <v>527814.39999999991</v>
          </cell>
        </row>
        <row r="8">
          <cell r="HB8" t="str">
            <v>6|Feb|16</v>
          </cell>
          <cell r="HC8">
            <v>1.1100000000000001</v>
          </cell>
          <cell r="HD8">
            <v>492000</v>
          </cell>
          <cell r="HF8">
            <v>544873.47000000009</v>
          </cell>
        </row>
        <row r="9">
          <cell r="HB9" t="str">
            <v>13|Feb|16</v>
          </cell>
          <cell r="HC9">
            <v>1.18</v>
          </cell>
          <cell r="HD9">
            <v>1277282.2</v>
          </cell>
          <cell r="HF9">
            <v>1506300.78</v>
          </cell>
        </row>
        <row r="10">
          <cell r="HB10" t="str">
            <v>20|Feb|16</v>
          </cell>
          <cell r="HC10">
            <v>1.1599999999999999</v>
          </cell>
          <cell r="HD10">
            <v>845000</v>
          </cell>
          <cell r="HF10">
            <v>979451.26000000013</v>
          </cell>
        </row>
        <row r="11">
          <cell r="HB11" t="str">
            <v>27|Feb|16</v>
          </cell>
          <cell r="HC11">
            <v>1.1000000000000001</v>
          </cell>
          <cell r="HD11">
            <v>614625</v>
          </cell>
          <cell r="HF11">
            <v>678570.80999999994</v>
          </cell>
        </row>
        <row r="12">
          <cell r="HB12" t="str">
            <v>5|Mar|16</v>
          </cell>
          <cell r="HC12">
            <v>1.04</v>
          </cell>
          <cell r="HD12">
            <v>637025</v>
          </cell>
          <cell r="HF12">
            <v>664446.79</v>
          </cell>
        </row>
        <row r="13">
          <cell r="HB13" t="str">
            <v>12|Mar|16</v>
          </cell>
          <cell r="HC13">
            <v>1.1200000000000001</v>
          </cell>
          <cell r="HD13">
            <v>1193000</v>
          </cell>
          <cell r="HF13">
            <v>1334921.79</v>
          </cell>
        </row>
        <row r="14">
          <cell r="HB14" t="str">
            <v>19|Mar|16</v>
          </cell>
          <cell r="HC14">
            <v>0.97</v>
          </cell>
          <cell r="HD14">
            <v>615000</v>
          </cell>
          <cell r="HF14">
            <v>595602.57999999996</v>
          </cell>
        </row>
        <row r="15">
          <cell r="HB15" t="str">
            <v>26|Mar|16</v>
          </cell>
          <cell r="HC15">
            <v>1.03</v>
          </cell>
          <cell r="HD15">
            <v>738000</v>
          </cell>
          <cell r="HF15">
            <v>759143.80999999994</v>
          </cell>
        </row>
        <row r="16">
          <cell r="HB16" t="str">
            <v>2|Apr|16</v>
          </cell>
          <cell r="HC16">
            <v>0.99</v>
          </cell>
          <cell r="HD16">
            <v>905251</v>
          </cell>
          <cell r="HF16">
            <v>892975.70000000007</v>
          </cell>
        </row>
        <row r="17">
          <cell r="HB17" t="str">
            <v>9|Apr|16</v>
          </cell>
          <cell r="HC17">
            <v>1.05</v>
          </cell>
          <cell r="HD17">
            <v>882256</v>
          </cell>
          <cell r="HF17">
            <v>923757.29</v>
          </cell>
        </row>
        <row r="18">
          <cell r="HB18" t="str">
            <v>16|Apr|16</v>
          </cell>
          <cell r="HC18">
            <v>1.1399999999999999</v>
          </cell>
          <cell r="HD18">
            <v>527725</v>
          </cell>
          <cell r="HF18">
            <v>600134.37000000011</v>
          </cell>
        </row>
        <row r="19">
          <cell r="HB19" t="str">
            <v>23|Apr|16</v>
          </cell>
          <cell r="HC19">
            <v>1.1499999999999999</v>
          </cell>
          <cell r="HD19">
            <v>1099922.5999999999</v>
          </cell>
          <cell r="HF19">
            <v>1261942.5200000003</v>
          </cell>
        </row>
        <row r="20">
          <cell r="HB20" t="str">
            <v>30|Apr|16</v>
          </cell>
          <cell r="HC20">
            <v>1.07</v>
          </cell>
          <cell r="HD20">
            <v>612152.0005024001</v>
          </cell>
          <cell r="HF20">
            <v>655864.6399999999</v>
          </cell>
        </row>
        <row r="21">
          <cell r="HB21" t="str">
            <v>7|May|16</v>
          </cell>
          <cell r="HC21">
            <v>1.03</v>
          </cell>
          <cell r="HD21">
            <v>256000.00099999999</v>
          </cell>
          <cell r="HF21">
            <v>263843.15000000002</v>
          </cell>
        </row>
        <row r="22">
          <cell r="HB22" t="str">
            <v>14|May|16</v>
          </cell>
          <cell r="HC22">
            <v>1.17</v>
          </cell>
          <cell r="HD22">
            <v>929500.00075000001</v>
          </cell>
          <cell r="HF22">
            <v>1088763.4500000002</v>
          </cell>
        </row>
        <row r="23">
          <cell r="HB23" t="str">
            <v>21|May|16</v>
          </cell>
          <cell r="HC23">
            <v>0.98</v>
          </cell>
          <cell r="HD23">
            <v>987919.4</v>
          </cell>
          <cell r="HF23">
            <v>970205.03</v>
          </cell>
        </row>
        <row r="24">
          <cell r="HB24" t="str">
            <v>31|May|16</v>
          </cell>
          <cell r="HC24">
            <v>1.1299999999999999</v>
          </cell>
          <cell r="HD24">
            <v>268000</v>
          </cell>
          <cell r="HF24">
            <v>303935.42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ей Антоневич" refreshedDate="46093.03026388889" createdVersion="8" refreshedVersion="8" minRefreshableVersion="3" recordCount="1031" xr:uid="{39D49D1B-23B4-4E48-897F-C417D9AA6494}">
  <cacheSource type="worksheet">
    <worksheetSource name="Таблица1"/>
  </cacheSource>
  <cacheFields count="104">
    <cacheField name="STAT Учет в статистике 0/1" numFmtId="0">
      <sharedItems/>
    </cacheField>
    <cacheField name="Дата" numFmtId="14">
      <sharedItems containsSemiMixedTypes="0" containsNonDate="0" containsDate="1" containsString="0" minDate="2022-01-04T00:00:00" maxDate="2023-12-31T00:00:00"/>
    </cacheField>
    <cacheField name="ДАТА2" numFmtId="43">
      <sharedItems containsSemiMixedTypes="0" containsString="0" containsNumber="1" containsInteger="1" minValue="0" maxValue="12" count="13">
        <n v="7"/>
        <n v="10"/>
        <n v="3"/>
        <n v="4"/>
        <n v="9"/>
        <n v="1"/>
        <n v="0"/>
        <n v="11"/>
        <n v="8"/>
        <n v="5"/>
        <n v="12"/>
        <n v="6"/>
        <n v="2"/>
      </sharedItems>
    </cacheField>
    <cacheField name="ND  Номер  декларации на товары" numFmtId="0">
      <sharedItems/>
    </cacheField>
    <cacheField name="071 Таможня оформления ДТ" numFmtId="0">
      <sharedItems/>
    </cacheField>
    <cacheField name="073 Порядковый № ДТ" numFmtId="0">
      <sharedItems/>
    </cacheField>
    <cacheField name="011 ИМ.ЭК - направление перемещения" numFmtId="0">
      <sharedItems count="2">
        <s v="ИМ"/>
        <s v="ЭК"/>
      </sharedItems>
    </cacheField>
    <cacheField name="012 Основной таможенный режим" numFmtId="0">
      <sharedItems/>
    </cacheField>
    <cacheField name="013 Дополнительный признак" numFmtId="0">
      <sharedItems/>
    </cacheField>
    <cacheField name="020 ОГРН.ОГРНИП отправителя" numFmtId="0">
      <sharedItems/>
    </cacheField>
    <cacheField name="021 ИНН отправителя" numFmtId="0">
      <sharedItems/>
    </cacheField>
    <cacheField name="022 Наименование.ФИО отправителя" numFmtId="0">
      <sharedItems containsBlank="1"/>
    </cacheField>
    <cacheField name="023 Адрес отправителя" numFmtId="0">
      <sharedItems containsBlank="1"/>
    </cacheField>
    <cacheField name="024 ОКАТО отправителя" numFmtId="0">
      <sharedItems/>
    </cacheField>
    <cacheField name="027 КПП отправителя" numFmtId="0">
      <sharedItems/>
    </cacheField>
    <cacheField name="03 Листов ДТ" numFmtId="0">
      <sharedItems containsString="0" containsBlank="1" containsNumber="1" containsInteger="1" minValue="1" maxValue="29"/>
    </cacheField>
    <cacheField name="04 Спецификаций ДТ" numFmtId="0">
      <sharedItems containsString="0" containsBlank="1" containsNumber="1" containsInteger="1" minValue="0" maxValue="0"/>
    </cacheField>
    <cacheField name="05 Товаров всего" numFmtId="0">
      <sharedItems containsSemiMixedTypes="0" containsString="0" containsNumber="1" containsInteger="1" minValue="1" maxValue="85"/>
    </cacheField>
    <cacheField name="06 Мест товара всего" numFmtId="0">
      <sharedItems containsSemiMixedTypes="0" containsString="0" containsNumber="1" containsInteger="1" minValue="1" maxValue="1045"/>
    </cacheField>
    <cacheField name="080 ОГРН.ОГРНИП получателя" numFmtId="0">
      <sharedItems containsBlank="1"/>
    </cacheField>
    <cacheField name="081 ИНН получателя" numFmtId="0">
      <sharedItems containsBlank="1"/>
    </cacheField>
    <cacheField name="082 Наименование.ФИО получателя" numFmtId="0">
      <sharedItems/>
    </cacheField>
    <cacheField name="083 Адрес получателя" numFmtId="0">
      <sharedItems containsBlank="1"/>
    </cacheField>
    <cacheField name="084 ОКАТО получателя" numFmtId="0">
      <sharedItems/>
    </cacheField>
    <cacheField name="087 КПП получателя" numFmtId="0">
      <sharedItems/>
    </cacheField>
    <cacheField name="090 ОГРН.ОГРНИП контрактодержателя" numFmtId="0">
      <sharedItems/>
    </cacheField>
    <cacheField name="091 ИНН контрактодержателя" numFmtId="0">
      <sharedItems/>
    </cacheField>
    <cacheField name="092 Наименование.ФИО контрактодержателя" numFmtId="0">
      <sharedItems/>
    </cacheField>
    <cacheField name="093 Адрес контрактодержателя" numFmtId="0">
      <sharedItems/>
    </cacheField>
    <cacheField name="094 ОКАТО контрактодержателя" numFmtId="0">
      <sharedItems/>
    </cacheField>
    <cacheField name="097 КПП контрактодержателя" numFmtId="0">
      <sharedItems/>
    </cacheField>
    <cacheField name="11 Код торгующей страны" numFmtId="0">
      <sharedItems/>
    </cacheField>
    <cacheField name="11 Торгующая страна" numFmtId="0">
      <sharedItems/>
    </cacheField>
    <cacheField name="12 Общая таможенная стоимость" numFmtId="0">
      <sharedItems containsSemiMixedTypes="0" containsString="0" containsNumber="1" minValue="0" maxValue="25184743.399999902"/>
    </cacheField>
    <cacheField name="140 ОГРН.ОГРНИП декларанта" numFmtId="0">
      <sharedItems/>
    </cacheField>
    <cacheField name="141 ИНН контрактодержателя" numFmtId="0">
      <sharedItems/>
    </cacheField>
    <cacheField name="142 Наименование.ФИО декларанта" numFmtId="0">
      <sharedItems/>
    </cacheField>
    <cacheField name="143 Адрес контрактодержателя" numFmtId="0">
      <sharedItems/>
    </cacheField>
    <cacheField name="144 ОКАТО контрактодержателя" numFmtId="0">
      <sharedItems/>
    </cacheField>
    <cacheField name="147 КПП контрактодержателя" numFmtId="0">
      <sharedItems/>
    </cacheField>
    <cacheField name="15А Код страны отправления" numFmtId="0">
      <sharedItems/>
    </cacheField>
    <cacheField name="15 Страна отправления" numFmtId="0">
      <sharedItems/>
    </cacheField>
    <cacheField name="16 Страна происхождения" numFmtId="0">
      <sharedItems count="15">
        <s v="ИТАЛИЯ"/>
        <s v="КИТАЙ"/>
        <s v="КОРЕЯ, РЕСПУБЛИКА"/>
        <s v="ТУРЦИЯ"/>
        <s v="ВЕНГРИЯ"/>
        <s v="НИДЕРЛАНДЫ"/>
        <s v="ФРАНЦИЯ"/>
        <s v="БЕЛЬГИЯ"/>
        <s v="ГЕРМАНИЯ"/>
        <s v="СЕРБИЯ"/>
        <s v=""/>
        <s v="РОССИЯ"/>
        <s v="СЛОВАКИЯ"/>
        <s v="ЧЕХИЯ"/>
        <s v="УЗБЕКИСТАН"/>
      </sharedItems>
    </cacheField>
    <cacheField name="17А Код страны назначения" numFmtId="0">
      <sharedItems/>
    </cacheField>
    <cacheField name="17 Страна назначения" numFmtId="0">
      <sharedItems/>
    </cacheField>
    <cacheField name="18 Кол-во транспорта при отправлении" numFmtId="0">
      <sharedItems containsString="0" containsBlank="1" containsNumber="1" containsInteger="1" minValue="0" maxValue="2"/>
    </cacheField>
    <cacheField name="19 Признак контейнерных перевозок 0ю1" numFmtId="0">
      <sharedItems/>
    </cacheField>
    <cacheField name="202 Условие поставки" numFmtId="0">
      <sharedItems/>
    </cacheField>
    <cacheField name="2021 Пункт поставки товара" numFmtId="0">
      <sharedItems/>
    </cacheField>
    <cacheField name="21 Кол-во трансп на границе" numFmtId="0">
      <sharedItems containsString="0" containsBlank="1" containsNumber="1" containsInteger="1" minValue="0" maxValue="2"/>
    </cacheField>
    <cacheField name="221 Валюта контракта" numFmtId="0">
      <sharedItems/>
    </cacheField>
    <cacheField name="222 Общая фактурная стоимость" numFmtId="0">
      <sharedItems containsSemiMixedTypes="0" containsString="0" containsNumber="1" minValue="0" maxValue="12392108.050000001"/>
    </cacheField>
    <cacheField name="2220 Общая фактурная стоимость, руб" numFmtId="0">
      <sharedItems containsString="0" containsBlank="1" containsNumber="1" containsInteger="1" minValue="0" maxValue="24663560"/>
    </cacheField>
    <cacheField name="226 Статистическая стоимость суммарная" numFmtId="0">
      <sharedItems containsString="0" containsBlank="1" containsNumber="1" minValue="400" maxValue="460690.92"/>
    </cacheField>
    <cacheField name="23 Курс валюты" numFmtId="0">
      <sharedItems containsSemiMixedTypes="0" containsString="0" containsNumber="1" minValue="0" maxValue="110.68470000000001"/>
    </cacheField>
    <cacheField name="24 Характер сделки" numFmtId="0">
      <sharedItems/>
    </cacheField>
    <cacheField name="25 Вид транспортного средства" numFmtId="0">
      <sharedItems/>
    </cacheField>
    <cacheField name="28 ОКПО банка.паспорт сделки" numFmtId="0">
      <sharedItems/>
    </cacheField>
    <cacheField name="29 Таможня на границе" numFmtId="0">
      <sharedItems/>
    </cacheField>
    <cacheField name="300 Тип информации" numFmtId="0">
      <sharedItems/>
    </cacheField>
    <cacheField name="301 № свидетельства СВХ.ТС" numFmtId="0">
      <sharedItems/>
    </cacheField>
    <cacheField name="302 Вид документа.Вид ТС" numFmtId="0">
      <sharedItems/>
    </cacheField>
    <cacheField name="30POST Индекс места нахождения товара" numFmtId="0">
      <sharedItems/>
    </cacheField>
    <cacheField name="30SUBD Регион" numFmtId="0">
      <sharedItems/>
    </cacheField>
    <cacheField name="30CITY Населенный пункт" numFmtId="0">
      <sharedItems/>
    </cacheField>
    <cacheField name="30STREET Адрес местонахождения товара" numFmtId="0">
      <sharedItems/>
    </cacheField>
    <cacheField name="3012 Таможня в зоне которой склад" numFmtId="0">
      <sharedItems/>
    </cacheField>
    <cacheField name="3 Порядковый № листа ДТ" numFmtId="0">
      <sharedItems containsString="0" containsBlank="1" containsNumber="1" containsInteger="1" minValue="1" maxValue="15"/>
    </cacheField>
    <cacheField name="31_1 Описание и характеристика товара" numFmtId="0">
      <sharedItems/>
    </cacheField>
    <cacheField name="Column1" numFmtId="167">
      <sharedItems containsSemiMixedTypes="0" containsString="0" containsNumber="1" containsInteger="1" minValue="0" maxValue="1" count="2">
        <n v="0"/>
        <n v="1"/>
      </sharedItems>
    </cacheField>
    <cacheField name="31_11 Товарный знак" numFmtId="0">
      <sharedItems containsNonDate="0" containsString="0" containsBlank="1"/>
    </cacheField>
    <cacheField name="31_12 Наименование фирмы изготовителя" numFmtId="0">
      <sharedItems/>
    </cacheField>
    <cacheField name="31_2 Кол-во мест товара" numFmtId="0">
      <sharedItems containsSemiMixedTypes="0" containsString="0" containsNumber="1" containsInteger="1" minValue="1" maxValue="672"/>
    </cacheField>
    <cacheField name="31_3 Кол-во контейнеров" numFmtId="0">
      <sharedItems containsString="0" containsBlank="1" containsNumber="1" containsInteger="1" minValue="0" maxValue="1"/>
    </cacheField>
    <cacheField name="31_7 Кол-во товара в доп ед. измерения" numFmtId="0">
      <sharedItems containsString="0" containsBlank="1" containsNumber="1" containsInteger="1" minValue="0" maxValue="672"/>
    </cacheField>
    <cacheField name="31_71 Дополнительная единица" numFmtId="0">
      <sharedItems containsBlank="1"/>
    </cacheField>
    <cacheField name="31_8 Кол-во товара в доп единице" numFmtId="0">
      <sharedItems containsString="0" containsBlank="1" containsNumber="1" containsInteger="1" minValue="0" maxValue="0"/>
    </cacheField>
    <cacheField name="31_81 Дополнительная единица" numFmtId="0">
      <sharedItems containsNonDate="0" containsString="0" containsBlank="1"/>
    </cacheField>
    <cacheField name="32 Номер товара по ДТ" numFmtId="0">
      <sharedItems/>
    </cacheField>
    <cacheField name="33 Код товара по ТН ВЭД РФ" numFmtId="0">
      <sharedItems/>
    </cacheField>
    <cacheField name="331 Признак нетарифного регулирования" numFmtId="0">
      <sharedItems/>
    </cacheField>
    <cacheField name="332 Признак объекта интеллект собственности" numFmtId="0">
      <sharedItems/>
    </cacheField>
    <cacheField name="34 Код страны происхождения" numFmtId="0">
      <sharedItems/>
    </cacheField>
    <cacheField name="35 Вес брутто, кг" numFmtId="0">
      <sharedItems containsSemiMixedTypes="0" containsString="0" containsNumber="1" minValue="4.0819999999999999" maxValue="19944.8"/>
    </cacheField>
    <cacheField name="36 Преференции" numFmtId="0">
      <sharedItems/>
    </cacheField>
    <cacheField name="37 Процедура" numFmtId="0">
      <sharedItems containsSemiMixedTypes="0" containsString="0" containsNumber="1" containsInteger="1" minValue="4000000" maxValue="7800171"/>
    </cacheField>
    <cacheField name="38 Вес нетто, кг" numFmtId="0">
      <sharedItems containsSemiMixedTypes="0" containsString="0" containsNumber="1" minValue="4.0819999999999999" maxValue="165580"/>
    </cacheField>
    <cacheField name="39 Квота" numFmtId="0">
      <sharedItems containsString="0" containsBlank="1" containsNumber="1" containsInteger="1" minValue="0" maxValue="0"/>
    </cacheField>
    <cacheField name="391 Код валюты квоты" numFmtId="0">
      <sharedItems/>
    </cacheField>
    <cacheField name="392 Единица измерения квоты" numFmtId="0">
      <sharedItems/>
    </cacheField>
    <cacheField name="42 Фактурная стоимость" numFmtId="0">
      <sharedItems containsSemiMixedTypes="0" containsString="0" containsNumber="1" minValue="0" maxValue="12220198.1199999"/>
    </cacheField>
    <cacheField name="420 Фактурная стоимость, руб" numFmtId="0">
      <sharedItems containsString="0" containsBlank="1" containsNumber="1" minValue="0" maxValue="15609506"/>
    </cacheField>
    <cacheField name="43 Признак корректировки таможенной стоимости (КТС)" numFmtId="0">
      <sharedItems containsString="0" containsBlank="1" containsNumber="1" containsInteger="1" minValue="0" maxValue="2"/>
    </cacheField>
    <cacheField name="431 Метод определения таможенной стоимости" numFmtId="0">
      <sharedItems containsString="0" containsBlank="1" containsNumber="1" containsInteger="1" minValue="1" maxValue="6"/>
    </cacheField>
    <cacheField name="45 Таможенная стоимость" numFmtId="0">
      <sharedItems containsSemiMixedTypes="0" containsString="0" containsNumber="1" minValue="0" maxValue="15609505.92"/>
    </cacheField>
    <cacheField name="46 Статистическая стоимость" numFmtId="0">
      <sharedItems containsSemiMixedTypes="0" containsString="0" containsNumber="1" minValue="41.15" maxValue="460690.92"/>
    </cacheField>
    <cacheField name="D0 Код завршения таможенного оформления" numFmtId="0">
      <sharedItems/>
    </cacheField>
    <cacheField name="Стат сумма, долл" numFmtId="0">
      <sharedItems containsSemiMixedTypes="0" containsString="0" containsNumber="1" minValue="2.2856999999999998" maxValue="62533.137472000002"/>
    </cacheField>
    <cacheField name="USD/KG Статистическая стоимость, USD/Dtc НЕТТО, кг" numFmtId="0">
      <sharedItems containsString="0" containsBlank="1" containsNumber="1" minValue="0.94" maxValue="1446"/>
    </cacheField>
    <cacheField name="541 Свидетельство таможенного брокера" numFmtId="0">
      <sharedItems containsBlank="1" containsMixedTypes="1" containsNumber="1" containsInteger="1" minValue="4" maxValue="220714"/>
    </cacheField>
    <cacheField name="5411 Договор брокера с декларантом" numFmtId="0">
      <sharedItems containsBlank="1"/>
    </cacheField>
    <cacheField name="5441 ФИО заполнившего ДТ" numFmtId="0">
      <sharedItems containsBlank="1"/>
    </cacheField>
    <cacheField name="ЛНП выпускающего инспектора" numFmtId="0">
      <sharedItems containsString="0" containsBlank="1" containsNumber="1" containsInteger="1" minValue="0" maxValue="1629"/>
    </cacheField>
    <cacheField name="ND_DEL Признак удаления декларации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1">
  <r>
    <s v="1"/>
    <d v="2023-07-10T00:00:00"/>
    <x v="0"/>
    <s v="10805010/261222/3028298"/>
    <s v="10805010"/>
    <s v="3028298"/>
    <x v="0"/>
    <s v="40"/>
    <s v=""/>
    <s v=""/>
    <s v=""/>
    <s v="ITALTHERM S.P.A."/>
    <s v="29010, , PONTENURE (PC), VIA SALVO D'ACQUISTO SNC,"/>
    <s v=""/>
    <s v=""/>
    <n v="1"/>
    <n v="0"/>
    <n v="1"/>
    <n v="62"/>
    <s v="1212600005826"/>
    <s v="2632117991"/>
    <s v="ООО ТЁПЛЫЙ РИМ"/>
    <s v="357502, СТАВРОПОЛЬСКИЙ КРАЙ, Г. ПЯТИГОРСК, Ш. ЧЕРКЕССКОЕ, Д. 56,ПОМЕЩ. 8"/>
    <s v="07000"/>
    <s v="263201001"/>
    <s v="1212600005826"/>
    <s v="2632117991"/>
    <s v="ООО ТЁПЛЫЙ РИМ"/>
    <s v="357502, СТАВРОПОЛЬСКИЙ КРАЙ, Г. ПЯТИГОРСК, Ш. ЧЕРКЕССКОЕ, Д. 56,ПОМЕЩ. 8"/>
    <s v="07000"/>
    <s v="263201001"/>
    <s v="IT"/>
    <s v="ИТАЛИЯ"/>
    <n v="15361773.93"/>
    <s v="1212600005826"/>
    <s v="2632117991"/>
    <s v="ООО ТЁПЛЫЙ РИМ"/>
    <s v="357502, СТАВРОПОЛЬСКИЙ КРАЙ, Г. ПЯТИГОРСК, Ш. ЧЕРКЕССКОЕ, Д. 56,ПОМЕЩ. 8"/>
    <s v="07000"/>
    <s v="263201001"/>
    <s v="IT"/>
    <s v="ИТАЛИЯ"/>
    <x v="0"/>
    <s v="RU"/>
    <s v="РОССИЯ"/>
    <n v="2"/>
    <s v="0"/>
    <s v="FCA"/>
    <s v="PONTENURE (PIACENZA)"/>
    <n v="1"/>
    <s v="EUR"/>
    <n v="205407"/>
    <n v="15003071"/>
    <n v="223684.75"/>
    <n v="73.040700000000001"/>
    <s v="010"/>
    <s v="30"/>
    <s v="21090222/1000/0081/2/1"/>
    <s v="-"/>
    <s v="99"/>
    <s v=""/>
    <s v=""/>
    <s v=""/>
    <s v="БРЯНСКАЯ ОБЛАСТЬ, Р-Н БРЯНСКИЙ"/>
    <s v="П. СВЕНЬ"/>
    <s v="УЛ. СОБОРНАЯ"/>
    <s v="10102032 ОТО и ТК №2 т/п Брянский"/>
    <n v="1"/>
    <s v="КОТЛЫ ОТОПИТЕЛЬНЫЕ ГАЗОВЫЕ (ВОДОГРЕЙНЫЕ) СТАЛЬНЫЕ. ПРЕДНАЗНАЧЕНЫ ДЛЯ ОТОПЛЕНИЯ ЖИЛЫХ ДОМОВ И ЗДАНИЙ КОММУНАЛЬНО-БЫТОВОГО НАЗНАЧЕНИЯ, ОБОРУДОВАННЫХ СИСТЕМАМИ ОТОПЛЕНИЯ НЕПРЕРЫВНОГО ДЕЙСТВИЯ С ЕСТЕСТВЕННОЙ ИЛИ ПРИНУДИТЕЛЬНОЙ ЦИРКУЛЯЦИЕЙ ТЕПЛОНОСИТЕЛЯ,"/>
    <x v="0"/>
    <m/>
    <s v="ITALTHERM S.P.A."/>
    <n v="62"/>
    <n v="0"/>
    <n v="383"/>
    <s v="ШТ"/>
    <n v="0"/>
    <m/>
    <s v="1"/>
    <s v="8403109000"/>
    <s v=""/>
    <s v=""/>
    <s v="IT"/>
    <n v="15554.5"/>
    <s v="ОООО-ОО"/>
    <n v="4000000"/>
    <n v="13783.972"/>
    <n v="0"/>
    <s v=""/>
    <s v=""/>
    <n v="205407"/>
    <n v="15003071"/>
    <n v="0"/>
    <n v="1"/>
    <n v="15361773.93"/>
    <n v="223684.75"/>
    <s v="10"/>
    <n v="16.227900000000002"/>
    <n v="1069"/>
    <s v="1069-21-54-1264"/>
    <m/>
    <s v="ЖУРАВКОВ СЕРГЕЙ ИВАНОВИЧ"/>
    <n v="1"/>
    <m/>
  </r>
  <r>
    <s v="1"/>
    <d v="2023-10-01T00:00:00"/>
    <x v="1"/>
    <s v="10720010/251222/3095701"/>
    <s v="10720010"/>
    <s v="3095701"/>
    <x v="0"/>
    <s v="40"/>
    <s v=""/>
    <s v=""/>
    <s v=""/>
    <s v="INNER MONGOLIA THE ERA OF BINHANG SUPPLY CHAIN MANAGEMENT CO, LTD"/>
    <s v=", INNER MONGOLIA, MANZHOULI CITY, BICAO YUNTIAN 20,STREET, HUMAO DISTRICT, NO. 7"/>
    <s v=""/>
    <s v=""/>
    <n v="1"/>
    <n v="0"/>
    <n v="1"/>
    <n v="2"/>
    <s v="1227500001860"/>
    <s v="7500002418"/>
    <s v="ООО ФРЕГАТ"/>
    <s v="672000, ЗАБАЙКАЛЬСКИЙ КРАЙ, Г.ЧИТА, УЛ. БАБУШКИНА, Д.42, КОРП. А, ОФИС 209"/>
    <s v="76000"/>
    <s v="750001001"/>
    <s v="1227500001860"/>
    <s v="7500002418"/>
    <s v="ООО ФРЕГАТ"/>
    <s v="672000, ЗАБАЙКАЛЬСКИЙ КРАЙ, Г.ЧИТА, УЛ. БАБУШКИНА, Д.42, КОРП. А, ОФИС 209"/>
    <s v="76000"/>
    <s v="750001001"/>
    <s v="CN"/>
    <s v="КИТАЙ"/>
    <n v="27470.400000000001"/>
    <s v="1227500001860"/>
    <s v="7500002418"/>
    <s v="ООО ФРЕГАТ"/>
    <s v="672000, ЗАБАЙКАЛЬСКИЙ КРАЙ, Г.ЧИТА, УЛ. БАБУШКИНА, Д.42, КОРП. А, ОФИС 209"/>
    <s v="76000"/>
    <s v="750001001"/>
    <s v="CN"/>
    <s v="КИТАЙ"/>
    <x v="1"/>
    <s v="RU"/>
    <s v="РОССИЯ"/>
    <n v="2"/>
    <s v="0"/>
    <s v="DAP"/>
    <s v="ЗАБАЙКАЛЬСК"/>
    <n v="1"/>
    <s v="USD"/>
    <n v="400"/>
    <n v="27470"/>
    <n v="400"/>
    <n v="68.676000000000002"/>
    <s v="010"/>
    <s v=""/>
    <s v="22050009/1481/1727/2/1"/>
    <s v="-"/>
    <s v="11"/>
    <s v="10719/291015/10027/8"/>
    <s v=""/>
    <s v=""/>
    <s v="ЗАБАЙКАЛЬСКИЙ КРАЙ"/>
    <s v="ПГТ. ЗАБАЙКАЛЬСК"/>
    <s v="МКР.МАПП ЗАБАЙКАЛЬСК УЧАСТОК № 6"/>
    <s v="10719030 т/п Забайкальский"/>
    <n v="1"/>
    <s v="ТВЕРДОТОПЛИВНЫЙ ВОДОГРЕЙНЫЙ ОТОПИТЕЛЬНЫЙ КОТЕЛ ТОРГОВОЙ МАРКИ CHENG CHENG, МОДЕЛЬ СС-2000W-01, ИЗГОТОВИТЕЛЬ ANHUI CHENGCHENG MACHINERY CO., LTD.В ЧАСТИЧНО РАЗОБРАННОМ ВИДЕ ДЛЯ УДОБСТВА ТРАНСПОРТИРОВКИ СОГЛАСНО УПАКОВОЧНОГО ЛИСТА:КАБЕЛЬ ПИТАНИЯ1 ШТ 1"/>
    <x v="0"/>
    <m/>
    <s v="ANHUI CHENGCHENG MACHINERY CO., LTD"/>
    <n v="2"/>
    <n v="0"/>
    <n v="1"/>
    <s v="ШТ"/>
    <n v="0"/>
    <m/>
    <s v="1"/>
    <s v="8403109000"/>
    <s v=""/>
    <s v=""/>
    <s v="CN"/>
    <n v="232"/>
    <s v="ОООО-ОО"/>
    <n v="4000000"/>
    <n v="175"/>
    <n v="0"/>
    <s v=""/>
    <s v=""/>
    <n v="400"/>
    <n v="27470"/>
    <n v="2"/>
    <n v="1"/>
    <n v="27470.400000000001"/>
    <n v="400"/>
    <s v="12"/>
    <n v="2.2856999999999998"/>
    <m/>
    <m/>
    <m/>
    <s v="ЕКИМОВ ОЛЕГ ВАЛЕРЬЕВИЧ"/>
    <n v="79"/>
    <m/>
  </r>
  <r>
    <s v="1"/>
    <d v="2023-03-05T00:00:00"/>
    <x v="2"/>
    <s v="10702070/211222/3458521"/>
    <s v="10702070"/>
    <s v="3458521"/>
    <x v="0"/>
    <s v="40"/>
    <s v=""/>
    <s v=""/>
    <s v=""/>
    <s v="HYDROSTA CO.,LTD"/>
    <s v=", BUSAN, HAEUNDAE-GU,U-DONG, ACE HIGHTECH 1470,21, NO.1813,"/>
    <s v=""/>
    <s v=""/>
    <n v="6"/>
    <n v="0"/>
    <n v="14"/>
    <n v="215"/>
    <s v="1042502960500"/>
    <s v="2536144625"/>
    <s v="ООО  ИМПОРТ-СЕРВИС"/>
    <s v="690001, ПРИМОРСКИЙ КРАЙ, ВЛАДИВОСТОК, УЛ.АБРЕКСКАЯ, ДОМ 8 В ОФ.6,"/>
    <s v="05000"/>
    <s v="253601001"/>
    <s v="1042502960500"/>
    <s v="2536144625"/>
    <s v="ООО  ИМПОРТ-СЕРВИС"/>
    <s v="690001, ПРИМОРСКИЙ КРАЙ, ВЛАДИВОСТОК, УЛ.АБРЕКСКАЯ, ДОМ 8 В ОФ.6,"/>
    <s v="05000"/>
    <s v="253601001"/>
    <s v="KR"/>
    <s v="КОРЕЯ, РЕСПУБЛИКА"/>
    <n v="4307880.3"/>
    <s v="1042502960500"/>
    <s v="2536144625"/>
    <s v="ООО  ИМПОРТ-СЕРВИС"/>
    <s v="690001, ПРИМОРСКИЙ КРАЙ, ВЛАДИВОСТОК, УЛ.АБРЕКСКАЯ, ДОМ 8 В ОФ.6,"/>
    <s v="05000"/>
    <s v="253601001"/>
    <s v="KR"/>
    <s v="КОРЕЯ, РЕСПУБЛИКА"/>
    <x v="2"/>
    <s v="RU"/>
    <s v="РОССИЯ"/>
    <n v="0"/>
    <s v="1"/>
    <s v="CFR"/>
    <s v="ВЛАДИВОСТОК"/>
    <n v="1"/>
    <s v="USD"/>
    <n v="62429.7"/>
    <n v="4307880"/>
    <n v="62429.7"/>
    <n v="69.003699999999895"/>
    <s v="010"/>
    <s v="10"/>
    <s v="15120005/2733/0000/2/1"/>
    <s v="-"/>
    <s v="99"/>
    <s v=""/>
    <s v="10702000/180322/00045/2"/>
    <s v=""/>
    <s v="ПРИМОРСКИЙ КРАЙ"/>
    <s v="Г. ВЛАДИВОСТОК"/>
    <s v="УЛ.СТРЕЛЬНИКОВА,9 ВМТП"/>
    <s v="10702030 т/п Морской порт Владивосток"/>
    <n v="2"/>
    <s v="КОТЛЫ МАРКИ OLYMPIA ВОДОГРЕЙНЫЕ:ДИЗЕЛЬНЫЕ,ГАЗОВЫЕ ДЛЯ ЦЕНТРАЛЬНОГО ОТОПЛЕНИЯ, С ГОРЕЛКАМИ БЛОЧНЫМИ НА ЖИДКОМ ТОПЛИВЕ И ГАЗОВЫМИ ГОРЕЛКАМИ. КОД ОКП 493112 OLYMPIA OIL BOILER/ДИЗЕЛЬНЫЕ КОТЛЫ ВОДОГЕЙНЫЕ      OLB-250F-R(Q=25000KCAL/H)WITH OIL BURNER (T"/>
    <x v="0"/>
    <m/>
    <s v="OLYMPIA INDUSTRIAL  CO.,LTD"/>
    <n v="23"/>
    <n v="1"/>
    <n v="16"/>
    <s v="ШТ"/>
    <n v="0"/>
    <m/>
    <s v="2"/>
    <s v="8403109000"/>
    <s v=""/>
    <s v=""/>
    <s v="KR"/>
    <n v="5290.7"/>
    <s v="ОООО-ОО"/>
    <n v="4000000"/>
    <n v="4697.3"/>
    <n v="0"/>
    <s v=""/>
    <s v=""/>
    <n v="32981"/>
    <n v="2275811"/>
    <n v="0"/>
    <n v="1"/>
    <n v="2275811.02999999"/>
    <n v="32981"/>
    <s v="10"/>
    <n v="7.0213000000000001"/>
    <m/>
    <m/>
    <m/>
    <s v="СУЩИНСКАЯ ТАТЬЯНА ЭДУАРДОВНА"/>
    <n v="621"/>
    <m/>
  </r>
  <r>
    <s v="1"/>
    <d v="2023-04-25T00:00:00"/>
    <x v="3"/>
    <s v="10702070/191222/3455568"/>
    <s v="10702070"/>
    <s v="3455568"/>
    <x v="0"/>
    <s v="40"/>
    <s v=""/>
    <s v=""/>
    <s v=""/>
    <s v="NINGBO FOURTH PARTY LOGISTICS CO.,LTD"/>
    <s v="315000, ., NINGBO, RM 1815 FIFTH AVENUE HUAHONG NO.719 ZHONGXING RD N,"/>
    <s v=""/>
    <s v=""/>
    <n v="1"/>
    <n v="0"/>
    <n v="1"/>
    <n v="200"/>
    <s v="1213000003908"/>
    <s v="3019030445"/>
    <s v="ООО САРМАТ +"/>
    <s v="414041, АСТРАХАНСКАЯ ОБЛ.,Г.О. ГОРОД АСТРАХАНЬ, Г АСТРАХАНЬ, УЛ ЕРЕВАНСКАЯ,Д. 3,"/>
    <s v="12000"/>
    <s v="301901001"/>
    <s v="1213000003908"/>
    <s v="3019030445"/>
    <s v="ООО САРМАТ +"/>
    <s v="414041, АСТРАХАНСКАЯ ОБЛ.,Г.О. ГОРОД АСТРАХАНЬ, Г АСТРАХАНЬ, УЛ ЕРЕВАНСКАЯ,Д. 3,"/>
    <s v="12000"/>
    <s v="301901001"/>
    <s v="CN"/>
    <s v="КИТАЙ"/>
    <n v="3570761.54"/>
    <s v="1213000003908"/>
    <s v="3019030445"/>
    <s v="ООО САРМАТ +"/>
    <s v="414041, АСТРАХАНСКАЯ ОБЛ.,Г.О. ГОРОД АСТРАХАНЬ, Г АСТРАХАНЬ, УЛ ЕРЕВАНСКАЯ,Д. 3,"/>
    <s v="12000"/>
    <s v="301901001"/>
    <s v="CN"/>
    <s v="КИТАЙ"/>
    <x v="1"/>
    <s v="RU"/>
    <s v="РОССИЯ"/>
    <n v="0"/>
    <s v="1"/>
    <s v="FOB"/>
    <s v="NINGBO"/>
    <n v="1"/>
    <s v="CNY"/>
    <n v="364800"/>
    <n v="3465469"/>
    <n v="55268.27"/>
    <n v="92.438199999999895"/>
    <s v="010"/>
    <s v="10"/>
    <s v="22050007/2272/0026/2/1"/>
    <s v="-"/>
    <s v="99"/>
    <s v=""/>
    <s v="10702000/180322/00045/2"/>
    <s v=""/>
    <s v="ПРИМОРСКИЙ КРАЙ"/>
    <s v="ВЛАДИВОСТОК Г"/>
    <s v="СТРЕЛЬНИКОВА УЛ, ДОМ № 9"/>
    <s v="10702030 т/п Морской порт Владивосток"/>
    <n v="1"/>
    <s v="КОТЛЫ БЫТОВЫЕ ЦЕНТРАЛЬНОГО ОТОПЛЕНИЯ, ВОДОГРЕЙНЫЕ, ГАЗОВЫЕ В СТАЛЬНОМ КОРПУСЕ; ДВУХКОНТУРНЫЕ НАСТЕННЫЕ ГАЗОВЫЕ КОТЛЫ."/>
    <x v="0"/>
    <m/>
    <s v="JIANGSU SPRING THERMAL TECHNOLOGY CO., LTD"/>
    <n v="200"/>
    <n v="1"/>
    <n v="200"/>
    <s v="ШТ"/>
    <n v="0"/>
    <m/>
    <s v="1"/>
    <s v="8403109000"/>
    <s v=""/>
    <s v=""/>
    <s v="CN"/>
    <n v="7785"/>
    <s v="ОООО-ОО"/>
    <n v="4000000"/>
    <n v="7325"/>
    <n v="0"/>
    <s v=""/>
    <s v=""/>
    <n v="364800"/>
    <n v="3372146"/>
    <n v="0"/>
    <n v="1"/>
    <n v="3570761.54"/>
    <n v="55268.27"/>
    <s v="10"/>
    <n v="7.5452000000000004"/>
    <n v="1027"/>
    <s v="1027/22/1002-01"/>
    <m/>
    <s v="ДОРОФЕЕВА ЕЛЕНА АЛЕКСАНДРОВНА"/>
    <n v="215"/>
    <m/>
  </r>
  <r>
    <s v="0"/>
    <d v="2023-09-11T00:00:00"/>
    <x v="4"/>
    <s v="10702070/191222/3454036"/>
    <s v="10702070"/>
    <s v="3454036"/>
    <x v="0"/>
    <s v="78"/>
    <s v=""/>
    <s v=""/>
    <s v=""/>
    <s v="HAINAN LITA IMPORT &amp; EXPORT TRADE CO., LTD"/>
    <s v=", , DISTRICT HAIKOU CITY, SAN XIAN HUI FU, NO.9 CHANG BIN 4TH ROAD, XIU YING,"/>
    <s v=""/>
    <s v=""/>
    <n v="3"/>
    <n v="0"/>
    <n v="7"/>
    <n v="9"/>
    <s v="1024900953043"/>
    <s v="4909021566"/>
    <s v="СП ЗАО ОМСУКЧАНСКАЯ ГОРНО-ГЕОЛОГИЧЕСКАЯ КОМПАНИЯ"/>
    <s v="685030```, `````МАГАДАНСКАЯ ОБЛАСТЬ, Г. МАГАДАН, УЛ. ПРОЛЕТАРСКАЯ, Д. 84, КОРП."/>
    <s v="44000"/>
    <s v="490901001"/>
    <s v="1024900953043"/>
    <s v="4909021566"/>
    <s v="СП ЗАО ОМСУКЧАНСКАЯ ГОРНО-ГЕОЛОГИЧЕСКАЯ КОМПАНИЯ"/>
    <s v="685030```, `````МАГАДАНСКАЯ ОБЛАСТЬ, Г. МАГАДАН, УЛ. ПРОЛЕТАРСКАЯ, Д. 84, КОРП."/>
    <s v="44000"/>
    <s v="490901001"/>
    <s v="CN"/>
    <s v="КИТАЙ"/>
    <n v="2159726.1"/>
    <s v="1024900953043"/>
    <s v="4909021566"/>
    <s v="СП ЗАО ОМСУКЧАНСКАЯ ГОРНО-ГЕОЛОГИЧЕСКАЯ КОМПАНИЯ"/>
    <s v="685030```, `````МАГАДАНСКАЯ ОБЛАСТЬ, Г. МАГАДАН, УЛ. ПРОЛЕТАРСКАЯ, Д. 84, КОРП."/>
    <s v="44000"/>
    <s v="490901001"/>
    <s v="CN"/>
    <s v="КИТАЙ"/>
    <x v="1"/>
    <s v="RU"/>
    <s v="РОССИЯ"/>
    <n v="1"/>
    <s v="1"/>
    <s v="CIF"/>
    <s v="MAGADAN"/>
    <n v="1"/>
    <s v="CNY"/>
    <n v="233640"/>
    <n v="2219496"/>
    <n v="33428.26"/>
    <n v="92.438199999999895"/>
    <s v="010"/>
    <s v="10"/>
    <s v=""/>
    <s v="-"/>
    <s v="99"/>
    <s v=""/>
    <s v="10707000/251122/00089/2"/>
    <s v=""/>
    <s v="МАГАДАНСКАЯ ОБЛ."/>
    <s v="Г. МАГАДАН"/>
    <s v="ММТП"/>
    <s v="10707160 т/п Морской порт Магадан"/>
    <n v="3"/>
    <s v="БОЙЛЕР ЕМКОСТНОЙ НЕЭЛЕКТРИЧЕСКИЙ ВЕРТИКАЛЬНОГО ИСПОЛНЕНИЯ, ПРЕДНАЗНАЧЕН ДЛЯ ОТОПЛЕНИЯ КОМНАТ ФАБРИКИ, ОБЪЕМОМ 0.75 М3, РАСХОД ТОПЛИВА 10 КГ/Ч, ВЫХОДНАЯ МОЩНОСТЬ 120 КВТ, ПЛОЩАДЬ ОБОГРЕВА 1000 КВ.М., НАПРЯЖЕНИЕ 120 ВОЛЬТ, ОСНАЩЕН КОМПЛЕКТОМ"/>
    <x v="0"/>
    <m/>
    <s v="DONGGUAN HENGSEN THERMAL ENERGY TECHNOLOGY CO.,LTD"/>
    <n v="2"/>
    <n v="1"/>
    <n v="1"/>
    <s v="ШТ"/>
    <n v="0"/>
    <m/>
    <s v="7"/>
    <s v="8403109000"/>
    <s v=""/>
    <s v=""/>
    <s v="CN"/>
    <n v="338"/>
    <s v="ООПП-ПП"/>
    <n v="7800171"/>
    <n v="303"/>
    <n v="0"/>
    <s v=""/>
    <s v=""/>
    <n v="40085"/>
    <n v="370539"/>
    <n v="0"/>
    <n v="1"/>
    <n v="370538.52"/>
    <n v="5735.2"/>
    <s v="10"/>
    <n v="18.928100000000001"/>
    <n v="860"/>
    <s v="0714/00-15-01"/>
    <m/>
    <s v="БЕЛЬМАС ЭДУАРД ВЛАДИМИРОВИЧ"/>
    <n v="483"/>
    <m/>
  </r>
  <r>
    <s v="1"/>
    <d v="2023-01-17T00:00:00"/>
    <x v="5"/>
    <s v="10702070/151222/3450013"/>
    <s v="10702070"/>
    <s v="3450013"/>
    <x v="0"/>
    <s v="40"/>
    <s v=""/>
    <s v=""/>
    <s v=""/>
    <s v="HEATMASTER (NANTONG) BOILER CO., LTD"/>
    <s v=", JIANGSU PROVINCE, NANTONG CITY, XINGHE ROAD, GANGZHA ECONOMIC DEVELOPMENT ZONE"/>
    <s v=""/>
    <s v=""/>
    <n v="1"/>
    <n v="0"/>
    <n v="1"/>
    <n v="13"/>
    <s v="1095190011333"/>
    <s v="5190909506"/>
    <s v="АО НОРД ВЕСТ ФЛОТ КОМПАНИ"/>
    <s v="183039, МУРМАНСКАЯ ОБЛАСТЬ, МУРМАНСК, РОГОЗЕРСКАЯ, 15"/>
    <s v="47000"/>
    <s v="519001001"/>
    <s v="1095190011333"/>
    <s v="5190909506"/>
    <s v="АО НОРД ВЕСТ ФЛОТ КОМПАНИ"/>
    <s v="183039, МУРМАНСКАЯ ОБЛАСТЬ, МУРМАНСК, РОГОЗЕРСКАЯ, 15"/>
    <s v="47000"/>
    <s v="519001001"/>
    <s v="CN"/>
    <s v="КИТАЙ"/>
    <n v="8357933.7699999902"/>
    <s v="1095190011333"/>
    <s v="5190909506"/>
    <s v="АО НОРД ВЕСТ ФЛОТ КОМПАНИ"/>
    <s v="183039, МУРМАНСКАЯ ОБЛАСТЬ, МУРМАНСК, РОГОЗЕРСКАЯ, 15"/>
    <s v="47000"/>
    <s v="519001001"/>
    <s v="CN"/>
    <s v="КИТАЙ"/>
    <x v="1"/>
    <s v="RU"/>
    <s v="РОССИЯ"/>
    <n v="0"/>
    <s v="1"/>
    <s v="FCA"/>
    <s v="NANTONG CITY"/>
    <n v="1"/>
    <s v="EUR"/>
    <n v="120850"/>
    <n v="8151067"/>
    <n v="131913.92000000001"/>
    <n v="67.447800000000001"/>
    <s v="010"/>
    <s v="10"/>
    <s v="21110073/1326/0002/2/1"/>
    <s v="-"/>
    <s v="99"/>
    <s v=""/>
    <s v="10702000/180322/00045/2"/>
    <s v=""/>
    <s v="ПРИМОРСКИЙ КРАЙ"/>
    <s v="Г.ВЛАДИВОСТОК"/>
    <s v="УЛ.СТРЕЛЬНИКОВА"/>
    <s v="10702030 т/п Морской порт Владивосток"/>
    <n v="1"/>
    <s v="СИСТЕМА ПОДОГРЕВА ВОДЫ НА СУДНЕ, ПОСТАВЛЯЕТСЯ В РАЗОБРАННОМ ВИДЕ ДЛЯ УДОБСТВА ТРАНСПОРТИРОВКИ. ВВОЗИТСЯ ДЛЯ СОБСТВЕННОГО ИСПОЛЬЗОВАНИЯ; ПРОДАЖЕ НЕ ПОДЛЕЖИТ"/>
    <x v="0"/>
    <m/>
    <s v="HEATMASTER (NANTONG) BOILER CO., LTD"/>
    <n v="13"/>
    <n v="1"/>
    <n v="1"/>
    <s v="ШТ"/>
    <n v="0"/>
    <m/>
    <s v="1"/>
    <s v="8403109000"/>
    <s v="С"/>
    <s v=""/>
    <s v="CN"/>
    <n v="3760"/>
    <s v="ОООО-ОО"/>
    <n v="4000000"/>
    <n v="3500"/>
    <n v="0"/>
    <s v=""/>
    <s v=""/>
    <n v="120850"/>
    <n v="8151067"/>
    <n v="0"/>
    <n v="1"/>
    <n v="8357933.7699999902"/>
    <n v="131913.92000000001"/>
    <s v="10"/>
    <n v="37.689700000000002"/>
    <n v="1067"/>
    <s v="202012/32"/>
    <m/>
    <s v="РОССОЛОВ АРТЕМ НИКОЛАЕВИЧ"/>
    <n v="0"/>
    <m/>
  </r>
  <r>
    <s v="1"/>
    <d v="2022-07-30T00:00:00"/>
    <x v="6"/>
    <s v="10511010/281222/3174551"/>
    <s v="10511010"/>
    <s v="3174551"/>
    <x v="0"/>
    <s v="40"/>
    <s v=""/>
    <s v=""/>
    <s v=""/>
    <s v="UNICAL A.G. S.P.A."/>
    <s v="460033, , CASTEL D'ARIO (MN), VIA ROMA 123,"/>
    <s v=""/>
    <s v=""/>
    <n v="1"/>
    <n v="0"/>
    <n v="1"/>
    <n v="9"/>
    <s v="1069674029050"/>
    <s v="6674177799"/>
    <s v="ООО КОТЕЛЬНЫЕ СИСТЕМЫ УРАЛА"/>
    <s v="620076, СВЕРДЛОВСКАЯ ОБЛ, Г ЕКАТЕРИНБУРГ, ГОНЧАРНЫЙ ПЕР, ДОМ 4"/>
    <s v="65000"/>
    <s v="667901001"/>
    <s v="1069674029050"/>
    <s v="6674177799"/>
    <s v="ООО КОТЕЛЬНЫЕ СИСТЕМЫ УРАЛА"/>
    <s v="620076, СВЕРДЛОВСКАЯ ОБЛ, Г ЕКАТЕРИНБУРГ, ГОНЧАРНЫЙ ПЕР, ДОМ 4"/>
    <s v="65000"/>
    <s v="667901001"/>
    <s v="IT"/>
    <s v="ИТАЛИЯ"/>
    <n v="2536832.64"/>
    <s v="1069674029050"/>
    <s v="6674177799"/>
    <s v="ООО КОТЕЛЬНЫЕ СИСТЕМЫ УРАЛА"/>
    <s v="620076, СВЕРДЛОВСКАЯ ОБЛ, Г ЕКАТЕРИНБУРГ, ГОНЧАРНЫЙ ПЕР, ДОМ 4"/>
    <s v="65000"/>
    <s v="667901001"/>
    <s v="IT"/>
    <s v="ИТАЛИЯ"/>
    <x v="0"/>
    <s v="RU"/>
    <s v="РОССИЯ"/>
    <n v="2"/>
    <s v="0"/>
    <s v="FCA"/>
    <s v="BORGOCАRBONARA (MN)"/>
    <n v="1"/>
    <s v="EUR"/>
    <n v="29757"/>
    <n v="2207461"/>
    <n v="36274.36"/>
    <n v="74.182900000000004"/>
    <s v="010"/>
    <s v=""/>
    <s v="21110008/1481/0373/2/1"/>
    <s v="-"/>
    <s v="11"/>
    <s v="10113/160611/10039/6"/>
    <s v=""/>
    <s v=""/>
    <s v="СМОЛЕНСКАЯ ОБЛАСТЬ"/>
    <s v="КРАСНИНСКИЙ РАЙОН"/>
    <s v="В 250 М ЗАПАДНЕЕ Д.БУДА И СЕВЕРНЕЕ (В 650 М)  ЖЕЛЕ"/>
    <s v="10113090 т/п Краснинский"/>
    <n v="1"/>
    <s v="КОТЛЫ СТАЛЬНЫЕ,ВОДОГРЕЙНЫЕ,ДЫМОГАРНЫЕ,ДВУХХОДОВЫЕ ПРОМЫШЛЕННЫЕ:   АРТ.102258RU/UNICAL ELLPREX 970-7ШТ.  ПРЕДНАЗНАЧЕНЫ ДЛЯ РАБОТЫ НА ГАЗООБРАЗНОМ И ЖИДКОМ ТОПЛИВЕ И ПРИМЕНЕНИЯ В СИСТЕМАХ ЦЕНТРАЛЬНОГО ОТОПЛЕНИЯ С ТЕМПЕРАТУРОЙ ДО 100С"/>
    <x v="0"/>
    <m/>
    <s v="UNICAL AG  S.P.A."/>
    <n v="9"/>
    <n v="0"/>
    <n v="7"/>
    <s v="ШТ"/>
    <n v="0"/>
    <m/>
    <s v="1"/>
    <s v="8403109000"/>
    <s v=""/>
    <s v=""/>
    <s v="IT"/>
    <n v="11797"/>
    <s v="ОООО-ОО"/>
    <n v="4000000"/>
    <n v="11767"/>
    <n v="0"/>
    <s v=""/>
    <s v=""/>
    <n v="29757"/>
    <n v="2207461"/>
    <n v="0"/>
    <n v="1"/>
    <n v="2536832.64"/>
    <n v="36274.36"/>
    <s v="10"/>
    <n v="3.0827"/>
    <m/>
    <m/>
    <m/>
    <s v="ФАЙЗУЛИНА ДАРЬЯ ВИТАЛЬЕВНА"/>
    <n v="0"/>
    <m/>
  </r>
  <r>
    <s v="1"/>
    <d v="2023-11-13T00:00:00"/>
    <x v="7"/>
    <s v="10418010/221222/3235079"/>
    <s v="10418010"/>
    <s v="3235079"/>
    <x v="0"/>
    <s v="40"/>
    <s v=""/>
    <s v=""/>
    <s v=""/>
    <s v="VARMECOM INDUSTRY INC."/>
    <s v=", ESKISEHIR, ODUNPAZAR, 75TH YEAR OSB DISTRICT, STREET 104, 12"/>
    <s v=""/>
    <s v=""/>
    <n v="1"/>
    <n v="0"/>
    <n v="1"/>
    <n v="595"/>
    <s v="1060278101982"/>
    <s v="0278122273"/>
    <s v="ООО ГАЗСТРОЙИНВЕСТ"/>
    <s v="450006, РЕСПУБЛИКА БАШКОРТОСТАН, УФА, УЛ. 50-ЛЕТИЯ ОКТЯБРЯ, 15"/>
    <s v="80000"/>
    <s v="027801001"/>
    <s v="1060278101982"/>
    <s v="0278122273"/>
    <s v="ООО ГАЗСТРОЙИНВЕСТ"/>
    <s v="450006, РЕСПУБЛИКА БАШКОРТОСТАН, УФА, УЛ. 50-ЛЕТИЯ ОКТЯБРЯ, 15"/>
    <s v="80000"/>
    <s v="027801001"/>
    <s v="TR"/>
    <s v="ТУРЦИЯ"/>
    <n v="12796878.449999901"/>
    <s v="1060278101982"/>
    <s v="0278122273"/>
    <s v="ООО ГАЗСТРОЙИНВЕСТ"/>
    <s v="450006, РЕСПУБЛИКА БАШКОРТОСТАН, УФА, УЛ. 50-ЛЕТИЯ ОКТЯБРЯ, 15"/>
    <s v="80000"/>
    <s v="027801001"/>
    <s v="TR"/>
    <s v="ТУРЦИЯ"/>
    <x v="3"/>
    <s v="RU"/>
    <s v="РОССИЯ"/>
    <n v="2"/>
    <s v="0"/>
    <s v="EXW"/>
    <s v="ESKISEHIR"/>
    <n v="1"/>
    <s v="EUR"/>
    <n v="165890.25"/>
    <n v="12456931"/>
    <n v="181450.12"/>
    <n v="75.091399999999894"/>
    <s v="010"/>
    <s v=""/>
    <s v="22110036/3292/0006/2/1"/>
    <s v="-"/>
    <s v="11"/>
    <s v="10413/070318/10059/1"/>
    <s v=""/>
    <s v=""/>
    <s v="САРАТОВСКАЯ ОБЛ."/>
    <s v="Г. САРАТОВ"/>
    <s v="УЛ. ТАМОЖЕННЫЙ ПР-Д, Д. 6"/>
    <s v="10413070 т/п Саратовский"/>
    <n v="1"/>
    <s v="ГАЗОВЫЙ НАСТЕННЫЙ КОТЕЛ КОНВЕКЦИОННОГО ТИПА FEDERICA BUGATTI VARME ПРЕДНАЗНАЧЕН ДЛЯ ОТОПЛЕНИЯ И ПРИГОТОВЛЕНИЯ ГОРЯЧЕЙ ВОДЫ В КОТТЕДЖАХ, В КВАРТИРАХ МНОГОЭТАЖНЫХ ДОМОВ С КОЛЛЕКТИВНЫМИ ДЫМОХОДАМИ И ДРУГИХ ЗДАНИЯХ ПЛОЩАДЬЮ ДО 360 М2."/>
    <x v="0"/>
    <m/>
    <s v="VARMECOM INDUSTRY"/>
    <n v="595"/>
    <n v="0"/>
    <n v="595"/>
    <s v="ШТ"/>
    <n v="0"/>
    <m/>
    <s v="1"/>
    <s v="8403109000"/>
    <s v=""/>
    <s v=""/>
    <s v="TR"/>
    <n v="19367"/>
    <s v="ОООО-ОО"/>
    <n v="4000000"/>
    <n v="17498"/>
    <n v="0"/>
    <s v=""/>
    <s v=""/>
    <n v="165890.25"/>
    <n v="12456931"/>
    <n v="0"/>
    <n v="1"/>
    <n v="12796878.449999901"/>
    <n v="181450.12"/>
    <s v="10"/>
    <n v="10.3698"/>
    <n v="696"/>
    <s v="ТБ696/18/06/15/3"/>
    <m/>
    <s v="ДАВИТАШВИЛИ ДЖАМАЛ РОЛАНДОВИЧ"/>
    <n v="113"/>
    <m/>
  </r>
  <r>
    <s v="1"/>
    <d v="2023-07-29T00:00:00"/>
    <x v="0"/>
    <s v="10323010/161222/3178880"/>
    <s v="10323010"/>
    <s v="3178880"/>
    <x v="0"/>
    <s v="40"/>
    <s v=""/>
    <s v=""/>
    <s v=""/>
    <s v="S PLUSZ K TECHNIK KFT"/>
    <s v="4400, HUNGARY, NYIREGYHAZA, VAY ADAM KRT.4-6. 2/208,"/>
    <s v=""/>
    <s v=""/>
    <n v="5"/>
    <n v="0"/>
    <n v="11"/>
    <n v="383"/>
    <s v="1026102578017"/>
    <s v="6154001478"/>
    <s v="ООО ЛЕМАКС"/>
    <s v="347913, ОБЛАСТЬ РОСТОВСКАЯ, ТАГАНРОГ, УЛИЦА НИКОЛАЕВСКОЕ ШОССЕ, Д0М.10, КОРПУС В"/>
    <s v="60000"/>
    <s v="615401001"/>
    <s v="1026102578017"/>
    <s v="6154001478"/>
    <s v="ООО ЛЕМАКС"/>
    <s v="347913, ОБЛАСТЬ РОСТОВСКАЯ, ТАГАНРОГ, УЛИЦА НИКОЛАЕВСКОЕ ШОССЕ, Д0М.10, КОРПУС В"/>
    <s v="60000"/>
    <s v="615401001"/>
    <s v="HU"/>
    <s v="ВЕНГРИЯ"/>
    <n v="22359772.510000002"/>
    <s v="1026102578017"/>
    <s v="6154001478"/>
    <s v="ООО ЛЕМАКС"/>
    <s v="347913, ОБЛАСТЬ РОСТОВСКАЯ, ТАГАНРОГ, УЛИЦА НИКОЛАЕВСКОЕ ШОССЕ, Д0М.10, КОРПУС В"/>
    <s v="60000"/>
    <s v="615401001"/>
    <s v="HU"/>
    <s v="ВЕНГРИЯ"/>
    <x v="4"/>
    <s v="RU"/>
    <s v="РОССИЯ"/>
    <n v="2"/>
    <s v="0"/>
    <s v="EXW"/>
    <s v="ZSURK"/>
    <n v="1"/>
    <s v="EUR"/>
    <n v="321360.06"/>
    <n v="21996132"/>
    <n v="347733.27"/>
    <n v="68.447000000000003"/>
    <s v="010"/>
    <s v="31"/>
    <s v="19060035/1481/1898/2/1"/>
    <s v="-"/>
    <s v="99"/>
    <s v=""/>
    <s v="1237"/>
    <s v="197761"/>
    <s v="САНКТ-ПЕТЕРБУРГ"/>
    <s v="КРОНШТАДТ"/>
    <s v="КРОНШТАДТСКОЕ Ш., Д.33, ЛИТЕР А"/>
    <s v="10210040 т/п Котлинский"/>
    <n v="1"/>
    <s v="КОТЛЫ ОТОПИТЕЛЬНЫЕ ЭЛЕКТРИЧЕСКИЕ , ПРЕДНАЗНАЧЕНЫ ДЛЯ ОТОПЛЕНИЯ ПОМЕЩЕНИЙ ТОРГОВОЙ МАРКИ LEMАХ"/>
    <x v="0"/>
    <m/>
    <s v="S PLUSZ K TECHNIK KFT."/>
    <n v="368"/>
    <n v="0"/>
    <n v="420"/>
    <s v="ШТ"/>
    <n v="0"/>
    <m/>
    <s v="1"/>
    <s v="8403109000"/>
    <s v="С"/>
    <s v=""/>
    <s v="HU"/>
    <n v="9487.0750000000007"/>
    <s v="ОООО-ОО"/>
    <n v="4000000"/>
    <n v="8750.8250000000007"/>
    <n v="0"/>
    <s v=""/>
    <s v=""/>
    <n v="133189.06"/>
    <n v="9116392"/>
    <n v="0"/>
    <n v="1"/>
    <n v="9389407.4499999899"/>
    <n v="146021.59"/>
    <s v="10"/>
    <n v="16.686599999999999"/>
    <n v="1117"/>
    <s v="0149/01-173"/>
    <m/>
    <s v="АНТРОПОВА ОЛЬГА ВЕНИАМИНОВНА"/>
    <n v="92"/>
    <m/>
  </r>
  <r>
    <s v="1"/>
    <d v="2023-03-10T00:00:00"/>
    <x v="2"/>
    <s v="10317120/301222/3176625"/>
    <s v="10317120"/>
    <s v="3176625"/>
    <x v="0"/>
    <s v="40"/>
    <s v=""/>
    <s v=""/>
    <s v=""/>
    <s v="VARMECOM INDUSTRY(VARMECOM ENDUSTRIYEL SANAYI VE TICARET ANONIM SIRKETI)"/>
    <s v="49308, ODUNPAZARI, ESKISEHIR, KOBI ORGANIZE SANAYI BOLGESI 75 YIL OSB MAH. 104 C"/>
    <s v=""/>
    <s v=""/>
    <n v="2"/>
    <n v="0"/>
    <n v="4"/>
    <n v="496"/>
    <s v="1131650002494"/>
    <s v="1650258175"/>
    <s v="ООО ТД ГИГАЗ"/>
    <s v="450000, РЕСПУБЛИКА БАШКОРТОСТАН, Г. УФА, УЛ. 50-ЛЕТИЯ ОКТЯБРЯ, 15"/>
    <s v="80000"/>
    <s v="027801001"/>
    <s v="1131650002494"/>
    <s v="1650258175"/>
    <s v="ООО ТД ГИГАЗ"/>
    <s v="450000, РЕСПУБЛИКА БАШКОРТОСТАН, Г. УФА, УЛ. 50-ЛЕТИЯ ОКТЯБРЯ, 15"/>
    <s v="80000"/>
    <s v="027801001"/>
    <s v="TR"/>
    <s v="ТУРЦИЯ"/>
    <n v="11038147.699999901"/>
    <s v="1131650002494"/>
    <s v="1650258175"/>
    <s v="ООО ТД ГИГАЗ"/>
    <s v="450000, РЕСПУБЛИКА БАШКОРТОСТАН, Г. УФА, УЛ. 50-ЛЕТИЯ ОКТЯБРЯ, 15"/>
    <s v="80000"/>
    <s v="027801001"/>
    <s v="TR"/>
    <s v="ТУРЦИЯ"/>
    <x v="3"/>
    <s v="RU"/>
    <s v="РОССИЯ"/>
    <n v="0"/>
    <s v="1"/>
    <s v="EXW"/>
    <s v="ESKISEHIR"/>
    <n v="1"/>
    <s v="EUR"/>
    <n v="139586.16"/>
    <n v="10619227"/>
    <n v="153354.9"/>
    <n v="76.076499999999896"/>
    <s v="010"/>
    <s v=""/>
    <s v="22080001/0067/0000/2/1"/>
    <s v="-"/>
    <s v="99"/>
    <s v=""/>
    <s v="10317000/031221/00006/2"/>
    <s v=""/>
    <s v="КРАСНОДАРСКИЙ КРАЙ"/>
    <s v="НОВОРОССИЙСК"/>
    <s v="УЛ. СУХУМСКОЕ ШОССЕ, ПЗТК ООО НУТЭП"/>
    <s v="10317110 т/п Новороссийский юго-восточный"/>
    <n v="1"/>
    <s v="КОТЕЛЬНАЯ АВТОМАТИЗИРОВАННАЯ ИЗ МЕТАЛЛА(НЕ ИЗ ЧУГУНА), НОМИНАЛЬНОЙ ТЕПЛОПРОИЗВОДИТЕЛЬНОСТЬЮ ДО 33 КВТ. ПРЕДНАЗНАЧЕНА ДЛЯ ИСПОЛЬЗОВАНИЯ В КАЧЕСТВЕ ИСТОЧНИКА ТЕПЛОНОСИТЕЛЯ И ГОРЯЧЕЙ ВОДЫ ДЛЯ ЗДАНИЙ И СООРУЖЕНИЙ РАЗЛИЧНОГО НАЗНАЧЕНИЯ. КОТЕЛЬНАЯ"/>
    <x v="0"/>
    <m/>
    <s v="VARMECOM INDUSTRY"/>
    <n v="486"/>
    <n v="1"/>
    <n v="486"/>
    <s v="ШТ"/>
    <n v="0"/>
    <m/>
    <s v="1"/>
    <s v="8403109000"/>
    <s v=""/>
    <s v=""/>
    <s v="TR"/>
    <n v="15217.3"/>
    <s v="ОООО-ОО"/>
    <n v="4000000"/>
    <n v="14354.1"/>
    <n v="0"/>
    <s v=""/>
    <s v=""/>
    <n v="133319"/>
    <n v="10142443"/>
    <n v="0"/>
    <n v="1"/>
    <n v="10555045.98"/>
    <n v="146643.079999999"/>
    <s v="10"/>
    <n v="10.216100000000001"/>
    <n v="727"/>
    <s v="0491/01-15/009"/>
    <m/>
    <s v="ЗАРИПОВ ЭДУАРД КАМИЛЬЕВИЧ"/>
    <n v="0"/>
    <m/>
  </r>
  <r>
    <s v="1"/>
    <d v="2023-01-14T00:00:00"/>
    <x v="5"/>
    <s v="10317120/301222/3176508"/>
    <s v="10317120"/>
    <s v="3176508"/>
    <x v="0"/>
    <s v="40"/>
    <s v=""/>
    <s v=""/>
    <s v=""/>
    <s v="VARMECOM INDUSTRY(VARMECOM ENDUSTRIYEL SANAYI VE TICARET ANONIM SIRKETI)"/>
    <s v="49308, ODUNPAZARI, ESKISEHIR, KOBI ORGANIZE SANAYI BOLGESI 75 YIL OSB MAH. 104 C"/>
    <s v=""/>
    <s v=""/>
    <n v="1"/>
    <n v="0"/>
    <n v="1"/>
    <n v="490"/>
    <s v="1131650002494"/>
    <s v="1650258175"/>
    <s v="ООО ТД ГИГАЗ"/>
    <s v="450000, РЕСПУБЛИКА БАШКОРТОСТАН, Г. УФА, УЛ. 50-ЛЕТИЯ ОКТЯБРЯ, 15"/>
    <s v="80000"/>
    <s v="027801001"/>
    <s v="1131650002494"/>
    <s v="1650258175"/>
    <s v="ООО ТД ГИГАЗ"/>
    <s v="450000, РЕСПУБЛИКА БАШКОРТОСТАН, Г. УФА, УЛ. 50-ЛЕТИЯ ОКТЯБРЯ, 15"/>
    <s v="80000"/>
    <s v="027801001"/>
    <s v="TR"/>
    <s v="ТУРЦИЯ"/>
    <n v="10222789.710000001"/>
    <s v="1131650002494"/>
    <s v="1650258175"/>
    <s v="ООО ТД ГИГАЗ"/>
    <s v="450000, РЕСПУБЛИКА БАШКОРТОСТАН, Г. УФА, УЛ. 50-ЛЕТИЯ ОКТЯБРЯ, 15"/>
    <s v="80000"/>
    <s v="027801001"/>
    <s v="TR"/>
    <s v="ТУРЦИЯ"/>
    <x v="3"/>
    <s v="RU"/>
    <s v="РОССИЯ"/>
    <n v="0"/>
    <s v="1"/>
    <s v="EXW"/>
    <s v="ESKISEHIR"/>
    <n v="1"/>
    <s v="EUR"/>
    <n v="129000"/>
    <n v="9813869"/>
    <n v="142026.98000000001"/>
    <n v="76.076499999999896"/>
    <s v="010"/>
    <s v=""/>
    <s v="22080001/0067/0000/2/1"/>
    <s v="-"/>
    <s v="99"/>
    <s v=""/>
    <s v="10317000/031221/00006/2"/>
    <s v=""/>
    <s v="КРАСНОДАРСКИЙ КРАЙ"/>
    <s v="НОВОРОССИЙСК"/>
    <s v="УЛ. СУХУМСКОЕ ШОССЕ, ПЗТК ООО НУТЭП"/>
    <s v="10317110 т/п Новороссийский юго-восточный"/>
    <n v="1"/>
    <s v="КОТЕЛЬНАЯ АВТОМАТИЗИРОВАННАЯ ИЗ МЕТАЛЛА(НЕ ИЗ ЧУГУНА), НОМИНАЛЬНОЙ ТЕПЛОПРОИЗВОДИТЕЛЬНОСТЬЮ ДО 33 КВТ. ПРЕДНАЗНАЧЕНА ДЛЯ ИСПОЛЬЗОВАНИЯ В КАЧЕСТВЕ ИСТОЧНИКА ТЕПЛОНОСИТЕЛЯ И ГОРЯЧЕЙ ВОДЫ ДЛЯ ЗДАНИЙ И СООРУЖЕНИЙ РАЗЛИЧНОГО НАЗНАЧЕНИЯ. КОТЕЛЬНАЯ"/>
    <x v="0"/>
    <m/>
    <s v="VARMECOM INDUSTRY"/>
    <n v="490"/>
    <n v="1"/>
    <n v="490"/>
    <s v="ШТ"/>
    <n v="0"/>
    <m/>
    <s v="1"/>
    <s v="8403109000"/>
    <s v=""/>
    <s v=""/>
    <s v="TR"/>
    <n v="15034"/>
    <s v="ОООО-ОО"/>
    <n v="4000000"/>
    <n v="14207"/>
    <n v="0"/>
    <s v=""/>
    <s v=""/>
    <n v="129000"/>
    <n v="9813869"/>
    <n v="0"/>
    <n v="1"/>
    <n v="10222789.710000001"/>
    <n v="142026.98000000001"/>
    <s v="10"/>
    <n v="9.9969999999999999"/>
    <n v="727"/>
    <s v="0491/01-15/009"/>
    <m/>
    <s v="ЗАРИПОВ ЭДУАРД КАМИЛЬЕВИЧ"/>
    <n v="0"/>
    <m/>
  </r>
  <r>
    <s v="1"/>
    <d v="2022-02-18T00:00:00"/>
    <x v="6"/>
    <s v="10317120/261222/3173190"/>
    <s v="10317120"/>
    <s v="3173190"/>
    <x v="0"/>
    <s v="40"/>
    <s v=""/>
    <s v=""/>
    <s v=""/>
    <s v="ELEKS DIS TICARET A.S."/>
    <s v="34394, SISLI, ISTANBUL, ESENTERE MAH.KASAR SK. ELGINKAN HOLDING BLOK NO:15,"/>
    <s v=""/>
    <s v=""/>
    <n v="2"/>
    <n v="0"/>
    <n v="4"/>
    <n v="471"/>
    <s v="1197746381986"/>
    <s v="7720470130"/>
    <s v="ООО ВЕССЕН"/>
    <s v="109518, ЮВАО РАЙОН ТЕКСТИЛЬЩИКИ, Г. МОСКВА, 1-Й ГРАЙВОРОНОВСКИЙ ПРОЕЗД, Д. 20, С"/>
    <s v="45000"/>
    <s v="772201001"/>
    <s v="1197746381986"/>
    <s v="7720470130"/>
    <s v="ООО ВЕССЕН"/>
    <s v="109518, ЮВАО РАЙОН ТЕКСТИЛЬЩИКИ, Г. МОСКВА, 1-Й ГРАЙВОРОНОВСКИЙ ПРОЕЗД, Д. 20, С"/>
    <s v="45000"/>
    <s v="772201001"/>
    <s v="TR"/>
    <s v="ТУРЦИЯ"/>
    <n v="9189223.8900000006"/>
    <s v="1197746381986"/>
    <s v="7720470130"/>
    <s v="ООО ВЕССЕН"/>
    <s v="109518, ЮВАО РАЙОН ТЕКСТИЛЬЩИКИ, Г. МОСКВА, 1-Й ГРАЙВОРОНОВСКИЙ ПРОЕЗД, Д. 20, С"/>
    <s v="45000"/>
    <s v="772201001"/>
    <s v="TR"/>
    <s v="ТУРЦИЯ"/>
    <x v="3"/>
    <s v="RU"/>
    <s v="РОССИЯ"/>
    <n v="0"/>
    <s v="1"/>
    <s v="FCA"/>
    <s v="MANISA (ТУРЦИЯ)"/>
    <n v="1"/>
    <s v="USD"/>
    <n v="131226.62"/>
    <n v="9012119"/>
    <n v="133805.46"/>
    <n v="68.676000000000002"/>
    <s v="010"/>
    <s v=""/>
    <s v="20050760/1326/0000/2/1"/>
    <s v="-"/>
    <s v="95"/>
    <s v=""/>
    <s v="10317000/021222/00006/2"/>
    <s v=""/>
    <s v="КРАСНОДАРСКИЙ КРАЙ"/>
    <s v="Г. НОВОРОССИЙСК"/>
    <s v="СУХУМСКОЕ ШОССЕ, Д.17А"/>
    <s v="10317110 т/п Новороссийский юго-восточный"/>
    <n v="1"/>
    <s v="КОТЛЫ БЫТОВЫЕ, ЦЕНТРАЛЬНОГО ОТОПЛЕНИЯ, ГАЗОВЫЕ, ОДНОКОНТУРНЫЕ, НАСТЕННЫЕ. ТОРГОВАЯ МАРКА Е.С.А., ИЗГОТОВЛЕНЫ ИЗ КОМПОЗИТНЫХ МАТЕРИАЛОВ, ЛАТУННЫХ И МЕТАЛЛИЧЕСКИХ ЧАСТЕЙ, В КОМПЛЕКТЕ С ИНСТРУКЦИЕЙ ПО УСТАНОВКЕ И ЭКСПЛУАТАЦИИ И КРЕПЕЖНОЙ ФУРНИТУРОЙ."/>
    <x v="0"/>
    <m/>
    <s v="EMAS MAKINA SANAYI A.S."/>
    <n v="305"/>
    <n v="1"/>
    <n v="305"/>
    <s v="ШТ"/>
    <n v="0"/>
    <m/>
    <s v="1"/>
    <s v="8403109000"/>
    <s v=""/>
    <s v=""/>
    <s v="TR"/>
    <n v="10190"/>
    <s v="ОООО-ОО"/>
    <n v="4000000"/>
    <n v="9677"/>
    <n v="0"/>
    <s v=""/>
    <s v=""/>
    <n v="111308.47"/>
    <n v="7644220"/>
    <n v="0"/>
    <n v="1"/>
    <n v="7811476.8200000003"/>
    <n v="113743.91"/>
    <s v="10"/>
    <n v="11.754"/>
    <n v="1405"/>
    <n v="140"/>
    <m/>
    <s v="КОЛЕСНИКОВА ЕКАТЕРИНА ИВАНОВНА"/>
    <n v="308"/>
    <m/>
  </r>
  <r>
    <s v="1"/>
    <d v="2022-10-26T00:00:00"/>
    <x v="6"/>
    <s v="10317120/261222/3173172"/>
    <s v="10317120"/>
    <s v="3173172"/>
    <x v="0"/>
    <s v="40"/>
    <s v=""/>
    <s v=""/>
    <s v=""/>
    <s v="KATRE ISI SANAYI TICARET A. S."/>
    <s v="34394, ZEYTINBURNU/, ISTANBUL, SEYITNIZAM MAH. DEMIRCILER SITESI 1 YOL NO:73/75,"/>
    <s v=""/>
    <s v=""/>
    <n v="2"/>
    <n v="0"/>
    <n v="2"/>
    <n v="11"/>
    <s v="1197746381986"/>
    <s v="7720470130"/>
    <s v="ООО ВЕССЕН"/>
    <s v="109518, ВН.ТЕР.Г. МУНИЦИПАЛЬНЫЙ ОКРУГ ТЕКСТИЛЬЩИКИ, МОСКВА, 1-Й ГРАЙВОРОНОВСКИЙ"/>
    <s v="45000"/>
    <s v="772201001"/>
    <s v="1197746381986"/>
    <s v="7720470130"/>
    <s v="ООО ВЕССЕН"/>
    <s v="109518, ВН.ТЕР.Г. МУНИЦИПАЛЬНЫЙ ОКРУГ ТЕКСТИЛЬЩИКИ, МОСКВА, 1-Й ГРАЙВОРОНОВСКИЙ"/>
    <s v="45000"/>
    <s v="772201001"/>
    <s v="TR"/>
    <s v="ТУРЦИЯ"/>
    <n v="2934124.67"/>
    <s v="1197746381986"/>
    <s v="7720470130"/>
    <s v="ООО ВЕССЕН"/>
    <s v="109518, ВН.ТЕР.Г. МУНИЦИПАЛЬНЫЙ ОКРУГ ТЕКСТИЛЬЩИКИ, МОСКВА, 1-Й ГРАЙВОРОНОВСКИЙ"/>
    <s v="45000"/>
    <s v="772201001"/>
    <s v="TR"/>
    <s v="ТУРЦИЯ"/>
    <x v="3"/>
    <s v="RU"/>
    <s v="РОССИЯ"/>
    <n v="0"/>
    <s v="1"/>
    <s v="FCA"/>
    <s v="ISTANBUL"/>
    <n v="1"/>
    <s v="USD"/>
    <n v="41551.64"/>
    <n v="2853600"/>
    <n v="42724.17"/>
    <n v="68.676000000000002"/>
    <s v="010"/>
    <s v=""/>
    <s v="20081050/1326/0000/2/1"/>
    <s v="-"/>
    <s v="95"/>
    <s v=""/>
    <s v="10317000/021222/00006/2"/>
    <s v=""/>
    <s v="КРАСНОДАРСКИЙ КРАЙ"/>
    <s v="Г. НОВОРОССИЙСК"/>
    <s v="СУХУМСКОЕ ШОССЕ, Д.17А"/>
    <s v="10317110 т/п Новороссийский юго-восточный"/>
    <n v="1"/>
    <s v="КОТЛЫ БЫТОВЫЕ, ЦЕНТРАЛЬНОГО ОТОПЛЕНИЯ, ГАЗОВЫЕ, ОДНОКОНТУРНЫЕ, НАСТЕННЫЕ. ТОРГОВАЯ МАРКА Е.С.А., ИЗГОТОВЛЕНЫ ИЗ КОМПОЗИТНЫХ МАТЕРИАЛОВ, ЛАТУННЫХ И МЕТАЛЛИЧЕСКИХ ЧАСТЕЙ, В КОМПЛЕКТЕ С ИНСТРУКЦИЕЙ ПО УСТАНОВКЕ И ЭКСПЛУАТАЦИИ И КРЕПЕЖНОЙ ФУРНИТУРОЙ. С"/>
    <x v="0"/>
    <m/>
    <s v="ЕМАS MAKINA SANAYI A.S."/>
    <n v="10"/>
    <n v="1"/>
    <n v="10"/>
    <s v="ШТ"/>
    <n v="0"/>
    <m/>
    <s v="1"/>
    <s v="8403109000"/>
    <s v=""/>
    <s v=""/>
    <s v="TR"/>
    <n v="1815"/>
    <s v="ОООО-ОО"/>
    <n v="4000000"/>
    <n v="1794"/>
    <n v="0"/>
    <s v=""/>
    <s v=""/>
    <n v="13718.04"/>
    <n v="942100"/>
    <n v="0"/>
    <n v="1"/>
    <n v="971889.59"/>
    <n v="14151.81"/>
    <s v="10"/>
    <n v="7.8883999999999999"/>
    <n v="1405"/>
    <n v="140"/>
    <m/>
    <s v="КОЛЕСНИКОВА ЕКАТЕРИНА ИВАНОВНА"/>
    <n v="145"/>
    <m/>
  </r>
  <r>
    <s v="1"/>
    <d v="2023-07-05T00:00:00"/>
    <x v="0"/>
    <s v="10317120/261222/3173152"/>
    <s v="10317120"/>
    <s v="3173152"/>
    <x v="0"/>
    <s v="40"/>
    <s v=""/>
    <s v=""/>
    <s v=""/>
    <s v="VESSEN DIS TICARET A. S."/>
    <s v=", ZEYTINBURNU, ISTANBUL, SEYITNIZAM MAH. DEMIRCILER SITESI 1 YOL NO:75,"/>
    <s v=""/>
    <s v=""/>
    <n v="1"/>
    <n v="0"/>
    <n v="1"/>
    <n v="1"/>
    <s v="1197746381986"/>
    <s v="7720470130"/>
    <s v="ООО ВЕССЕН"/>
    <s v="109518, ЮВАО РАЙОН ТЕКСТИЛЬЩИКИ, Г. МОСКВА, 1-Й ГРАЙВОРОНОВСКИЙ ПРОЕЗД, Д. 20, С"/>
    <s v="45000"/>
    <s v="772201001"/>
    <s v="1197746381986"/>
    <s v="7720470130"/>
    <s v="ООО ВЕССЕН"/>
    <s v="109518, ЮВАО РАЙОН ТЕКСТИЛЬЩИКИ, Г. МОСКВА, 1-Й ГРАЙВОРОНОВСКИЙ ПРОЕЗД, Д. 20, С"/>
    <s v="45000"/>
    <s v="772201001"/>
    <s v="TR"/>
    <s v="ТУРЦИЯ"/>
    <n v="323452.87"/>
    <s v="1197746381986"/>
    <s v="7720470130"/>
    <s v="ООО ВЕССЕН"/>
    <s v="109518, ЮВАО РАЙОН ТЕКСТИЛЬЩИКИ, Г. МОСКВА, 1-Й ГРАЙВОРОНОВСКИЙ ПРОЕЗД, Д. 20, С"/>
    <s v="45000"/>
    <s v="772201001"/>
    <s v="TR"/>
    <s v="ТУРЦИЯ"/>
    <x v="3"/>
    <s v="RU"/>
    <s v="РОССИЯ"/>
    <n v="0"/>
    <s v="1"/>
    <s v="FCA"/>
    <s v="ISTANBUL"/>
    <n v="1"/>
    <s v="TRY"/>
    <n v="85900"/>
    <n v="314829"/>
    <n v="4709.84"/>
    <n v="36.786099999999898"/>
    <s v="010"/>
    <s v=""/>
    <s v="22110090/3311/0000/2/1"/>
    <s v="-"/>
    <s v="95"/>
    <s v=""/>
    <s v="10317000/021222/00006/2"/>
    <s v=""/>
    <s v="КРАСНОДАРСКИЙ КРАЙ"/>
    <s v="Г. НОВОРОССИЙСК"/>
    <s v="СУХУМСКОЕ ШОССЕ, Д.17А"/>
    <s v="10317110 т/п Новороссийский юго-восточный"/>
    <n v="1"/>
    <s v="КОТЛЫ БЫТОВЫЕ, ЦЕНТРАЛЬНОГО ОТОПЛЕНИЯ, ГАЗОВЫЕ, ИЗГОТОВЛЕНЫ ИЗ КОМПОЗИТНЫХ МАТЕРИАЛОВ, ЛАТУННЫХ И МЕТАЛЛИЧЕСКИХ ЧАСТЕЙ. ОДНОКОНТУРНЫЕ, НАСТЕННЫЕ КОНДЕНСАЦИОННЫЕ, НА НАПРЯЖЕНИЕ 220-240 В. В КОМПЛЕКТЕ С ДЫМОХОДОМ. ПРЕДНАЗНАЧЕНЫ ДЛЯ ОТОПЛЕНИЯ ЧАСТНЫХ"/>
    <x v="0"/>
    <m/>
    <s v="TERMO ISI SISTEMLERI TIC. VE SAN. A.S."/>
    <n v="1"/>
    <n v="1"/>
    <n v="5"/>
    <s v="ШТ"/>
    <n v="0"/>
    <m/>
    <s v="1"/>
    <s v="8403109000"/>
    <s v=""/>
    <s v=""/>
    <s v="TR"/>
    <n v="444"/>
    <s v="ОООО-ОО"/>
    <n v="4000000"/>
    <n v="415"/>
    <n v="0"/>
    <s v=""/>
    <s v=""/>
    <n v="85900"/>
    <n v="314829"/>
    <n v="0"/>
    <n v="1"/>
    <n v="323452.87"/>
    <n v="4709.84"/>
    <s v="10"/>
    <n v="11.349"/>
    <n v="1405"/>
    <n v="140"/>
    <m/>
    <s v="КОЛЕСНИКОВА ЕКАТЕРИНА ИВАНОВНА"/>
    <n v="151"/>
    <m/>
  </r>
  <r>
    <s v="1"/>
    <d v="2023-01-05T00:00:00"/>
    <x v="5"/>
    <s v="10317120/221222/5000957"/>
    <s v="10317120"/>
    <s v="5000957"/>
    <x v="0"/>
    <s v="40"/>
    <s v=""/>
    <s v=""/>
    <s v=""/>
    <s v="BAYMAK MAKINA SANAYI VE TICARET A.S."/>
    <s v="34959, , ORHANLI-TUZLA/ISTANBUL, ORHANLI BELDESI ORTA MAH. AKDENIZ SOK.NO:8,"/>
    <s v=""/>
    <s v=""/>
    <n v="1"/>
    <m/>
    <n v="1"/>
    <n v="28"/>
    <s v="1087746423005"/>
    <s v="7717615508"/>
    <s v="ООО БДР ТЕРМИЯ РУС"/>
    <s v="129164, , Г.МОСКВА, ЗУБАРЕВ ПЕР., Д.15, К.1, ЭТ.3, ПОМ.1, КОМ.67Г,"/>
    <s v="45000"/>
    <s v="771701001"/>
    <s v="1087746423005"/>
    <s v="7717615508"/>
    <s v="ООО БДР ТЕРМИЯ РУС"/>
    <s v="129164, , Г.МОСКВА, ЗУБАРЕВ ПЕР., Д.15, К.1, ЭТ.3, ПОМ.1, КОМ.67Г,"/>
    <s v="45000"/>
    <s v="771701001"/>
    <s v="TR"/>
    <s v="ТУРЦИЯ"/>
    <n v="7119229.6600000001"/>
    <s v="1087746423005"/>
    <s v="7717615508"/>
    <s v="ООО БДР ТЕРМИЯ РУС"/>
    <s v="129164, , Г.МОСКВА, ЗУБАРЕВ ПЕР., Д.15, К.1, ЭТ.3, ПОМ.1, КОМ.67Г,"/>
    <s v="45000"/>
    <s v="771701001"/>
    <s v="TR"/>
    <s v="ТУРЦИЯ"/>
    <x v="3"/>
    <s v="RU"/>
    <s v="РОССИЯ"/>
    <m/>
    <s v="1"/>
    <s v="EXW"/>
    <s v="TUZLA"/>
    <n v="1"/>
    <s v="EUR"/>
    <n v="91116.479999999894"/>
    <n v="6842064"/>
    <n v="100945.33"/>
    <n v="75.091399999999894"/>
    <s v="010"/>
    <s v="30"/>
    <s v="16080084/0001/0000/2/1"/>
    <s v="-"/>
    <s v="99"/>
    <s v=""/>
    <s v="10317000/021222/00006/2"/>
    <s v=""/>
    <s v="КРАСНОДАРСКИЙ КРАЙ"/>
    <s v="Г. НОВОРОССИЙСК"/>
    <s v="СУХУМСКОЕ ШОССЕ, Д. 17А ПЗТК ООО НУТЭП"/>
    <s v="10317110 т/п Новороссийский юго-восточный"/>
    <n v="1"/>
    <s v="КОТЛЫ ГАЗОВЫЕ ЦЕНТРАЛЬНОГО ОТОПЛЕНИЯ, СТАЛЬНЫЕ:"/>
    <x v="0"/>
    <m/>
    <s v="BAYMAK MAKINA SANAYI VE TICARET A.S."/>
    <n v="28"/>
    <n v="1"/>
    <n v="336"/>
    <s v="ШТ"/>
    <m/>
    <m/>
    <s v="1"/>
    <s v="8403109000"/>
    <s v=""/>
    <s v=""/>
    <s v="TR"/>
    <n v="10836"/>
    <s v="ОООО-ОО"/>
    <n v="4000000"/>
    <n v="10416"/>
    <m/>
    <s v=""/>
    <s v=""/>
    <n v="91116.479999999894"/>
    <n v="6842064"/>
    <n v="0"/>
    <n v="1"/>
    <n v="7119229.6600000001"/>
    <n v="100945.33"/>
    <s v="10"/>
    <n v="9.6913999999999998"/>
    <n v="1168"/>
    <s v="ЛС-БДРТР/220/07/2022"/>
    <m/>
    <s v="ДАВЫДОВА СВЕТЛАНА АЛЕКСАНДРОВНА"/>
    <n v="0"/>
    <m/>
  </r>
  <r>
    <s v="1"/>
    <d v="2023-08-26T00:00:00"/>
    <x v="8"/>
    <s v="10317120/221222/3169345"/>
    <s v="10317120"/>
    <s v="3169345"/>
    <x v="0"/>
    <s v="40"/>
    <s v=""/>
    <s v=""/>
    <s v=""/>
    <s v="BAYMAK MAKINA SANAYI VE TICARET A.S."/>
    <s v="34959, ORHANLI/TUZLA, ISTANBUL, ORHANLI BELDESI, ORTA MAHALLE, AKDENIZ SOK.NO:8,"/>
    <s v=""/>
    <s v=""/>
    <n v="1"/>
    <n v="0"/>
    <n v="1"/>
    <n v="28"/>
    <s v="1087746423005"/>
    <s v="7717615508"/>
    <s v="ООО БДР ТЕРМИЯ РУС"/>
    <s v="129164, , Г.МОСКВА, ЗУБАРЕВ ПЕР., Д.15, К.1, ЭТ.3, ПОМ.1, КОМ.67Г,"/>
    <s v="45000"/>
    <s v="771701001"/>
    <s v="1087746423005"/>
    <s v="7717615508"/>
    <s v="ООО БДР ТЕРМИЯ РУС"/>
    <s v="129164, , Г.МОСКВА, ЗУБАРЕВ ПЕР., Д.15, К.1, ЭТ.3, ПОМ.1, КОМ.67Г,"/>
    <s v="45000"/>
    <s v="771701001"/>
    <s v="TR"/>
    <s v="ТУРЦИЯ"/>
    <n v="7084237.0599999903"/>
    <s v="1087746423005"/>
    <s v="7717615508"/>
    <s v="ООО БДР ТЕРМИЯ РУС"/>
    <s v="129164, , Г.МОСКВА, ЗУБАРЕВ ПЕР., Д.15, К.1, ЭТ.3, ПОМ.1, КОМ.67Г,"/>
    <s v="45000"/>
    <s v="771701001"/>
    <s v="TR"/>
    <s v="ТУРЦИЯ"/>
    <x v="3"/>
    <s v="RU"/>
    <s v="РОССИЯ"/>
    <n v="0"/>
    <s v="1"/>
    <s v="EXW"/>
    <s v="TUZLA"/>
    <n v="1"/>
    <s v="EUR"/>
    <n v="90650.48"/>
    <n v="6807071"/>
    <n v="100449.16"/>
    <n v="75.091399999999894"/>
    <s v="010"/>
    <s v="30"/>
    <s v="16080084/0001/0000/2/1"/>
    <s v="-"/>
    <s v="99"/>
    <s v=""/>
    <s v="10317000/021222/00006/2"/>
    <s v=""/>
    <s v="КРАСНОДАРСКИЙ КРАЙ"/>
    <s v="Г. НОВОРОССИЙСК"/>
    <s v="СУХУМСКОЕ ШОССЕ, Д. 17 А. ПЗТК ООО НУТЭП"/>
    <s v="10317110 т/п Новороссийский юго-восточный"/>
    <n v="1"/>
    <s v="КОТЛЫ ЦЕНТРАЛЬНОГО ОТОПЛЕНИЯ ГАЗОВЫЕ СТАЛЬНЫЕ"/>
    <x v="0"/>
    <m/>
    <s v="BAYMAK MAKINA SANAYI VE TICARET A.S."/>
    <n v="28"/>
    <n v="1"/>
    <n v="336"/>
    <s v="ШТ"/>
    <n v="0"/>
    <m/>
    <s v="1"/>
    <s v="8403109000"/>
    <s v=""/>
    <s v=""/>
    <s v="TR"/>
    <n v="10836"/>
    <s v="ОООО-ОО"/>
    <n v="4000000"/>
    <n v="10416"/>
    <n v="0"/>
    <s v=""/>
    <s v=""/>
    <n v="90650.48"/>
    <n v="6807071"/>
    <n v="0"/>
    <n v="1"/>
    <n v="7084237.0599999903"/>
    <n v="100449.16"/>
    <s v="10"/>
    <n v="9.6437000000000008"/>
    <n v="1168"/>
    <s v="ЛС-БДРТР/220/07/2022"/>
    <m/>
    <s v="СЛЮСАРЬ ЕГОР ВИТАЛЬЕВИЧ"/>
    <n v="0"/>
    <m/>
  </r>
  <r>
    <s v="1"/>
    <d v="2023-05-02T00:00:00"/>
    <x v="9"/>
    <s v="10317120/211222/3168635"/>
    <s v="10317120"/>
    <s v="3168635"/>
    <x v="0"/>
    <s v="40"/>
    <s v=""/>
    <s v=""/>
    <s v=""/>
    <s v="BAYMAK MAK SAN VE TIC. AS."/>
    <s v="34959, ISTANBUL, ORHANLI-TUZLA, ORHANLI BELDESI ORTA MAH. AKDENIZ, SOK.NO:8"/>
    <s v=""/>
    <s v=""/>
    <n v="1"/>
    <n v="0"/>
    <n v="1"/>
    <n v="28"/>
    <s v="1087746423005"/>
    <s v="7717615508"/>
    <s v="ООО БДР ТЕРМИЯ РУС"/>
    <s v="129164, , Г. МОСКВА, ЗУБАРЕВ ПЕРЕУЛОК, Д. 15, КОРП.1, ЭТАЖ 3, ПОМ.1, КО,"/>
    <s v="45000"/>
    <s v="771701001"/>
    <s v="1087746423005"/>
    <s v="7717615508"/>
    <s v="ООО БДР ТЕРМИЯ РУС"/>
    <s v="129164, , Г. МОСКВА, ЗУБАРЕВ ПЕРЕУЛОК, Д. 15, КОРП.1, ЭТАЖ 3, ПОМ.1, КО,"/>
    <s v="45000"/>
    <s v="771701001"/>
    <s v="TR"/>
    <s v="ТУРЦИЯ"/>
    <n v="6935230.4199999897"/>
    <s v="1087746423005"/>
    <s v="7717615508"/>
    <s v="ООО БДР ТЕРМИЯ РУС"/>
    <s v="129164, , Г. МОСКВА, ЗУБАРЕВ ПЕРЕУЛОК, Д. 15, КОРП.1, ЭТАЖ 3, ПОМ.1, КО,"/>
    <s v="45000"/>
    <s v="771701001"/>
    <s v="TR"/>
    <s v="ТУРЦИЯ"/>
    <x v="3"/>
    <s v="RU"/>
    <s v="РОССИЯ"/>
    <n v="0"/>
    <s v="1"/>
    <s v="EXW"/>
    <s v="TUZLA"/>
    <n v="1"/>
    <s v="EUR"/>
    <n v="91116.479999999894"/>
    <n v="6682382"/>
    <n v="100505.2"/>
    <n v="73.338899999999896"/>
    <s v="010"/>
    <s v="30"/>
    <s v="16080084/0001/0000/2/1"/>
    <s v="-"/>
    <s v="99"/>
    <s v=""/>
    <s v="10317000/021222/00006/2"/>
    <s v=""/>
    <s v="КРАСНОДАРСКИЙ КРАЙ"/>
    <s v="Г. НОВОРОССИЙСК"/>
    <s v="УЛ.СУХУМСКОЕ ШОССЕ"/>
    <s v="10317110 т/п Новороссийский юго-восточный"/>
    <n v="1"/>
    <s v="КОТЛЫ ЦЕНТРАЛЬНОГО ОТОПЛЕНИЯ"/>
    <x v="0"/>
    <m/>
    <s v="BAYMAK MAKINA SANAYI VE TICARET A.S."/>
    <n v="28"/>
    <n v="1"/>
    <n v="336"/>
    <s v="ШТ"/>
    <n v="0"/>
    <m/>
    <s v="1"/>
    <s v="8403109000"/>
    <s v=""/>
    <s v=""/>
    <s v="TR"/>
    <n v="10836"/>
    <s v="ОООО-ОО"/>
    <n v="4000000"/>
    <n v="10836"/>
    <n v="0"/>
    <s v=""/>
    <s v=""/>
    <n v="91116.479999999894"/>
    <n v="6682382"/>
    <n v="0"/>
    <n v="1"/>
    <n v="6935230.4199999897"/>
    <n v="100505.2"/>
    <s v="10"/>
    <n v="9.2751000000000001"/>
    <n v="897"/>
    <s v="0897/00-2022-078"/>
    <m/>
    <s v="ПАСЛЕН АННА ПЕТРОВНА"/>
    <n v="0"/>
    <m/>
  </r>
  <r>
    <s v="1"/>
    <d v="2023-01-02T00:00:00"/>
    <x v="5"/>
    <s v="10317120/201222/3167790"/>
    <s v="10317120"/>
    <s v="3167790"/>
    <x v="0"/>
    <s v="40"/>
    <s v=""/>
    <s v=""/>
    <s v=""/>
    <s v="CAGDAS KARAGOL-CAGDAS NAKLIYAT"/>
    <s v=", , ISTANBUL, INONU MH. ORKIDEM SK. NO:NO:4/4 ATASEHIR,"/>
    <s v=""/>
    <s v=""/>
    <n v="1"/>
    <n v="0"/>
    <n v="1"/>
    <n v="404"/>
    <s v="1213000003908"/>
    <s v="3019030445"/>
    <s v="ООО САРМАТ +"/>
    <s v="414041, АСТРАХАНСКАЯ ОБЛ.,Г.О. ГОРОД АСТРАХАНЬ, Г АСТРАХАНЬ, УЛ ЕРЕВАНСКАЯ,Д. 3,"/>
    <s v="12000"/>
    <s v="301901001"/>
    <s v="1213000003908"/>
    <s v="3019030445"/>
    <s v="ООО САРМАТ +"/>
    <s v="414041, АСТРАХАНСКАЯ ОБЛ.,Г.О. ГОРОД АСТРАХАНЬ, Г АСТРАХАНЬ, УЛ ЕРЕВАНСКАЯ,Д. 3,"/>
    <s v="12000"/>
    <s v="301901001"/>
    <s v="TR"/>
    <s v="ТУРЦИЯ"/>
    <n v="8329581.8200000003"/>
    <s v="1213000003908"/>
    <s v="3019030445"/>
    <s v="ООО САРМАТ +"/>
    <s v="414041, АСТРАХАНСКАЯ ОБЛ.,Г.О. ГОРОД АСТРАХАНЬ, Г АСТРАХАНЬ, УЛ ЕРЕВАНСКАЯ,Д. 3,"/>
    <s v="12000"/>
    <s v="301901001"/>
    <s v="TR"/>
    <s v="ТУРЦИЯ"/>
    <x v="3"/>
    <s v="RU"/>
    <s v="РОССИЯ"/>
    <n v="1"/>
    <s v="1"/>
    <s v="CFR"/>
    <s v="НОВОРОССИЙСК"/>
    <n v="1"/>
    <s v="EUR"/>
    <n v="117950"/>
    <n v="8329582"/>
    <n v="125544.96000000001"/>
    <n v="70.619600000000005"/>
    <s v="010"/>
    <s v="10"/>
    <s v="22090030/2272/0026/2/1"/>
    <s v="-"/>
    <s v="95"/>
    <s v=""/>
    <s v="10317000/021222/00006/2"/>
    <s v=""/>
    <s v="КРАСНОДАРСКИЙ КРАЙ"/>
    <s v="Г. НОВОРОССИЙСК"/>
    <s v="СУХУМСКОЕ ШОССЕ, 17А"/>
    <s v="10317110 т/п Новороссийский юго-восточный"/>
    <n v="1"/>
    <s v="КОТЛЫ БЫТОВЫЕ ЦЕНТРАЛЬНОГО ОТОПЛЕНИЯ, ВОДОГРЕЙНЫЕ, ГАЗОВЫЕ В СТАЛЬНОМ КОРПУСЕ; ДВУХКОНТУРНЫЕ НАСТЕННЫЕ ГАЗОВЫЕ КОТЛЫ"/>
    <x v="0"/>
    <m/>
    <s v="TURK DEMIR DOKUM FABRIKALARI A.S."/>
    <n v="404"/>
    <n v="1"/>
    <n v="404"/>
    <s v="ШТ"/>
    <n v="0"/>
    <m/>
    <s v="1"/>
    <s v="8403109000"/>
    <s v=""/>
    <s v=""/>
    <s v="TR"/>
    <n v="14050"/>
    <s v="ОООО-ОО"/>
    <n v="4000000"/>
    <n v="14050"/>
    <n v="0"/>
    <s v=""/>
    <s v=""/>
    <n v="117950"/>
    <n v="8329582"/>
    <n v="0"/>
    <n v="1"/>
    <n v="8329581.8200000003"/>
    <n v="125544.96000000001"/>
    <s v="10"/>
    <n v="8.9356000000000009"/>
    <n v="1027"/>
    <s v="1027/22/1002-01"/>
    <m/>
    <s v="ДОРОФЕЕВА ЕЛЕНА АЛЕКСАНДРОВНА"/>
    <n v="201"/>
    <m/>
  </r>
  <r>
    <s v="1"/>
    <d v="2023-08-24T00:00:00"/>
    <x v="8"/>
    <s v="10317120/191222/3166454"/>
    <s v="10317120"/>
    <s v="3166454"/>
    <x v="0"/>
    <s v="40"/>
    <s v=""/>
    <s v=""/>
    <s v=""/>
    <s v="VARMECOM ENDUSTRIYEL SANAYI VE TICARET ANONIM SIRKETI"/>
    <s v="26250, ODUNPAZARI, ESKISEHIR, 75 YIL OSB MAH. 104 CD. ADAR APT. NO 6,"/>
    <s v=""/>
    <s v=""/>
    <n v="2"/>
    <n v="0"/>
    <n v="2"/>
    <n v="650"/>
    <s v="1161690104234"/>
    <s v="1650331192"/>
    <s v="ООО ФЕДЕРИКА БУГАТТИ"/>
    <s v="423800, ТАТАРСТАН, НАБЕРЕЖНЫЕ ЧЕЛНЫ, КАЗАНСКИЙ ПРОСПЕКТ, 226"/>
    <s v="92000"/>
    <s v="165001001"/>
    <s v="1161690104234"/>
    <s v="1650331192"/>
    <s v="ООО ФЕДЕРИКА БУГАТТИ"/>
    <s v="423800, ТАТАРСТАН, НАБЕРЕЖНЫЕ ЧЕЛНЫ, КАЗАНСКИЙ ПРОСПЕКТ, 226"/>
    <s v="92000"/>
    <s v="165001001"/>
    <s v="TR"/>
    <s v="ТУРЦИЯ"/>
    <n v="9550855.9800000004"/>
    <s v="1161690104234"/>
    <s v="1650331192"/>
    <s v="ООО ФЕДЕРИКА БУГАТТИ"/>
    <s v="423800, ТАТАРСТАН, НАБЕРЕЖНЫЕ ЧЕЛНЫ, КАЗАНСКИЙ ПРОСПЕКТ, 226"/>
    <s v="92000"/>
    <s v="165001001"/>
    <s v="TR"/>
    <s v="ТУРЦИЯ"/>
    <x v="3"/>
    <s v="RU"/>
    <s v="РОССИЯ"/>
    <n v="0"/>
    <s v="1"/>
    <s v="EXW"/>
    <s v="ESKISEHIR"/>
    <n v="1"/>
    <s v="EUR"/>
    <n v="133881"/>
    <n v="9208308"/>
    <n v="147828.22"/>
    <n v="68.779799999999895"/>
    <s v="010"/>
    <s v=""/>
    <s v="21040004/0067/0000/2/1"/>
    <s v="-"/>
    <s v="99"/>
    <s v=""/>
    <s v="10317000/031221/00006/2"/>
    <s v=""/>
    <s v="КРАСНОДАРСКИЙ КРАЙ"/>
    <s v="НОВОРОССИЙСК"/>
    <s v="УЛ. СУХУМСКОЕ ШОССЕ, ПЗТК ООО НУТЭП"/>
    <s v="10317110 т/п Новороссийский юго-восточный"/>
    <n v="1"/>
    <s v="КОТЕЛЬНАЯ АВТОМАТИЗИРОВАННАЯ ИЗ МЕТАЛЛА(НЕ ИЗ ЧУГУНА), НОМИНАЛЬНОЙ ТЕПЛОПРОИЗВОДИТЕЛЬНОСТЬЮ ДО 32 КВТ. ПРЕДНАЗНАЧЕНА ДЛЯ ИСПОЛЬЗОВАНИЯ В КАЧЕСТВЕ ИСТОЧНИКА ТЕПЛОНОСИТЕЛЯ И ГОРЯЧЕЙ ВОДЫ ДЛЯ ЗДАНИЙ И СООРУЖЕНИЙ РАЗЛИЧНОГО НАЗНАЧЕНИЯ. КОТЕЛЬНАЯ"/>
    <x v="0"/>
    <m/>
    <s v="VARMECOM INDUSTRY"/>
    <n v="490"/>
    <n v="1"/>
    <n v="490"/>
    <s v="ШТ"/>
    <n v="0"/>
    <m/>
    <s v="1"/>
    <s v="8403109000"/>
    <s v=""/>
    <s v=""/>
    <s v="TR"/>
    <n v="15242"/>
    <s v="ОООО-ОО"/>
    <n v="4000000"/>
    <n v="14378.1"/>
    <n v="0"/>
    <s v=""/>
    <s v=""/>
    <n v="132281"/>
    <n v="9098261"/>
    <n v="0"/>
    <n v="1"/>
    <n v="9437070.3200000003"/>
    <n v="146067.04"/>
    <s v="10"/>
    <n v="10.159000000000001"/>
    <n v="727"/>
    <s v="0491/01-21/25"/>
    <m/>
    <s v="ЗАРИПОВ ЭДУАРД КАМИЛЬЕВИЧ"/>
    <n v="18"/>
    <m/>
  </r>
  <r>
    <s v="1"/>
    <d v="2023-11-11T00:00:00"/>
    <x v="7"/>
    <s v="10317120/191222/3166354"/>
    <s v="10317120"/>
    <s v="3166354"/>
    <x v="0"/>
    <s v="40"/>
    <s v=""/>
    <s v=""/>
    <s v=""/>
    <s v="VARMECOM ENDUSTRIYEL SANAYI VE TICARET ANONIM SIRKETI"/>
    <s v="262502, ODUNPAZARI, ESKISEHIR, 75 YIL OSB MAH. 104 CD. ADAR APT. NO 6,"/>
    <s v=""/>
    <s v=""/>
    <n v="1"/>
    <n v="0"/>
    <n v="1"/>
    <n v="490"/>
    <s v="1131650002494"/>
    <s v="1650258175"/>
    <s v="ООО ТД ГИГАЗ"/>
    <s v="450000, РЕСПУБЛИКА БАШКОРТОСТАН, Г. УФА, УЛ. 50-ЛЕТИЯ ОКТЯБРЯ, 15"/>
    <s v="80000"/>
    <s v="027801001"/>
    <s v="1131650002494"/>
    <s v="1650258175"/>
    <s v="ООО ТД ГИГАЗ"/>
    <s v="450000, РЕСПУБЛИКА БАШКОРТОСТАН, Г. УФА, УЛ. 50-ЛЕТИЯ ОКТЯБРЯ, 15"/>
    <s v="80000"/>
    <s v="027801001"/>
    <s v="TR"/>
    <s v="ТУРЦИЯ"/>
    <n v="9458278.3699999899"/>
    <s v="1131650002494"/>
    <s v="1650258175"/>
    <s v="ООО ТД ГИГАЗ"/>
    <s v="450000, РЕСПУБЛИКА БАШКОРТОСТАН, Г. УФА, УЛ. 50-ЛЕТИЯ ОКТЯБРЯ, 15"/>
    <s v="80000"/>
    <s v="027801001"/>
    <s v="TR"/>
    <s v="ТУРЦИЯ"/>
    <x v="3"/>
    <s v="RU"/>
    <s v="РОССИЯ"/>
    <n v="0"/>
    <s v="1"/>
    <s v="EXW"/>
    <s v="ESKISEHIR"/>
    <n v="1"/>
    <s v="EUR"/>
    <n v="132535"/>
    <n v="9115731"/>
    <n v="146395.299999999"/>
    <n v="68.779799999999895"/>
    <s v="010"/>
    <s v=""/>
    <s v="22080001/0067/0000/2/1"/>
    <s v="-"/>
    <s v="99"/>
    <s v=""/>
    <s v="10317000/031221/00006/2"/>
    <s v=""/>
    <s v="КРАСНОДАРСКИЙ КРАЙ"/>
    <s v="НОВОРОССИЙСК"/>
    <s v="УЛ. СУХУМСКОЕ ШОССЕ, ПЗТК ООО НУТЭП"/>
    <s v="10317110 т/п Новороссийский юго-восточный"/>
    <n v="1"/>
    <s v="КОТЕЛЬНАЯ АВТОМАТИЗИРОВАННАЯ ИЗ МЕТАЛЛА(НЕ ИЗ ЧУГУНА), НОМИНАЛЬНОЙ ТЕПЛОПРОИЗВОДИТЕЛЬНОСТЬЮ ДО 32 КВТ. ПРЕДНАЗНАЧЕНА ДЛЯ ИСПОЛЬЗОВАНИЯ В КАЧЕСТВЕ ИСТОЧНИКА ТЕПЛОНОСИТЕЛЯ И ГОРЯЧЕЙ ВОДЫ ДЛЯ ЗДАНИЙ И СООРУЖЕНИЙ РАЗЛИЧНОГО НАЗНАЧЕНИЯ. КОТЕЛЬНАЯ"/>
    <x v="0"/>
    <m/>
    <s v="VARMECOM INDUSTRY"/>
    <n v="490"/>
    <n v="1"/>
    <n v="490"/>
    <s v="ШТ"/>
    <n v="0"/>
    <m/>
    <s v="1"/>
    <s v="8403109000"/>
    <s v=""/>
    <s v=""/>
    <s v="TR"/>
    <n v="15616.2"/>
    <s v="ОООО-ОО"/>
    <n v="4000000"/>
    <n v="14756.8"/>
    <n v="0"/>
    <s v=""/>
    <s v=""/>
    <n v="132535"/>
    <n v="9115731"/>
    <n v="0"/>
    <n v="1"/>
    <n v="9458278.3699999899"/>
    <n v="146395.299999999"/>
    <s v="10"/>
    <n v="9.9205000000000005"/>
    <n v="727"/>
    <s v="0491/01-15/009"/>
    <m/>
    <s v="ЗАРИПОВ ЭДУАРД КАМИЛЬЕВИЧ"/>
    <n v="0"/>
    <m/>
  </r>
  <r>
    <s v="1"/>
    <d v="2023-10-06T00:00:00"/>
    <x v="1"/>
    <s v="10317120/191222/3166230"/>
    <s v="10317120"/>
    <s v="3166230"/>
    <x v="0"/>
    <s v="40"/>
    <s v=""/>
    <s v=""/>
    <s v=""/>
    <s v="TERMO ISI SISTEMLERI TIC. VE SAN. A.S."/>
    <s v=", KARTAL, ISTANBUL, MONUMENTO PLAZA, ESENTEPE MAH. MILANGAZ, NO:75 KAT:3"/>
    <s v=""/>
    <s v=""/>
    <n v="3"/>
    <n v="0"/>
    <n v="5"/>
    <n v="6"/>
    <s v="1147847439046"/>
    <s v="7810372426"/>
    <s v="ООО ХОРТЭК-ПРОЕКТ"/>
    <s v="196191, , САНКТ-ПЕТЕРБУРГ, НОВОИЗМАЙЛОВСКИЙ ПР, Д.46, КОРП.2, ЛИТ. А, ПОМ. 10,"/>
    <s v="40000"/>
    <s v="781001001"/>
    <s v="1147847439046"/>
    <s v="7810372426"/>
    <s v="ООО ХОРТЭК-ПРОЕКТ"/>
    <s v="196191, , САНКТ-ПЕТЕРБУРГ, НОВОИЗМАЙЛОВСКИЙ ПР, Д.46, КОРП.2, ЛИТ. А, ПОМ. 10,"/>
    <s v="40000"/>
    <s v="781001001"/>
    <s v="TR"/>
    <s v="ТУРЦИЯ"/>
    <n v="2970657.96"/>
    <s v="1147847439046"/>
    <s v="7810372426"/>
    <s v="ООО ХОРТЭК-ПРОЕКТ"/>
    <s v="196191, , САНКТ-ПЕТЕРБУРГ, НОВОИЗМАЙЛОВСКИЙ ПР, Д.46, КОРП.2, ЛИТ. А, ПОМ. 10,"/>
    <s v="40000"/>
    <s v="781001001"/>
    <s v="TR"/>
    <s v="ТУРЦИЯ"/>
    <x v="3"/>
    <s v="RU"/>
    <s v="РОССИЯ"/>
    <n v="2"/>
    <s v="1"/>
    <s v="EXW"/>
    <s v="CORLU"/>
    <n v="1"/>
    <s v="EUR"/>
    <n v="39317"/>
    <n v="2704215"/>
    <n v="45979.86"/>
    <n v="68.779799999999895"/>
    <s v="010"/>
    <s v="40"/>
    <s v="22060031/2867/0000/2/1"/>
    <s v="-"/>
    <s v="11"/>
    <s v="10317/080914/10025/4"/>
    <s v=""/>
    <s v=""/>
    <s v="КРАСНОДАРСКИЙ КРАЙ"/>
    <s v="Г. НОВОРОССИЙСК"/>
    <s v="С. ЦЕМДОЛИНА"/>
    <s v="10317080 т/п Приморский"/>
    <n v="1"/>
    <s v="КОТЛЫ ОТОПИТЕЛЬНЫЕ ГАЗОВЫЕ КОНДЕНСАЦИОННЫЕ, ТОРГОВОЙ МАРКИ ECODENSE И HORTEK. МАТЕРИАЛ ИЗГОТОВЛЕНИЯ СТАЛЬ. В ЧАСТИЧНО РАЗОБРАННОМ ВИДЕ ДЛЯ УДОБСТВА ТРАНСПОРТИРОВКИ. ТОВАР РАСТАРЕН ИЗ КОНТЕЙНЕРА № TCKU3797157."/>
    <x v="0"/>
    <m/>
    <s v="TERMO ISI SISTEMLERI TIC. VE SAN.A.S"/>
    <n v="6"/>
    <n v="1"/>
    <n v="21"/>
    <s v="ШТ"/>
    <n v="0"/>
    <m/>
    <s v="1"/>
    <s v="8403109000"/>
    <s v=""/>
    <s v=""/>
    <s v="TR"/>
    <n v="1898"/>
    <s v="ОООО-ОО"/>
    <n v="4000000"/>
    <n v="1898"/>
    <n v="0"/>
    <s v=""/>
    <s v=""/>
    <n v="34888.730000000003"/>
    <n v="2399640"/>
    <n v="0"/>
    <n v="1"/>
    <n v="2647292.54999999"/>
    <n v="40974.81"/>
    <s v="10"/>
    <n v="21.5884"/>
    <n v="905"/>
    <s v="0905/18/12-3002"/>
    <m/>
    <s v="МИХАЙЛОВ АНДРЕЙ НИКОЛАЕВИЧ"/>
    <n v="145"/>
    <m/>
  </r>
  <r>
    <s v="1"/>
    <d v="2023-05-27T00:00:00"/>
    <x v="9"/>
    <s v="10317120/171222/3165437"/>
    <s v="10317120"/>
    <s v="3165437"/>
    <x v="0"/>
    <s v="40"/>
    <s v=""/>
    <s v=""/>
    <s v=""/>
    <s v="RIMA ISI SISTEMLERI SAN. A.S."/>
    <s v=", IKITELLI ORGANIZE SANAYI BOLGESI MAHALLESI, 25. CADDE, NO:10/A-BASAKSEHIR, IST"/>
    <s v=""/>
    <s v=""/>
    <n v="1"/>
    <n v="0"/>
    <n v="1"/>
    <n v="81"/>
    <s v="5087746162983"/>
    <s v="7703675923"/>
    <s v="ООО ДАИЧИ"/>
    <s v="125130, ГОРОД ФЕДЕРАЛЬНОГО ЗНАЧЕНИЯ, Г.МОСКВА, СТАРОПЕТРОВСКИЙ ПРОЕЗД Д.11,КОРП."/>
    <s v="45000"/>
    <s v="774301001"/>
    <s v="5087746162983"/>
    <s v="7703675923"/>
    <s v="ООО ДАИЧИ"/>
    <s v="125130, ГОРОД ФЕДЕРАЛЬНОГО ЗНАЧЕНИЯ, Г.МОСКВА, СТАРОПЕТРОВСКИЙ ПРОЕЗД Д.11,КОРП."/>
    <s v="45000"/>
    <s v="774301001"/>
    <s v="TR"/>
    <s v="ТУРЦИЯ"/>
    <n v="4140372.89"/>
    <s v="5087746162983"/>
    <s v="7703675923"/>
    <s v="ООО ДАИЧИ"/>
    <s v="125130, ГОРОД ФЕДЕРАЛЬНОГО ЗНАЧЕНИЯ, Г.МОСКВА, СТАРОПЕТРОВСКИЙ ПРОЕЗД Д.11,КОРП."/>
    <s v="45000"/>
    <s v="774301001"/>
    <s v="TR"/>
    <s v="ТУРЦИЯ"/>
    <x v="3"/>
    <s v="RU"/>
    <s v="РОССИЯ"/>
    <n v="0"/>
    <s v="1"/>
    <s v="EXW"/>
    <s v="ISTANBUL"/>
    <n v="1"/>
    <s v="EUR"/>
    <n v="56815.8"/>
    <n v="3907779"/>
    <n v="64084.72"/>
    <n v="68.779799999999895"/>
    <s v="010"/>
    <s v=""/>
    <s v="16030057/1637/0000/2/1"/>
    <s v="-"/>
    <s v="99"/>
    <s v=""/>
    <s v="10317000/021222/00006/2"/>
    <s v=""/>
    <s v="КРАСНОДАРСКИЙ КРАЙ"/>
    <s v="НОВОРОССИЙСК"/>
    <s v="СУХУМСКОЕ Ш. 17А"/>
    <s v="10317110 т/п Новороссийский юго-восточный"/>
    <n v="1"/>
    <s v="КОТЛЫ ЦЕНРАЛЬНОГО ОТОПЛЕНИЯ, НАПОЛЬНЫЙ, ВОДОГРЕЙНЫЕ, БЫТОВЫЕ, В КОМПЛЕКТЕ С КОМПЛЕКУЮЩИМЕ, КРЕПЕЖЕМ, ИНСТРУКЦИЕЙ."/>
    <x v="0"/>
    <m/>
    <s v="RIMA ISI SISTEMLERI SAN. A.S."/>
    <n v="81"/>
    <n v="1"/>
    <n v="81"/>
    <s v="ШТ"/>
    <n v="0"/>
    <m/>
    <s v="1"/>
    <s v="8403101000"/>
    <s v=""/>
    <s v=""/>
    <s v="TR"/>
    <n v="18138"/>
    <s v="ОООО-ОО"/>
    <n v="4000000"/>
    <n v="16385"/>
    <n v="0"/>
    <s v=""/>
    <s v=""/>
    <n v="56815.8"/>
    <n v="3907779"/>
    <n v="0"/>
    <n v="1"/>
    <n v="4140372.89"/>
    <n v="64084.72"/>
    <s v="10"/>
    <n v="3.9112"/>
    <n v="1371"/>
    <s v="НР/07-07.17"/>
    <m/>
    <s v="ЛЕБЕДЕВ НИКОЛАЙ НИКОЛАЕВИЧ"/>
    <n v="0"/>
    <m/>
  </r>
  <r>
    <s v="1"/>
    <d v="2023-07-24T00:00:00"/>
    <x v="0"/>
    <s v="10228010/301222/3426412"/>
    <s v="10228010"/>
    <s v="3426412"/>
    <x v="0"/>
    <s v="40"/>
    <s v=""/>
    <s v=""/>
    <s v=""/>
    <s v="ARISTON SPA"/>
    <s v="60044, ., FABRIANO (AN), VIALE A. MERLONI, 45,"/>
    <s v=""/>
    <s v=""/>
    <n v="4"/>
    <n v="0"/>
    <n v="8"/>
    <n v="356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n v="9937252.4199999906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x v="0"/>
    <s v="RU"/>
    <s v="РОССИЯ"/>
    <n v="2"/>
    <s v="0"/>
    <s v="DAP"/>
    <s v="САНКТ-ПЕТЕРБУРГ"/>
    <n v="1"/>
    <s v="EUR"/>
    <n v="130621.84"/>
    <n v="9937252"/>
    <n v="138059.97"/>
    <n v="76.076499999999896"/>
    <s v="010"/>
    <s v=""/>
    <s v="16020015/3290/0001/2/1"/>
    <s v="-"/>
    <s v="99"/>
    <s v=""/>
    <s v="1174"/>
    <s v=""/>
    <s v="Г. САНКТ-ПЕТЕРБУРГ"/>
    <s v="ПОС. ПАРГОЛОВО"/>
    <s v="ГОРСКОЕ ШОССЕ, Д.4, ЛИТ.А"/>
    <s v="10210350 т/п Парголовский"/>
    <n v="1"/>
    <s v="КОТЛЫ ГАЗОВЫЕ ОТОПИТЕЛЬНЫЕ ВОДОГРЕЙНЫЕ СО ВСТРОЕННОЙ ГОРЕЛКОЙ, В КОРПУСЕ ИЗ СТАЛИ, НЕЛИТЫЕ, МОЩНОСТЬЮ МЕНЕЕ 100 КВТ, МАРКИ ARISTON (В ПЕРВИЧНОЙ УПАКОВКЕ)"/>
    <x v="0"/>
    <m/>
    <s v="ARISTON S.P.A."/>
    <n v="300"/>
    <n v="0"/>
    <n v="301"/>
    <s v="ШТ"/>
    <n v="0"/>
    <m/>
    <s v="1"/>
    <s v="8403109000"/>
    <s v=""/>
    <s v=""/>
    <s v="IT"/>
    <n v="9065.4"/>
    <s v="ОООО-ОО"/>
    <n v="4000000"/>
    <n v="9065.4"/>
    <n v="0"/>
    <s v=""/>
    <s v=""/>
    <n v="100251.28"/>
    <n v="7626767"/>
    <n v="0"/>
    <n v="1"/>
    <n v="7626766.5"/>
    <n v="105959.98"/>
    <s v="10"/>
    <n v="11.6884"/>
    <n v="53"/>
    <s v="0053/03-15-005"/>
    <m/>
    <s v="ВЕРШКОВА МАРИНА ЕВГЕНЬЕВНА"/>
    <n v="0"/>
    <m/>
  </r>
  <r>
    <s v="1"/>
    <d v="2023-04-01T00:00:00"/>
    <x v="3"/>
    <s v="10228010/291222/3425456"/>
    <s v="10228010"/>
    <s v="3425456"/>
    <x v="0"/>
    <s v="40"/>
    <s v=""/>
    <s v=""/>
    <s v=""/>
    <s v="THERMEX HEATING TECHNOLOGY (JIANGMEN) CO.,LTD"/>
    <s v=", GUANGDONG PROVINCE, HESHAN CITY, TAOYUAN TOWN, JIANSHEDONGLU, NO. 51,"/>
    <s v=""/>
    <s v=""/>
    <n v="10"/>
    <n v="0"/>
    <n v="26"/>
    <n v="751"/>
    <s v="1094025002246"/>
    <s v="4025422770"/>
    <s v="АО ТАСКОМ ПО ПОРУЧЕНИЮ ООО ТОРГОВЫЙ ДОМ ТЕРМЕКС"/>
    <s v="249020, КАЛУЖСКАЯ ОБЛАСТЬ, БОРОВСКИЙ РАЙОН,, СЕЛО ВОРСИНО, СЕВЕРНАЯ ПРОМЫШЛЕННАЯ"/>
    <s v="29000"/>
    <s v="402501001"/>
    <s v="1094716001907"/>
    <s v="4716033195"/>
    <s v="ООО ТОРГОВЫЙ ДОМ ТЕРМЕКС"/>
    <s v="187002, ЛЕНИНГРАДСКАЯ ОБЛ., М.Р-Н ТОСНЕНСКИЙ, Г.П. ТОСНЕНС, Г.ТОСНО, МОСКОВСКОЕ"/>
    <s v="41000"/>
    <s v="471601001"/>
    <s v="CN"/>
    <s v="КИТАЙ"/>
    <n v="9277052.0199999902"/>
    <s v="1094716001907"/>
    <s v="4716033195"/>
    <s v="ООО ТОРГОВЫЙ ДОМ ТЕРМЕКС"/>
    <s v="187002, ЛЕНИНГРАДСКАЯ ОБЛ., М.Р-Н ТОСНЕНСКИЙ, Г.П. ТОСНЕНС, Г.ТОСНО, МОСКОВСКОЕ"/>
    <s v="41000"/>
    <s v="471601001"/>
    <s v="CN"/>
    <s v="КИТАЙ"/>
    <x v="1"/>
    <s v="RU"/>
    <s v="РОССИЯ"/>
    <n v="1"/>
    <s v="1"/>
    <s v="FCA"/>
    <s v="HESHAN"/>
    <n v="0"/>
    <s v="CNY"/>
    <n v="893291.9"/>
    <n v="9064144"/>
    <n v="130065.3"/>
    <n v="10.1469"/>
    <s v="010"/>
    <s v="10"/>
    <s v="20060023/2557/0001/2/1"/>
    <s v="-"/>
    <s v="11"/>
    <s v="10106/100913/10053/8"/>
    <s v=""/>
    <s v=""/>
    <s v="КАЛУЖСКАЯ ОБЛАСТЬ"/>
    <s v="БОРОВСКИЙ Р-Н, СЕЛО ВОРСИНО"/>
    <s v="СЕВЕРНАЯ ПРОМЗОНА, ВЛАДЕНИЕ 6"/>
    <s v="10106050 т/п Обнинский"/>
    <n v="1"/>
    <s v="КОТЛЫ ЭЛЕКТРИЧЕСКИЕ ОТОПИТЕЛЬНЫЕ ВОДОГРЕЙНЫЕ, НАСТЕННЫЕ, ДЛЯ СИСТЕМ ВОДЯНОГО ОТОПЛЕНИЯ И ГОРЯЧЕГО ВОДОСНАБЖЕНИЯ, ДЛЯ ИСПОЛЬЗОВАНИЯ В БЫТУ (НЕ ИЗ ЧУГУННОГО ЛИТЬЯ, НЕ ПРЕДНАЗНАЧЕНЫ ДЛЯ ПРОИЗВОДСТВА ПАРА, НЕ ВОЕННОГО НАЗНАЧЕНИЯ)"/>
    <x v="0"/>
    <m/>
    <s v="THERMEX HEATING TECHNOLOGY(JIANGMEN)CO.,LTD"/>
    <n v="579"/>
    <n v="1"/>
    <n v="579"/>
    <s v="ШТ"/>
    <n v="0"/>
    <m/>
    <s v="1"/>
    <s v="8403109000"/>
    <s v=""/>
    <s v=""/>
    <s v="CN"/>
    <n v="13179.9"/>
    <s v="ОООО-ОО"/>
    <n v="4000000"/>
    <n v="13179.9"/>
    <n v="0"/>
    <s v=""/>
    <s v=""/>
    <n v="698493"/>
    <n v="7087539"/>
    <n v="0"/>
    <n v="1"/>
    <n v="7266624.9100000001"/>
    <n v="101878.9"/>
    <s v="10"/>
    <n v="7.7298999999999998"/>
    <n v="1075"/>
    <s v="СПБ-А-072"/>
    <m/>
    <s v="САВЧЕНКО ЮЛИЯ СТАНИСЛАВОВНА"/>
    <n v="200"/>
    <m/>
  </r>
  <r>
    <s v="0"/>
    <d v="2022-08-04T00:00:00"/>
    <x v="6"/>
    <s v="10228010/281222/3423741"/>
    <s v="10228010"/>
    <s v="3423741"/>
    <x v="0"/>
    <s v="40"/>
    <s v=""/>
    <s v=""/>
    <s v=""/>
    <s v="RIMA ISI SISTEMLERI SAN.A.S. AS JUPITER PLUS CUSTOMS WAREHOUSE,LAO 13B,MAARDU 74114,ESTONIA"/>
    <s v="ISTAMBUL, BASAKSEHIR,PK 34306, CADDE NO.10, IKITELLI OSB MAHALLESI, 25"/>
    <s v=""/>
    <s v=""/>
    <n v="1"/>
    <n v="0"/>
    <n v="1"/>
    <n v="3"/>
    <s v="1227800055845"/>
    <s v="7804692788"/>
    <s v="ООО ЕТК"/>
    <s v="195221, Г.САНКТ-ПЕТЕРБУРГ,, ВН.ТЕР.Г. МУНИЦИПАЛЬНЫЙ ОКРУГ, ФИНЛЯНДСКИЙ ОКРУГ УЛ"/>
    <s v="40000"/>
    <s v="780401001"/>
    <s v="1227800055845"/>
    <s v="7804692788"/>
    <s v="ООО ЕТК"/>
    <s v="195221, Г.САНКТ-ПЕТЕРБУРГ,, ВН.ТЕР.Г. МУНИЦИПАЛЬНЫЙ ОКРУГ, ФИНЛЯНДСКИЙ ОКРУГ УЛ"/>
    <s v="40000"/>
    <s v="780401001"/>
    <s v="TR"/>
    <s v="ТУРЦИЯ"/>
    <n v="2335756.83"/>
    <s v="1227800055845"/>
    <s v="7804692788"/>
    <s v="ООО ЕТК"/>
    <s v="195221, Г.САНКТ-ПЕТЕРБУРГ,, ВН.ТЕР.Г. МУНИЦИПАЛЬНЫЙ ОКРУГ, ФИНЛЯНДСКИЙ ОКРУГ УЛ"/>
    <s v="40000"/>
    <s v="780401001"/>
    <s v="TR"/>
    <s v="ТУРЦИЯ"/>
    <x v="3"/>
    <s v="RU"/>
    <s v="РОССИЯ"/>
    <n v="2"/>
    <s v="0"/>
    <s v="EXW"/>
    <s v="ISTAMBUL"/>
    <n v="1"/>
    <s v="TRY"/>
    <n v="532800"/>
    <n v="1994515"/>
    <n v="33399.160000000003"/>
    <n v="37.434600000000003"/>
    <s v="010"/>
    <s v="10"/>
    <s v=""/>
    <s v="-"/>
    <s v="11"/>
    <s v="10210/300413/10110/2"/>
    <s v=""/>
    <s v=""/>
    <s v="ГОРОД САНКТ-ПЕТЕРБУРГ"/>
    <s v="ПОСЕЛОК ШУШУРЫ"/>
    <s v="УЛ.ПОСЕЛКОВАЯ,"/>
    <s v="10210100 т/п Южный"/>
    <n v="1"/>
    <s v="КОТЛЫ ГАЗОВЫЕ ОТОПИТЕЛЬНЫЕ, НЕ ВОЕННОГО НАЗНАЧЕНИЯ, ОБРАЗЦЫ ДЛЯ ЦЕЛЕЙ ПРОВЕДЕНИЯ ИСПЫТАНИЯ ПРОЦЕДУРЫ ДЕКЛАРИРОВАНИЯ СООТВЕТСТВИЯ,"/>
    <x v="0"/>
    <m/>
    <s v="RIMA ISI SISTEMLERI SAN. A.S"/>
    <n v="3"/>
    <n v="0"/>
    <n v="3"/>
    <s v="ШТ"/>
    <n v="0"/>
    <m/>
    <s v="1"/>
    <s v="8403109000"/>
    <s v=""/>
    <s v=""/>
    <s v="TR"/>
    <n v="1875"/>
    <s v="ОООО-ОО"/>
    <n v="4000064"/>
    <n v="1410"/>
    <n v="0"/>
    <s v=""/>
    <s v=""/>
    <n v="532800"/>
    <n v="1994515"/>
    <n v="0"/>
    <n v="1"/>
    <n v="2335756.83"/>
    <n v="33399.160000000003"/>
    <s v="10"/>
    <n v="23.6873"/>
    <n v="1446"/>
    <s v="Б/Н"/>
    <m/>
    <s v="КОЛПАКОВА АЛЕКСАНДРА СЕРГЕЕВНА"/>
    <n v="44"/>
    <m/>
  </r>
  <r>
    <s v="1"/>
    <d v="2022-01-13T00:00:00"/>
    <x v="6"/>
    <s v="10228010/261222/5001301"/>
    <s v="10228010"/>
    <s v="5001301"/>
    <x v="0"/>
    <s v="40"/>
    <s v=""/>
    <s v=""/>
    <s v=""/>
    <s v="SUMEC MACHINERY AND ELECTRIC CO LTD"/>
    <s v=", ., NANJING, CHANGJIANG ROAD 198,"/>
    <s v=""/>
    <s v=""/>
    <n v="2"/>
    <m/>
    <n v="2"/>
    <n v="535"/>
    <s v="1027809170069"/>
    <s v="7815012515"/>
    <s v="ООО ВОСХОД ПО ПОРУЧЕНИЮ ИМПОРТЕРА ООО ТОРГОВЫЙ ДОМ ТЕРМЕКС"/>
    <s v="191144, , Г. САНКТ-ПЕТЕРБУРГ, УЛ. НОВГОРОДСКАЯ, Д. 14, ЛИТЕР А,"/>
    <s v="40000"/>
    <s v="784201001"/>
    <s v="1094716001907"/>
    <s v="4716033195"/>
    <s v="ООО ТОРГОВЫЙ ДОМ ТЕРМЕКС"/>
    <s v="187002, ЛЕНИНГРАДСКАЯ ОБЛ., М.Р-Н ТОСНЕНСКИЙ, Г.П. ТОСНЕНС, Г.ТОСНО, МОСКОВСКОЕ"/>
    <s v="41000"/>
    <s v="471601001"/>
    <s v="CN"/>
    <s v="КИТАЙ"/>
    <n v="7766209.3899999904"/>
    <s v="1094716001907"/>
    <s v="4716033195"/>
    <s v="ООО ТОРГОВЫЙ ДОМ ТЕРМЕКС"/>
    <s v="187002, ЛЕНИНГРАДСКАЯ ОБЛ., М.Р-Н ТОСНЕНСКИЙ, Г.П. ТОСНЕНС, Г.ТОСНО, МОСКОВСКОЕ"/>
    <s v="41000"/>
    <s v="471601001"/>
    <s v="CN"/>
    <s v="КИТАЙ"/>
    <x v="1"/>
    <s v="RU"/>
    <s v="РОССИЯ"/>
    <n v="1"/>
    <s v="1"/>
    <s v="FCA"/>
    <s v="NANJING"/>
    <m/>
    <s v="CNY"/>
    <n v="770914.75"/>
    <n v="7503575"/>
    <n v="113084.77"/>
    <n v="97.588399999999893"/>
    <s v="010"/>
    <s v="10"/>
    <s v="18120007/0436/0000/2/1"/>
    <s v="-"/>
    <s v="97"/>
    <s v=""/>
    <s v="10210000/130422/00004/4"/>
    <s v=""/>
    <s v="С-ПБ"/>
    <s v="ПОС.ШУШАРЫ"/>
    <s v="УЧ.Ж.Д МОСКОВСКОЕ ШОССЕ-РЕКА КУЗЬМИНКА"/>
    <s v="10210130 т/п Шушарский"/>
    <n v="1"/>
    <s v="КОТЛЫ ЭЛЕКТРИЧЕСКИЕ ОТОПИТЕЛЬНЫЕ ВОДОГРЕЙНЫЕ, НАСТЕННЫЕ, С ТЭНАМИ ВМОНТИРОВАННЫМИ В ТЕПЛООБМЕННИК ИЗ АЛЮМИНИЙ-МАГНИЕВОГО СПЛАВА, ДЛЯ СИСТЕМ ВОДЯНОГО ОТОПЛЕНИЯ И ГОРЯЧЕГО ВОДОСНАБЖЕНИЯ, ДЛЯ ИСПОЛЬЗОВАНИЯ В БЫТУ (НЕ ПРЕДНАЗНАЧЕНЫ ДЛЯ ПРОИЗВОДСТВА ПАРА,"/>
    <x v="0"/>
    <m/>
    <s v="THERMEX HEATING TECHNOLOGY (JIANGMEN) CO., LTD"/>
    <n v="485"/>
    <n v="1"/>
    <n v="485"/>
    <s v="ШТ"/>
    <m/>
    <m/>
    <s v="1"/>
    <s v="8403109000"/>
    <s v=""/>
    <s v=""/>
    <s v="CN"/>
    <n v="10427.5"/>
    <s v="ОООО-ОО"/>
    <n v="4000000"/>
    <n v="10427.5"/>
    <m/>
    <s v=""/>
    <s v=""/>
    <n v="697114.75"/>
    <n v="6785255"/>
    <n v="0"/>
    <n v="1"/>
    <n v="7030117.4299999904"/>
    <n v="102366.44"/>
    <s v="10"/>
    <n v="9.8170000000000002"/>
    <n v="1075"/>
    <s v="СПБ-А-072"/>
    <m/>
    <s v="ТИХОНОВ АНДРЕЙ ВЛАДИМИРОВИЧ"/>
    <n v="82"/>
    <m/>
  </r>
  <r>
    <s v="1"/>
    <d v="2023-10-30T00:00:00"/>
    <x v="1"/>
    <s v="10228010/261222/3421030"/>
    <s v="10228010"/>
    <s v="3421030"/>
    <x v="0"/>
    <s v="40"/>
    <s v=""/>
    <s v=""/>
    <s v=""/>
    <s v="ARISTON SPA C/W LT LOGIC"/>
    <s v="60044, ., FABRIANO (AN), VIALE ARISTIDE MERLONI, 45,"/>
    <s v=""/>
    <s v=""/>
    <n v="1"/>
    <n v="0"/>
    <n v="1"/>
    <n v="667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n v="15296818.1199999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x v="0"/>
    <s v="RU"/>
    <s v="РОССИЯ"/>
    <n v="2"/>
    <s v="0"/>
    <s v="DAP"/>
    <s v="САНКТ-ПЕТЕРБУРГ"/>
    <n v="1"/>
    <s v="EUR"/>
    <n v="209428.69"/>
    <n v="15296818"/>
    <n v="222738.92"/>
    <n v="73.040700000000001"/>
    <s v="010"/>
    <s v=""/>
    <s v="16020015/3290/0001/2/1"/>
    <s v="-"/>
    <s v="99"/>
    <s v=""/>
    <s v="1174"/>
    <s v=""/>
    <s v="Г. САНКТ-ПЕТЕРБУРГ"/>
    <s v="ПОС. ПАРГОЛОВО"/>
    <s v="ГОРСКОЕ ШОССЕ, Д.4, ЛИТ.А"/>
    <s v="10210350 т/п Парголовский"/>
    <n v="1"/>
    <s v="КОТЛЫ ГАЗОВЫЕ ОТОПИТЕЛЬНЫЕ ВОДОГРЕЙНЫЕ СО ВСТРОЕННОЙ ГОРЕЛКОЙ, В КОРПУСЕ ИЗ СТАЛИ, НЕЛИТЫЕ, МОЩНОСТЬЮ МЕНЕЕ 100 КВТ, МАРКИ ARISTON (В ПЕРВИЧНОЙ УПАКОВКЕ)"/>
    <x v="0"/>
    <m/>
    <s v="ARISTON S.P.A."/>
    <n v="667"/>
    <n v="0"/>
    <n v="667"/>
    <s v="ШТ"/>
    <n v="0"/>
    <m/>
    <s v="1"/>
    <s v="8403109000"/>
    <s v=""/>
    <s v=""/>
    <s v="IT"/>
    <n v="19944.8"/>
    <s v="ОООО-ОО"/>
    <n v="4000000"/>
    <n v="19944.8"/>
    <n v="0"/>
    <s v=""/>
    <s v=""/>
    <n v="209428.69"/>
    <n v="15296818"/>
    <n v="0"/>
    <n v="1"/>
    <n v="15296818.1199999"/>
    <n v="222738.92"/>
    <s v="10"/>
    <n v="11.1678"/>
    <n v="53"/>
    <s v="0053/03-15-005"/>
    <m/>
    <s v="ВЕРШКОВА МАРИНА ЕВГЕНЬЕВНА"/>
    <n v="0"/>
    <m/>
  </r>
  <r>
    <s v="0"/>
    <d v="2023-07-28T00:00:00"/>
    <x v="0"/>
    <s v="10228010/251222/3420314"/>
    <s v="10228010"/>
    <s v="3420314"/>
    <x v="0"/>
    <s v="40"/>
    <s v=""/>
    <s v=""/>
    <s v=""/>
    <s v="SUMEC MACHINERY AND ELECTRIC CO LTD"/>
    <s v=", ., NANJING, CHANGJIANG ROAD 198,"/>
    <s v=""/>
    <s v=""/>
    <n v="2"/>
    <n v="0"/>
    <n v="2"/>
    <n v="535"/>
    <s v="1027809170069"/>
    <s v="7815012515"/>
    <s v="ООО ВОСХОД ПО ПОРУЧЕНИЮ ИМПОРТЕРА ООО ТОРГОВЫЙ ДОМ ТЕРМЕКС"/>
    <s v="191144, , Г. САНКТ-ПЕТЕРБУРГ, УЛ. НОВГОРОДСКАЯ, Д. 14, ЛИТЕР А,"/>
    <s v="40000"/>
    <s v="784201001"/>
    <s v="1094716001907"/>
    <s v="4716033195"/>
    <s v="ООО ТОРГОВЫЙ ДОМ ТЕРМЕКС"/>
    <s v="187002, ЛЕНИНГРАДСКАЯ ОБЛ., М.Р-Н ТОСНЕНСКИЙ, Г.П. ТОСНЕНС, Г.ТОСНО, МОСКОВСКОЕ"/>
    <s v="41000"/>
    <s v="471601001"/>
    <s v="CN"/>
    <s v="КИТАЙ"/>
    <n v="7766209.3899999904"/>
    <s v="1094716001907"/>
    <s v="4716033195"/>
    <s v="ООО ТОРГОВЫЙ ДОМ ТЕРМЕКС"/>
    <s v="187002, ЛЕНИНГРАДСКАЯ ОБЛ., М.Р-Н ТОСНЕНСКИЙ, Г.П. ТОСНЕНС, Г.ТОСНО, МОСКОВСКОЕ"/>
    <s v="41000"/>
    <s v="471601001"/>
    <s v="CN"/>
    <s v="КИТАЙ"/>
    <x v="1"/>
    <s v="RU"/>
    <s v="РОССИЯ"/>
    <n v="1"/>
    <s v="1"/>
    <s v="FCA"/>
    <s v="NANJING"/>
    <n v="0"/>
    <s v="CNY"/>
    <n v="770914.75"/>
    <n v="7523234"/>
    <n v="113084.77"/>
    <n v="97.588399999999893"/>
    <s v="010"/>
    <s v="10"/>
    <s v="18120007/0436/0000/2/1"/>
    <s v="-"/>
    <s v="97"/>
    <s v=""/>
    <s v="10210000/130422/00004/4"/>
    <s v=""/>
    <s v="С-ПБ"/>
    <s v="ПОС.ШУШАРЫ"/>
    <s v="УЧ.Ж.Д МОСКОВСКОЕ ШОССЕ-РЕКА КУЗЬМИНКА"/>
    <s v="10210130 т/п Шушарский"/>
    <n v="1"/>
    <s v="КОТЛЫ ЭЛЕКТРИЧЕСКИЕ ОТОПИТЕЛЬНЫЕ ВОДОГРЕЙНЫЕ, НАСТЕННЫЕ, С ТЭНАМИ ВМОНТИРОВАННЫМИ В ТЕПЛООБМЕННИК ИЗ АЛЮМИНИЙ-МАГНИЕВОГО СПЛАВА, ДЛЯ СИСТЕМ ВОДЯНОГО ОТОПЛЕНИЯ И ГОРЯЧЕГО ВОДОСНАБЖЕНИЯ, ДЛЯ ИСПОЛЬЗОВАНИЯ В БЫТУ (НЕ ПРЕДНАЗНАЧЕНЫ ДЛЯ ПРОИЗВОДСТВА ПАРА,"/>
    <x v="0"/>
    <m/>
    <s v="THERMEX HEATING TECHNOLOGY (JIANGMEN) CO., LTD"/>
    <n v="485"/>
    <n v="1"/>
    <n v="485"/>
    <s v="ШТ"/>
    <n v="0"/>
    <m/>
    <s v="1"/>
    <s v="8403109000"/>
    <s v=""/>
    <s v=""/>
    <s v="CN"/>
    <n v="10427.5"/>
    <s v="ОООО-ОО"/>
    <n v="4000000"/>
    <n v="10427.5"/>
    <n v="0"/>
    <s v=""/>
    <s v=""/>
    <n v="697114.75"/>
    <n v="7152397"/>
    <m/>
    <n v="1"/>
    <n v="7030117.4299999904"/>
    <n v="102366.44"/>
    <s v="90"/>
    <n v="9.8170000000000002"/>
    <n v="1075"/>
    <s v="СПБ-А-072"/>
    <m/>
    <s v="ТИХОНОВ АНДРЕЙ ВЛАДИМИРОВИЧ"/>
    <n v="175"/>
    <m/>
  </r>
  <r>
    <s v="1"/>
    <d v="2023-03-18T00:00:00"/>
    <x v="2"/>
    <s v="10228010/231222/3419018"/>
    <s v="10228010"/>
    <s v="3419018"/>
    <x v="0"/>
    <s v="40"/>
    <s v=""/>
    <s v=""/>
    <s v=""/>
    <s v="ARISTON SPA"/>
    <s v="60044, ., FABRIANO (AN), VIALE A. MERLONI, 45,"/>
    <s v=""/>
    <s v=""/>
    <n v="2"/>
    <n v="0"/>
    <n v="2"/>
    <n v="602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n v="15865610.02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x v="0"/>
    <s v="RU"/>
    <s v="РОССИЯ"/>
    <n v="2"/>
    <s v="0"/>
    <s v="DAP"/>
    <s v="САНКТ-ПЕТЕРБУРГ"/>
    <n v="1"/>
    <s v="EUR"/>
    <n v="207002.32"/>
    <n v="15865610"/>
    <n v="219956.72"/>
    <n v="76.644599999999897"/>
    <s v="010"/>
    <s v=""/>
    <s v="16020015/3290/0001/2/1"/>
    <s v="-"/>
    <s v="99"/>
    <s v=""/>
    <s v="1174"/>
    <s v=""/>
    <s v="Г. САНКТ-ПЕТЕРБУРГ"/>
    <s v="ПОС. ПАРГОЛОВО"/>
    <s v="ГОРСКОЕ ШОССЕ, Д.4, ЛИТ.А"/>
    <s v="10210350 т/п Парголовский"/>
    <n v="1"/>
    <s v="КОТЛЫ ГАЗОВЫЕ ОТОПИТЕЛЬНЫЕ ВОДОГРЕЙНЫЕ СО ВСТРОЕННОЙ ГОРЕЛКОЙ, В КОРПУСЕ ИЗ СТАЛИ, НЕЛИТЫЕ, МОЩНОСТЬЮ МЕНЕЕ 100 КВТ, МАРКИ ARISTON (В ПЕРВИЧНОЙ УПАКОВКЕ)"/>
    <x v="0"/>
    <m/>
    <s v="ARISTON S.P.A."/>
    <n v="600"/>
    <n v="0"/>
    <n v="600"/>
    <s v="ШТ"/>
    <n v="0"/>
    <m/>
    <s v="1"/>
    <s v="8403109000"/>
    <s v=""/>
    <s v=""/>
    <s v="IT"/>
    <n v="18609.2"/>
    <s v="ОООО-ОО"/>
    <n v="4000000"/>
    <n v="18609.2"/>
    <n v="0"/>
    <s v=""/>
    <s v=""/>
    <n v="203660.87"/>
    <n v="15609506"/>
    <n v="0"/>
    <n v="1"/>
    <n v="15609505.92"/>
    <n v="216406.16"/>
    <s v="10"/>
    <n v="11.629"/>
    <n v="53"/>
    <s v="0053/03-15-005"/>
    <m/>
    <s v="ВЕРШКОВА МАРИНА ЕВГЕНЬЕВНА"/>
    <n v="0"/>
    <m/>
  </r>
  <r>
    <s v="1"/>
    <d v="2023-12-22T00:00:00"/>
    <x v="10"/>
    <s v="10228010/221222/3417999"/>
    <s v="10228010"/>
    <s v="3417999"/>
    <x v="0"/>
    <s v="40"/>
    <s v=""/>
    <s v=""/>
    <s v=""/>
    <s v="THERMEX HEATING TECHNOLOGY (JIANGMEN) CO.,LTD"/>
    <s v=", GUANGDONG PROVINCE, HESHAN CITY, TAOYUAN TOWN, JIANSHEDONGLU, NO. 51,"/>
    <s v=""/>
    <s v=""/>
    <n v="1"/>
    <n v="0"/>
    <n v="1"/>
    <n v="672"/>
    <s v="1027809170069"/>
    <s v="7815012515"/>
    <s v="ООО ВОСХОД ПО ПОРУЧЕНИЮ ООО ТОРГОВЫЙ ДОМ ТЕРМЕКС"/>
    <s v="191144, , Г. САНКТ-ПЕТЕРБУРГ, УЛ. НОВГОРОДСКАЯ, Д. 14, ЛИТЕР А,"/>
    <s v="40000"/>
    <s v="784201001"/>
    <s v="1094716001907"/>
    <s v="4716033195"/>
    <s v="ООО ТОРГОВЫЙ ДОМ ТЕРМЕКС"/>
    <s v="187002, ЛЕНИНГРАДСКАЯ ОБЛ., М.Р-Н ТОСНЕНСКИЙ, Г.П. ТОСНЕНС, Г.ТОСНО, МОСКОВСКОЕ"/>
    <s v="41000"/>
    <s v="471601001"/>
    <s v="CN"/>
    <s v="КИТАЙ"/>
    <n v="8392053.2699999902"/>
    <s v="1094716001907"/>
    <s v="4716033195"/>
    <s v="ООО ТОРГОВЫЙ ДОМ ТЕРМЕКС"/>
    <s v="187002, ЛЕНИНГРАДСКАЯ ОБЛ., М.Р-Н ТОСНЕНСКИЙ, Г.П. ТОСНЕНС, Г.ТОСНО, МОСКОВСКОЕ"/>
    <s v="41000"/>
    <s v="471601001"/>
    <s v="CN"/>
    <s v="КИТАЙ"/>
    <x v="1"/>
    <s v="RU"/>
    <s v="РОССИЯ"/>
    <n v="1"/>
    <s v="1"/>
    <s v="FCA"/>
    <s v="HESHAN"/>
    <n v="0"/>
    <s v="CNY"/>
    <n v="810636"/>
    <n v="8174129"/>
    <n v="118993.01"/>
    <n v="10.083600000000001"/>
    <s v="010"/>
    <s v="10"/>
    <s v="20060023/2557/0001/2/1"/>
    <s v="-"/>
    <s v="97"/>
    <s v=""/>
    <s v="10210000/130422/00004/4"/>
    <s v=""/>
    <s v="С-ПБ"/>
    <s v="ПОС.ШУШАРЫ"/>
    <s v="УЧ.Ж.Д МОСКОВСКОЕ ШОССЕ-РЕКА КУЗЬМИНКА"/>
    <s v="10210130 т/п Шушарский"/>
    <n v="1"/>
    <s v="КОТЛЫ ЭЛЕКТРИЧЕСКИЕ ОТОПИТЕЛЬНЫЕ ВОДОГРЕЙНЫЕ, НАСТЕННЫЕ, ДЛЯ СИСТЕМ ВОДЯНОГО ОТОПЛЕНИЯ И ГОРЯЧЕГО ВОДОСНАБЖЕНИЯ, ДЛЯ ИСПОЛЬЗОВАНИЯ В БЫТУ (НЕ ИЗ ЧУГУННОГО ЛИТЬЯ, НЕ ПРЕДНАЗНАЧЕНЫ ДЛЯ ПРОИЗВОДСТВА ПАРА, НЕ ВОЕННОГО НАЗНАЧЕНИЯ)"/>
    <x v="0"/>
    <m/>
    <s v="THERMEX HEATING TECHNOLOGY(JIANGMEN)CO.,LTD"/>
    <n v="672"/>
    <n v="1"/>
    <n v="672"/>
    <s v="ШТ"/>
    <n v="0"/>
    <m/>
    <s v="1"/>
    <s v="8403109000"/>
    <s v=""/>
    <s v=""/>
    <s v="CN"/>
    <n v="15296.6"/>
    <s v="ОООО-ОО"/>
    <n v="4000000"/>
    <n v="15296.6"/>
    <n v="0"/>
    <s v=""/>
    <s v=""/>
    <n v="810636"/>
    <n v="8174129"/>
    <n v="0"/>
    <n v="1"/>
    <n v="8392053.2699999902"/>
    <n v="118993.01"/>
    <s v="10"/>
    <n v="7.7789999999999999"/>
    <n v="1075"/>
    <s v="СПБ-А-072"/>
    <m/>
    <s v="САВЧЕНКО ЮЛИЯ СТАНИСЛАВОВНА"/>
    <n v="0"/>
    <m/>
  </r>
  <r>
    <s v="1"/>
    <d v="2023-06-01T00:00:00"/>
    <x v="11"/>
    <s v="10228010/221222/3417894"/>
    <s v="10228010"/>
    <s v="3417894"/>
    <x v="0"/>
    <s v="40"/>
    <s v=""/>
    <s v=""/>
    <s v=""/>
    <s v="THERMEX IKLIMLENDIRME VE ISITMA SISTEMLERI SANAYI TIC  LTD. STI"/>
    <s v="35865, TORBALI, IZMIR, ORGANIZE SANAYI BOLGESI MAH. 7.CAD. NO.17/2,"/>
    <s v=""/>
    <s v=""/>
    <n v="2"/>
    <n v="0"/>
    <n v="2"/>
    <n v="116"/>
    <s v="1107847406237"/>
    <s v="7820323555"/>
    <s v="ООО ТЕРМЕКС ГАЗПРО"/>
    <s v="196105, Г., САНКТ-ПЕТЕРБУРГ, УЛ. КУЗНЕЦОВСКАЯ, Д.52, КОРПУС 22, ЛИТЕР Г,"/>
    <s v="40000"/>
    <s v="781001001"/>
    <s v="1107847406237"/>
    <s v="7820323555"/>
    <s v="ООО ТЕРМЕКС ГАЗПРО"/>
    <s v="196105, Г., САНКТ-ПЕТЕРБУРГ, УЛ. КУЗНЕЦОВСКАЯ, Д.52, КОРПУС 22, ЛИТЕР Г,"/>
    <s v="40000"/>
    <s v="781001001"/>
    <s v="TR"/>
    <s v="ТУРЦИЯ"/>
    <n v="11282557.939999901"/>
    <s v="1107847406237"/>
    <s v="7820323555"/>
    <s v="ООО ТЕРМЕКС ГАЗПРО"/>
    <s v="196105, Г., САНКТ-ПЕТЕРБУРГ, УЛ. КУЗНЕЦОВСКАЯ, Д.52, КОРПУС 22, ЛИТЕР Г,"/>
    <s v="40000"/>
    <s v="781001001"/>
    <s v="TR"/>
    <s v="ТУРЦИЯ"/>
    <x v="3"/>
    <s v="RU"/>
    <s v="РОССИЯ"/>
    <n v="2"/>
    <s v="0"/>
    <s v="FCA"/>
    <s v="IZMIR"/>
    <n v="1"/>
    <s v="EUR"/>
    <n v="145651"/>
    <n v="10937138"/>
    <n v="159978.20000000001"/>
    <n v="75.091399999999894"/>
    <s v="010"/>
    <s v=""/>
    <s v="21070038/0436/0000/2/1"/>
    <s v="-"/>
    <s v="11"/>
    <s v="10102/091210/10039/3"/>
    <s v=""/>
    <s v=""/>
    <s v="БРЯНСКАЯ ОБЛАСТЬ, Р-Н БРЯНСКИЙ"/>
    <s v="П. СВЕНЬ"/>
    <s v="УЛ. СОБОРНАЯ"/>
    <s v="10102032 ОТО и ТК №2 т/п Брянский"/>
    <n v="1"/>
    <s v="КОТЛЫ ГАЗОВЫЕ ОТОПИТЕЛЬНЫЕ ВОДОГРЕЙНЫЕ, НАСТЕННЫЕ, СТАЛЬНЫЕ, ДЛЯ СИСТЕМ ВОДЯНОГО ОТОПЛЕНИЯ И ГОРЯЧЕГО ВОДОСНАБЖЕНИЯ, ДЛЯ ИСПОЛЬЗОВАНИЯ В БЫТУ, МАТЕРИАЛ ТЕПЛООБМЕННИКА СТАЛЬ И АЛЮМИНИЙ (НЕ ПРЕДНАЗНАЧЕНЫ ДЛЯ ПРОИЗВОДСТВА ПАРА, НЕ ВОЕННОГО НАЗНАЧЕНИЯ)"/>
    <x v="0"/>
    <m/>
    <s v="THERMEX IKLIMLENDIRME VE ISITMA SISTEMLERI SAN. VE TIC. LTD.STI."/>
    <n v="116"/>
    <n v="0"/>
    <n v="400"/>
    <s v="ШТ"/>
    <n v="0"/>
    <m/>
    <s v="1"/>
    <s v="8403109000"/>
    <s v=""/>
    <s v=""/>
    <s v="TR"/>
    <n v="13886.58"/>
    <s v="ОООО-ОО"/>
    <n v="4000000"/>
    <n v="13707"/>
    <n v="0"/>
    <s v=""/>
    <s v=""/>
    <n v="141360"/>
    <n v="10614920"/>
    <n v="0"/>
    <n v="1"/>
    <n v="10935625.91"/>
    <n v="155058.96"/>
    <s v="10"/>
    <n v="11.3124"/>
    <n v="1075"/>
    <s v="СПБ-А-015"/>
    <m/>
    <s v="САВЧЕНКО ЮЛИЯ СТАНИСЛАВОВНА"/>
    <n v="200"/>
    <m/>
  </r>
  <r>
    <s v="1"/>
    <d v="2023-03-04T00:00:00"/>
    <x v="2"/>
    <s v="10228010/211222/3415975"/>
    <s v="10228010"/>
    <s v="3415975"/>
    <x v="0"/>
    <s v="40"/>
    <s v=""/>
    <s v=""/>
    <s v=""/>
    <s v="ARISTON THERMO S.P.A."/>
    <s v="60044, ., FABRIANO (AN), VIALE A. MERLONI, 45,"/>
    <s v=""/>
    <s v=""/>
    <n v="4"/>
    <n v="0"/>
    <n v="9"/>
    <n v="53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n v="7416706.4900000002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x v="5"/>
    <s v="RU"/>
    <s v="РОССИЯ"/>
    <n v="2"/>
    <s v="0"/>
    <s v="DAP"/>
    <s v="САНКТ-ПЕТЕРБУРГ"/>
    <n v="1"/>
    <s v="EUR"/>
    <n v="101129.23"/>
    <n v="7416706"/>
    <n v="107482.72"/>
    <n v="73.338899999999896"/>
    <s v="010"/>
    <s v=""/>
    <s v="16020015/3290/0001/2/1"/>
    <s v="-"/>
    <s v="99"/>
    <s v=""/>
    <s v="1174"/>
    <s v=""/>
    <s v="Г. САНКТ-ПЕТЕРБУРГ"/>
    <s v="ПОС. ПАРГОЛОВО"/>
    <s v="ГОРСКОЕ ШОССЕ, Д.4, ЛИТ.А"/>
    <s v="10210350 т/п Парголовский"/>
    <n v="4"/>
    <s v="КОТЛЫ ГАЗОВЫЕ ОТОПИТЕЛЬНЫЕ ВОДОГРЕЙНЫЕ, В КОРПУСЕ ИЗ СТАЛИ, НЕЛИТЫЕ, МОЩНОСТЬЮ БОЛЕЕ 100 КВТ, МАРКИ ЕLСО (В ПЕРВИЧНОЙ УПАКОВКЕ)"/>
    <x v="0"/>
    <m/>
    <s v="ATAG HEATING BV"/>
    <n v="1"/>
    <n v="0"/>
    <n v="2"/>
    <s v="ШТ"/>
    <n v="0"/>
    <m/>
    <s v="8"/>
    <s v="8403109000"/>
    <s v=""/>
    <s v=""/>
    <s v="NL"/>
    <n v="260"/>
    <s v="ОООО-ОО"/>
    <n v="4000000"/>
    <n v="260"/>
    <n v="0"/>
    <s v=""/>
    <s v=""/>
    <n v="4777.04"/>
    <n v="350343"/>
    <n v="0"/>
    <n v="1"/>
    <n v="350342.86"/>
    <n v="5077.16"/>
    <s v="10"/>
    <n v="19.5275"/>
    <n v="53"/>
    <s v="0053/03-15-005"/>
    <m/>
    <s v="СИНИЦИНА ОЛЬГА ЮРЬЕВНА"/>
    <n v="0"/>
    <m/>
  </r>
  <r>
    <s v="1"/>
    <d v="2023-04-08T00:00:00"/>
    <x v="3"/>
    <s v="10228010/211222/3415975"/>
    <s v="10228010"/>
    <s v="3415975"/>
    <x v="0"/>
    <s v="40"/>
    <s v=""/>
    <s v=""/>
    <s v=""/>
    <s v="ARISTON THERMO S.P.A."/>
    <s v="60044, ., FABRIANO (AN), VIALE A. MERLONI, 45,"/>
    <s v=""/>
    <s v=""/>
    <n v="4"/>
    <n v="0"/>
    <n v="9"/>
    <n v="53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n v="7416706.4900000002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x v="0"/>
    <s v="RU"/>
    <s v="РОССИЯ"/>
    <n v="2"/>
    <s v="0"/>
    <s v="DAP"/>
    <s v="САНКТ-ПЕТЕРБУРГ"/>
    <n v="1"/>
    <s v="EUR"/>
    <n v="101129.23"/>
    <n v="7416706"/>
    <n v="107482.72"/>
    <n v="73.338899999999896"/>
    <s v="010"/>
    <s v=""/>
    <s v="16020015/3290/0001/2/1"/>
    <s v="-"/>
    <s v="99"/>
    <s v=""/>
    <s v="1174"/>
    <s v=""/>
    <s v="Г. САНКТ-ПЕТЕРБУРГ"/>
    <s v="ПОС. ПАРГОЛОВО"/>
    <s v="ГОРСКОЕ ШОССЕ, Д.4, ЛИТ.А"/>
    <s v="10210350 т/п Парголовский"/>
    <n v="1"/>
    <s v="КОТЛЫ КОНДЕНСАЦИОННЫЕ ОТОПИТЕЛЬНЫЕ ВОДОГРЕЙНЫЕ ГАЗОВЫЕ СО ВСТРОЕННОЙ ГОРЕЛКОЙ, В КОРПУСЕ ИЗ СТАЛИ, НЕЛИТЫЕ, МОЩНОСТЬЮ СВЫШЕ 100 КВТ, МАРКИ ELCO"/>
    <x v="0"/>
    <m/>
    <s v="ARISTON S.P.A."/>
    <n v="5"/>
    <n v="0"/>
    <n v="5"/>
    <s v="ШТ"/>
    <n v="0"/>
    <m/>
    <s v="1"/>
    <s v="8403109000"/>
    <s v=""/>
    <s v=""/>
    <s v="IT"/>
    <n v="3529"/>
    <s v="ОООО-ОО"/>
    <n v="4000000"/>
    <n v="3375"/>
    <n v="0"/>
    <s v=""/>
    <s v=""/>
    <n v="52413.64"/>
    <n v="3843959"/>
    <n v="0"/>
    <n v="1"/>
    <n v="3843958.7"/>
    <n v="55706.559999999903"/>
    <s v="10"/>
    <n v="16.505600000000001"/>
    <n v="53"/>
    <s v="0053/03-15-005"/>
    <m/>
    <s v="СИНИЦИНА ОЛЬГА ЮРЬЕВНА"/>
    <n v="0"/>
    <m/>
  </r>
  <r>
    <s v="1"/>
    <d v="2023-07-25T00:00:00"/>
    <x v="0"/>
    <s v="10228010/211222/3415975"/>
    <s v="10228010"/>
    <s v="3415975"/>
    <x v="0"/>
    <s v="40"/>
    <s v=""/>
    <s v=""/>
    <s v=""/>
    <s v="ARISTON THERMO S.P.A."/>
    <s v="60044, ., FABRIANO (AN), VIALE A. MERLONI, 45,"/>
    <s v=""/>
    <s v=""/>
    <n v="4"/>
    <n v="0"/>
    <n v="9"/>
    <n v="53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n v="7416706.4900000002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x v="0"/>
    <s v="RU"/>
    <s v="РОССИЯ"/>
    <n v="2"/>
    <s v="0"/>
    <s v="DAP"/>
    <s v="САНКТ-ПЕТЕРБУРГ"/>
    <n v="1"/>
    <s v="EUR"/>
    <n v="101129.23"/>
    <n v="7416706"/>
    <n v="107482.72"/>
    <n v="73.338899999999896"/>
    <s v="010"/>
    <s v=""/>
    <s v="16020015/3290/0001/2/1"/>
    <s v="-"/>
    <s v="99"/>
    <s v=""/>
    <s v="1174"/>
    <s v=""/>
    <s v="Г. САНКТ-ПЕТЕРБУРГ"/>
    <s v="ПОС. ПАРГОЛОВО"/>
    <s v="ГОРСКОЕ ШОССЕ, Д.4, ЛИТ.А"/>
    <s v="10210350 т/п Парголовский"/>
    <n v="2"/>
    <s v="КОТЛЫ ОТОПИТЕЛЬНЫЕ ВОДОГРЕЙНЫЕ ГАЗОВЫЕ, В КОРПУСЕ ИЗ СТАЛИ, НЕЛИТОЙ, МОЩНОСТЬЮ МЕНЕЕ/БОЛЕЕ 100 КВТ, МАРКИ ARISTON (В ПЕРВИЧНОЙ УПАКОВКЕ)"/>
    <x v="0"/>
    <m/>
    <s v="ARISTON S.P.A."/>
    <n v="8"/>
    <n v="0"/>
    <n v="14"/>
    <s v="ШТ"/>
    <n v="0"/>
    <m/>
    <s v="2"/>
    <s v="8403109000"/>
    <s v=""/>
    <s v=""/>
    <s v="IT"/>
    <n v="1540"/>
    <s v="ОООО-ОО"/>
    <n v="4000000"/>
    <n v="1540"/>
    <n v="0"/>
    <s v=""/>
    <s v=""/>
    <n v="35032.910000000003"/>
    <n v="2569275"/>
    <n v="0"/>
    <n v="1"/>
    <n v="2569275.08"/>
    <n v="37233.870000000003"/>
    <s v="10"/>
    <n v="24.177800000000001"/>
    <n v="53"/>
    <s v="0053/03-15-005"/>
    <m/>
    <s v="СИНИЦИНА ОЛЬГА ЮРЬЕВНА"/>
    <n v="0"/>
    <m/>
  </r>
  <r>
    <s v="1"/>
    <d v="2023-09-12T00:00:00"/>
    <x v="4"/>
    <s v="10228010/211222/3415856"/>
    <s v="10228010"/>
    <s v="3415856"/>
    <x v="0"/>
    <s v="40"/>
    <s v=""/>
    <s v=""/>
    <s v=""/>
    <s v="ARISTON SPA C/W LT LOGIS VILNIUS,LITHUANIA, NEMEZIO SEN"/>
    <s v="60044, ., FABRIANO (AN), VIALE A. MERLONI, 45,"/>
    <s v=""/>
    <s v=""/>
    <n v="4"/>
    <n v="0"/>
    <n v="10"/>
    <n v="360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n v="10762487.970000001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LT"/>
    <s v="ЛИТВА"/>
    <x v="0"/>
    <s v="RU"/>
    <s v="РОССИЯ"/>
    <n v="2"/>
    <s v="0"/>
    <s v="DAP"/>
    <s v="САНКТ-ПЕТЕРБУРГ"/>
    <n v="1"/>
    <s v="EUR"/>
    <n v="146750.06"/>
    <n v="10762488"/>
    <n v="155969.71"/>
    <n v="73.338899999999896"/>
    <s v="010"/>
    <s v=""/>
    <s v="16020015/3290/0001/2/1"/>
    <s v="-"/>
    <s v="99"/>
    <s v=""/>
    <s v="1174"/>
    <s v=""/>
    <s v="Г. САНКТ-ПЕТЕРБУРГ"/>
    <s v="ПОС. ПАРГОЛОВО"/>
    <s v="ГОРСКОЕ ШОССЕ, Д.4, ЛИТ.А"/>
    <s v="10210350 т/п Парголовский"/>
    <n v="1"/>
    <s v="КОТЛЫ ГАЗОВЫЕ ОТОПИТЕЛЬНЫЕ ВОДОГРЕЙНЫЕ СО ВСТРОЕННОЙ ГОРЕЛКОЙ, В КОРПУСЕ ИЗ СТАЛИ, НЕЛИТЫЕ, МОЩНОСТЬЮ МЕНЕЕ 100 КВТ, МАРКИ ARISTON (В ПЕРВИЧНОЙ УПАКОВКЕ)"/>
    <x v="0"/>
    <m/>
    <s v="ARISTON S.P.A."/>
    <n v="328"/>
    <n v="0"/>
    <n v="328"/>
    <s v="ШТ"/>
    <n v="0"/>
    <m/>
    <s v="1"/>
    <s v="8403109000"/>
    <s v=""/>
    <s v=""/>
    <s v="IT"/>
    <n v="9807.2999999999902"/>
    <s v="ОООО-ОО"/>
    <n v="4000000"/>
    <n v="9807.2999999999902"/>
    <n v="0"/>
    <s v=""/>
    <s v=""/>
    <n v="114186.64"/>
    <n v="8374323"/>
    <n v="0"/>
    <n v="1"/>
    <n v="8374322.5700000003"/>
    <n v="121360.49"/>
    <s v="10"/>
    <n v="12.374499999999999"/>
    <n v="53"/>
    <s v="0053/03-15-005"/>
    <m/>
    <s v="ВЕРШКОВА МАРИНА ЕВГЕНЬЕВНА"/>
    <n v="0"/>
    <m/>
  </r>
  <r>
    <s v="1"/>
    <d v="2023-02-04T00:00:00"/>
    <x v="12"/>
    <s v="10228010/181222/3412529"/>
    <s v="10228010"/>
    <s v="3412529"/>
    <x v="0"/>
    <s v="40"/>
    <s v=""/>
    <s v=""/>
    <s v=""/>
    <s v="ARISTON SPA"/>
    <s v="60044, ., FABRIANO (AN), VIALE A. MERLONI, 45,"/>
    <s v=""/>
    <s v=""/>
    <n v="2"/>
    <n v="0"/>
    <n v="2"/>
    <n v="501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n v="11840329.77"/>
    <s v="1024700561742"/>
    <s v="4703066115"/>
    <s v="ООО АРИСТОН ТЕРМО РУСЬ"/>
    <s v="188676, ЛЕНИНГРАДСКАЯ ОБЛ., ВСЕВОЛОЖСКИЙ Р-ОН,Г.ВСЕВОЛОЖСК, П.З.Г.ВСЕВОЛОЖСКА,УЛ"/>
    <s v="41000"/>
    <s v="470301001"/>
    <s v="IT"/>
    <s v="ИТАЛИЯ"/>
    <x v="0"/>
    <s v="RU"/>
    <s v="РОССИЯ"/>
    <n v="2"/>
    <s v="0"/>
    <s v="DAP"/>
    <s v="САНКТ-ПЕТЕРБУРГ"/>
    <n v="1"/>
    <s v="EUR"/>
    <n v="172148.36"/>
    <n v="11840330"/>
    <n v="183264.71"/>
    <n v="68.779799999999895"/>
    <s v="010"/>
    <s v=""/>
    <s v="16020015/3290/0001/2/1"/>
    <s v="-"/>
    <s v="11"/>
    <s v="10210/110312/10115/5"/>
    <s v=""/>
    <s v="194362"/>
    <s v="Г. САНКТ-ПЕТЕРБУРГ"/>
    <s v="ПОС. ПАРГОЛОВО"/>
    <s v="ГОРСКОЕ ШОССЕ, Д.4, ЛИТ.А"/>
    <s v="10210350 т/п Парголовский"/>
    <n v="2"/>
    <s v="КОТЛЫ ГАЗОВЫЕ ОТОПИТЕЛЬНЫЕ ВОДОГРЕЙНЫЕ СО ВСТРОЕННОЙ ГОРЕЛКОЙ, В КОРПУСЕ ИЗ СТАЛИ, НЕЛИТЫЕ, МОЩНОСТЬЮ МЕНЕЕ 100 КВТ, МАРКИ ARISTON (В ПЕРВИЧНОЙ УПАКОВКЕ)"/>
    <x v="0"/>
    <m/>
    <s v="ARISTON S.P.A."/>
    <n v="489"/>
    <n v="0"/>
    <n v="489"/>
    <s v="ШТ"/>
    <n v="0"/>
    <m/>
    <s v="2"/>
    <s v="8403109000"/>
    <s v=""/>
    <s v=""/>
    <s v="IT"/>
    <n v="14860"/>
    <s v="ОООО-ОО"/>
    <n v="4000000"/>
    <n v="14860"/>
    <n v="0"/>
    <s v=""/>
    <s v=""/>
    <n v="160002.84"/>
    <n v="11004963"/>
    <n v="0"/>
    <n v="1"/>
    <n v="11004963.33"/>
    <n v="170334.9"/>
    <s v="10"/>
    <n v="11.4626"/>
    <n v="53"/>
    <s v="0053/03-15-005"/>
    <m/>
    <s v="ВЕРШКОВА МАРИНА ЕВГЕНЬЕВНА"/>
    <n v="27"/>
    <m/>
  </r>
  <r>
    <s v="1"/>
    <d v="2023-10-16T00:00:00"/>
    <x v="1"/>
    <s v="10228010/161222/3411226"/>
    <s v="10228010"/>
    <s v="3411226"/>
    <x v="0"/>
    <s v="40"/>
    <s v=""/>
    <s v=""/>
    <s v=""/>
    <s v="RIMA ISI SISTEMLERI SAN. A.S."/>
    <s v="34806, ISTANBUL, BASAKSEHIR, IKITELLI OSB MAHALESI 25.CADDE NO:10/A,"/>
    <s v=""/>
    <s v=""/>
    <n v="1"/>
    <n v="0"/>
    <n v="1"/>
    <n v="4"/>
    <s v="1107847406237"/>
    <s v="7820323555"/>
    <s v="ООО ТЕРМЕКС ГАЗПРО"/>
    <s v="196105, Г., САНКТ-ПЕТЕРБУРГ, УЛ. КУЗНЕЦОВСКАЯ, Д.52, КОРПУС 22, ЛИТЕР Г,"/>
    <s v="40000"/>
    <s v="781001001"/>
    <s v="1107847406237"/>
    <s v="7820323555"/>
    <s v="ООО ТЕРМЕКС ГАЗПРО"/>
    <s v="196105, Г., САНКТ-ПЕТЕРБУРГ, УЛ. КУЗНЕЦОВСКАЯ, Д.52, КОРПУС 22, ЛИТЕР Г,"/>
    <s v="40000"/>
    <s v="781001001"/>
    <s v="TR"/>
    <s v="ТУРЦИЯ"/>
    <n v="1170030.0900000001"/>
    <s v="1107847406237"/>
    <s v="7820323555"/>
    <s v="ООО ТЕРМЕКС ГАЗПРО"/>
    <s v="196105, Г., САНКТ-ПЕТЕРБУРГ, УЛ. КУЗНЕЦОВСКАЯ, Д.52, КОРПУС 22, ЛИТЕР Г,"/>
    <s v="40000"/>
    <s v="781001001"/>
    <s v="TR"/>
    <s v="ТУРЦИЯ"/>
    <x v="3"/>
    <s v="RU"/>
    <s v="РОССИЯ"/>
    <n v="1"/>
    <s v="0"/>
    <s v="EXW"/>
    <s v="ISTANBUL"/>
    <n v="1"/>
    <s v="USD"/>
    <n v="15096"/>
    <n v="970695"/>
    <n v="18196"/>
    <n v="64.301500000000004"/>
    <s v="010"/>
    <s v=""/>
    <s v="22040530/0436/0000/2/1"/>
    <s v="-"/>
    <s v="11"/>
    <s v="10102/091210/10039/3"/>
    <s v=""/>
    <s v=""/>
    <s v="БРЯНСКАЯ ОБЛАСТЬ, Р-Н БРЯНСКИЙ"/>
    <s v="П. СВЕНЬ"/>
    <s v="УЛ. СОБОРНАЯ"/>
    <s v="10102032 ОТО и ТК №2 т/п Брянский"/>
    <n v="1"/>
    <s v="КОТЛЫ ГАЗОВЫЕ ОТОПИТЕЛЬНЫЕ ВОДОГРЕЙНЫЕ, ДЛЯ СИСТЕМ ВОДЯНОГО ОТОПЛЕНИЯ И ГОРЯЧЕГО ВОДОСНАБЖЕНИЯ (НЕ ИЗ ЧУГУННОГО ЛИТЬЯ, НЕ ПРЕДНАЗНАЧЕНЫ ДЛЯ ПРОИЗВОДСТВА ПАРА, НЕ ВОЕННОГО НАЗНАЧЕНИЯ)"/>
    <x v="0"/>
    <m/>
    <s v="RIMA ISI SISTEMLERI SAN.TIC.A.S."/>
    <n v="4"/>
    <n v="0"/>
    <n v="4"/>
    <s v="ШТ"/>
    <n v="0"/>
    <m/>
    <s v="1"/>
    <s v="8403109000"/>
    <s v=""/>
    <s v=""/>
    <s v="TR"/>
    <n v="1300"/>
    <s v="ОООО-ОО"/>
    <n v="4000000"/>
    <n v="1200"/>
    <n v="0"/>
    <s v=""/>
    <s v=""/>
    <n v="15096"/>
    <n v="970695"/>
    <n v="0"/>
    <n v="1"/>
    <n v="1170030.0900000001"/>
    <n v="18196"/>
    <s v="10"/>
    <n v="15.1633"/>
    <n v="1075"/>
    <s v="СПБ-А-015"/>
    <m/>
    <s v="КОРНОУХОВА ТАТЬЯНА СЕРГЕЕВНА"/>
    <n v="0"/>
    <m/>
  </r>
  <r>
    <s v="1"/>
    <d v="2023-05-14T00:00:00"/>
    <x v="9"/>
    <s v="10228010/050223/3028595"/>
    <s v="10228010"/>
    <s v="3028595"/>
    <x v="0"/>
    <s v="40"/>
    <s v=""/>
    <s v=""/>
    <s v=""/>
    <s v="KATOEN NATIE CUSTOMS SERVICES"/>
    <s v="2060, , ANTWERPEN, VAN AERDTSTRAAT, 33"/>
    <s v=""/>
    <s v=""/>
    <n v="1"/>
    <n v="0"/>
    <n v="1"/>
    <n v="27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GB"/>
    <s v="СОЕДИНЕННОЕ КОРОЛЕВСТВО"/>
    <n v="2443275.0299999998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BE"/>
    <s v="БЕЛЬГИЯ"/>
    <x v="6"/>
    <s v="RU"/>
    <s v="РОССИЯ"/>
    <n v="2"/>
    <s v="1"/>
    <s v="EXW"/>
    <s v="GHENT"/>
    <n v="1"/>
    <s v="EUR"/>
    <n v="29190.6"/>
    <n v="2239923"/>
    <n v="34713.160000000003"/>
    <n v="76.734399999999994"/>
    <s v="010"/>
    <s v="31"/>
    <s v="15120013/0052/0000/2/1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КОШЕК Т.М. &quot;APPLAWS&quot;, РAСФАСОВАННЫЙ ДЛЯ РОЗНИЧНОЙ ПРОДАЖИ В ИНДИВИДУАЛЬНУЮ УПАКОВКУ, СОДЕРЖИТ МЕНЕЕ 10% КРАХМАЛА, НЕ СОДЕРЖИТ МОЛОЧНЫЕ ПРОДУКТЫ"/>
    <x v="1"/>
    <m/>
    <s v="UNITED PETFOOD FRANCE-UPF"/>
    <n v="27"/>
    <n v="1"/>
    <n v="0"/>
    <m/>
    <n v="0"/>
    <m/>
    <s v="1"/>
    <s v="2309101100"/>
    <s v=""/>
    <s v=""/>
    <s v="FR"/>
    <n v="10395"/>
    <s v="ОООО-ОО"/>
    <n v="4000000"/>
    <n v="10053"/>
    <n v="0"/>
    <s v=""/>
    <s v=""/>
    <n v="29190.6"/>
    <n v="2239923"/>
    <n v="0"/>
    <n v="1"/>
    <n v="2443275.0299999998"/>
    <n v="34713.160000000003"/>
    <s v="10"/>
    <n v="34713.008999999998"/>
    <n v="3.4529999999999998"/>
    <m/>
    <m/>
    <s v="НИКИФОРОВА ТАТЬЯНА ВАЛЕРЬЕВНА"/>
    <n v="35"/>
    <m/>
  </r>
  <r>
    <s v="1"/>
    <d v="2023-04-30T00:00:00"/>
    <x v="3"/>
    <s v="10228010/050223/3028527"/>
    <s v="10228010"/>
    <s v="3028527"/>
    <x v="0"/>
    <s v="40"/>
    <s v=""/>
    <s v=""/>
    <s v=""/>
    <s v="KATOEN NATIE CUSTOMS SERVICES"/>
    <s v="2060, , ANTWERPEN, VAN AERDTSTRAAT, 33"/>
    <s v=""/>
    <s v=""/>
    <n v="1"/>
    <n v="0"/>
    <n v="1"/>
    <n v="28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GB"/>
    <s v="СОЕДИНЕННОЕ КОРОЛЕВСТВО"/>
    <n v="2400858.5499999998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BE"/>
    <s v="БЕЛЬГИЯ"/>
    <x v="6"/>
    <s v="RU"/>
    <s v="РОССИЯ"/>
    <n v="2"/>
    <s v="1"/>
    <s v="EXW"/>
    <s v="GENT"/>
    <n v="1"/>
    <s v="EUR"/>
    <n v="28637.83"/>
    <n v="2197507"/>
    <n v="34110.519999999997"/>
    <n v="76.734399999999994"/>
    <s v="010"/>
    <s v="40"/>
    <s v="15120013/0052/0000/2/1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КОШЕК И СОБАК Т.М. &quot;APPLAWS&quot;, РАСФАСОВАННЫЙ ДЛЯ РОЗНИЧНОЙ ПРОДАЖИ В ИНДИВИДУАЛЬНУЮ УПАКОВКУ,СОДЕРЖИТ МЕНЕЕ 10% КРАХМАЛА, НЕ СОДЕРЖИТ MОЛОЧНЫЕ ПРОДУКТЫ"/>
    <x v="1"/>
    <m/>
    <s v="UNITED PETFOOD FRANCE-UPF"/>
    <n v="28"/>
    <n v="1"/>
    <n v="0"/>
    <m/>
    <n v="0"/>
    <m/>
    <s v="1"/>
    <s v="2309101100"/>
    <s v=""/>
    <s v=""/>
    <s v="FR"/>
    <n v="11234.15"/>
    <s v="ОООО-ОО"/>
    <n v="4000000"/>
    <n v="10978.95"/>
    <n v="0"/>
    <s v=""/>
    <s v=""/>
    <n v="28637.83"/>
    <n v="2197507"/>
    <n v="0"/>
    <n v="1"/>
    <n v="2400858.5499999998"/>
    <n v="34110.519999999997"/>
    <s v="10"/>
    <n v="34110.499755000004"/>
    <n v="3.1069"/>
    <m/>
    <m/>
    <s v="НИКИФОРОВА ТАТЬЯНА ВАЛЕРЬЕВНА"/>
    <n v="204"/>
    <m/>
  </r>
  <r>
    <s v="1"/>
    <d v="2023-09-10T00:00:00"/>
    <x v="4"/>
    <s v="10228010/050223/3028355"/>
    <s v="10228010"/>
    <s v="3028355"/>
    <x v="0"/>
    <s v="40"/>
    <s v=""/>
    <s v=""/>
    <s v=""/>
    <s v="KATOEN NATIE CUSTOMS SERVICES"/>
    <s v="2060, , ANTWERPEN, VAN AERDTSTRAAT, 33"/>
    <s v=""/>
    <s v=""/>
    <n v="1"/>
    <n v="0"/>
    <n v="1"/>
    <n v="33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GB"/>
    <s v="СОЕДИНЕННОЕ КОРОЛЕВСТВО"/>
    <n v="2707379.33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BE"/>
    <s v="БЕЛЬГИЯ"/>
    <x v="6"/>
    <s v="RU"/>
    <s v="РОССИЯ"/>
    <n v="2"/>
    <s v="1"/>
    <s v="EXW"/>
    <s v="GENT"/>
    <n v="1"/>
    <s v="EUR"/>
    <n v="32270.04"/>
    <n v="2476222"/>
    <n v="38465.449999999997"/>
    <n v="76.734399999999994"/>
    <s v="010"/>
    <s v="40"/>
    <s v="15120013/0052/0000/2/1"/>
    <s v="-"/>
    <s v="11"/>
    <s v="10210/101120/10128/2"/>
    <s v=""/>
    <s v=""/>
    <s v="РОССИЯ"/>
    <s v="СПБ, Г.КРОНДШТАДТ"/>
    <s v="КРОНШТАДСКОЕ ШОССЕ,Д.33,ЛИТ.А"/>
    <s v="10210040 т/п Котлинский"/>
    <n v="1"/>
    <s v="СУХОЙ КОРМ ДЛЯ КОШЕК T.М. &quot;APPLAWS&quot;, РАСФАСОВАНЫЙ ДЛЯ РОЗНИЧНОЙ ПРОДАЖИ В ИНДИВИДУАЛЬНУЮ УПАКОВКУ, СОДЕРЖИТ 10 МАС.% ИЛИ МЕНЕЕ КРАХМАЛА, НЕ СОДЕРЖИТ МОЛОЧНЫЕ ПРОДУКТЫ"/>
    <x v="1"/>
    <m/>
    <s v="UNITED PETFOOD FRANCE-UPF"/>
    <n v="33"/>
    <n v="1"/>
    <n v="0"/>
    <m/>
    <n v="0"/>
    <m/>
    <s v="1"/>
    <s v="2309101100"/>
    <s v=""/>
    <s v=""/>
    <s v="FR"/>
    <n v="12173.04"/>
    <s v="ОООО-ОО"/>
    <n v="4000000"/>
    <n v="11790.24"/>
    <n v="0"/>
    <s v=""/>
    <s v=""/>
    <n v="32270.04"/>
    <n v="2476222"/>
    <n v="0"/>
    <n v="1"/>
    <n v="2707379.33"/>
    <n v="38465.449999999997"/>
    <s v="10"/>
    <n v="38465.658000000003"/>
    <n v="3.2625000000000002"/>
    <m/>
    <m/>
    <s v="НИКИФОРОВА ТАТЬЯНА ВАЛЕРЬЕВНА"/>
    <n v="108"/>
    <m/>
  </r>
  <r>
    <s v="1"/>
    <d v="2023-02-07T00:00:00"/>
    <x v="12"/>
    <s v="10228010/040223/3028159"/>
    <s v="10228010"/>
    <s v="3028159"/>
    <x v="0"/>
    <s v="40"/>
    <s v=""/>
    <s v=""/>
    <s v=""/>
    <s v="KATOEN NATIE CUSTOMS SERVICES"/>
    <s v="2060, , ANTWERPEN, VAN AERDTSTRAAT, 33"/>
    <s v=""/>
    <s v=""/>
    <n v="1"/>
    <n v="0"/>
    <n v="1"/>
    <n v="33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GB"/>
    <s v="СОЕДИНЕННОЕ КОРОЛЕВСТВО"/>
    <n v="2455798.08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BE"/>
    <s v="БЕЛЬГИЯ"/>
    <x v="6"/>
    <s v="RU"/>
    <s v="РОССИЯ"/>
    <n v="2"/>
    <s v="1"/>
    <s v="EXW"/>
    <s v="GENT"/>
    <n v="1"/>
    <s v="EUR"/>
    <n v="29353.8"/>
    <n v="2252446"/>
    <n v="34891.08"/>
    <n v="76.734399999999994"/>
    <s v="010"/>
    <s v="40"/>
    <s v="15120013/0052/0000/2/1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КОШЕК Т.М:&quot;APPLAWS&quot;, РАСФАСОВАНЫЙ ДЛЯ РОЗНИЧНОЙ ПРОДАЖИ В ИНДИВИДУАЛЬНУЮ УПАКОВКУ, СОДЕРЖИТ 10 МАС.% ИЛИ МЕНЕЕ КРАХМАЛА, НЕ СОДЕРЖИТ МОЛОЧНЫЕ ПРОДУКТЫ"/>
    <x v="1"/>
    <m/>
    <s v="UNITED PETFOOD FRANCE-UPF"/>
    <n v="33"/>
    <n v="1"/>
    <n v="0"/>
    <m/>
    <n v="0"/>
    <m/>
    <s v="1"/>
    <s v="2309101100"/>
    <s v=""/>
    <s v=""/>
    <s v="FR"/>
    <n v="13311"/>
    <s v="ОООО-ОО"/>
    <n v="4000000"/>
    <n v="13311"/>
    <n v="0"/>
    <s v=""/>
    <s v=""/>
    <n v="29353.8"/>
    <n v="2252446"/>
    <n v="0"/>
    <n v="1"/>
    <n v="2455798.08"/>
    <n v="34891.08"/>
    <s v="10"/>
    <n v="34890.7932"/>
    <n v="2.6212"/>
    <m/>
    <m/>
    <s v="НИКИФОРОВА ТАТЬЯНА ВАЛЕРЬЕВНА"/>
    <n v="44"/>
    <m/>
  </r>
  <r>
    <s v="1"/>
    <d v="2023-09-05T00:00:00"/>
    <x v="4"/>
    <s v="10228010/040223/3028125"/>
    <s v="10228010"/>
    <s v="3028125"/>
    <x v="0"/>
    <s v="40"/>
    <s v=""/>
    <s v=""/>
    <s v=""/>
    <s v="KATOEN NATIE CUSTOMS SERVICES"/>
    <s v="2060, , ANTWERPEN, VAN AERDTSTRAAT, 33"/>
    <s v=""/>
    <s v=""/>
    <n v="1"/>
    <n v="0"/>
    <n v="1"/>
    <n v="33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GB"/>
    <s v="СОЕДИНЕННОЕ КОРОЛЕВСТВО"/>
    <n v="2609711.94"/>
    <s v="1137847143664"/>
    <s v="7805619300"/>
    <s v="ООО &quot;РАДИУС&quot;"/>
    <s v="198095, РОССИЯ, САНКТ-ПЕТЕРБУРГ, МАРШАЛА ГОВОРОВА, Д.35, КОРП.4,ЛИТ.И, ОФ.607,"/>
    <s v="40000"/>
    <s v="780501001"/>
    <s v="BE"/>
    <s v="БЕЛЬГИЯ"/>
    <x v="6"/>
    <s v="RU"/>
    <s v="РОССИЯ"/>
    <n v="2"/>
    <s v="1"/>
    <s v="EXW"/>
    <s v="GENT"/>
    <n v="1"/>
    <s v="EUR"/>
    <n v="31359.599999999999"/>
    <n v="2406360"/>
    <n v="37077.83"/>
    <n v="76.734399999999994"/>
    <s v="010"/>
    <s v="40"/>
    <s v="15120013/0052/0000/2/1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КОШЕК Т.М. &quot;APPLAWS&quot;, РАСФАСОВАНЫЙ ДЛЯ РОЗНИЧНОЙ ПРОДАЖИ В ИНДИВИДУАЛЬНУЮ УПАКОВКУ, СОДЕРЖИT 10 МАС.% ИЛИ МЕНЕЕ КРАХМАЛА, НЕ СОДЕРЖИТ МОЛОЧНЫЕ ПРОДУКТЫ"/>
    <x v="1"/>
    <m/>
    <s v="UNITED PETFOOD FRANCE-UPF"/>
    <n v="33"/>
    <n v="1"/>
    <n v="0"/>
    <m/>
    <n v="0"/>
    <m/>
    <s v="1"/>
    <s v="2309101100"/>
    <s v=""/>
    <s v=""/>
    <s v="FR"/>
    <n v="11829.6"/>
    <s v="ОООО-ОО"/>
    <n v="4000000"/>
    <n v="11457.6"/>
    <n v="0"/>
    <s v=""/>
    <s v=""/>
    <n v="31359.599999999999"/>
    <n v="2406360"/>
    <n v="0"/>
    <n v="1"/>
    <n v="2609711.94"/>
    <n v="37077.83"/>
    <s v="10"/>
    <n v="37077.939360000004"/>
    <n v="3.2361"/>
    <m/>
    <m/>
    <s v="НИКИФОРОВА ТАТЬЯНА ВАЛЕРЬЕВНА"/>
    <n v="200"/>
    <m/>
  </r>
  <r>
    <s v="1"/>
    <d v="2023-10-09T00:00:00"/>
    <x v="1"/>
    <s v="10131010/311222/3564316"/>
    <s v="10131010"/>
    <s v="3564316"/>
    <x v="0"/>
    <s v="40"/>
    <s v=""/>
    <s v=""/>
    <s v=""/>
    <s v="BDR THERMEA HVAC CO., LTD"/>
    <s v="314000, , JIAXING, NO. 2000 GUANGQIONG ROAD,"/>
    <s v=""/>
    <s v=""/>
    <n v="1"/>
    <n v="0"/>
    <n v="1"/>
    <n v="56"/>
    <s v="1087746423005"/>
    <s v="7717615508"/>
    <s v="ООО БДР ТЕРМИЯ РУС ЧЕРЕЗ АО ТАСКОМ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n v="7849865.3899999904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x v="1"/>
    <s v="RU"/>
    <s v="РОССИЯ"/>
    <n v="1"/>
    <s v="1"/>
    <s v="EXW"/>
    <s v="JIAXING"/>
    <n v="0"/>
    <s v="EUR"/>
    <n v="99667.32"/>
    <n v="7540361"/>
    <n v="111602.85"/>
    <n v="75.655299999999897"/>
    <s v="010"/>
    <s v="40"/>
    <s v="22060044/0001/0000/2/1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СТАЛЬНЫЕ, АССОРТИМЕНТ"/>
    <x v="0"/>
    <m/>
    <s v="BDR THERMEA HVAC CO., LTD"/>
    <n v="56"/>
    <n v="1"/>
    <n v="388"/>
    <s v="ШТ"/>
    <n v="0"/>
    <m/>
    <s v="1"/>
    <s v="8403109000"/>
    <s v=""/>
    <s v=""/>
    <s v="CN"/>
    <n v="11524"/>
    <s v="ОООО-ОО"/>
    <n v="4000000"/>
    <n v="11252"/>
    <n v="0"/>
    <s v=""/>
    <s v=""/>
    <n v="99667.32"/>
    <n v="7540361"/>
    <n v="0"/>
    <n v="1"/>
    <n v="7849865.3899999904"/>
    <n v="111602.85"/>
    <s v="10"/>
    <n v="9.9184999999999999"/>
    <n v="1053"/>
    <s v="0719/00-16-055"/>
    <m/>
    <s v="БЫКОВА ЛЮБОВЬ АЛЕКСАНДРОВНА"/>
    <n v="0"/>
    <m/>
  </r>
  <r>
    <s v="1"/>
    <d v="2023-04-27T00:00:00"/>
    <x v="3"/>
    <s v="10131010/311222/3564309"/>
    <s v="10131010"/>
    <s v="3564309"/>
    <x v="0"/>
    <s v="40"/>
    <s v=""/>
    <s v=""/>
    <s v=""/>
    <s v="BDR THERMEA HVAC CO., LTD"/>
    <s v="314000, , JIAXING, NO. 2000 GUANGQIONG ROAD,"/>
    <s v=""/>
    <s v=""/>
    <n v="1"/>
    <n v="0"/>
    <n v="1"/>
    <n v="52"/>
    <s v="1087746423005"/>
    <s v="7717615508"/>
    <s v="ООО БДР ТЕРМИЯ РУС ЧЕРЕЗ АО ТАСКОМ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n v="7107262.3300000001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x v="1"/>
    <s v="RU"/>
    <s v="РОССИЯ"/>
    <n v="1"/>
    <s v="1"/>
    <s v="EXW"/>
    <s v="JIAXING"/>
    <n v="0"/>
    <s v="EUR"/>
    <n v="89851.71"/>
    <n v="6797758"/>
    <n v="101045.14"/>
    <n v="75.655299999999897"/>
    <s v="010"/>
    <s v="40"/>
    <s v="22060044/0001/0000/2/1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СТАЛЬНЫЕ, АССОРТИМЕНТ"/>
    <x v="0"/>
    <m/>
    <s v="BDR THERMEA HVAC CO., LTD"/>
    <n v="52"/>
    <n v="1"/>
    <n v="324"/>
    <s v="ШТ"/>
    <n v="0"/>
    <m/>
    <s v="1"/>
    <s v="8403109000"/>
    <s v=""/>
    <s v=""/>
    <s v="CN"/>
    <n v="10656"/>
    <s v="ОООО-ОО"/>
    <n v="4000000"/>
    <n v="10196"/>
    <n v="0"/>
    <s v=""/>
    <s v=""/>
    <n v="89851.71"/>
    <n v="6797758"/>
    <n v="0"/>
    <n v="1"/>
    <n v="7107262.3300000001"/>
    <n v="101045.14"/>
    <s v="10"/>
    <n v="9.9102999999999994"/>
    <n v="1053"/>
    <s v="0719/00-16-055"/>
    <m/>
    <s v="БЫКОВА ЛЮБОВЬ АЛЕКСАНДРОВНА"/>
    <n v="0"/>
    <m/>
  </r>
  <r>
    <s v="1"/>
    <d v="2023-02-28T00:00:00"/>
    <x v="12"/>
    <s v="10131010/311222/3564308"/>
    <s v="10131010"/>
    <s v="3564308"/>
    <x v="0"/>
    <s v="40"/>
    <s v=""/>
    <s v=""/>
    <s v=""/>
    <s v="BDR THERMEA HVAC CO., LTD"/>
    <s v="314000, , JIAXING, NO. 2000 GUANGQIONG ROAD,"/>
    <s v=""/>
    <s v=""/>
    <n v="1"/>
    <n v="0"/>
    <n v="1"/>
    <n v="52"/>
    <s v="1087746423005"/>
    <s v="7717615508"/>
    <s v="ООО БДР ТЕРМИЯ РУС ЧЕРЕЗ АО ТАСКОМ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n v="6989252.75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x v="1"/>
    <s v="RU"/>
    <s v="РОССИЯ"/>
    <n v="1"/>
    <s v="1"/>
    <s v="EXW"/>
    <s v="JIAXING"/>
    <n v="0"/>
    <s v="EUR"/>
    <n v="88291.87"/>
    <n v="6679748"/>
    <n v="99367.38"/>
    <n v="75.655299999999897"/>
    <s v="010"/>
    <s v="40"/>
    <s v="22060044/0001/0000/2/1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СТАЛЬНЫЕ, АССОРТИМЕНТ"/>
    <x v="0"/>
    <m/>
    <s v="BDR THERMEA HVAC CO., LTD"/>
    <n v="52"/>
    <n v="1"/>
    <n v="308"/>
    <s v="ШТ"/>
    <n v="0"/>
    <m/>
    <s v="1"/>
    <s v="8403109000"/>
    <s v=""/>
    <s v=""/>
    <s v="CN"/>
    <n v="10592"/>
    <s v="ОООО-ОО"/>
    <n v="4000000"/>
    <n v="10032"/>
    <n v="0"/>
    <s v=""/>
    <s v=""/>
    <n v="88291.87"/>
    <n v="6679748"/>
    <n v="0"/>
    <n v="1"/>
    <n v="6989252.75"/>
    <n v="99367.38"/>
    <s v="10"/>
    <n v="9.9049999999999994"/>
    <n v="1053"/>
    <s v="0719/00-16-055"/>
    <m/>
    <s v="БЫКОВА ЛЮБОВЬ АЛЕКСАНДРОВНА"/>
    <n v="0"/>
    <m/>
  </r>
  <r>
    <s v="1"/>
    <d v="2023-07-08T00:00:00"/>
    <x v="0"/>
    <s v="10131010/311222/3564307"/>
    <s v="10131010"/>
    <s v="3564307"/>
    <x v="0"/>
    <s v="40"/>
    <s v=""/>
    <s v=""/>
    <s v=""/>
    <s v="BDR THERMEA HVAC CO., LTD"/>
    <s v="314000, , JIAXING, NO. 2000 GUANGQIONG ROAD,"/>
    <s v=""/>
    <s v=""/>
    <n v="1"/>
    <n v="0"/>
    <n v="1"/>
    <n v="56"/>
    <s v="1087746423005"/>
    <s v="7717615508"/>
    <s v="ООО БДР ТЕРМИЯ РУС ЧЕРЕЗ АО ТАСКОМ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n v="7849865.3899999904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x v="1"/>
    <s v="RU"/>
    <s v="РОССИЯ"/>
    <n v="1"/>
    <s v="1"/>
    <s v="EXW"/>
    <s v="JIAXING"/>
    <n v="0"/>
    <s v="EUR"/>
    <n v="99667.32"/>
    <n v="7540361"/>
    <n v="111602.85"/>
    <n v="75.655299999999897"/>
    <s v="010"/>
    <s v="40"/>
    <s v="22060044/0001/0000/2/1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СТАЛЬНЫЕ, АССОРТИМЕНТ"/>
    <x v="0"/>
    <m/>
    <s v="BDR THERMEA HVAC CO., LTD"/>
    <n v="56"/>
    <n v="1"/>
    <n v="388"/>
    <s v="ШТ"/>
    <n v="0"/>
    <m/>
    <s v="1"/>
    <s v="8403109000"/>
    <s v=""/>
    <s v=""/>
    <s v="CN"/>
    <n v="11524"/>
    <s v="ОООО-ОО"/>
    <n v="4000000"/>
    <n v="11252"/>
    <n v="0"/>
    <s v=""/>
    <s v=""/>
    <n v="99667.32"/>
    <n v="7540361"/>
    <n v="0"/>
    <n v="1"/>
    <n v="7849865.3899999904"/>
    <n v="111602.85"/>
    <s v="10"/>
    <n v="9.9184999999999999"/>
    <n v="1053"/>
    <s v="0719/00-16-055"/>
    <m/>
    <s v="БЫКОВА ЛЮБОВЬ АЛЕКСАНДРОВНА"/>
    <n v="0"/>
    <m/>
  </r>
  <r>
    <s v="1"/>
    <d v="2023-11-15T00:00:00"/>
    <x v="7"/>
    <s v="10131010/311222/3564303"/>
    <s v="10131010"/>
    <s v="3564303"/>
    <x v="0"/>
    <s v="40"/>
    <s v=""/>
    <s v=""/>
    <s v=""/>
    <s v="BDR THERMEA HVAC CO., LTD"/>
    <s v="314000, , JIAXING, NO. 2000 GUANGQIONG ROAD,"/>
    <s v=""/>
    <s v=""/>
    <n v="1"/>
    <n v="0"/>
    <n v="1"/>
    <n v="52"/>
    <s v="1087746423005"/>
    <s v="7717615508"/>
    <s v="ООО БДР ТЕРМИЯ РУС ЧЕРЕЗ АО ТАСКОМ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n v="6881277.0099999905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x v="1"/>
    <s v="RU"/>
    <s v="РОССИЯ"/>
    <n v="1"/>
    <s v="1"/>
    <s v="EXW"/>
    <s v="JIAXING"/>
    <n v="0"/>
    <s v="EUR"/>
    <n v="86864.67"/>
    <n v="6571773"/>
    <n v="97832.27"/>
    <n v="75.655299999999897"/>
    <s v="010"/>
    <s v="40"/>
    <s v="22060044/0001/0000/2/1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СТАЛЬНЫЕ, АССОРТИМЕНТ"/>
    <x v="0"/>
    <m/>
    <s v="BDR THERMEA HVAC CO., LTD"/>
    <n v="52"/>
    <n v="1"/>
    <n v="300"/>
    <s v="ШТ"/>
    <n v="0"/>
    <m/>
    <s v="1"/>
    <s v="8403109000"/>
    <s v=""/>
    <s v=""/>
    <s v="CN"/>
    <n v="10560"/>
    <s v="ОООО-ОО"/>
    <n v="4000000"/>
    <n v="9820"/>
    <n v="0"/>
    <s v=""/>
    <s v=""/>
    <n v="86864.67"/>
    <n v="6571773"/>
    <n v="0"/>
    <n v="1"/>
    <n v="6881277.0099999905"/>
    <n v="97832.27"/>
    <s v="10"/>
    <n v="9.9626000000000001"/>
    <n v="1053"/>
    <s v="0719/00-16-055"/>
    <m/>
    <s v="БЫКОВА ЛЮБОВЬ АЛЕКСАНДРОВНА"/>
    <n v="0"/>
    <m/>
  </r>
  <r>
    <s v="1"/>
    <d v="2022-03-05T00:00:00"/>
    <x v="6"/>
    <s v="10131010/311023/3362213"/>
    <s v="10131010"/>
    <s v="336221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106236.0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118.47"/>
    <m/>
    <m/>
    <n v="98.6163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636.830000000002"/>
    <s v="ОООО-ОО"/>
    <n v="4000000"/>
    <n v="16528.830000000002"/>
    <n v="0"/>
    <s v=""/>
    <s v=""/>
    <n v="37118.47"/>
    <m/>
    <n v="0"/>
    <n v="1"/>
    <n v="4106236.01"/>
    <n v="44037.77"/>
    <s v="10"/>
    <n v="43966.687800000007"/>
    <n v="2.66"/>
    <n v="45"/>
    <m/>
    <s v="ЯШИНА"/>
    <n v="1"/>
    <m/>
  </r>
  <r>
    <s v="1"/>
    <d v="2023-02-25T00:00:00"/>
    <x v="12"/>
    <s v="10131010/311023/3362194"/>
    <s v="10131010"/>
    <s v="336219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08309.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7809.8"/>
    <m/>
    <m/>
    <n v="98.6163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25.080000000002"/>
    <s v="ОООО-ОО"/>
    <n v="4000000"/>
    <n v="16525.080000000002"/>
    <n v="0"/>
    <s v=""/>
    <s v=""/>
    <n v="47809.8"/>
    <m/>
    <n v="0"/>
    <n v="1"/>
    <n v="5108309.8"/>
    <n v="54784.62"/>
    <s v="10"/>
    <n v="54863.265600000006"/>
    <n v="3.32"/>
    <n v="45"/>
    <m/>
    <s v="БЛАГОНРАВОВА"/>
    <n v="71"/>
    <m/>
  </r>
  <r>
    <s v="1"/>
    <d v="2023-10-18T00:00:00"/>
    <x v="1"/>
    <s v="10131010/311023/3362192"/>
    <s v="10131010"/>
    <s v="336219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29107.1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894.42"/>
    <m/>
    <m/>
    <n v="98.6163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080.56"/>
    <s v="ОООО-ОО"/>
    <n v="4000000"/>
    <n v="15901.16"/>
    <n v="0"/>
    <s v=""/>
    <s v=""/>
    <n v="38894.42"/>
    <m/>
    <n v="0"/>
    <n v="1"/>
    <n v="4229107.12"/>
    <n v="45355.519999999997"/>
    <s v="10"/>
    <n v="45318.306000000004"/>
    <n v="2.85"/>
    <n v="45"/>
    <m/>
    <s v="ЧУДИНА"/>
    <n v="580"/>
    <m/>
  </r>
  <r>
    <s v="1"/>
    <d v="2023-02-19T00:00:00"/>
    <x v="12"/>
    <s v="10131010/311023/3362191"/>
    <s v="10131010"/>
    <s v="336219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11999.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7317.21"/>
    <m/>
    <m/>
    <n v="98.6163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664.95"/>
    <s v="ОООО-ОО"/>
    <n v="4000000"/>
    <n v="15574.95"/>
    <n v="0"/>
    <s v=""/>
    <s v=""/>
    <n v="47317.21"/>
    <m/>
    <n v="0"/>
    <n v="1"/>
    <n v="5111999.04"/>
    <n v="54824.19"/>
    <s v="10"/>
    <n v="54823.824000000001"/>
    <n v="3.52"/>
    <n v="45"/>
    <m/>
    <s v="ДРУЗЯГИНА"/>
    <n v="310"/>
    <m/>
  </r>
  <r>
    <s v="1"/>
    <d v="2023-08-09T00:00:00"/>
    <x v="8"/>
    <s v="10131010/310823/5021240"/>
    <s v="10131010"/>
    <s v="5021240"/>
    <x v="0"/>
    <s v="40"/>
    <s v=""/>
    <s v=""/>
    <s v=""/>
    <s v="UNITED PETFOOD PRODUCERS NV"/>
    <s v="9400, , ERPE-MERE, EVENBROEKVELD 1,"/>
    <s v=""/>
    <s v=""/>
    <n v="1"/>
    <m/>
    <n v="1"/>
    <n v="38"/>
    <s v=""/>
    <s v="7,7010044847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232447.6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965.43"/>
    <m/>
    <m/>
    <n v="104.4496"/>
    <s v=""/>
    <s v="31"/>
    <s v="22040387/3292/0000/2/2"/>
    <s v="11209159-11209159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8"/>
    <m/>
    <m/>
    <m/>
    <m/>
    <m/>
    <s v="1"/>
    <s v="2309101100"/>
    <s v=""/>
    <s v=""/>
    <s v="BE"/>
    <n v="19480.810000000001"/>
    <s v="ОООО-ОО"/>
    <n v="4000000"/>
    <n v="19378.810000000001"/>
    <m/>
    <s v=""/>
    <s v=""/>
    <n v="45965.43"/>
    <m/>
    <n v="0"/>
    <n v="1"/>
    <n v="5232447.63"/>
    <n v="54545.4"/>
    <s v="10"/>
    <n v="54454.456100000003"/>
    <n v="2.81"/>
    <n v="45"/>
    <m/>
    <s v="БЛАГОНРАВОВА"/>
    <n v="296"/>
    <m/>
  </r>
  <r>
    <s v="1"/>
    <d v="2023-02-28T00:00:00"/>
    <x v="12"/>
    <s v="10131010/310823/3299344"/>
    <s v="10131010"/>
    <s v="3299344"/>
    <x v="0"/>
    <s v="40"/>
    <s v=""/>
    <s v=""/>
    <s v=""/>
    <s v="UNITED PETFOOD PRODUCERS NV"/>
    <s v="9400, , ERPE-MERE, EVENBROEKVELD 1,"/>
    <s v=""/>
    <s v=""/>
    <n v="1"/>
    <m/>
    <n v="1"/>
    <n v="33"/>
    <s v=""/>
    <s v="7,7010044847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33204.65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185.68"/>
    <m/>
    <m/>
    <n v="104.4496"/>
    <s v=""/>
    <s v="31"/>
    <s v="22040387/3292/0000/2/2"/>
    <s v="11216463-11216463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912.34"/>
    <s v="ОООО-ОО"/>
    <n v="4000000"/>
    <n v="16869.14"/>
    <n v="0"/>
    <s v=""/>
    <s v=""/>
    <n v="41185.68"/>
    <m/>
    <n v="0"/>
    <n v="1"/>
    <n v="4733204.6500000004"/>
    <n v="49341.07"/>
    <s v="10"/>
    <n v="49257.888800000001"/>
    <n v="2.92"/>
    <n v="45"/>
    <m/>
    <s v="ЧУДИНА"/>
    <n v="166"/>
    <m/>
  </r>
  <r>
    <s v="1"/>
    <d v="2023-11-05T00:00:00"/>
    <x v="7"/>
    <s v="10131010/310723/3267480"/>
    <s v="10131010"/>
    <s v="326748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77002.3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958.980000000003"/>
    <m/>
    <m/>
    <n v="99.958600000000004"/>
    <s v="10"/>
    <s v="31"/>
    <s v="22040387/3292/0000/2/2"/>
    <s v="10106050-т/п Обнинский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50.560000000001"/>
    <s v="ОООО-ОО"/>
    <n v="4000000"/>
    <n v="16789.36"/>
    <n v="0"/>
    <s v=""/>
    <s v=""/>
    <n v="40958.980000000003"/>
    <n v="4094202.3"/>
    <n v="0"/>
    <n v="1"/>
    <n v="4577002.34"/>
    <n v="50308.73"/>
    <s v="10"/>
    <n v="50368.08"/>
    <n v="3"/>
    <n v="45"/>
    <s v="2022/09 БР"/>
    <s v="БЛАГОНРАВОВА ДАРЬЯ ДМИТРИЕВНА"/>
    <n v="553"/>
    <m/>
  </r>
  <r>
    <s v="1"/>
    <d v="2023-02-09T00:00:00"/>
    <x v="12"/>
    <s v="10131010/310723/3267477"/>
    <s v="10131010"/>
    <s v="3267477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60723.0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496.120000000003"/>
    <m/>
    <m/>
    <n v="99.958600000000004"/>
    <s v="10"/>
    <s v="31"/>
    <s v="22040387/3292/0000/2/2"/>
    <s v="10106050-т/п Обнинский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510.240000000002"/>
    <s v="ОООО-ОО"/>
    <n v="4000000"/>
    <n v="16359.04"/>
    <n v="0"/>
    <s v=""/>
    <s v=""/>
    <n v="41496.120000000003"/>
    <n v="4147894.06"/>
    <n v="0"/>
    <n v="1"/>
    <n v="4560723.08"/>
    <n v="50129.79"/>
    <s v="10"/>
    <n v="50058.662400000001"/>
    <n v="3.06"/>
    <n v="45"/>
    <s v="2022/09 БР"/>
    <s v="ЯШИНА АННА СЕРГЕЕВНА"/>
    <n v="68"/>
    <m/>
  </r>
  <r>
    <s v="1"/>
    <d v="2023-03-13T00:00:00"/>
    <x v="2"/>
    <s v="10131010/310723/3267476"/>
    <s v="10131010"/>
    <s v="3267476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59281.09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481.279999999999"/>
    <m/>
    <m/>
    <n v="99.958600000000004"/>
    <s v="10"/>
    <s v="31"/>
    <s v="22040387/3292/0000/2/2"/>
    <s v="10106050-т/п Обнинский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162.18"/>
    <s v="ОООО-ОО"/>
    <n v="4000000"/>
    <n v="16054.18"/>
    <n v="0"/>
    <s v=""/>
    <s v=""/>
    <n v="40481.279999999999"/>
    <n v="4046452.08"/>
    <n v="0"/>
    <n v="1"/>
    <n v="4459281.0999999996"/>
    <n v="49014.78"/>
    <s v="10"/>
    <n v="48965.248999999996"/>
    <n v="3.05"/>
    <n v="45"/>
    <s v="2022/09 БР"/>
    <s v="ЧУДИНА ЭЛЬВИРА РАИСОВНА"/>
    <n v="212"/>
    <m/>
  </r>
  <r>
    <s v="1"/>
    <d v="2023-08-25T00:00:00"/>
    <x v="8"/>
    <s v="10131010/310723/3267102"/>
    <s v="10131010"/>
    <s v="3267102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25034.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138.26"/>
    <m/>
    <m/>
    <n v="99.958600000000004"/>
    <s v="10"/>
    <s v="31"/>
    <s v="22040387/3292/0000/2/2"/>
    <s v="10106050-т/п Обнинский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073.59"/>
    <s v="ОООО-ОО"/>
    <n v="4000000"/>
    <n v="17037.59"/>
    <n v="0"/>
    <s v=""/>
    <s v=""/>
    <n v="39138.26"/>
    <n v="3912205.68"/>
    <n v="0"/>
    <n v="1"/>
    <n v="4325034.7"/>
    <n v="47539.19"/>
    <s v="10"/>
    <n v="47534.876100000001"/>
    <n v="2.79"/>
    <n v="45"/>
    <s v="2022/09 БР"/>
    <s v="ЯШИНА АННА СЕРГЕЕВНА"/>
    <n v="337"/>
    <m/>
  </r>
  <r>
    <s v="1"/>
    <d v="2023-07-24T00:00:00"/>
    <x v="0"/>
    <s v="10131010/310723/3267093"/>
    <s v="10131010"/>
    <s v="326709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54123.80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910.1"/>
    <m/>
    <m/>
    <n v="99.958600000000004"/>
    <s v="10"/>
    <s v="31"/>
    <s v="22040387/3292/0000/2/2"/>
    <s v="10106050-т/п Обнинский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919.830000000002"/>
    <s v="ОООО-ОО"/>
    <n v="4000000"/>
    <n v="16826.23"/>
    <n v="0"/>
    <s v=""/>
    <s v=""/>
    <n v="40910.1"/>
    <n v="4089316.32"/>
    <n v="0"/>
    <n v="1"/>
    <n v="4554123.8099999996"/>
    <n v="50057.25"/>
    <s v="10"/>
    <n v="49973.903100000003"/>
    <n v="2.97"/>
    <n v="45"/>
    <s v="2022/09 БР"/>
    <s v="БЛАГОНРАВОВА ДАРЬЯ ДМИТРИЕВНА"/>
    <n v="45"/>
    <m/>
  </r>
  <r>
    <s v="1"/>
    <d v="2023-03-15T00:00:00"/>
    <x v="2"/>
    <s v="10131010/310723/3267056"/>
    <s v="10131010"/>
    <s v="3267056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30391.639999999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672.68"/>
    <m/>
    <m/>
    <n v="99.958600000000004"/>
    <s v="10"/>
    <s v="31"/>
    <s v="22040387/3292/0000/2/2"/>
    <s v="10106050-т/п Обнинский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085.439999999999"/>
    <s v="ОООО-ОО"/>
    <n v="4000000"/>
    <n v="16999.04"/>
    <n v="0"/>
    <s v=""/>
    <s v=""/>
    <n v="40672.68"/>
    <n v="4065584.15"/>
    <n v="0"/>
    <n v="1"/>
    <n v="4530391.6399999997"/>
    <n v="49796.4"/>
    <s v="10"/>
    <n v="49807.187200000008"/>
    <n v="2.93"/>
    <n v="45"/>
    <s v="2022/09 БР"/>
    <s v="БЛАГОНРАВОВА ДАРЬЯ ДМИТРИЕВНА"/>
    <n v="67"/>
    <m/>
  </r>
  <r>
    <s v="1"/>
    <d v="2023-11-19T00:00:00"/>
    <x v="7"/>
    <s v="10131010/310723/3267047"/>
    <s v="10131010"/>
    <s v="3267047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74484.3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933.79"/>
    <m/>
    <m/>
    <n v="99.958600000000004"/>
    <s v="10"/>
    <s v="31"/>
    <s v="22040387/3292/0000/2/2"/>
    <s v="10106050-т/п Обнинский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429.2"/>
    <s v="ОООО-ОО"/>
    <n v="4000000"/>
    <n v="16296"/>
    <n v="0"/>
    <s v=""/>
    <s v=""/>
    <n v="40933.79"/>
    <n v="4091684.34"/>
    <n v="0"/>
    <n v="1"/>
    <n v="4574484.38"/>
    <n v="50281.05"/>
    <s v="10"/>
    <n v="50354.64"/>
    <n v="3.09"/>
    <n v="45"/>
    <s v="2022/09 БР"/>
    <s v="ЯШИНА АННА СЕРГЕЕВНА"/>
    <n v="52"/>
    <m/>
  </r>
  <r>
    <s v="1"/>
    <d v="2023-10-16T00:00:00"/>
    <x v="1"/>
    <s v="10131010/310723/3267044"/>
    <s v="10131010"/>
    <s v="326704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09721.6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465.480000000003"/>
    <m/>
    <m/>
    <n v="99.958600000000004"/>
    <s v="10"/>
    <s v="31"/>
    <s v="22040387/3292/0000/2/2"/>
    <s v="10106050-т/п Обнинский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247.14"/>
    <s v="ОООО-ОО"/>
    <n v="4000000"/>
    <n v="17203.939999999999"/>
    <n v="0"/>
    <s v=""/>
    <s v=""/>
    <n v="39465.480000000003"/>
    <n v="3944914.13"/>
    <n v="0"/>
    <n v="1"/>
    <n v="4409721.62"/>
    <n v="48470.04"/>
    <s v="10"/>
    <n v="48515.110799999995"/>
    <n v="2.82"/>
    <n v="45"/>
    <s v="2022/09 БР"/>
    <s v="ЧУДИНА ЭЛЬВИРА РАИСОВНА"/>
    <n v="118"/>
    <m/>
  </r>
  <r>
    <s v="1"/>
    <d v="2023-10-12T00:00:00"/>
    <x v="1"/>
    <s v="10131010/310523/3195594"/>
    <s v="10131010"/>
    <s v="3195594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21262.4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819.92"/>
    <n v="3963968"/>
    <n v="53555.74"/>
    <n v="86.5118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РАСФАСОВАННЫЙ ДЛЯ РОЗНИЧНОЙ ПРОДАЖИ,БЕЗ СОДЕРЖАНИЯ КРАХМАЛА,БЕЗ СОДЕРЖАНИЯ МОЛОЧНЫХ ПРОДУКТОВ,В АССОРТИМЕНТЕ"/>
    <x v="1"/>
    <m/>
    <s v="UNITED PETFOOD PRODUCERS NV"/>
    <n v="33"/>
    <n v="0"/>
    <n v="0"/>
    <m/>
    <n v="0"/>
    <m/>
    <s v="1"/>
    <s v="2309101100"/>
    <s v=""/>
    <s v=""/>
    <s v="BE"/>
    <n v="16803.919999999998"/>
    <s v="ОООО-ОО"/>
    <n v="4000000"/>
    <n v="16803.919999999998"/>
    <n v="0"/>
    <s v=""/>
    <s v=""/>
    <n v="45819.92"/>
    <n v="3963968"/>
    <n v="0"/>
    <n v="1"/>
    <n v="4321262.49"/>
    <n v="53555.74"/>
    <s v="10"/>
    <n v="53555.773431999995"/>
    <n v="3.1871"/>
    <n v="45"/>
    <s v="2022/09 БР"/>
    <s v="БЛАГОНРАВОВА ДАРЬЯ ДМИТРИЕВНА"/>
    <n v="286"/>
    <m/>
  </r>
  <r>
    <s v="1"/>
    <d v="2023-07-28T00:00:00"/>
    <x v="0"/>
    <s v="10131010/310523/3194814"/>
    <s v="10131010"/>
    <s v="3194814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36852.0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376.480000000003"/>
    <n v="3579558"/>
    <n v="48791.53"/>
    <n v="86.5118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71.78"/>
    <s v="ОООО-ОО"/>
    <n v="4000000"/>
    <n v="16806.98"/>
    <n v="0"/>
    <s v=""/>
    <s v=""/>
    <n v="41376.480000000003"/>
    <n v="3579558"/>
    <n v="0"/>
    <n v="1"/>
    <n v="3936852.05"/>
    <n v="48791.53"/>
    <s v="10"/>
    <n v="48792.343637999998"/>
    <n v="2.9030999999999998"/>
    <n v="45"/>
    <s v="2022/09 БР"/>
    <s v="БЛАГОНРАВОВА ДАРЬЯ ДМИТРИЕВНА"/>
    <n v="108"/>
    <m/>
  </r>
  <r>
    <s v="1"/>
    <d v="2023-09-23T00:00:00"/>
    <x v="4"/>
    <s v="10131010/310523/3194813"/>
    <s v="10131010"/>
    <s v="3194813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22189.1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051.08"/>
    <n v="3464895"/>
    <n v="47370.45"/>
    <n v="86.5118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O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96.84"/>
    <s v="ОООО-ОО"/>
    <n v="4000000"/>
    <n v="17096.84"/>
    <n v="0"/>
    <s v=""/>
    <s v=""/>
    <n v="40051.08"/>
    <n v="3464895"/>
    <n v="0"/>
    <n v="1"/>
    <n v="3822189.18"/>
    <n v="47370.45"/>
    <s v="10"/>
    <n v="47370.214588000003"/>
    <n v="2.7707000000000002"/>
    <n v="45"/>
    <s v="2022/09 БР"/>
    <s v="ЧУДИНА ЭЛЬВИРА РАИСОВНА"/>
    <n v="108"/>
    <m/>
  </r>
  <r>
    <s v="1"/>
    <d v="2023-03-24T00:00:00"/>
    <x v="2"/>
    <s v="10131010/310323/3112890"/>
    <s v="10131010"/>
    <s v="311289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13109.4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8335.1"/>
    <n v="4048736"/>
    <n v="57248.95"/>
    <n v="83.76390000000000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581.45"/>
    <s v="ОООО-ОО"/>
    <n v="4000000"/>
    <n v="16470.45"/>
    <n v="0"/>
    <s v=""/>
    <s v=""/>
    <n v="48335.1"/>
    <n v="4048736"/>
    <n v="0"/>
    <n v="1"/>
    <n v="4413109.45"/>
    <n v="57248.95"/>
    <s v="10"/>
    <n v="57249.637155000004"/>
    <n v="3.4759000000000002"/>
    <n v="45"/>
    <s v="2022/09 БР"/>
    <s v="БЛАГОНРАВОВА ДАРЬЯ ДМИТРИЕВНА"/>
    <n v="37"/>
    <m/>
  </r>
  <r>
    <s v="1"/>
    <d v="2023-07-24T00:00:00"/>
    <x v="0"/>
    <s v="10131010/310323/3112818"/>
    <s v="10131010"/>
    <s v="3112818"/>
    <x v="0"/>
    <s v="40"/>
    <s v=""/>
    <s v=""/>
    <s v=""/>
    <s v="UNITED PETFOOD PRODUCERS NV"/>
    <s v="9400, , ERPE-MERE, EVENBROEKVELD 1,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80239.51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9136.52"/>
    <n v="4115867"/>
    <n v="58119.79"/>
    <n v="83.76390000000000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8"/>
    <n v="0"/>
    <n v="0"/>
    <m/>
    <n v="0"/>
    <m/>
    <s v="1"/>
    <s v="2309101100"/>
    <s v=""/>
    <s v=""/>
    <s v="BE"/>
    <n v="19057.73"/>
    <s v="ОООО-ОО"/>
    <n v="4000000"/>
    <n v="18949.73"/>
    <n v="0"/>
    <s v=""/>
    <s v=""/>
    <n v="49136.52"/>
    <n v="4115867"/>
    <n v="0"/>
    <n v="1"/>
    <n v="4480239.5199999996"/>
    <n v="58119.79"/>
    <s v="10"/>
    <n v="58120.716883000001"/>
    <n v="3.0670999999999999"/>
    <n v="45"/>
    <s v="2022/09 БР"/>
    <s v="ЯШИНА АННА СЕРГЕЕВНА"/>
    <n v="128"/>
    <m/>
  </r>
  <r>
    <s v="1"/>
    <d v="2023-09-30T00:00:00"/>
    <x v="4"/>
    <s v="10131010/310323/3112725"/>
    <s v="10131010"/>
    <s v="3112725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37679.6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853.1"/>
    <n v="3673307"/>
    <n v="52378.69"/>
    <n v="83.76390000000000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O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747.01"/>
    <s v="ОООО-ОО"/>
    <n v="4000000"/>
    <n v="15495.01"/>
    <n v="0"/>
    <s v=""/>
    <s v=""/>
    <n v="43853.1"/>
    <n v="3673307"/>
    <n v="0"/>
    <n v="1"/>
    <n v="4037679.65"/>
    <n v="52378.69"/>
    <s v="10"/>
    <n v="52379.331804000001"/>
    <n v="3.3803999999999998"/>
    <n v="45"/>
    <s v="2022/09 БР"/>
    <s v="ОСИПОВА ТАТЬЯНА ВЛАДИМИРОВНА"/>
    <n v="319"/>
    <m/>
  </r>
  <r>
    <s v="1"/>
    <d v="2023-03-07T00:00:00"/>
    <x v="2"/>
    <s v="10131010/310123/3035307"/>
    <s v="10131010"/>
    <s v="3035307"/>
    <x v="0"/>
    <s v="40"/>
    <s v=""/>
    <s v=""/>
    <s v=""/>
    <s v="WELLPET BELGIUM BVBA"/>
    <s v="1831, ., DIEGEM, LEONARDO DA VINCILAAN, 19"/>
    <s v=""/>
    <s v=""/>
    <n v="1"/>
    <n v="0"/>
    <n v="1"/>
    <n v="33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n v="3952765.97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9047.14"/>
    <n v="3716787"/>
    <n v="56798.57"/>
    <n v="75.779899999999998"/>
    <s v="010"/>
    <s v="31"/>
    <s v="18090220/1481/1948/2/1"/>
    <s v="-"/>
    <s v="99"/>
    <s v=""/>
    <s v="."/>
    <s v=""/>
    <s v="СМОЛЕНСКАЯ ОБЛАСТЬ,СМОЛЕНСКИЙ Р-Н"/>
    <s v="СЕЛЬСКОЕ ПОСЕЛЕНИЕ СТАБНИНСКОЕ"/>
    <s v="СЕВЕРО-ВОСТОЧНЕЕ Д. СТАБНА,НА РАССТОЯНИИ 700 МЕТРО"/>
    <s v="10113100 т/п Стабнинский"/>
    <n v="1"/>
    <s v="СУХОЙ КОРМ ДЛЯ КОШЕК И СОБАК Т.М. &quot;WELLNESS CORE&quot;, РАСФАСОВАННЫЙ ДЛЯ РОЗНИЧНОЙ ПРОДАЖИ В ИНДИВИДУАЛЬНУЮ УПАКОВКУ; СОДЕРЖИТ 10 МАС.% ИЛИ МЕНЕЕ КРАХМАЛА, НЕ СОДЕРЖИТ ГЛЮКОЗУ, МОЛОЧНЫЕ ПРОДУКТЫ И МАЛЬТОДЕКСТРИН"/>
    <x v="1"/>
    <m/>
    <s v="UNITED PETFOOD FRANCE-UPF"/>
    <n v="33"/>
    <n v="0"/>
    <n v="0"/>
    <m/>
    <n v="0"/>
    <m/>
    <s v="1"/>
    <s v="2309101100"/>
    <s v=""/>
    <s v=""/>
    <s v="FR"/>
    <n v="15044.16"/>
    <s v="ОООО-ОО"/>
    <n v="4000000"/>
    <n v="14931.12"/>
    <n v="0"/>
    <s v=""/>
    <s v=""/>
    <n v="49047.14"/>
    <n v="3716787"/>
    <n v="0"/>
    <n v="1"/>
    <n v="3952765.97"/>
    <n v="56798.57"/>
    <s v="10"/>
    <n v="56797.980479999998"/>
    <n v="3.8039999999999998"/>
    <n v="941"/>
    <s v="0770/СПБ/161"/>
    <s v="ДАШКИН АЛЕКСЕЙ ХАЛИМОВИЧ"/>
    <n v="221"/>
    <m/>
  </r>
  <r>
    <s v="1"/>
    <d v="2023-04-11T00:00:00"/>
    <x v="3"/>
    <s v="10131010/301222/3563723"/>
    <s v="10131010"/>
    <s v="3563723"/>
    <x v="0"/>
    <s v="40"/>
    <s v=""/>
    <s v=""/>
    <s v=""/>
    <s v="ZHONGSHAN POWTEK APPLIANCES MFG.,LTD"/>
    <s v=", GUANGDONG, ZHONGSHAN, 23 HEALTH ROAD,"/>
    <s v=""/>
    <s v=""/>
    <n v="1"/>
    <n v="0"/>
    <n v="1"/>
    <n v="481"/>
    <s v="1094025002246"/>
    <s v="4025422770"/>
    <s v="АО ТАСКОМ"/>
    <s v="249020, КАЛУЖСКАЯ ОБЛАСТЬ, РАЙОН БОРОВСКИЙ, СЕЛО ВОРСИНО, СЕВЕРНАЯ ПРОМЫШЛЕННАЯ"/>
    <s v="29000"/>
    <s v="402501001"/>
    <s v="1157154020979"/>
    <s v="7104068905"/>
    <s v="ООО ТУЛЬСКИЙ ЗАВОД ГАЗОВОГО ОБОРУДОВАНИЯ"/>
    <s v="301212, ТУЛЬСКАЯ ОБЛАСТЬ, ЩЕКИНСКИЙ М.Р-Н, РАБОЧИЙ ПОСЕЛОК ПЕРВОМАЙСКИЙ Г.П., СИ"/>
    <s v="70000"/>
    <s v="710401001"/>
    <s v="CN"/>
    <s v="КИТАЙ"/>
    <n v="8084712.0599999903"/>
    <s v="1157154020979"/>
    <s v="7104068905"/>
    <s v="ООО ТУЛЬСКИЙ ЗАВОД ГАЗОВОГО ОБОРУДОВАНИЯ"/>
    <s v="301212, ТУЛЬСКАЯ ОБЛАСТЬ, ЩЕКИНСКИЙ М.Р-Н, РАБОЧИЙ ПОСЕЛОК ПЕРВОМАЙСКИЙ Г.П., СИ"/>
    <s v="70000"/>
    <s v="710401001"/>
    <s v="CN"/>
    <s v="КИТАЙ"/>
    <x v="1"/>
    <s v="RU"/>
    <s v="РОССИЯ"/>
    <n v="1"/>
    <s v="1"/>
    <s v="FOB"/>
    <s v="ZHONGSHAN"/>
    <n v="0"/>
    <s v="CNY"/>
    <n v="758621"/>
    <n v="7685286"/>
    <n v="112322.3"/>
    <n v="10.1305999999999"/>
    <s v="010"/>
    <s v=""/>
    <s v="22100053/3475/0000/2/1"/>
    <s v="-"/>
    <s v="11"/>
    <s v="10106/100913/10053/8"/>
    <s v=""/>
    <s v="249020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РАБОТАЮЩИЕ НА ПРИРОДНОМ ИЛИ СЖИЖЕННОМ ГАЗЕ. ПРЕДНАЗНАЧЕНЫ ДЛЯ ОТОПЛЕНИЯ И ГОРЯЧЕГО ВОДОСНАБЖЕНИЯ ЖИЛЫХ ПОМЕЩЕНИЙ."/>
    <x v="0"/>
    <m/>
    <s v="POWTEK INTERNATIONAL HOLDINGS LIMITED ZHONGSHAN POWTEK APPLIANCES MFG., LTD."/>
    <n v="481"/>
    <n v="1"/>
    <n v="481"/>
    <s v="ШТ"/>
    <n v="0"/>
    <m/>
    <s v="1"/>
    <s v="8403109000"/>
    <s v=""/>
    <s v=""/>
    <s v="CN"/>
    <n v="15152.95"/>
    <s v="ОООО-ОО"/>
    <n v="4000000"/>
    <n v="15152.95"/>
    <n v="0"/>
    <s v=""/>
    <s v=""/>
    <n v="758621"/>
    <n v="7685286"/>
    <n v="0"/>
    <n v="1"/>
    <n v="8084712.0599999903"/>
    <n v="112322.3"/>
    <s v="10"/>
    <n v="7.4126000000000003"/>
    <m/>
    <m/>
    <m/>
    <s v="БАТАЕВ ИЛЬЯ СЕРГЕЕВИЧ"/>
    <n v="0"/>
    <m/>
  </r>
  <r>
    <s v="1"/>
    <d v="2023-05-07T00:00:00"/>
    <x v="9"/>
    <s v="10131010/301222/3563667"/>
    <s v="10131010"/>
    <s v="3563667"/>
    <x v="0"/>
    <s v="40"/>
    <s v=""/>
    <s v=""/>
    <s v=""/>
    <s v="ZHONGSHAN POWTEK APPLIANCES MFG.,LTD"/>
    <s v=", GUANGDONG, ZHONGSHAN, 23 HEALTH ROAD,"/>
    <s v=""/>
    <s v=""/>
    <n v="2"/>
    <n v="0"/>
    <n v="2"/>
    <n v="1045"/>
    <s v="1094025002246"/>
    <s v="4025422770"/>
    <s v="АО ТАСКОМ"/>
    <s v="249020, КАЛУЖСКАЯ ОБЛАСТЬ, РАЙОН БОРОВСКИЙ, СЕЛО ВОРСИНО, СЕВЕРНАЯ ПРОМЫШЛЕННАЯ"/>
    <s v="29000"/>
    <s v="402501001"/>
    <s v="1157154020979"/>
    <s v="7104068905"/>
    <s v="ООО ТУЛЬСКИЙ ЗАВОД ГАЗОВОГО ОБОРУДОВАНИЯ"/>
    <s v="301212, ТУЛЬСКАЯ ОБЛАСТЬ, ЩЕКИНСКИЙ М.Р-Н, РАБОЧИЙ ПОСЕЛОК ПЕРВОМАЙСКИЙ Г.П., СИ"/>
    <s v="70000"/>
    <s v="710401001"/>
    <s v="CN"/>
    <s v="КИТАЙ"/>
    <n v="6630716.5899999896"/>
    <s v="1157154020979"/>
    <s v="7104068905"/>
    <s v="ООО ТУЛЬСКИЙ ЗАВОД ГАЗОВОГО ОБОРУДОВАНИЯ"/>
    <s v="301212, ТУЛЬСКАЯ ОБЛАСТЬ, ЩЕКИНСКИЙ М.Р-Н, РАБОЧИЙ ПОСЕЛОК ПЕРВОМАЙСКИЙ Г.П., СИ"/>
    <s v="70000"/>
    <s v="710401001"/>
    <s v="CN"/>
    <s v="КИТАЙ"/>
    <x v="1"/>
    <s v="RU"/>
    <s v="РОССИЯ"/>
    <n v="1"/>
    <s v="1"/>
    <s v="FOB"/>
    <s v="ZHONGSHAN"/>
    <n v="0"/>
    <s v="CNY"/>
    <n v="615095.89"/>
    <n v="6231290"/>
    <n v="92121.69"/>
    <n v="10.1305999999999"/>
    <s v="010"/>
    <s v=""/>
    <s v="22100053/3475/0000/2/1"/>
    <s v="-"/>
    <s v="11"/>
    <s v="10106/100913/10053/8"/>
    <s v=""/>
    <s v="249020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РАБОТАЮЩИЕ НА ПРИРОДНОМ ИЛИ СЖИЖЕННОМ ГАЗЕ. ПРЕДНАЗНАЧЕНЫ ДЛЯ ОТОПЛЕНИЯ И ГОРЯЧЕГО ВОДОСНАБЖЕНИЯ ЖИЛЫХ ПОМЕЩЕНИЙ."/>
    <x v="0"/>
    <m/>
    <s v="POWTEK INTERNATIONAL HOLDINGS LIMITED ZHONGSHAN POWTEK APPLIANCES MFG., LTD."/>
    <n v="119"/>
    <n v="1"/>
    <n v="119"/>
    <s v="ШТ"/>
    <n v="0"/>
    <m/>
    <s v="1"/>
    <s v="8403109000"/>
    <s v=""/>
    <s v=""/>
    <s v="CN"/>
    <n v="4153.05"/>
    <s v="ОООО-ОО"/>
    <n v="4000000"/>
    <n v="4153.05"/>
    <n v="0"/>
    <s v=""/>
    <s v=""/>
    <n v="212159"/>
    <n v="2149298"/>
    <n v="0"/>
    <n v="1"/>
    <n v="2299807.54999999"/>
    <n v="31951.62"/>
    <s v="10"/>
    <n v="7.6935000000000002"/>
    <m/>
    <m/>
    <m/>
    <s v="БАТАЕВ ИЛЬЯ СЕРГЕЕВИЧ"/>
    <n v="0"/>
    <m/>
  </r>
  <r>
    <s v="1"/>
    <d v="2023-04-24T00:00:00"/>
    <x v="3"/>
    <s v="10131010/301123/3394479"/>
    <s v="10131010"/>
    <s v="339447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28111.51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308.5"/>
    <m/>
    <m/>
    <n v="97.65030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69.689999999999"/>
    <s v="ОООО-ОО"/>
    <n v="4000000"/>
    <n v="16396.29"/>
    <n v="0"/>
    <s v=""/>
    <s v=""/>
    <n v="39308.5"/>
    <m/>
    <n v="0"/>
    <n v="1"/>
    <n v="4228111.5199999996"/>
    <n v="47568.82"/>
    <s v="10"/>
    <n v="47549.241000000002"/>
    <n v="2.9"/>
    <n v="45"/>
    <m/>
    <s v="ЧУДИНА"/>
    <n v="300"/>
    <m/>
  </r>
  <r>
    <s v="1"/>
    <d v="2023-01-30T00:00:00"/>
    <x v="5"/>
    <s v="10131010/301123/3394453"/>
    <s v="10131010"/>
    <s v="339445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23089.8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305.199999999997"/>
    <m/>
    <m/>
    <n v="97.65030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952.7"/>
    <s v="ОООО-ОО"/>
    <n v="4000000"/>
    <n v="16952.7"/>
    <n v="0"/>
    <s v=""/>
    <s v=""/>
    <n v="41305.199999999997"/>
    <m/>
    <n v="0"/>
    <n v="1"/>
    <n v="4423089.87"/>
    <n v="49762.44"/>
    <s v="10"/>
    <n v="49840.938000000002"/>
    <n v="2.94"/>
    <n v="45"/>
    <m/>
    <s v="БЛАГОНРАВОВА"/>
    <n v="155"/>
    <m/>
  </r>
  <r>
    <s v="1"/>
    <d v="2023-07-05T00:00:00"/>
    <x v="0"/>
    <s v="10131010/301123/3394004"/>
    <s v="10131010"/>
    <s v="339400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15822.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506.720000000001"/>
    <m/>
    <m/>
    <n v="97.65030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196.28"/>
    <s v="ОООО-ОО"/>
    <n v="4000000"/>
    <n v="16196.28"/>
    <n v="0"/>
    <s v=""/>
    <s v=""/>
    <n v="39506.720000000001"/>
    <m/>
    <n v="0"/>
    <n v="1"/>
    <n v="4315822.97"/>
    <n v="48555.62"/>
    <s v="10"/>
    <n v="48588.840000000004"/>
    <n v="3"/>
    <n v="45"/>
    <m/>
    <s v="ЧУДИНА"/>
    <n v="284"/>
    <m/>
  </r>
  <r>
    <s v="1"/>
    <d v="2023-03-18T00:00:00"/>
    <x v="2"/>
    <s v="10131010/301123/3393532"/>
    <s v="10131010"/>
    <s v="339353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91068.6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953.22"/>
    <m/>
    <m/>
    <n v="97.65030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;"/>
    <x v="1"/>
    <m/>
    <s v="UNITED PETFOOD PRODUCERS NV"/>
    <n v="33"/>
    <n v="0"/>
    <n v="0"/>
    <m/>
    <n v="0"/>
    <m/>
    <s v="1"/>
    <s v="2309101100"/>
    <s v=""/>
    <s v=""/>
    <s v="BE"/>
    <n v="16956.25"/>
    <s v="ОООО-ОО"/>
    <n v="4000000"/>
    <n v="16956.25"/>
    <n v="0"/>
    <s v=""/>
    <s v=""/>
    <n v="39953.22"/>
    <m/>
    <n v="0"/>
    <n v="1"/>
    <n v="4291068.62"/>
    <n v="48277.120000000003"/>
    <s v="10"/>
    <n v="48325.3125"/>
    <n v="2.85"/>
    <n v="45"/>
    <m/>
    <s v="ОСИПОВА"/>
    <n v="212"/>
    <m/>
  </r>
  <r>
    <s v="1"/>
    <d v="2023-06-18T00:00:00"/>
    <x v="11"/>
    <s v="10131010/301023/3360061"/>
    <s v="10131010"/>
    <s v="336006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73392.4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544.55"/>
    <m/>
    <m/>
    <n v="98.35039999999999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45.23"/>
    <s v="ОООО-ОО"/>
    <n v="4000000"/>
    <n v="16745.23"/>
    <n v="0"/>
    <s v=""/>
    <s v=""/>
    <n v="44544.55"/>
    <m/>
    <n v="0"/>
    <n v="1"/>
    <n v="4773392.41"/>
    <n v="51207.1"/>
    <s v="10"/>
    <n v="51240.4038"/>
    <n v="3.06"/>
    <n v="45"/>
    <m/>
    <s v="ЧУДИНА"/>
    <n v="236"/>
    <m/>
  </r>
  <r>
    <s v="1"/>
    <d v="2023-04-21T00:00:00"/>
    <x v="3"/>
    <s v="10131010/301023/3360055"/>
    <s v="10131010"/>
    <s v="336005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82364.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089"/>
    <m/>
    <m/>
    <n v="98.35039999999999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137.22"/>
    <s v="ОООО-ОО"/>
    <n v="4000000"/>
    <n v="17137.22"/>
    <n v="0"/>
    <s v=""/>
    <s v=""/>
    <n v="43089"/>
    <m/>
    <n v="0"/>
    <n v="1"/>
    <n v="4682364.2"/>
    <n v="50230.58"/>
    <s v="10"/>
    <n v="50212.054600000003"/>
    <n v="2.93"/>
    <n v="45"/>
    <m/>
    <s v="ОСИПОВА"/>
    <n v="340"/>
    <m/>
  </r>
  <r>
    <s v="1"/>
    <d v="2023-10-04T00:00:00"/>
    <x v="1"/>
    <s v="10131010/301023/3359947"/>
    <s v="10131010"/>
    <s v="335994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67556.55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468.44"/>
    <m/>
    <m/>
    <n v="98.35039999999999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087"/>
    <s v="ОООО-ОО"/>
    <n v="4000000"/>
    <n v="17087"/>
    <n v="0"/>
    <s v=""/>
    <s v=""/>
    <n v="43468.44"/>
    <m/>
    <n v="0"/>
    <n v="1"/>
    <n v="4667556.5599999996"/>
    <n v="50071.73"/>
    <s v="10"/>
    <n v="50064.91"/>
    <n v="2.93"/>
    <n v="45"/>
    <m/>
    <s v="БЛАГОНРАВОВА"/>
    <n v="146"/>
    <m/>
  </r>
  <r>
    <s v="1"/>
    <d v="2023-11-28T00:00:00"/>
    <x v="7"/>
    <s v="10131010/301023/3359764"/>
    <s v="10131010"/>
    <s v="335976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89268.38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159.199999999997"/>
    <m/>
    <m/>
    <n v="98.35039999999999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5554.88"/>
    <s v="ОООО-ОО"/>
    <n v="4000000"/>
    <n v="15306.48"/>
    <n v="0"/>
    <s v=""/>
    <s v=""/>
    <n v="43159.199999999997"/>
    <m/>
    <n v="0"/>
    <n v="1"/>
    <n v="4689268.3899999997"/>
    <n v="50304.65"/>
    <s v="10"/>
    <n v="50358.319199999998"/>
    <n v="3.29"/>
    <n v="45"/>
    <m/>
    <s v="БЛАГОНРАВОВА"/>
    <n v="89"/>
    <m/>
  </r>
  <r>
    <s v="1"/>
    <d v="2023-08-08T00:00:00"/>
    <x v="8"/>
    <s v="10131010/301023/3359705"/>
    <s v="10131010"/>
    <s v="335970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02254.5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821.24"/>
    <m/>
    <m/>
    <n v="98.35039999999999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027.11"/>
    <s v="ОООО-ОО"/>
    <n v="4000000"/>
    <n v="15937.11"/>
    <n v="0"/>
    <s v=""/>
    <s v=""/>
    <n v="43821.24"/>
    <m/>
    <n v="0"/>
    <n v="1"/>
    <n v="4702254.58"/>
    <n v="50443.96"/>
    <s v="10"/>
    <n v="50520.638700000003"/>
    <n v="3.17"/>
    <n v="45"/>
    <m/>
    <s v="ЯШИНА"/>
    <n v="134"/>
    <m/>
  </r>
  <r>
    <s v="1"/>
    <d v="2023-08-24T00:00:00"/>
    <x v="8"/>
    <s v="10131010/301023/3359647"/>
    <s v="10131010"/>
    <s v="335964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29423.0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7147.8"/>
    <m/>
    <m/>
    <n v="98.35039999999999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25.080000000002"/>
    <s v="ОООО-ОО"/>
    <n v="4000000"/>
    <n v="16525.080000000002"/>
    <n v="0"/>
    <s v=""/>
    <s v=""/>
    <n v="47147.8"/>
    <m/>
    <n v="0"/>
    <n v="1"/>
    <n v="5029423.09"/>
    <n v="53953.69"/>
    <s v="10"/>
    <n v="53871.760800000004"/>
    <n v="3.26"/>
    <n v="45"/>
    <m/>
    <s v="ОСИПОВА"/>
    <n v="134"/>
    <m/>
  </r>
  <r>
    <s v="1"/>
    <d v="2023-10-26T00:00:00"/>
    <x v="1"/>
    <s v="10131010/300823/5020971"/>
    <s v="10131010"/>
    <s v="5020971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89413.639999999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2601.440000000002"/>
    <m/>
    <m/>
    <n v="103.4765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m/>
    <m/>
    <m/>
    <m/>
    <m/>
    <s v="1"/>
    <s v="2309101100"/>
    <s v=""/>
    <s v=""/>
    <s v="BE"/>
    <n v="16809.91"/>
    <s v="ОООО-ОО"/>
    <n v="4000000"/>
    <n v="16791.91"/>
    <m/>
    <s v=""/>
    <s v=""/>
    <n v="42601.440000000002"/>
    <m/>
    <n v="0"/>
    <n v="1"/>
    <n v="4889413.6399999997"/>
    <n v="51087.31"/>
    <s v="10"/>
    <n v="51047.4064"/>
    <n v="3.04"/>
    <m/>
    <m/>
    <m/>
    <n v="547"/>
    <m/>
  </r>
  <r>
    <s v="1"/>
    <d v="2023-12-22T00:00:00"/>
    <x v="10"/>
    <s v="10131010/300823/5020960"/>
    <s v="10131010"/>
    <s v="5020960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054330.3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4195.199999999997"/>
    <m/>
    <m/>
    <n v="103.4765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m/>
    <m/>
    <m/>
    <m/>
    <m/>
    <s v="1"/>
    <s v="2309101100"/>
    <s v=""/>
    <s v=""/>
    <s v="BE"/>
    <n v="16598.52"/>
    <s v="ОООО-ОО"/>
    <n v="4000000"/>
    <n v="16533.72"/>
    <m/>
    <s v=""/>
    <s v=""/>
    <n v="44195.199999999997"/>
    <m/>
    <n v="0"/>
    <n v="1"/>
    <n v="5054330.34"/>
    <n v="52810.46"/>
    <s v="10"/>
    <n v="52742.566800000001"/>
    <n v="3.19"/>
    <m/>
    <m/>
    <m/>
    <n v="4"/>
    <m/>
  </r>
  <r>
    <s v="1"/>
    <d v="2023-02-09T00:00:00"/>
    <x v="12"/>
    <s v="10131010/300823/3298530"/>
    <s v="10131010"/>
    <s v="3298530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70188.6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036.44"/>
    <m/>
    <m/>
    <n v="103.4765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6861.57"/>
    <s v="ОООО-ОО"/>
    <n v="4000000"/>
    <n v="16796.77"/>
    <n v="0"/>
    <s v=""/>
    <s v=""/>
    <n v="40036.44"/>
    <m/>
    <n v="0"/>
    <n v="1"/>
    <n v="4570188.63"/>
    <n v="47751.87"/>
    <s v="10"/>
    <n v="47702.826799999995"/>
    <n v="2.84"/>
    <m/>
    <m/>
    <m/>
    <n v="71"/>
    <m/>
  </r>
  <r>
    <s v="1"/>
    <d v="2023-05-24T00:00:00"/>
    <x v="9"/>
    <s v="10131010/300823/3298510"/>
    <s v="10131010"/>
    <s v="3298510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16028.4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1445.839999999997"/>
    <m/>
    <m/>
    <n v="103.4765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5908.47"/>
    <s v="ОООО-ОО"/>
    <n v="4000000"/>
    <n v="15746.47"/>
    <n v="0"/>
    <s v=""/>
    <s v=""/>
    <n v="41445.839999999997"/>
    <m/>
    <n v="0"/>
    <n v="1"/>
    <n v="4716028.41"/>
    <n v="49275.69"/>
    <s v="10"/>
    <n v="49286.451099999998"/>
    <n v="3.13"/>
    <m/>
    <m/>
    <m/>
    <n v="586"/>
    <m/>
  </r>
  <r>
    <s v="1"/>
    <d v="2023-03-30T00:00:00"/>
    <x v="2"/>
    <s v="10131010/300823/3298467"/>
    <s v="10131010"/>
    <s v="3298467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59235.44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3276.2"/>
    <m/>
    <m/>
    <n v="103.4765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856.759999999998"/>
    <s v="ОООО-ОО"/>
    <n v="4000000"/>
    <n v="16791.96"/>
    <n v="0"/>
    <s v=""/>
    <s v=""/>
    <n v="43276.2"/>
    <m/>
    <n v="0"/>
    <n v="1"/>
    <n v="4959235.4400000004"/>
    <n v="51816.85"/>
    <s v="10"/>
    <n v="51887.156399999993"/>
    <n v="3.09"/>
    <m/>
    <m/>
    <m/>
    <n v="361"/>
    <m/>
  </r>
  <r>
    <s v="1"/>
    <d v="2023-11-29T00:00:00"/>
    <x v="7"/>
    <s v="10131010/300823/3298066"/>
    <s v="10131010"/>
    <s v="3298066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64186.69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944.839999999997"/>
    <m/>
    <m/>
    <n v="103.4765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861.57"/>
    <s v="ОООО-ОО"/>
    <n v="4000000"/>
    <n v="16796.77"/>
    <n v="0"/>
    <s v=""/>
    <s v=""/>
    <n v="40944.839999999997"/>
    <m/>
    <n v="0"/>
    <n v="1"/>
    <n v="4664186.6900000004"/>
    <n v="48734.02"/>
    <s v="10"/>
    <n v="48710.633000000002"/>
    <n v="2.9"/>
    <m/>
    <m/>
    <m/>
    <n v="544"/>
    <m/>
  </r>
  <r>
    <s v="1"/>
    <d v="2023-04-25T00:00:00"/>
    <x v="3"/>
    <s v="10131010/300623/3236617"/>
    <s v="10131010"/>
    <s v="3236617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00295.5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240.6"/>
    <n v="4207511"/>
    <n v="52856.24"/>
    <n v="95.1051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H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161.43"/>
    <s v="ОООО-ОО"/>
    <n v="4000000"/>
    <n v="16042.03"/>
    <n v="0"/>
    <s v=""/>
    <s v=""/>
    <n v="44240.6"/>
    <n v="4207511"/>
    <n v="0"/>
    <n v="1"/>
    <n v="4600295.59"/>
    <n v="52856.24"/>
    <s v="10"/>
    <n v="52778.278700000003"/>
    <n v="3.29"/>
    <n v="45"/>
    <s v="2022/09 БР"/>
    <s v="ЧУДИНА ЭЛЬВИРА РАИСОВНА"/>
    <n v="96"/>
    <m/>
  </r>
  <r>
    <s v="1"/>
    <d v="2023-09-03T00:00:00"/>
    <x v="4"/>
    <s v="10131010/300623/3236356"/>
    <s v="10131010"/>
    <s v="3236356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67338.360000000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477"/>
    <n v="4325099"/>
    <n v="54775.519999999997"/>
    <n v="95.1051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; В АССОРТИМЕНТЕ:"/>
    <x v="1"/>
    <m/>
    <s v="UNITED PETFOOD PRODUCERS NV"/>
    <n v="33"/>
    <n v="0"/>
    <n v="0"/>
    <m/>
    <n v="0"/>
    <m/>
    <s v="1"/>
    <s v="2309101100"/>
    <s v=""/>
    <s v=""/>
    <s v="BE"/>
    <n v="16803"/>
    <s v="ОООО-ОО"/>
    <n v="4000000"/>
    <n v="16749"/>
    <n v="0"/>
    <s v=""/>
    <s v=""/>
    <n v="45477"/>
    <n v="4325099"/>
    <n v="0"/>
    <n v="1"/>
    <n v="4767338.3600000003"/>
    <n v="54775.519999999997"/>
    <s v="10"/>
    <n v="54769.23"/>
    <n v="3.27"/>
    <n v="45"/>
    <s v="2022/09 БР"/>
    <s v="ЧУДИНА ЭЛЬВИРА РАИСОВНА"/>
    <n v="96"/>
    <m/>
  </r>
  <r>
    <s v="1"/>
    <d v="2023-06-03T00:00:00"/>
    <x v="11"/>
    <s v="10131010/300523/3193814"/>
    <s v="10131010"/>
    <s v="3193814"/>
    <x v="1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05921.2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011.620000000003"/>
    <n v="3351149"/>
    <n v="46291.9"/>
    <n v="85.9013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B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089.259999999998"/>
    <s v="ОООО-ОО"/>
    <n v="4000000"/>
    <n v="17089.259999999998"/>
    <n v="0"/>
    <s v=""/>
    <s v=""/>
    <n v="39011.620000000003"/>
    <n v="3351149"/>
    <n v="0"/>
    <n v="1"/>
    <n v="3705921.24"/>
    <n v="46291.9"/>
    <s v="10"/>
    <n v="46291.387488"/>
    <n v="2.7088000000000001"/>
    <n v="45"/>
    <s v="2022/09 БР"/>
    <s v="БЛАГОНРАВОВА ДАРЬЯ ДМИТРИЕВНА"/>
    <n v="152"/>
    <m/>
  </r>
  <r>
    <s v="1"/>
    <d v="2023-05-18T00:00:00"/>
    <x v="9"/>
    <s v="10131010/300323/3111138"/>
    <s v="10131010"/>
    <s v="3111138"/>
    <x v="1"/>
    <s v="40"/>
    <s v=""/>
    <s v=""/>
    <s v=""/>
    <s v="UNITED PETFOOD PRODUCERS NV"/>
    <s v="9400, , ERPE-MERE, EVENBROEKVELD 1,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08180.2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055.88"/>
    <n v="3845017"/>
    <n v="54667.24"/>
    <n v="83.4859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, РАСФАСОВАННЫЙ ДЛЯ РОЗНИЧНОЙ ПРОДАЖИ, БЕЗ СОДЕРЖАНИЯ КРАХМАЛА; БЕЗ СОДЕРЖАНИЯ МОЛОЧНЫХ ПРОДУКТОВ,БЕЗ СОДЕРЖАНИЯ ГМО, В АССОРТИМЕНТЕ:"/>
    <x v="1"/>
    <m/>
    <s v="UNITED PETFOOD PRODUCERS NV"/>
    <n v="38"/>
    <n v="0"/>
    <n v="0"/>
    <m/>
    <n v="0"/>
    <m/>
    <s v="1"/>
    <s v="2309101100"/>
    <s v=""/>
    <s v=""/>
    <s v="BE"/>
    <n v="18579.21"/>
    <s v="ОООО-ОО"/>
    <n v="4000000"/>
    <n v="18275.61"/>
    <n v="0"/>
    <s v=""/>
    <s v=""/>
    <n v="46055.88"/>
    <n v="3845017"/>
    <n v="0"/>
    <n v="1"/>
    <n v="4208180.26"/>
    <n v="54667.24"/>
    <s v="10"/>
    <n v="54667.832193000002"/>
    <n v="2.9912999999999998"/>
    <n v="45"/>
    <s v="2022/09 БР"/>
    <s v="ЯШИНА АННА СЕРГЕЕВНА"/>
    <n v="174"/>
    <m/>
  </r>
  <r>
    <s v="1"/>
    <d v="2023-08-16T00:00:00"/>
    <x v="8"/>
    <s v="10131010/300123/3033218"/>
    <s v="10131010"/>
    <s v="3033218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390567.3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614.04"/>
    <n v="3062550"/>
    <n v="48899.69"/>
    <n v="75.4061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M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7169.61"/>
    <s v="ОООО-ОО"/>
    <n v="4000000"/>
    <n v="17169.61"/>
    <n v="0"/>
    <s v=""/>
    <s v=""/>
    <n v="40614.04"/>
    <n v="3062550"/>
    <n v="0"/>
    <n v="1"/>
    <n v="3390567.39"/>
    <n v="48899.69"/>
    <s v="10"/>
    <n v="48899.049279999999"/>
    <n v="2.8479999999999999"/>
    <n v="45"/>
    <s v="2022/09 БР"/>
    <s v="БЛАГОНРАВОВА ДАРЬЯ ДМИТРИЕВНА"/>
    <n v="140"/>
    <m/>
  </r>
  <r>
    <s v="1"/>
    <d v="2023-01-01T00:00:00"/>
    <x v="5"/>
    <s v="10131010/300123/3032780"/>
    <s v="10131010"/>
    <s v="3032780"/>
    <x v="1"/>
    <s v="40"/>
    <s v=""/>
    <s v=""/>
    <s v=""/>
    <s v="WELLPET BELGIUM BVBA"/>
    <s v="1831, ., DIEGEM, LEONARDO DA VINCILAAN, 19"/>
    <s v=""/>
    <s v=""/>
    <n v="1"/>
    <n v="0"/>
    <n v="1"/>
    <n v="33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n v="3922236.91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8900.78"/>
    <n v="3687422"/>
    <n v="56567.57"/>
    <n v="75.406199999999998"/>
    <s v="010"/>
    <s v="31"/>
    <s v="18090220/1481/1948/2/1"/>
    <s v="-"/>
    <s v="99"/>
    <s v=""/>
    <s v="."/>
    <s v=""/>
    <s v="СМОЛЕНСКАЯ ОБЛАСТЬ,СМОЛЕНСКИЙ Р-Н"/>
    <s v="СЕЛЬСКОЕ ПОСЕЛЕНИЕ СТАБНИНСКОЕ"/>
    <s v="СЕВЕРО-ВОСТОЧНЕЕ Д. СТАБНА,НА РАССТОЯНИИ 700 МЕТРО"/>
    <s v="10113100 т/п Стабнинский"/>
    <n v="1"/>
    <s v="СУХОЙ КОРМ ДЛЯ КОШЕК И СОБАК Т.М;&quot;WELLNESS CORE&quot;, РАСФАСОВАННЫЙ ДЛЯ РОЗНИЧНОЙ ПРОДАЖИ В ИНДИВИДУАЛЬНУЮ УПАКОВКУ, СОДЕРЖИТ 10 МАС.% ИЛИ МЕНЕЕ КРАХМАЛА, НЕ СОДЕРЖИТ ГЛЮКОЗУ, МОЛОЧНЫЕ ПРОДУКТЫ И МАЛЬТОДЕКСТРИН"/>
    <x v="1"/>
    <m/>
    <s v="UNITED PETFOOD FRANCE-UPF"/>
    <n v="33"/>
    <n v="0"/>
    <n v="0"/>
    <m/>
    <n v="0"/>
    <m/>
    <s v="1"/>
    <s v="2309101100"/>
    <s v=""/>
    <s v=""/>
    <s v="FR"/>
    <n v="15042.96"/>
    <s v="ОООО-ОО"/>
    <n v="4000000"/>
    <n v="14929.92"/>
    <n v="0"/>
    <s v=""/>
    <s v=""/>
    <n v="48900.78"/>
    <n v="3687422"/>
    <n v="0"/>
    <n v="1"/>
    <n v="3922236.91"/>
    <n v="56567.57"/>
    <s v="10"/>
    <n v="56567.973888"/>
    <n v="3.7888999999999999"/>
    <n v="941"/>
    <s v="0770/СПБ/161"/>
    <s v="ДАШКИН АЛЕКСЕЙ ХАЛИМОВИЧ"/>
    <n v="317"/>
    <m/>
  </r>
  <r>
    <s v="1"/>
    <d v="2023-06-07T00:00:00"/>
    <x v="11"/>
    <s v="10131010/300123/3031750"/>
    <s v="10131010"/>
    <s v="3031750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73981.7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720.239999999998"/>
    <n v="3145965"/>
    <n v="50102.71"/>
    <n v="75.4061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O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136.810000000001"/>
    <s v="ОООО-ОО"/>
    <n v="4000000"/>
    <n v="17136.810000000001"/>
    <n v="0"/>
    <s v=""/>
    <s v=""/>
    <n v="41720.239999999998"/>
    <n v="3145965"/>
    <n v="0"/>
    <n v="1"/>
    <n v="3473981.73"/>
    <n v="50102.71"/>
    <s v="10"/>
    <n v="50102.891397000007"/>
    <n v="2.9237000000000002"/>
    <n v="45"/>
    <s v="2022/09 БР"/>
    <s v="ЯШИНА АННА СЕРГЕЕВНА"/>
    <n v="271"/>
    <m/>
  </r>
  <r>
    <s v="1"/>
    <d v="2023-11-02T00:00:00"/>
    <x v="7"/>
    <s v="10131010/300123/3031346"/>
    <s v="10131010"/>
    <s v="3031346"/>
    <x v="1"/>
    <s v="40"/>
    <s v=""/>
    <s v=""/>
    <s v=""/>
    <s v="UNITED PETFOOD PRODUCERS NV"/>
    <s v="9400, , ERPE-MERE, EVENBROEKVELD 1,"/>
    <s v=""/>
    <s v=""/>
    <n v="1"/>
    <n v="0"/>
    <n v="1"/>
    <n v="36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93477.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957.24"/>
    <n v="3465461"/>
    <n v="54710.57"/>
    <n v="75.406199999999998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; БЕЗ СОДЕРЖАНИЯ КРАХМАЛА, БЕЗ СОДЕРЖАНИЯ МОЛОЧНЫХ ПРОДУКТОВ, В АССОРТИМЕНТЕ:"/>
    <x v="1"/>
    <m/>
    <s v="UNITED PETFOOD PRODUCERS NV"/>
    <n v="36"/>
    <n v="0"/>
    <n v="0"/>
    <m/>
    <n v="0"/>
    <m/>
    <s v="1"/>
    <s v="2309101100"/>
    <s v=""/>
    <s v=""/>
    <s v="BE"/>
    <n v="19386.87"/>
    <s v="ОООО-ОО"/>
    <n v="4000000"/>
    <n v="19386.87"/>
    <n v="0"/>
    <s v=""/>
    <s v=""/>
    <n v="45957.24"/>
    <n v="3465461"/>
    <n v="0"/>
    <n v="1"/>
    <n v="3793477.8"/>
    <n v="54710.57"/>
    <s v="10"/>
    <n v="54709.747139999999"/>
    <n v="2.8220000000000001"/>
    <n v="45"/>
    <s v="2022/09 БР"/>
    <s v="ОСИПОВА ТАТЬЯНА ВЛАДИМИРОВНА"/>
    <n v="137"/>
    <m/>
  </r>
  <r>
    <s v="1"/>
    <d v="2023-04-08T00:00:00"/>
    <x v="3"/>
    <s v="10131010/291123/3393113"/>
    <s v="10131010"/>
    <s v="3393113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52514.9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211.28"/>
    <m/>
    <m/>
    <n v="97.0658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953.12"/>
    <s v="ОООО-ОО"/>
    <n v="4000000"/>
    <n v="16845.12"/>
    <n v="0"/>
    <s v=""/>
    <s v=""/>
    <n v="42211.28"/>
    <m/>
    <n v="0"/>
    <n v="1"/>
    <n v="4552514.95"/>
    <n v="51376.87"/>
    <s v="10"/>
    <n v="51377.615999999995"/>
    <n v="3.05"/>
    <n v="45"/>
    <m/>
    <s v="ЧУДИНА"/>
    <n v="128"/>
    <m/>
  </r>
  <r>
    <s v="1"/>
    <d v="2023-06-29T00:00:00"/>
    <x v="11"/>
    <s v="10131010/291123/3393007"/>
    <s v="10131010"/>
    <s v="3393007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132566.1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584.85"/>
    <m/>
    <m/>
    <n v="97.0658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498.810000000001"/>
    <s v="ОООО-ОО"/>
    <n v="4000000"/>
    <n v="16498.810000000001"/>
    <n v="0"/>
    <s v=""/>
    <s v=""/>
    <n v="38584.85"/>
    <m/>
    <n v="0"/>
    <n v="1"/>
    <n v="4132566.13"/>
    <n v="46637.59"/>
    <s v="10"/>
    <n v="46691.632300000005"/>
    <n v="2.83"/>
    <n v="45"/>
    <m/>
    <s v="БЛАГОНРАВОВА"/>
    <n v="128"/>
    <m/>
  </r>
  <r>
    <s v="1"/>
    <d v="2023-08-04T00:00:00"/>
    <x v="8"/>
    <s v="10131010/291123/3392898"/>
    <s v="10131010"/>
    <s v="3392898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40939.63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761.800000000003"/>
    <m/>
    <m/>
    <n v="97.0658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65.48"/>
    <s v="ОООО-ОО"/>
    <n v="4000000"/>
    <n v="16557.48"/>
    <n v="0"/>
    <s v=""/>
    <s v=""/>
    <n v="41761.800000000003"/>
    <m/>
    <n v="0"/>
    <n v="1"/>
    <n v="4440939.6399999997"/>
    <n v="50117.7"/>
    <s v="10"/>
    <n v="50169.164399999994"/>
    <n v="3.03"/>
    <n v="45"/>
    <m/>
    <s v="ЯШИНА"/>
    <n v="52"/>
    <m/>
  </r>
  <r>
    <s v="1"/>
    <d v="2023-06-30T00:00:00"/>
    <x v="11"/>
    <s v="10131010/291123/3392777"/>
    <s v="10131010"/>
    <s v="3392777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83854.98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143.47"/>
    <m/>
    <m/>
    <n v="97.0658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158.71"/>
    <s v="ОООО-ОО"/>
    <n v="4000000"/>
    <n v="15964.31"/>
    <n v="0"/>
    <s v=""/>
    <s v=""/>
    <n v="40143.47"/>
    <m/>
    <n v="0"/>
    <n v="1"/>
    <n v="4283854.9800000004"/>
    <n v="48344.94"/>
    <s v="10"/>
    <n v="48371.859299999996"/>
    <n v="3.03"/>
    <n v="45"/>
    <m/>
    <s v="ЯШИНА"/>
    <n v="108"/>
    <m/>
  </r>
  <r>
    <s v="1"/>
    <d v="2023-10-20T00:00:00"/>
    <x v="1"/>
    <s v="10131010/291123/3392775"/>
    <s v="10131010"/>
    <s v="3392775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113584.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859.300000000003"/>
    <m/>
    <m/>
    <n v="97.0658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573.22"/>
    <s v="ОООО-ОО"/>
    <n v="4000000"/>
    <n v="16573.22"/>
    <n v="0"/>
    <s v=""/>
    <s v=""/>
    <n v="37859.300000000003"/>
    <m/>
    <n v="0"/>
    <n v="1"/>
    <n v="4113584.9"/>
    <n v="46423.38"/>
    <s v="10"/>
    <n v="46405.016000000003"/>
    <n v="2.8"/>
    <n v="45"/>
    <m/>
    <s v="БЛАГОНРАВОВА"/>
    <n v="212"/>
    <m/>
  </r>
  <r>
    <s v="1"/>
    <d v="2023-08-09T00:00:00"/>
    <x v="8"/>
    <s v="10131010/291123/3392769"/>
    <s v="10131010"/>
    <s v="3392769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193580.7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683.440000000002"/>
    <m/>
    <m/>
    <n v="97.0658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137.689999999999"/>
    <s v="ОООО-ОО"/>
    <n v="4000000"/>
    <n v="17137.689999999999"/>
    <n v="0"/>
    <s v=""/>
    <s v=""/>
    <n v="38683.440000000002"/>
    <m/>
    <n v="0"/>
    <n v="1"/>
    <n v="4193580.79"/>
    <n v="47326.16"/>
    <s v="10"/>
    <n v="47300.024399999995"/>
    <n v="2.76"/>
    <n v="45"/>
    <m/>
    <s v="ЧУДИНА"/>
    <n v="150"/>
    <m/>
  </r>
  <r>
    <s v="1"/>
    <d v="2022-08-21T00:00:00"/>
    <x v="6"/>
    <s v="10131010/290923/5029444"/>
    <s v="10131010"/>
    <s v="5029444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50730.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544.959999999999"/>
    <m/>
    <m/>
    <n v="102.0979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7353.91"/>
    <s v="ОООО-ОО"/>
    <n v="4000000"/>
    <n v="17353.91"/>
    <m/>
    <s v=""/>
    <s v=""/>
    <n v="35544.959999999999"/>
    <m/>
    <n v="0"/>
    <n v="1"/>
    <n v="4050730.1"/>
    <n v="41759.33"/>
    <s v="10"/>
    <n v="41822.9231"/>
    <n v="2.41"/>
    <n v="45"/>
    <m/>
    <s v="ДРУЗЯГИНА"/>
    <n v="287"/>
    <m/>
  </r>
  <r>
    <s v="1"/>
    <d v="2023-09-03T00:00:00"/>
    <x v="4"/>
    <s v="10131010/290823/5020771"/>
    <s v="10131010"/>
    <s v="5020771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157822.4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5827.89"/>
    <m/>
    <m/>
    <n v="103.24339999999999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6808.310000000001"/>
    <s v="ОООО-ОО"/>
    <n v="4000000"/>
    <n v="16754.310000000001"/>
    <m/>
    <s v=""/>
    <s v=""/>
    <n v="45827.89"/>
    <m/>
    <n v="0"/>
    <n v="1"/>
    <n v="5157822.42"/>
    <n v="54024.62"/>
    <s v="10"/>
    <n v="53948.878200000006"/>
    <n v="3.22"/>
    <m/>
    <m/>
    <m/>
    <n v="52"/>
    <m/>
  </r>
  <r>
    <s v="1"/>
    <d v="2023-02-05T00:00:00"/>
    <x v="12"/>
    <s v="10131010/290823/5020749"/>
    <s v="10131010"/>
    <s v="5020749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87693.80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3480.05"/>
    <m/>
    <m/>
    <n v="103.24339999999999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6420.400000000001"/>
    <s v="ОООО-ОО"/>
    <n v="4000000"/>
    <n v="16290.8"/>
    <m/>
    <s v=""/>
    <s v=""/>
    <n v="43480.05"/>
    <m/>
    <n v="0"/>
    <n v="1"/>
    <n v="4987693.8099999996"/>
    <n v="52242.64"/>
    <s v="10"/>
    <n v="52293.467999999993"/>
    <n v="3.21"/>
    <m/>
    <m/>
    <m/>
    <n v="370"/>
    <m/>
  </r>
  <r>
    <s v="1"/>
    <d v="2023-10-14T00:00:00"/>
    <x v="1"/>
    <s v="10131010/290823/5020743"/>
    <s v="10131010"/>
    <s v="5020743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79282.5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224.239999999998"/>
    <m/>
    <m/>
    <n v="103.24339999999999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m/>
    <m/>
    <m/>
    <m/>
    <m/>
    <s v="1"/>
    <s v="2309101100"/>
    <s v=""/>
    <s v=""/>
    <s v="BE"/>
    <n v="16765.93"/>
    <s v="ОООО-ОО"/>
    <n v="4000000"/>
    <n v="16679.53"/>
    <m/>
    <s v=""/>
    <s v=""/>
    <n v="40224.239999999998"/>
    <m/>
    <n v="0"/>
    <n v="1"/>
    <n v="4579282.54"/>
    <n v="47964.82"/>
    <s v="10"/>
    <n v="48037.046399999992"/>
    <n v="2.88"/>
    <m/>
    <m/>
    <m/>
    <n v="211"/>
    <m/>
  </r>
  <r>
    <s v="1"/>
    <d v="2023-11-05T00:00:00"/>
    <x v="7"/>
    <s v="10131010/290823/3296996"/>
    <s v="10131010"/>
    <s v="3296996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09574.15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517.64"/>
    <m/>
    <m/>
    <n v="103.24339999999999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7080.93"/>
    <s v="ОООО-ОО"/>
    <n v="4000000"/>
    <n v="17037.73"/>
    <n v="0"/>
    <s v=""/>
    <s v=""/>
    <n v="40517.64"/>
    <m/>
    <n v="0"/>
    <n v="1"/>
    <n v="4609574.1500000004"/>
    <n v="48282.1"/>
    <s v="10"/>
    <n v="48216.775900000001"/>
    <n v="2.83"/>
    <m/>
    <m/>
    <m/>
    <n v="128"/>
    <m/>
  </r>
  <r>
    <s v="1"/>
    <d v="2023-08-19T00:00:00"/>
    <x v="8"/>
    <s v="10131010/290823/3296980"/>
    <s v="10131010"/>
    <s v="3296980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092918.4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4679.24"/>
    <m/>
    <m/>
    <n v="103.24339999999999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6533.560000000001"/>
    <s v="ОООО-ОО"/>
    <n v="4000000"/>
    <n v="16443.560000000001"/>
    <n v="0"/>
    <s v=""/>
    <s v=""/>
    <n v="44679.24"/>
    <m/>
    <n v="0"/>
    <n v="1"/>
    <n v="5092918.46"/>
    <n v="53344.800000000003"/>
    <s v="10"/>
    <n v="53277.13440000001"/>
    <n v="3.24"/>
    <m/>
    <m/>
    <m/>
    <n v="112"/>
    <m/>
  </r>
  <r>
    <s v="1"/>
    <d v="2023-05-17T00:00:00"/>
    <x v="9"/>
    <s v="10131010/290823/3296794"/>
    <s v="10131010"/>
    <s v="3296794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97990.2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405.440000000002"/>
    <m/>
    <m/>
    <n v="103.24339999999999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7019.07"/>
    <s v="ОООО-ОО"/>
    <n v="4000000"/>
    <n v="16975.87"/>
    <n v="0"/>
    <s v=""/>
    <s v=""/>
    <n v="40405.440000000002"/>
    <m/>
    <n v="0"/>
    <n v="1"/>
    <n v="4597990.24"/>
    <n v="48160.77"/>
    <s v="10"/>
    <n v="48211.470799999996"/>
    <n v="2.84"/>
    <m/>
    <m/>
    <m/>
    <n v="91"/>
    <m/>
  </r>
  <r>
    <s v="1"/>
    <d v="2023-11-06T00:00:00"/>
    <x v="7"/>
    <s v="10131010/290623/3234199"/>
    <s v="10131010"/>
    <s v="3234199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76438.9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495.12"/>
    <n v="3988779"/>
    <n v="51115.16"/>
    <n v="93.86440000000000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179.72"/>
    <s v="ОООО-ОО"/>
    <n v="4000000"/>
    <n v="17179.72"/>
    <n v="0"/>
    <s v=""/>
    <s v=""/>
    <n v="42495.12"/>
    <n v="3988779"/>
    <n v="0"/>
    <n v="1"/>
    <n v="4376438.91"/>
    <n v="51115.16"/>
    <s v="10"/>
    <n v="51195.565600000002"/>
    <n v="2.98"/>
    <n v="45"/>
    <s v="2022/09 БР"/>
    <s v="ДРУЗЯГИНА ИРИНА НИКОЛАЕВНА"/>
    <n v="243"/>
    <m/>
  </r>
  <r>
    <s v="1"/>
    <d v="2023-01-25T00:00:00"/>
    <x v="5"/>
    <s v="10131010/290623/3234195"/>
    <s v="10131010"/>
    <s v="3234195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77047.7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436.239999999998"/>
    <n v="3889388"/>
    <n v="49954.31"/>
    <n v="93.86440000000000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M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210.349999999999"/>
    <s v="ОООО-ОО"/>
    <n v="4000000"/>
    <n v="17210.349999999999"/>
    <n v="0"/>
    <s v=""/>
    <s v=""/>
    <n v="41436.239999999998"/>
    <n v="3889388"/>
    <n v="0"/>
    <n v="1"/>
    <n v="4277047.78"/>
    <n v="49954.31"/>
    <s v="10"/>
    <n v="49910.014999999992"/>
    <n v="2.9"/>
    <n v="45"/>
    <s v="2022/09 БР"/>
    <s v="ЧУДИНА ЭЛЬВИРА РАИСОВНА"/>
    <n v="257"/>
    <m/>
  </r>
  <r>
    <s v="1"/>
    <d v="2023-05-18T00:00:00"/>
    <x v="9"/>
    <s v="10131010/290523/3192455"/>
    <s v="10131010"/>
    <s v="3192455"/>
    <x v="1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41766.30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883.25"/>
    <n v="3942243"/>
    <n v="54294.68"/>
    <n v="85.9189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7056.099999999999"/>
    <s v="ОООО-ОО"/>
    <n v="4000000"/>
    <n v="17056.099999999999"/>
    <n v="0"/>
    <s v=""/>
    <s v=""/>
    <n v="45883.25"/>
    <n v="3942243"/>
    <n v="0"/>
    <n v="1"/>
    <n v="4341766.3099999996"/>
    <n v="54294.68"/>
    <s v="10"/>
    <n v="54294.683129999998"/>
    <n v="3.1833"/>
    <n v="45"/>
    <s v="2022/09 БР"/>
    <s v="ЯШИНА АННА СЕРГЕЕВНА"/>
    <n v="296"/>
    <m/>
  </r>
  <r>
    <s v="1"/>
    <d v="2023-08-14T00:00:00"/>
    <x v="8"/>
    <s v="10131010/290523/3192453"/>
    <s v="10131010"/>
    <s v="3192453"/>
    <x v="1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75531.0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468.46"/>
    <n v="3820686"/>
    <n v="52215.87"/>
    <n v="85.9189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106.330000000002"/>
    <s v="ОООО-ОО"/>
    <n v="4000000"/>
    <n v="17106.330000000002"/>
    <n v="0"/>
    <s v=""/>
    <s v=""/>
    <n v="44468.46"/>
    <n v="3820686"/>
    <n v="0"/>
    <n v="1"/>
    <n v="4175531.08"/>
    <n v="52215.87"/>
    <s v="10"/>
    <n v="52215.361692000006"/>
    <n v="3.0524"/>
    <n v="45"/>
    <s v="2022/09 БР"/>
    <s v="ЧУДИНА ЭЛЬВИРА РАИСОВНА"/>
    <n v="296"/>
    <m/>
  </r>
  <r>
    <s v="1"/>
    <d v="2023-01-30T00:00:00"/>
    <x v="5"/>
    <s v="10131010/290523/3192450"/>
    <s v="10131010"/>
    <s v="3192450"/>
    <x v="1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35785.4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813.64"/>
    <n v="3936262"/>
    <n v="54219.89"/>
    <n v="85.9189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X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837.09"/>
    <s v="ОООО-ОО"/>
    <n v="4000000"/>
    <n v="16801.09"/>
    <n v="0"/>
    <s v=""/>
    <s v=""/>
    <n v="45813.64"/>
    <n v="3936262"/>
    <n v="0"/>
    <n v="1"/>
    <n v="4335785.49"/>
    <n v="54219.89"/>
    <s v="10"/>
    <n v="54220.477648"/>
    <n v="3.2271999999999998"/>
    <n v="45"/>
    <s v="2022/09 БР"/>
    <s v="ЯШИНА АННА СЕРГЕЕВНА"/>
    <n v="180"/>
    <m/>
  </r>
  <r>
    <s v="1"/>
    <d v="2023-08-25T00:00:00"/>
    <x v="8"/>
    <s v="10131010/290523/3192215"/>
    <s v="10131010"/>
    <s v="3192215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22638.8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525.08"/>
    <n v="3567793"/>
    <n v="49053.4"/>
    <n v="85.9189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875.34"/>
    <s v="ОООО-ОО"/>
    <n v="4000000"/>
    <n v="16810.54"/>
    <n v="0"/>
    <s v=""/>
    <s v=""/>
    <n v="41525.08"/>
    <n v="3567793"/>
    <n v="0"/>
    <n v="1"/>
    <n v="3922638.82"/>
    <n v="49053.4"/>
    <s v="10"/>
    <n v="49053.155720000002"/>
    <n v="2.9180000000000001"/>
    <n v="45"/>
    <s v="2022/09 БР"/>
    <s v="ДРУЗЯГИНА ИРИНА НИКОЛАЕВНА"/>
    <n v="166"/>
    <m/>
  </r>
  <r>
    <s v="1"/>
    <d v="2023-11-21T00:00:00"/>
    <x v="7"/>
    <s v="10131010/290323/3109717"/>
    <s v="10131010"/>
    <s v="3109717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93185.3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807.63"/>
    <n v="3791727"/>
    <n v="54745.68"/>
    <n v="82.7750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CОРТИМЕНТЕ:"/>
    <x v="1"/>
    <m/>
    <s v="UNITED PETFOOD PRODUCERS NV"/>
    <n v="33"/>
    <n v="0"/>
    <n v="0"/>
    <m/>
    <n v="0"/>
    <m/>
    <s v="1"/>
    <s v="2309101100"/>
    <s v=""/>
    <s v=""/>
    <s v="BE"/>
    <n v="16090.71"/>
    <s v="ОООО-ОО"/>
    <n v="4000000"/>
    <n v="16035.51"/>
    <n v="0"/>
    <s v=""/>
    <s v=""/>
    <n v="45807.63"/>
    <n v="3791727"/>
    <n v="0"/>
    <n v="1"/>
    <n v="4193185.32"/>
    <n v="54745.68"/>
    <s v="10"/>
    <n v="54745.231140000004"/>
    <n v="3.4140000000000001"/>
    <n v="45"/>
    <s v="2022/09 БР"/>
    <s v="ДРУЗЯГИНА ИРИНА НИКОЛАЕВНА"/>
    <n v="9"/>
    <m/>
  </r>
  <r>
    <s v="1"/>
    <d v="2023-07-26T00:00:00"/>
    <x v="0"/>
    <s v="10131010/290123/3031069"/>
    <s v="10131010"/>
    <s v="3031069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130791.31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8155.9"/>
    <n v="2877191"/>
    <n v="45153.13"/>
    <n v="75.406199999999998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Т.М. &quot;PREMIER&quot;, &quot;GRANDORF&quot;, РАСФАСОВАННЫЙ В ИНДИВИДУАЛЬНУЮ УПАКОВКУ ДЛЯ РОЗНИЧНОЙ ПРОДАЖИ, СОДЕРЖИТ КРАX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496.490000000002"/>
    <s v="ОООО-ОО"/>
    <n v="4000000"/>
    <n v="16323.69"/>
    <n v="0"/>
    <s v=""/>
    <s v=""/>
    <n v="38155.9"/>
    <n v="2877191"/>
    <n v="0"/>
    <n v="1"/>
    <n v="3130791.31"/>
    <n v="45153.13"/>
    <s v="10"/>
    <n v="45152.958909000001"/>
    <n v="2.7660999999999998"/>
    <n v="941"/>
    <s v="0770/СПБ/329"/>
    <s v="ДАШКИН АЛЕКСЕЙ ХАЛИМОВИЧ"/>
    <n v="180"/>
    <m/>
  </r>
  <r>
    <s v="1"/>
    <d v="2023-11-14T00:00:00"/>
    <x v="7"/>
    <s v="10131010/290123/3030993"/>
    <s v="10131010"/>
    <s v="3030993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173731.37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8725.35"/>
    <n v="2920131"/>
    <n v="45772.42"/>
    <n v="75.406199999999998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E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512.8"/>
    <s v="ОООО-ОО"/>
    <n v="4000000"/>
    <n v="16426.400000000001"/>
    <n v="0"/>
    <s v=""/>
    <s v=""/>
    <n v="38725.35"/>
    <n v="2920131"/>
    <n v="0"/>
    <n v="1"/>
    <n v="3173731.37"/>
    <n v="45772.42"/>
    <s v="10"/>
    <n v="45772.163600000007"/>
    <n v="2.7865000000000002"/>
    <n v="941"/>
    <s v="0770/СПБ/329"/>
    <s v="ДАШКИН АЛЕКСЕЙ ХАЛИМОВИЧ"/>
    <n v="124"/>
    <m/>
  </r>
  <r>
    <s v="1"/>
    <d v="2022-10-21T00:00:00"/>
    <x v="6"/>
    <s v="10131010/281223/3426846"/>
    <s v="10131010"/>
    <s v="342684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52621.2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945.24"/>
    <m/>
    <m/>
    <n v="101.345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163.71"/>
    <s v="ОООО-ОО"/>
    <n v="4000000"/>
    <n v="15926.11"/>
    <n v="0"/>
    <s v=""/>
    <s v=""/>
    <n v="39945.24"/>
    <m/>
    <n v="0"/>
    <n v="1"/>
    <n v="4452621.29"/>
    <n v="48553.69"/>
    <s v="10"/>
    <n v="48574.635499999997"/>
    <n v="3.05"/>
    <n v="45"/>
    <m/>
    <s v="ОСИПОВА"/>
    <n v="159"/>
    <m/>
  </r>
  <r>
    <s v="1"/>
    <d v="2022-05-22T00:00:00"/>
    <x v="6"/>
    <s v="10131010/281223/3426842"/>
    <s v="10131010"/>
    <s v="342684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79641.6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172.04"/>
    <m/>
    <m/>
    <n v="101.345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01.95"/>
    <s v="ОООО-ОО"/>
    <n v="4000000"/>
    <n v="16517.95"/>
    <n v="0"/>
    <s v=""/>
    <s v=""/>
    <n v="43172.04"/>
    <m/>
    <n v="0"/>
    <n v="1"/>
    <n v="4779641.66"/>
    <n v="52119.69"/>
    <s v="10"/>
    <n v="52196.722000000002"/>
    <n v="3.16"/>
    <n v="45"/>
    <m/>
    <s v="ЧУДИНА"/>
    <n v="303"/>
    <m/>
  </r>
  <r>
    <s v="1"/>
    <d v="2022-01-04T00:00:00"/>
    <x v="6"/>
    <s v="10131010/281223/3426841"/>
    <s v="10131010"/>
    <s v="342684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35267.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707.64"/>
    <m/>
    <m/>
    <n v="101.345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79.45"/>
    <s v="ОООО-ОО"/>
    <n v="4000000"/>
    <n v="16363.45"/>
    <n v="0"/>
    <s v=""/>
    <s v=""/>
    <n v="44707.64"/>
    <m/>
    <n v="0"/>
    <n v="1"/>
    <n v="4935267.2"/>
    <n v="53816.71"/>
    <s v="10"/>
    <n v="53835.750500000002"/>
    <n v="3.29"/>
    <n v="45"/>
    <m/>
    <s v="ЧУДИНА"/>
    <n v="303"/>
    <m/>
  </r>
  <r>
    <s v="1"/>
    <d v="2023-10-02T00:00:00"/>
    <x v="1"/>
    <s v="10131010/281223/3426840"/>
    <s v="10131010"/>
    <s v="3426840"/>
    <x v="0"/>
    <s v="40"/>
    <s v=""/>
    <s v=""/>
    <s v=""/>
    <s v="UNITED PETFOOD PRODUCERS"/>
    <s v="9042, , GHENT, TERDONKKAAI 16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73196.11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108.44"/>
    <m/>
    <m/>
    <n v="101.345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36.509999999998"/>
    <s v="ОООО-ОО"/>
    <n v="4000000"/>
    <n v="16528.509999999998"/>
    <n v="0"/>
    <s v=""/>
    <s v=""/>
    <n v="43108.44"/>
    <m/>
    <n v="0"/>
    <n v="1"/>
    <n v="4773196.1100000003"/>
    <n v="52049.41"/>
    <s v="10"/>
    <n v="52064.806499999992"/>
    <n v="3.15"/>
    <n v="45"/>
    <m/>
    <s v="ЧУДИНА"/>
    <n v="302"/>
    <m/>
  </r>
  <r>
    <s v="1"/>
    <d v="2023-05-02T00:00:00"/>
    <x v="9"/>
    <s v="10131010/281223/3426838"/>
    <s v="10131010"/>
    <s v="342683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37729.13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824.839999999997"/>
    <m/>
    <m/>
    <n v="101.345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163.71"/>
    <s v="ОООО-ОО"/>
    <n v="4000000"/>
    <n v="15926.11"/>
    <n v="0"/>
    <s v=""/>
    <s v=""/>
    <n v="37824.839999999997"/>
    <m/>
    <n v="0"/>
    <n v="1"/>
    <n v="4237729.1399999997"/>
    <n v="46210.400000000001"/>
    <s v="10"/>
    <n v="46185.718999999997"/>
    <n v="2.9"/>
    <n v="45"/>
    <m/>
    <s v="ОСИПОВА"/>
    <n v="93"/>
    <m/>
  </r>
  <r>
    <s v="1"/>
    <d v="2023-11-02T00:00:00"/>
    <x v="7"/>
    <s v="10131010/281222/3560559"/>
    <s v="10131010"/>
    <s v="3560559"/>
    <x v="0"/>
    <s v="40"/>
    <s v=""/>
    <s v=""/>
    <s v=""/>
    <s v="DDC KLIMAT GMBH FROM SIA WELLMAN LOGISTICS, LATVIA"/>
    <s v="21376, , SALZHAUSEN, KREUZWEG, 1B,"/>
    <s v=""/>
    <s v=""/>
    <n v="4"/>
    <n v="0"/>
    <n v="9"/>
    <n v="21"/>
    <s v="5087746162983"/>
    <s v="7703675923"/>
    <s v="ООО ДАИЧИ"/>
    <s v="125130, , Г.МОСКВА, СТАРОПЕТРОВСКИЙ ПРОЕЗД,, Д.11,КОРП.1,ЭТАЖ 3,ОФИС 20"/>
    <s v="45000"/>
    <s v="774301001"/>
    <s v="5087746162983"/>
    <s v="7703675923"/>
    <s v="ООО ДАИЧИ"/>
    <s v="125130, , Г.МОСКВА, СТАРОПЕТРОВСКИЙ ПРОЕЗД,, Д.11,КОРП.1,ЭТАЖ 3,ОФИС 20"/>
    <s v="45000"/>
    <s v="774301001"/>
    <s v="DE"/>
    <s v="ГЕРМАНИЯ"/>
    <n v="4394583.13"/>
    <s v="5087746162983"/>
    <s v="7703675923"/>
    <s v="ООО ДАИЧИ"/>
    <s v="125130, , Г.МОСКВА, СТАРОПЕТРОВСКИЙ ПРОЕЗД,, Д.11,КОРП.1,ЭТАЖ 3,ОФИС 20"/>
    <s v="45000"/>
    <s v="774301001"/>
    <s v="LV"/>
    <s v="ЛАТВИЯ"/>
    <x v="3"/>
    <s v="RU"/>
    <s v="РОССИЯ"/>
    <n v="2"/>
    <s v="0"/>
    <s v="CIР"/>
    <s v="МОСКВА"/>
    <n v="1"/>
    <s v="EUR"/>
    <n v="59239.839999999902"/>
    <n v="4394583"/>
    <n v="62838.47"/>
    <n v="74.182900000000004"/>
    <s v="010"/>
    <s v=""/>
    <s v="13010001/2156/0000/2/1"/>
    <s v="-"/>
    <s v="99"/>
    <s v=""/>
    <s v="512"/>
    <s v=""/>
    <s v="ТВЕРСКАЯ ОБЛ."/>
    <s v="Г. РЖЕВ"/>
    <s v="УЛ. СОЛНЕЧНАЯ, Д. 22"/>
    <s v="10113150 т/п Ржевский"/>
    <n v="3"/>
    <s v="КОТЛЫ ЦЕНТРАЛЬНОГО ОТОПЛЕНИЯ, ГАЗОВЫЕ ВОДОГРЕЙНЫЕ:"/>
    <x v="0"/>
    <m/>
    <s v="DAIKIN ISITMA VE SOGUTMA SISTEMLERI SAN.TIC. A.S."/>
    <n v="20"/>
    <n v="0"/>
    <n v="200"/>
    <s v="ШТ"/>
    <n v="0"/>
    <m/>
    <s v="5"/>
    <s v="8403109000"/>
    <s v=""/>
    <s v=""/>
    <s v="TR"/>
    <n v="6700"/>
    <s v="ОООО-ОО"/>
    <n v="4000000"/>
    <n v="6200"/>
    <n v="0"/>
    <s v=""/>
    <s v=""/>
    <n v="52232"/>
    <n v="3874721"/>
    <n v="0"/>
    <n v="1"/>
    <n v="3874721.23"/>
    <n v="55404.92"/>
    <s v="10"/>
    <n v="8.9362999999999992"/>
    <n v="538"/>
    <n v="4"/>
    <m/>
    <s v="ЛАПИНА АЛЛА АЛЕКСЕЕВНА"/>
    <n v="167"/>
    <m/>
  </r>
  <r>
    <s v="1"/>
    <d v="2023-09-18T00:00:00"/>
    <x v="4"/>
    <s v="10131010/281222/3560559"/>
    <s v="10131010"/>
    <s v="3560559"/>
    <x v="0"/>
    <s v="40"/>
    <s v=""/>
    <s v=""/>
    <s v=""/>
    <s v="DDC KLIMAT GMBH FROM SIA WELLMAN LOGISTICS, LATVIA"/>
    <s v="21376, , SALZHAUSEN, KREUZWEG, 1B,"/>
    <s v=""/>
    <s v=""/>
    <n v="4"/>
    <n v="0"/>
    <n v="9"/>
    <n v="21"/>
    <s v="5087746162983"/>
    <s v="7703675923"/>
    <s v="ООО ДАИЧИ"/>
    <s v="125130, , Г.МОСКВА, СТАРОПЕТРОВСКИЙ ПРОЕЗД,, Д.11,КОРП.1,ЭТАЖ 3,ОФИС 20"/>
    <s v="45000"/>
    <s v="774301001"/>
    <s v="5087746162983"/>
    <s v="7703675923"/>
    <s v="ООО ДАИЧИ"/>
    <s v="125130, , Г.МОСКВА, СТАРОПЕТРОВСКИЙ ПРОЕЗД,, Д.11,КОРП.1,ЭТАЖ 3,ОФИС 20"/>
    <s v="45000"/>
    <s v="774301001"/>
    <s v="DE"/>
    <s v="ГЕРМАНИЯ"/>
    <n v="4394583.13"/>
    <s v="5087746162983"/>
    <s v="7703675923"/>
    <s v="ООО ДАИЧИ"/>
    <s v="125130, , Г.МОСКВА, СТАРОПЕТРОВСКИЙ ПРОЕЗД,, Д.11,КОРП.1,ЭТАЖ 3,ОФИС 20"/>
    <s v="45000"/>
    <s v="774301001"/>
    <s v="LV"/>
    <s v="ЛАТВИЯ"/>
    <x v="1"/>
    <s v="RU"/>
    <s v="РОССИЯ"/>
    <n v="2"/>
    <s v="0"/>
    <s v="CIP"/>
    <s v="МОСКВА"/>
    <n v="1"/>
    <s v="EUR"/>
    <n v="59239.839999999902"/>
    <n v="4394583"/>
    <n v="62838.47"/>
    <n v="74.182900000000004"/>
    <s v="010"/>
    <s v=""/>
    <s v="13010001/2156/0000/2/1"/>
    <s v="-"/>
    <s v="99"/>
    <s v=""/>
    <s v="512"/>
    <s v=""/>
    <s v="ТВЕРСКАЯ ОБЛ."/>
    <s v="Г. РЖЕВ"/>
    <s v="УЛ. СОЛНЕЧНАЯ, Д. 22"/>
    <s v="10113150 т/п Ржевский"/>
    <n v="2"/>
    <s v="КОТЛЫ ЦЕНТРАЛЬНОГО ОТОПЛЕНИЯ, ГАЗОВЫЕ ВОДОГРЕЙНЫЕ:"/>
    <x v="0"/>
    <m/>
    <s v="WUHU MIDEA KITCHEN &amp; BATH APPLIANCES MFG. CO., LTD"/>
    <n v="1"/>
    <n v="0"/>
    <n v="1"/>
    <s v="ШТ"/>
    <n v="0"/>
    <m/>
    <s v="4"/>
    <s v="8403109000"/>
    <s v=""/>
    <s v=""/>
    <s v="CN"/>
    <n v="30.25"/>
    <s v="ОООО-ОО"/>
    <n v="4000000"/>
    <n v="25"/>
    <n v="0"/>
    <s v=""/>
    <s v=""/>
    <n v="180.52"/>
    <n v="13391"/>
    <n v="0"/>
    <n v="1"/>
    <n v="13391.5"/>
    <n v="191.49"/>
    <s v="10"/>
    <n v="7.6596000000000002"/>
    <n v="538"/>
    <n v="4"/>
    <m/>
    <s v="ЛАПИНА АЛЛА АЛЕКСЕЕВНА"/>
    <n v="167"/>
    <m/>
  </r>
  <r>
    <s v="1"/>
    <d v="2023-10-02T00:00:00"/>
    <x v="1"/>
    <s v="10131010/281123/3391388"/>
    <s v="10131010"/>
    <s v="339138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01241.4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338.42"/>
    <m/>
    <m/>
    <n v="97.15940000000000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83.400000000001"/>
    <s v="ОООО-ОО"/>
    <n v="4000000"/>
    <n v="16883.400000000001"/>
    <n v="0"/>
    <s v=""/>
    <s v=""/>
    <n v="42338.42"/>
    <m/>
    <n v="0"/>
    <n v="1"/>
    <n v="4501241.49"/>
    <n v="50744.23"/>
    <s v="10"/>
    <n v="50819.034"/>
    <n v="3.01"/>
    <n v="45"/>
    <m/>
    <s v="ЧУДИНА"/>
    <n v="166"/>
    <m/>
  </r>
  <r>
    <s v="1"/>
    <d v="2023-03-28T00:00:00"/>
    <x v="2"/>
    <s v="10131010/281123/3390664"/>
    <s v="10131010"/>
    <s v="339066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03403.5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772.199999999997"/>
    <m/>
    <m/>
    <n v="97.15940000000000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132.88"/>
    <s v="ОООО-ОО"/>
    <n v="4000000"/>
    <n v="17132.88"/>
    <n v="0"/>
    <s v=""/>
    <s v=""/>
    <n v="39772.199999999997"/>
    <m/>
    <n v="0"/>
    <n v="1"/>
    <n v="4303403.58"/>
    <n v="48513.93"/>
    <s v="10"/>
    <n v="48486.050400000007"/>
    <n v="2.83"/>
    <n v="45"/>
    <m/>
    <s v="БЛАГОНРАВОВА"/>
    <n v="313"/>
    <m/>
  </r>
  <r>
    <s v="1"/>
    <d v="2023-09-12T00:00:00"/>
    <x v="4"/>
    <s v="10131010/281123/3390660"/>
    <s v="10131010"/>
    <s v="339066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46056.55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741.199999999997"/>
    <m/>
    <m/>
    <n v="97.15940000000000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138.28"/>
    <s v="ОООО-ОО"/>
    <n v="4000000"/>
    <n v="17138.28"/>
    <n v="0"/>
    <s v=""/>
    <s v=""/>
    <n v="40741.199999999997"/>
    <m/>
    <n v="0"/>
    <n v="1"/>
    <n v="4346056.5599999996"/>
    <n v="48994.77"/>
    <s v="10"/>
    <n v="49015.480799999998"/>
    <n v="2.86"/>
    <n v="45"/>
    <m/>
    <s v="ЯШИНА"/>
    <n v="1"/>
    <m/>
  </r>
  <r>
    <s v="1"/>
    <d v="2023-09-16T00:00:00"/>
    <x v="4"/>
    <s v="10131010/280923/5029300"/>
    <s v="10131010"/>
    <s v="502930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33562.51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466.28"/>
    <m/>
    <m/>
    <n v="101.9779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7186.48"/>
    <s v="ОООО-ОО"/>
    <n v="4000000"/>
    <n v="17121.68"/>
    <m/>
    <s v=""/>
    <s v=""/>
    <n v="40466.28"/>
    <m/>
    <n v="0"/>
    <n v="1"/>
    <n v="4533562.5199999996"/>
    <n v="46979.92"/>
    <s v="10"/>
    <n v="46913.403200000008"/>
    <n v="2.74"/>
    <n v="45"/>
    <m/>
    <s v="ЯШИНА"/>
    <n v="278"/>
    <m/>
  </r>
  <r>
    <s v="1"/>
    <d v="2022-03-18T00:00:00"/>
    <x v="6"/>
    <s v="10131010/280923/5029291"/>
    <s v="10131010"/>
    <s v="502929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385968.07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8825"/>
    <m/>
    <m/>
    <n v="101.9779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6907.04"/>
    <s v="ОООО-ОО"/>
    <n v="4000000"/>
    <n v="16907.04"/>
    <m/>
    <s v=""/>
    <s v=""/>
    <n v="48825"/>
    <m/>
    <n v="0"/>
    <n v="1"/>
    <n v="5385968.0700000003"/>
    <n v="55813.14"/>
    <s v="10"/>
    <n v="55793.231999999996"/>
    <n v="3.3"/>
    <n v="45"/>
    <m/>
    <s v="ЧУДИНА"/>
    <n v="144"/>
    <m/>
  </r>
  <r>
    <s v="1"/>
    <d v="2022-02-24T00:00:00"/>
    <x v="6"/>
    <s v="10131010/280923/3328068"/>
    <s v="10131010"/>
    <s v="332806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89667.0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977.65"/>
    <m/>
    <m/>
    <n v="101.9779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294.34"/>
    <s v="ОООО-ОО"/>
    <n v="4000000"/>
    <n v="16186.34"/>
    <n v="0"/>
    <s v=""/>
    <s v=""/>
    <n v="42977.65"/>
    <m/>
    <n v="0"/>
    <n v="1"/>
    <n v="4789667.01"/>
    <n v="49633.86"/>
    <s v="10"/>
    <n v="49692.063799999996"/>
    <n v="3.07"/>
    <n v="45"/>
    <m/>
    <s v="ЧУДИНА"/>
    <n v="577"/>
    <m/>
  </r>
  <r>
    <s v="1"/>
    <d v="2022-10-03T00:00:00"/>
    <x v="6"/>
    <s v="10131010/280923/3327083"/>
    <s v="10131010"/>
    <s v="332708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79383.4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678.62"/>
    <m/>
    <m/>
    <n v="101.9779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058.46"/>
    <s v="ОООО-ОО"/>
    <n v="4000000"/>
    <n v="15968.47"/>
    <n v="0"/>
    <s v=""/>
    <s v=""/>
    <n v="45678.62"/>
    <m/>
    <n v="0"/>
    <n v="1"/>
    <n v="5079383.45"/>
    <n v="52636.1"/>
    <s v="10"/>
    <n v="52695.950999999994"/>
    <n v="3.3"/>
    <n v="45"/>
    <m/>
    <s v="БЛАГОНРАВОВА"/>
    <n v="586"/>
    <m/>
  </r>
  <r>
    <s v="1"/>
    <d v="2023-08-10T00:00:00"/>
    <x v="8"/>
    <s v="10131010/280823/5020452"/>
    <s v="10131010"/>
    <s v="5020452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16722.9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1995.44"/>
    <m/>
    <m/>
    <n v="102.2586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m/>
    <m/>
    <m/>
    <m/>
    <m/>
    <s v="1"/>
    <s v="2309101100"/>
    <s v=""/>
    <s v=""/>
    <s v="BE"/>
    <n v="16091.94"/>
    <s v="ОООО-ОО"/>
    <n v="4000000"/>
    <n v="16001.94"/>
    <m/>
    <s v=""/>
    <s v=""/>
    <n v="41995.44"/>
    <m/>
    <n v="0"/>
    <n v="1"/>
    <n v="4716722.92"/>
    <n v="49800.85"/>
    <s v="10"/>
    <n v="49766.0334"/>
    <n v="3.11"/>
    <m/>
    <m/>
    <m/>
    <n v="30"/>
    <m/>
  </r>
  <r>
    <s v="1"/>
    <d v="2023-10-07T00:00:00"/>
    <x v="1"/>
    <s v="10131010/280823/5020439"/>
    <s v="10131010"/>
    <s v="5020439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52026.0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4296.5"/>
    <m/>
    <m/>
    <n v="102.2586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6182.21"/>
    <s v="ОООО-ОО"/>
    <n v="4000000"/>
    <n v="16074.21"/>
    <m/>
    <s v=""/>
    <s v=""/>
    <n v="44296.5"/>
    <m/>
    <n v="0"/>
    <n v="1"/>
    <n v="4952026.09"/>
    <n v="52285.26"/>
    <s v="10"/>
    <n v="52241.182499999995"/>
    <n v="3.25"/>
    <m/>
    <m/>
    <m/>
    <n v="342"/>
    <m/>
  </r>
  <r>
    <s v="1"/>
    <d v="2023-03-02T00:00:00"/>
    <x v="2"/>
    <s v="10131010/280823/3295434"/>
    <s v="10131010"/>
    <s v="3295434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95000.860000000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2060.93"/>
    <m/>
    <m/>
    <n v="102.2586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6780.759999999998"/>
    <s v="ОООО-ОО"/>
    <n v="4000000"/>
    <n v="16701.560000000001"/>
    <n v="0"/>
    <s v=""/>
    <s v=""/>
    <n v="42060.93"/>
    <m/>
    <n v="0"/>
    <n v="1"/>
    <n v="4795000.8600000003"/>
    <n v="50627.33"/>
    <s v="10"/>
    <n v="50605.726800000004"/>
    <n v="3.03"/>
    <m/>
    <m/>
    <m/>
    <n v="249"/>
    <m/>
  </r>
  <r>
    <s v="1"/>
    <d v="2023-05-02T00:00:00"/>
    <x v="9"/>
    <s v="10131010/280823/3294899"/>
    <s v="10131010"/>
    <s v="3294899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53334.1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397.64"/>
    <m/>
    <m/>
    <n v="102.2586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6964.830000000002"/>
    <s v="ОООО-ОО"/>
    <n v="4000000"/>
    <n v="16931.23"/>
    <n v="0"/>
    <s v=""/>
    <s v=""/>
    <n v="40397.64"/>
    <m/>
    <n v="0"/>
    <n v="1"/>
    <n v="4553334.13"/>
    <n v="48075.73"/>
    <s v="10"/>
    <n v="48084.693199999994"/>
    <n v="2.84"/>
    <m/>
    <m/>
    <m/>
    <n v="582"/>
    <m/>
  </r>
  <r>
    <s v="1"/>
    <d v="2023-11-11T00:00:00"/>
    <x v="7"/>
    <s v="10131010/280823/3294334"/>
    <s v="10131010"/>
    <s v="3294334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47686.0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1320.32"/>
    <m/>
    <m/>
    <n v="102.2586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BE"/>
    <n v="16887.400000000001"/>
    <s v="ОООО-ОО"/>
    <n v="4000000"/>
    <n v="16822.599999999999"/>
    <n v="0"/>
    <s v=""/>
    <s v=""/>
    <n v="41320.32"/>
    <m/>
    <n v="0"/>
    <n v="1"/>
    <n v="4647686.09"/>
    <n v="49071.93"/>
    <s v="10"/>
    <n v="49121.991999999991"/>
    <n v="2.92"/>
    <m/>
    <m/>
    <m/>
    <n v="205"/>
    <m/>
  </r>
  <r>
    <s v="1"/>
    <d v="2023-08-18T00:00:00"/>
    <x v="8"/>
    <s v="10131010/280623/3232806"/>
    <s v="10131010"/>
    <s v="3232806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30690.389999999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921.599999999999"/>
    <n v="3997602"/>
    <n v="52094.879999999997"/>
    <n v="93.1372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O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918.02"/>
    <s v="ОООО-ОО"/>
    <n v="4000000"/>
    <n v="16900.02"/>
    <n v="0"/>
    <s v=""/>
    <s v=""/>
    <n v="42921.599999999999"/>
    <n v="3997602"/>
    <n v="0"/>
    <n v="1"/>
    <n v="4430690.3899999997"/>
    <n v="52094.879999999997"/>
    <s v="10"/>
    <n v="52052.061600000001"/>
    <n v="3.08"/>
    <n v="45"/>
    <s v="2022/09 БР"/>
    <s v="ЧУДИНА ЭЛЬВИРА РАИСОВНА"/>
    <n v="552"/>
    <m/>
  </r>
  <r>
    <s v="1"/>
    <d v="2023-02-07T00:00:00"/>
    <x v="12"/>
    <s v="10131010/280423/3151102"/>
    <s v="10131010"/>
    <s v="3151102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28079.4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523.3"/>
    <n v="3835699"/>
    <n v="51840.05"/>
    <n v="90.2022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565.77"/>
    <s v="ОООО-ОО"/>
    <n v="4000000"/>
    <n v="16371.37"/>
    <n v="0"/>
    <s v=""/>
    <s v=""/>
    <n v="42523.3"/>
    <n v="3835699"/>
    <n v="0"/>
    <n v="1"/>
    <n v="4228079.47"/>
    <n v="51840.05"/>
    <s v="10"/>
    <n v="51839.943105000006"/>
    <n v="3.1665000000000001"/>
    <n v="45"/>
    <s v="2022/09 БР"/>
    <s v="БЛАГОНРАВОВА ДАРЬЯ ДМИТРИЕВНА"/>
    <n v="13"/>
    <m/>
  </r>
  <r>
    <s v="1"/>
    <d v="2023-01-23T00:00:00"/>
    <x v="5"/>
    <s v="10131010/280423/3151100"/>
    <s v="10131010"/>
    <s v="3151100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86819.2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474.5"/>
    <n v="3831298"/>
    <n v="52560.25"/>
    <n v="90.2022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800.91"/>
    <s v="ОООО-ОО"/>
    <n v="4000000"/>
    <n v="16736.11"/>
    <n v="0"/>
    <s v=""/>
    <s v=""/>
    <n v="42474.5"/>
    <n v="3831298"/>
    <n v="0"/>
    <n v="1"/>
    <n v="4286819.21"/>
    <n v="52560.25"/>
    <s v="10"/>
    <n v="52559.753454999998"/>
    <n v="3.1404999999999998"/>
    <n v="45"/>
    <s v="2022/09 БР"/>
    <s v="ЯШИНА АННА СЕРГЕЕВНА"/>
    <n v="163"/>
    <m/>
  </r>
  <r>
    <s v="1"/>
    <d v="2023-12-06T00:00:00"/>
    <x v="10"/>
    <s v="10131010/280423/3151099"/>
    <s v="10131010"/>
    <s v="3151099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80477.9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604.2"/>
    <n v="3842997"/>
    <n v="52482.5"/>
    <n v="90.2022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728.580000000002"/>
    <s v="ОООО-ОО"/>
    <n v="4000000"/>
    <n v="17728.580000000002"/>
    <n v="0"/>
    <s v=""/>
    <s v=""/>
    <n v="42604.2"/>
    <n v="3842997"/>
    <n v="0"/>
    <n v="1"/>
    <n v="4280477.99"/>
    <n v="52482.5"/>
    <s v="10"/>
    <n v="52481.915374000011"/>
    <n v="2.9603000000000002"/>
    <n v="45"/>
    <s v="2022/09 БР"/>
    <s v="ОСИПОВА ТАТЬЯНА ВЛАДИМИРОВНА"/>
    <n v="163"/>
    <m/>
  </r>
  <r>
    <s v="1"/>
    <d v="2023-07-24T00:00:00"/>
    <x v="0"/>
    <s v="10131010/280323/3107639"/>
    <s v="10131010"/>
    <s v="3107639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93783.9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397.47"/>
    <n v="3735817"/>
    <n v="53467.25"/>
    <n v="82.29130000000000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X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470.419999999998"/>
    <s v="ОООО-ОО"/>
    <n v="4000000"/>
    <n v="16330.02"/>
    <n v="0"/>
    <s v=""/>
    <s v=""/>
    <n v="45397.47"/>
    <n v="3735817"/>
    <n v="0"/>
    <n v="1"/>
    <n v="4093783.98"/>
    <n v="53467.25"/>
    <s v="10"/>
    <n v="53467.751484"/>
    <n v="3.2742"/>
    <n v="45"/>
    <s v="2022/09 БР"/>
    <s v="БЛАГОНРАВОВА ДАРЬЯ ДМИТРИЕВНА"/>
    <n v="221"/>
    <m/>
  </r>
  <r>
    <s v="1"/>
    <d v="2023-12-05T00:00:00"/>
    <x v="10"/>
    <s v="10131010/280123/3030670"/>
    <s v="10131010"/>
    <s v="3030670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184381.74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8866.589999999997"/>
    <n v="2930782"/>
    <n v="45926.02"/>
    <n v="75.406199999999998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PREMIER&quot;, &quot;GRANDORF&quot;, РАСФАСОВАННЫЙ В ИНДИВИДУАЛЬНУЮ УПАКОВКУ ДЛЯ РОЗНИЧНОЙ ПРОДАЖИ, СОДЕРЖИТ КРАХМАЛ МЕНЕЕ 10%, НЕ СОДЕРЖИТ МОЛОЧНЫЕ ПРОДУКТЫ, ГЛЮКOЗУ И МАЛЬТОДЕКСТРИН."/>
    <x v="1"/>
    <m/>
    <s v="UNITED PETFOOD PRODUCERS NV"/>
    <n v="33"/>
    <n v="1"/>
    <n v="0"/>
    <m/>
    <n v="0"/>
    <m/>
    <s v="1"/>
    <s v="2309101100"/>
    <s v=""/>
    <s v=""/>
    <s v="BE"/>
    <n v="15864.91"/>
    <s v="ОООО-ОО"/>
    <n v="4000000"/>
    <n v="15627.31"/>
    <n v="0"/>
    <s v=""/>
    <s v=""/>
    <n v="38866.589999999997"/>
    <n v="2930782"/>
    <n v="0"/>
    <n v="1"/>
    <n v="3184381.74"/>
    <n v="45926.02"/>
    <s v="10"/>
    <n v="45925.538628000002"/>
    <n v="2.9388000000000001"/>
    <n v="941"/>
    <s v="0770/СПБ/329"/>
    <s v="ДАШКИН АЛЕКСЕЙ ХАЛИМОВИЧ"/>
    <n v="564"/>
    <m/>
  </r>
  <r>
    <s v="1"/>
    <d v="2023-12-29T00:00:00"/>
    <x v="10"/>
    <s v="10131010/280123/3030561"/>
    <s v="10131010"/>
    <s v="3030561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351014.36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1076.39"/>
    <n v="3097414"/>
    <n v="48329.24"/>
    <n v="75.406199999999998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КОШЕК И СОБАК Т.М. &quot;PREMIER&quot;, &quot;GRANDORF&quot;, РАСФАСОВАННЫЙ В ИНДИВИДУАЛЬНУЮ УПАКОВКУ ДЛЯ РОЗНИЧНОЙ ПРОДАЖИ, СОДЕРЖИТ КРАХM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4943.33"/>
    <s v="ОООО-ОО"/>
    <n v="4000000"/>
    <n v="14604.33"/>
    <n v="0"/>
    <s v=""/>
    <s v=""/>
    <n v="41076.39"/>
    <n v="3097414"/>
    <n v="0"/>
    <n v="1"/>
    <n v="3351014.36"/>
    <n v="48329.24"/>
    <s v="10"/>
    <n v="48328.648836"/>
    <n v="3.3092000000000001"/>
    <n v="941"/>
    <s v="0770/СПБ/329"/>
    <s v="ДАШКИН АЛЕКСЕЙ ХАЛИМОВИЧ"/>
    <n v="544"/>
    <m/>
  </r>
  <r>
    <s v="1"/>
    <d v="2023-06-11T00:00:00"/>
    <x v="11"/>
    <s v="10131010/280123/3030443"/>
    <s v="10131010"/>
    <s v="3030443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798973.19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7017"/>
    <n v="3545373"/>
    <n v="54789.83"/>
    <n v="75.406199999999998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C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525.080000000002"/>
    <s v="ОООО-ОО"/>
    <n v="4000000"/>
    <n v="16525.080000000002"/>
    <n v="0"/>
    <s v=""/>
    <s v=""/>
    <n v="47017"/>
    <n v="3545373"/>
    <n v="0"/>
    <n v="1"/>
    <n v="3798973.19"/>
    <n v="54789.83"/>
    <s v="10"/>
    <n v="54790.555248000004"/>
    <n v="3.3155999999999999"/>
    <n v="941"/>
    <s v="0770/СПБ/329"/>
    <s v="ДАШКИН АЛЕКСЕЙ ХАЛИМОВИЧ"/>
    <n v="24"/>
    <m/>
  </r>
  <r>
    <s v="1"/>
    <d v="2023-02-22T00:00:00"/>
    <x v="12"/>
    <s v="10131010/280123/3030383"/>
    <s v="10131010"/>
    <s v="3030383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941686.96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8909.599999999999"/>
    <n v="3688087"/>
    <n v="56848.08"/>
    <n v="75.406199999999998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: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5237.99"/>
    <s v="ОООО-ОО"/>
    <n v="4000000"/>
    <n v="15122.19"/>
    <n v="0"/>
    <s v=""/>
    <s v=""/>
    <n v="48909.599999999999"/>
    <n v="3688087"/>
    <n v="0"/>
    <n v="1"/>
    <n v="3941686.96"/>
    <n v="56848.08"/>
    <s v="10"/>
    <n v="56847.336647999997"/>
    <n v="3.7591999999999999"/>
    <n v="941"/>
    <s v="0770/СПБ/329"/>
    <s v="ДАШКИН АЛЕКСЕЙ ХАЛИМОВИЧ"/>
    <n v="201"/>
    <m/>
  </r>
  <r>
    <s v="1"/>
    <d v="2023-01-16T00:00:00"/>
    <x v="5"/>
    <s v="10131010/271223/3425397"/>
    <s v="10131010"/>
    <s v="342539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68139.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142.2"/>
    <m/>
    <m/>
    <n v="101.1178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204.08"/>
    <s v="ОООО-ОО"/>
    <n v="4000000"/>
    <n v="16096.08"/>
    <n v="0"/>
    <s v=""/>
    <s v=""/>
    <n v="45142.2"/>
    <m/>
    <n v="0"/>
    <n v="1"/>
    <n v="4968139.97"/>
    <n v="54174.11"/>
    <s v="10"/>
    <n v="54243.789600000004"/>
    <n v="3.37"/>
    <n v="45"/>
    <m/>
    <s v="ДРУЗЯГИНА"/>
    <n v="94"/>
    <m/>
  </r>
  <r>
    <s v="1"/>
    <d v="2022-05-20T00:00:00"/>
    <x v="6"/>
    <s v="10131010/271223/3425393"/>
    <s v="10131010"/>
    <s v="342539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04332.84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025.4"/>
    <m/>
    <m/>
    <n v="101.1178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323.86"/>
    <s v="ОООО-ОО"/>
    <n v="4000000"/>
    <n v="17323.86"/>
    <n v="0"/>
    <s v=""/>
    <s v=""/>
    <n v="40025.4"/>
    <m/>
    <n v="0"/>
    <n v="1"/>
    <n v="4504332.8499999996"/>
    <n v="49116.62"/>
    <s v="10"/>
    <n v="49199.7624"/>
    <n v="2.84"/>
    <n v="45"/>
    <m/>
    <s v="ЧУДИНА"/>
    <n v="302"/>
    <m/>
  </r>
  <r>
    <s v="1"/>
    <d v="2022-07-13T00:00:00"/>
    <x v="6"/>
    <s v="10131010/271223/3425071"/>
    <s v="10131010"/>
    <s v="342507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37171.86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880.160000000003"/>
    <m/>
    <m/>
    <n v="101.1178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353.91"/>
    <s v="ОООО-ОО"/>
    <n v="4000000"/>
    <n v="17353.91"/>
    <n v="0"/>
    <s v=""/>
    <s v=""/>
    <n v="40880.160000000003"/>
    <m/>
    <n v="0"/>
    <n v="1"/>
    <n v="4537171.8600000003"/>
    <n v="49474.71"/>
    <s v="10"/>
    <n v="49458.643499999998"/>
    <n v="2.85"/>
    <n v="45"/>
    <m/>
    <s v="ДРУЗЯГИНА"/>
    <n v="249"/>
    <m/>
  </r>
  <r>
    <s v="1"/>
    <d v="2022-06-23T00:00:00"/>
    <x v="6"/>
    <s v="10131010/271222/3559363"/>
    <s v="10131010"/>
    <s v="3559363"/>
    <x v="0"/>
    <s v="40"/>
    <s v=""/>
    <s v=""/>
    <s v=""/>
    <s v="ZHONGSHAN POWTEK APPLIANCES MFG.,LTD"/>
    <s v=", GUANGDONG, ZHONGSHAN, 23 HEALTH ROAD,"/>
    <s v=""/>
    <s v=""/>
    <n v="2"/>
    <n v="0"/>
    <n v="2"/>
    <n v="613"/>
    <s v="1094025002246"/>
    <s v="4025422770"/>
    <s v="АО ТАСКОМ"/>
    <s v="249020, КАЛУЖСКАЯ ОБЛАСТЬ, РАЙОН БОРОВСКИЙ, СЕЛО ВОРСИНО, СЕВЕРНАЯ ПРОМЫШЛЕННАЯ"/>
    <s v="29000"/>
    <s v="402501001"/>
    <s v="1157154020979"/>
    <s v="7104068905"/>
    <s v="ООО ТУЛЬСКИЙ ЗАВОД ГАЗОВОГО ОБОРУДОВАНИЯ"/>
    <s v="301212, ТУЛЬСКАЯ ОБЛАСТЬ, ЩЕКИНСКИЙ М.Р-Н, РАБОЧИЙ ПОСЕЛОК ПЕРВОМАЙСКИЙ Г.П., СИ"/>
    <s v="70000"/>
    <s v="710401001"/>
    <s v="CN"/>
    <s v="КИТАЙ"/>
    <n v="7685640.8200000003"/>
    <s v="1157154020979"/>
    <s v="7104068905"/>
    <s v="ООО ТУЛЬСКИЙ ЗАВОД ГАЗОВОГО ОБОРУДОВАНИЯ"/>
    <s v="301212, ТУЛЬСКАЯ ОБЛАСТЬ, ЩЕКИНСКИЙ М.Р-Н, РАБОЧИЙ ПОСЕЛОК ПЕРВОМАЙСКИЙ Г.П., СИ"/>
    <s v="70000"/>
    <s v="710401001"/>
    <s v="CN"/>
    <s v="КИТАЙ"/>
    <x v="1"/>
    <s v="RU"/>
    <s v="РОССИЯ"/>
    <n v="1"/>
    <s v="1"/>
    <s v="FOB"/>
    <s v="ZHONGSHAN"/>
    <n v="0"/>
    <s v="CNY"/>
    <n v="750107.9"/>
    <n v="7301055"/>
    <n v="112283.23"/>
    <n v="97.333399999999898"/>
    <s v="010"/>
    <s v=""/>
    <s v="22100053/3475/0000/2/1"/>
    <s v="-"/>
    <s v="11"/>
    <s v="10106/100913/10053/8"/>
    <s v=""/>
    <s v="249020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РАБОТАЮЩИЕ НА ПРИРОДНОМ ИЛИ СЖИЖЕННОМ ГАЗЕ. ПРЕДНАЗНАЧЕНЫ ДЛЯ ОТОПЛЕНИЯ И ГОРЯЧЕГО ВОДОСНАБЖЕНИЯ ЖИЛЫХ ПОМЕЩЕНИЙ."/>
    <x v="0"/>
    <m/>
    <s v="POWTEK INTERNATIONAL HOLDINGS LIMITED ZHONGSHAN POWTEK APPLIANCES MFG., LTD."/>
    <n v="513"/>
    <n v="1"/>
    <n v="513"/>
    <s v="ШТ"/>
    <n v="0"/>
    <m/>
    <s v="1"/>
    <s v="8403109000"/>
    <s v=""/>
    <s v=""/>
    <s v="CN"/>
    <n v="15394.85"/>
    <s v="ОООО-ОО"/>
    <n v="4000000"/>
    <n v="15394.85"/>
    <n v="0"/>
    <s v=""/>
    <s v=""/>
    <n v="742507.9"/>
    <n v="7227082"/>
    <n v="0"/>
    <n v="1"/>
    <n v="7604316.2599999905"/>
    <n v="111095.12"/>
    <s v="10"/>
    <n v="7.2164000000000001"/>
    <m/>
    <m/>
    <m/>
    <s v="БАТАЕВ ИЛЬЯ СЕРГЕЕВИЧ"/>
    <n v="146"/>
    <m/>
  </r>
  <r>
    <s v="1"/>
    <d v="2022-05-21T00:00:00"/>
    <x v="6"/>
    <s v="10131010/271222/3559258"/>
    <s v="10131010"/>
    <s v="3559258"/>
    <x v="0"/>
    <s v="40"/>
    <s v=""/>
    <s v=""/>
    <s v=""/>
    <s v="BAXI S.P.A."/>
    <s v="36061, VICENZA, BASSANO DEL GRAPPA, VIA TROZZETTI 20,"/>
    <s v=""/>
    <s v=""/>
    <n v="1"/>
    <n v="0"/>
    <n v="1"/>
    <n v="71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12765207.74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BASSANO DEL GRAPPA"/>
    <n v="1"/>
    <s v="EUR"/>
    <n v="169774.59"/>
    <n v="12329472"/>
    <n v="186493.06"/>
    <n v="72.622600000000006"/>
    <s v="010"/>
    <s v=""/>
    <s v="14100003/0001/0000/2/1"/>
    <s v="-"/>
    <s v="99"/>
    <s v=""/>
    <s v=""/>
    <s v=""/>
    <s v="БРЯНСКАЯ ОБЛ."/>
    <s v="Г.БРЯНСК,ФОКИНСКИЙ Р-Н"/>
    <s v="ПГТ БЕЛЫЕ БЕРЕГА"/>
    <s v="10102030 т/п Брянский"/>
    <n v="1"/>
    <s v="КОТЛЫ ЦЕНТРАЛЬНОГО ОТОПЛЕНИЯ, СТАЛЬНЫЕ, АССОРТИМЕНТ"/>
    <x v="0"/>
    <m/>
    <s v="BAXI S.P.A."/>
    <n v="71"/>
    <n v="0"/>
    <n v="321"/>
    <s v="ШТ"/>
    <n v="0"/>
    <m/>
    <s v="1"/>
    <s v="8403109000"/>
    <s v=""/>
    <s v=""/>
    <s v="IT"/>
    <n v="15104.6"/>
    <s v="ОООО-ОО"/>
    <n v="4000000"/>
    <n v="15030"/>
    <n v="0"/>
    <s v=""/>
    <s v=""/>
    <n v="169774.59"/>
    <n v="12329472"/>
    <n v="0"/>
    <n v="1"/>
    <n v="12765207.74"/>
    <n v="186493.06"/>
    <s v="10"/>
    <n v="12.408099999999999"/>
    <n v="1053"/>
    <s v="0719/00-16-055"/>
    <m/>
    <s v="БЫКОВА ЛЮБОВЬ АЛЕКСАНДРОВНА"/>
    <n v="0"/>
    <m/>
  </r>
  <r>
    <s v="1"/>
    <d v="2023-03-08T00:00:00"/>
    <x v="2"/>
    <s v="10131010/271123/3390214"/>
    <s v="10131010"/>
    <s v="339021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31393.6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701"/>
    <m/>
    <m/>
    <n v="96.91870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83.09"/>
    <s v="ОООО-ОО"/>
    <n v="4000000"/>
    <n v="16240.89"/>
    <n v="0"/>
    <s v=""/>
    <s v=""/>
    <n v="40701"/>
    <m/>
    <n v="0"/>
    <n v="1"/>
    <n v="4331393.62"/>
    <n v="48769.65"/>
    <s v="10"/>
    <n v="48722.67"/>
    <n v="3"/>
    <n v="45"/>
    <m/>
    <s v="ЧУДИНА"/>
    <n v="551"/>
    <m/>
  </r>
  <r>
    <s v="1"/>
    <d v="2023-01-13T00:00:00"/>
    <x v="5"/>
    <s v="10131010/271123/3389202"/>
    <s v="10131010"/>
    <s v="338920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47286.80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928.57"/>
    <m/>
    <m/>
    <n v="96.9187000000000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213.36"/>
    <s v="ОООО-ОО"/>
    <n v="4000000"/>
    <n v="16018.96"/>
    <n v="0"/>
    <s v=""/>
    <s v=""/>
    <n v="42928.57"/>
    <m/>
    <n v="0"/>
    <n v="1"/>
    <n v="4547286.8099999996"/>
    <n v="51200.52"/>
    <s v="10"/>
    <n v="51260.671999999999"/>
    <n v="3.2"/>
    <n v="45"/>
    <m/>
    <s v="ОСИПОВА"/>
    <n v="310"/>
    <m/>
  </r>
  <r>
    <s v="1"/>
    <d v="2023-09-20T00:00:00"/>
    <x v="4"/>
    <s v="10131010/271123/3389197"/>
    <s v="10131010"/>
    <s v="338919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76517.7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071.21"/>
    <m/>
    <m/>
    <n v="96.9187000000000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027.04"/>
    <s v="ОООО-ОО"/>
    <n v="4000000"/>
    <n v="15811.04"/>
    <n v="0"/>
    <s v=""/>
    <s v=""/>
    <n v="38071.21"/>
    <m/>
    <n v="0"/>
    <n v="1"/>
    <n v="4076517.79"/>
    <n v="45899.86"/>
    <s v="10"/>
    <n v="45852.016000000003"/>
    <n v="2.9"/>
    <n v="45"/>
    <m/>
    <s v="ЧУДИНА"/>
    <n v="590"/>
    <m/>
  </r>
  <r>
    <s v="1"/>
    <d v="2023-10-19T00:00:00"/>
    <x v="1"/>
    <s v="10131010/271123/3389186"/>
    <s v="10131010"/>
    <s v="338918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67028.69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068.68"/>
    <m/>
    <m/>
    <n v="96.9187000000000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168.82"/>
    <s v="ОООО-ОО"/>
    <n v="4000000"/>
    <n v="15974.42"/>
    <n v="0"/>
    <s v=""/>
    <s v=""/>
    <n v="41068.68"/>
    <m/>
    <n v="0"/>
    <n v="1"/>
    <n v="4367028.6900000004"/>
    <n v="49170.89"/>
    <s v="10"/>
    <n v="49201.213600000003"/>
    <n v="3.08"/>
    <n v="45"/>
    <m/>
    <s v="ЯШИНА"/>
    <n v="589"/>
    <m/>
  </r>
  <r>
    <s v="1"/>
    <d v="2023-09-18T00:00:00"/>
    <x v="4"/>
    <s v="10131010/271123/3389182"/>
    <s v="10131010"/>
    <s v="338918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3952301.9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6789.56"/>
    <m/>
    <m/>
    <n v="96.9187000000000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807.2"/>
    <s v="ОООО-ОО"/>
    <n v="4000000"/>
    <n v="15603.8"/>
    <n v="0"/>
    <s v=""/>
    <s v=""/>
    <n v="36789.56"/>
    <m/>
    <n v="0"/>
    <n v="1"/>
    <n v="3952301.94"/>
    <n v="44501.24"/>
    <s v="10"/>
    <n v="44470.83"/>
    <n v="2.85"/>
    <n v="45"/>
    <m/>
    <s v="ОСИПОВА"/>
    <n v="80"/>
    <m/>
  </r>
  <r>
    <s v="1"/>
    <d v="2023-04-09T00:00:00"/>
    <x v="3"/>
    <s v="10131010/271123/3389161"/>
    <s v="10131010"/>
    <s v="338916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3999283.2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274.31"/>
    <m/>
    <m/>
    <n v="96.9187000000000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453.24"/>
    <s v="ОООО-ОО"/>
    <n v="4000000"/>
    <n v="15249.84"/>
    <n v="0"/>
    <s v=""/>
    <s v=""/>
    <n v="37274.31"/>
    <m/>
    <n v="0"/>
    <n v="1"/>
    <n v="3999283.28"/>
    <n v="45030.23"/>
    <s v="10"/>
    <n v="44987.028000000006"/>
    <n v="2.95"/>
    <n v="45"/>
    <m/>
    <s v="ЯШИНА"/>
    <n v="96"/>
    <m/>
  </r>
  <r>
    <s v="1"/>
    <d v="2023-08-12T00:00:00"/>
    <x v="8"/>
    <s v="10131010/271123/3389156"/>
    <s v="10131010"/>
    <s v="338915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75705.0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723.58"/>
    <m/>
    <m/>
    <n v="96.9187000000000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315.08"/>
    <s v="ОООО-ОО"/>
    <n v="4000000"/>
    <n v="16099.08"/>
    <n v="0"/>
    <s v=""/>
    <s v=""/>
    <n v="43723.58"/>
    <m/>
    <n v="0"/>
    <n v="1"/>
    <n v="4675705.05"/>
    <n v="52646.45"/>
    <s v="10"/>
    <n v="52643.991600000001"/>
    <n v="3.27"/>
    <n v="45"/>
    <m/>
    <s v="БЛАГОНРАВОВА"/>
    <n v="602"/>
    <m/>
  </r>
  <r>
    <s v="1"/>
    <d v="2023-02-18T00:00:00"/>
    <x v="12"/>
    <s v="10131010/271023/3358070"/>
    <s v="10131010"/>
    <s v="335807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28320.6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846.6"/>
    <m/>
    <m/>
    <n v="98.7376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4268.6"/>
    <s v="ОООО-ОО"/>
    <n v="4000000"/>
    <n v="13728.6"/>
    <n v="0"/>
    <s v=""/>
    <s v=""/>
    <n v="39846.6"/>
    <m/>
    <n v="0"/>
    <n v="1"/>
    <n v="4328320.67"/>
    <n v="46261.72"/>
    <s v="10"/>
    <n v="46265.382000000005"/>
    <n v="3.37"/>
    <n v="45"/>
    <m/>
    <s v="ЧУДИНА"/>
    <n v="205"/>
    <m/>
  </r>
  <r>
    <s v="0"/>
    <d v="2023-01-02T00:00:00"/>
    <x v="5"/>
    <s v="10131010/271023/3357933"/>
    <s v="10131010"/>
    <s v="335793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"/>
    <s v=""/>
    <s v=""/>
    <s v="770100448470"/>
    <s v="ИП ЭСТРИН КИРИЛЛ ВАДИМОВИЧ"/>
    <s v="129085, РОССИЯ, МОСКВА, ПРОСПЕКТ МИРА, Д.81, КВ.101"/>
    <s v=""/>
    <s v=""/>
    <s v="BE"/>
    <s v="БЕЛЬГИЯ"/>
    <n v="5187377.29"/>
    <s v=""/>
    <s v="770100448470"/>
    <s v="ИП ЭСТРИН КИРИЛЛ ВАДИМОВИЧ"/>
    <s v="129085, РОССИЯ, МОСКВА, ПРОСПЕКТ МИРА, Д.81, КВ.101"/>
    <s v=""/>
    <s v=""/>
    <s v="BE"/>
    <s v="БЕЛЬГИЯ"/>
    <x v="7"/>
    <s v="RU"/>
    <s v="РОССИЯ"/>
    <n v="2"/>
    <s v="0"/>
    <s v="FCA"/>
    <s v="ERPE-MERE"/>
    <m/>
    <s v="EUR"/>
    <n v="48547"/>
    <m/>
    <m/>
    <n v="98.7376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25.080000000002"/>
    <s v="ОООО-ОО"/>
    <n v="4000000"/>
    <n v="16525.080000000002"/>
    <n v="0"/>
    <s v=""/>
    <s v=""/>
    <n v="48547"/>
    <m/>
    <m/>
    <n v="1"/>
    <n v="5187377.29"/>
    <n v="55443.44"/>
    <s v=""/>
    <n v="55524.268800000005"/>
    <n v="3.36"/>
    <n v="45"/>
    <m/>
    <s v="ДРУЗЯГИНА"/>
    <m/>
    <m/>
  </r>
  <r>
    <s v="1"/>
    <d v="2023-12-08T00:00:00"/>
    <x v="10"/>
    <s v="10131010/271023/3357918"/>
    <s v="10131010"/>
    <s v="335791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64309.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757.8"/>
    <m/>
    <m/>
    <n v="98.7376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415.64"/>
    <s v="ОООО-ОО"/>
    <n v="4000000"/>
    <n v="16361.64"/>
    <n v="0"/>
    <s v=""/>
    <s v=""/>
    <n v="45757.8"/>
    <m/>
    <n v="0"/>
    <n v="1"/>
    <n v="4964309.3"/>
    <n v="53059.26"/>
    <s v="10"/>
    <n v="53011.713600000003"/>
    <n v="3.24"/>
    <n v="45"/>
    <m/>
    <s v="ЯШИНА"/>
    <n v="155"/>
    <m/>
  </r>
  <r>
    <s v="1"/>
    <d v="2023-01-26T00:00:00"/>
    <x v="5"/>
    <s v="10131010/271023/3357917"/>
    <s v="10131010"/>
    <s v="335791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53920.6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169.8"/>
    <m/>
    <m/>
    <n v="98.7376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5594.99"/>
    <s v="ОООО-ОО"/>
    <n v="4000000"/>
    <n v="15440.19"/>
    <n v="0"/>
    <s v=""/>
    <s v=""/>
    <n v="45169.8"/>
    <m/>
    <n v="0"/>
    <n v="1"/>
    <n v="4853920.66"/>
    <n v="51879.41"/>
    <s v="10"/>
    <n v="51879.038399999998"/>
    <n v="3.36"/>
    <n v="45"/>
    <m/>
    <s v="БЛАГОНРАВОВА"/>
    <n v="552"/>
    <m/>
  </r>
  <r>
    <s v="1"/>
    <d v="2023-07-31T00:00:00"/>
    <x v="0"/>
    <s v="10131010/270723/3263551"/>
    <s v="10131010"/>
    <s v="3263551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61360.0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619.4"/>
    <n v="4349535"/>
    <n v="52876.5"/>
    <n v="99.7155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B, В АССОРТИМЕНТЕ:"/>
    <x v="1"/>
    <m/>
    <s v="UNITED PETFOOD PRODUCERS NV"/>
    <n v="33"/>
    <n v="0"/>
    <n v="0"/>
    <m/>
    <n v="0"/>
    <m/>
    <s v="1"/>
    <s v="2309101100"/>
    <s v=""/>
    <s v=""/>
    <s v="BE"/>
    <n v="16536.36"/>
    <s v="ОООО-ОО"/>
    <n v="4000000"/>
    <n v="16428.36"/>
    <n v="0"/>
    <s v=""/>
    <s v=""/>
    <n v="43619.4"/>
    <n v="4349535"/>
    <n v="0"/>
    <n v="1"/>
    <n v="4761360.07"/>
    <n v="52876.5"/>
    <s v="10"/>
    <n v="52899.319200000005"/>
    <n v="3.22"/>
    <n v="45"/>
    <s v="2022/09 БР"/>
    <s v="ДРУЗЯГИНА ИРИНА НИКОЛАЕВНА"/>
    <n v="324"/>
    <m/>
  </r>
  <r>
    <s v="1"/>
    <d v="2023-09-06T00:00:00"/>
    <x v="4"/>
    <s v="10131010/270723/3263546"/>
    <s v="10131010"/>
    <s v="3263546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18908.360000000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190.82"/>
    <n v="4207083"/>
    <n v="51294.53"/>
    <n v="99.7155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РАСФАСОВАННЫЙ ДЛЯ РОЗНИЧНОЙ ПРОДАЖИ,БЕЗ СОДЕРЖАНИЯ КРАХМАЛА,БЕЗ СОДЕРЖАНИЯ МОЛОЧНЫХ ПРОДУКТОВ,БЕЗ СОДЕРЖАНИЯ ГМО,В АССОРТИМЕНТЕ"/>
    <x v="1"/>
    <m/>
    <s v="UNITED PETFOOD PRODUCERS NV"/>
    <n v="33"/>
    <n v="0"/>
    <n v="0"/>
    <m/>
    <n v="0"/>
    <m/>
    <s v="1"/>
    <s v="2309101100"/>
    <s v=""/>
    <s v=""/>
    <s v="BE"/>
    <n v="16583.77"/>
    <s v="ОООО-ОО"/>
    <n v="4000000"/>
    <n v="16497.37"/>
    <n v="0"/>
    <s v=""/>
    <s v=""/>
    <n v="42190.82"/>
    <n v="4207083"/>
    <n v="0"/>
    <n v="1"/>
    <n v="4618908.3600000003"/>
    <n v="51294.53"/>
    <s v="10"/>
    <n v="51306.820699999997"/>
    <n v="3.11"/>
    <n v="45"/>
    <s v="2022/09 БР"/>
    <s v="ЧУДИНА ЭЛЬВИРА РАИСОВНА"/>
    <n v="68"/>
    <m/>
  </r>
  <r>
    <s v="1"/>
    <d v="2023-06-08T00:00:00"/>
    <x v="11"/>
    <s v="10131010/270723/3263534"/>
    <s v="10131010"/>
    <s v="3263534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10819.0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595.4"/>
    <n v="4347141"/>
    <n v="53425.760000000002"/>
    <n v="99.7155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04.96"/>
    <s v="ОООО-ОО"/>
    <n v="4000000"/>
    <n v="16661.759999999998"/>
    <n v="0"/>
    <s v=""/>
    <s v=""/>
    <n v="43595.4"/>
    <n v="4347141"/>
    <n v="0"/>
    <n v="1"/>
    <n v="4810819.01"/>
    <n v="53425.760000000002"/>
    <s v="10"/>
    <n v="53484.249599999996"/>
    <n v="3.21"/>
    <n v="45"/>
    <s v="2022/09 БР"/>
    <s v="БЛАГОНРАВОВА ДАРЬЯ ДМИТРИЕВНА"/>
    <n v="112"/>
    <m/>
  </r>
  <r>
    <s v="1"/>
    <d v="2023-10-22T00:00:00"/>
    <x v="1"/>
    <s v="10131010/270723/3263521"/>
    <s v="10131010"/>
    <s v="3263521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89215.8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895.9"/>
    <n v="4277390"/>
    <n v="52075.32"/>
    <n v="99.7155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X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467.05"/>
    <s v="ОООО-ОО"/>
    <n v="4000000"/>
    <n v="16467.05"/>
    <n v="0"/>
    <s v=""/>
    <s v=""/>
    <n v="42895.9"/>
    <n v="4277390"/>
    <n v="0"/>
    <n v="1"/>
    <n v="4689215.84"/>
    <n v="52075.32"/>
    <s v="10"/>
    <n v="52035.877999999997"/>
    <n v="3.16"/>
    <n v="45"/>
    <s v="2022/09 БР"/>
    <s v="ДРУЗЯГИНА ИРИНА НИКОЛАЕВНА"/>
    <n v="172"/>
    <m/>
  </r>
  <r>
    <s v="1"/>
    <d v="2023-06-10T00:00:00"/>
    <x v="11"/>
    <s v="10131010/270623/3232133"/>
    <s v="10131010"/>
    <s v="323213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73178.4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335.1"/>
    <n v="4091992"/>
    <n v="52834.36"/>
    <n v="92.2968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E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154.09"/>
    <s v="ОООО-ОО"/>
    <n v="4000000"/>
    <n v="17154.09"/>
    <n v="0"/>
    <s v=""/>
    <s v=""/>
    <n v="44335.1"/>
    <n v="4091992"/>
    <n v="0"/>
    <n v="1"/>
    <n v="4473178.49"/>
    <n v="52834.36"/>
    <s v="10"/>
    <n v="52834.597200000004"/>
    <n v="3.08"/>
    <n v="45"/>
    <s v="2022/09 БР"/>
    <s v="ОСИПОВА ТАТЬЯНА ВЛАДИМИРОВНА"/>
    <n v="116"/>
    <m/>
  </r>
  <r>
    <s v="1"/>
    <d v="2023-09-16T00:00:00"/>
    <x v="4"/>
    <s v="10131010/270623/3232013"/>
    <s v="10131010"/>
    <s v="323201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88320.7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165.32"/>
    <n v="3707135"/>
    <n v="48288.66"/>
    <n v="92.2968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P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44.900000000001"/>
    <s v="ОООО-ОО"/>
    <n v="4000000"/>
    <n v="17001.7"/>
    <n v="0"/>
    <s v=""/>
    <s v=""/>
    <n v="40165.32"/>
    <n v="3707135"/>
    <n v="0"/>
    <n v="1"/>
    <n v="4088320.72"/>
    <n v="48288.66"/>
    <s v="10"/>
    <n v="48284.828000000001"/>
    <n v="2.84"/>
    <n v="45"/>
    <s v="2022/09 БР"/>
    <s v="ЧУДИНА ЭЛЬВИРА РАИСОВНА"/>
    <n v="361"/>
    <m/>
  </r>
  <r>
    <s v="1"/>
    <d v="2023-01-12T00:00:00"/>
    <x v="5"/>
    <s v="10131010/270423/5003350"/>
    <s v="10131010"/>
    <s v="5003350"/>
    <x v="0"/>
    <s v="40"/>
    <s v=""/>
    <s v=""/>
    <s v=""/>
    <s v="UNITED PETFOOD PRODUCERS NV"/>
    <s v="9400, , ERPE-MERE, EVENBROEKVELD 1, ,,.."/>
    <s v=""/>
    <s v=""/>
    <n v="1"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96117.76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308.6"/>
    <n v="3903993"/>
    <n v="52630.83"/>
    <n v="90.1436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7232.330000000002"/>
    <s v="ОООО-ОО"/>
    <n v="4000000"/>
    <n v="17181.330000000002"/>
    <m/>
    <s v=""/>
    <s v=""/>
    <n v="43308.6"/>
    <n v="3903993"/>
    <n v="0"/>
    <n v="1"/>
    <n v="4296117.7699999996"/>
    <n v="52630.83"/>
    <s v="10"/>
    <n v="52631.568189000005"/>
    <n v="3.0632999999999999"/>
    <n v="45"/>
    <s v="2022/09 БР"/>
    <s v="ЯШИНА АННА СЕРГЕЕВНА"/>
    <n v="146"/>
    <m/>
  </r>
  <r>
    <s v="1"/>
    <d v="2023-02-02T00:00:00"/>
    <x v="12"/>
    <s v="10131010/270423/3148930"/>
    <s v="10131010"/>
    <s v="3148930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74207.5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956.2"/>
    <n v="3782083"/>
    <n v="51137.33"/>
    <n v="90.1436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642.5"/>
    <s v="ОООО-ОО"/>
    <n v="4000000"/>
    <n v="16512.900000000001"/>
    <n v="0"/>
    <s v=""/>
    <s v=""/>
    <n v="41956.2"/>
    <n v="3782083"/>
    <n v="0"/>
    <n v="1"/>
    <n v="4174207.57"/>
    <n v="51137.33"/>
    <s v="10"/>
    <n v="51137.148720000005"/>
    <n v="3.0968"/>
    <n v="45"/>
    <s v="2022/09 БР"/>
    <s v="БЛАГОНРАВОВА ДАРЬЯ ДМИТРИЕВНА"/>
    <n v="325"/>
    <m/>
  </r>
  <r>
    <s v="1"/>
    <d v="2023-12-20T00:00:00"/>
    <x v="10"/>
    <s v="10131010/270423/3148596"/>
    <s v="10131010"/>
    <s v="3148596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98924.7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449.08"/>
    <n v="4006800"/>
    <n v="53890.3"/>
    <n v="90.1436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34.38"/>
    <s v="ОООО-ОО"/>
    <n v="4000000"/>
    <n v="16947.98"/>
    <n v="0"/>
    <s v=""/>
    <s v=""/>
    <n v="44449.08"/>
    <n v="4006800"/>
    <n v="0"/>
    <n v="1"/>
    <n v="4398924.75"/>
    <n v="53890.3"/>
    <s v="10"/>
    <n v="53889.492006"/>
    <n v="3.1797"/>
    <n v="45"/>
    <s v="2022/09 БР"/>
    <s v="ДРУЗЯГИНА ИРИНА НИКОЛАЕВНА"/>
    <n v="544"/>
    <m/>
  </r>
  <r>
    <s v="1"/>
    <d v="2023-09-11T00:00:00"/>
    <x v="4"/>
    <s v="10131010/270323/3105864"/>
    <s v="10131010"/>
    <s v="310586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90475.4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168.92"/>
    <n v="3474394"/>
    <n v="50890.55"/>
    <n v="82.3923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P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253.74"/>
    <s v="ОООО-ОО"/>
    <n v="4000000"/>
    <n v="16223.14"/>
    <n v="0"/>
    <s v=""/>
    <s v=""/>
    <n v="42168.92"/>
    <n v="3474394"/>
    <n v="0"/>
    <n v="1"/>
    <n v="3890475.43"/>
    <n v="50890.55"/>
    <s v="10"/>
    <n v="50890.367865999993"/>
    <n v="3.1368999999999998"/>
    <n v="45"/>
    <s v="2022/09 БР"/>
    <s v="ЯШИНА АННА СЕРГЕЕВНА"/>
    <n v="314"/>
    <m/>
  </r>
  <r>
    <s v="1"/>
    <d v="2023-04-28T00:00:00"/>
    <x v="3"/>
    <s v="10131010/270323/3105025"/>
    <s v="10131010"/>
    <s v="3105025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70129.8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835.69"/>
    <n v="3611723"/>
    <n v="51932.49"/>
    <n v="82.3923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A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430.41"/>
    <s v="ОООО-ОО"/>
    <n v="4000000"/>
    <n v="16430.41"/>
    <n v="0"/>
    <s v=""/>
    <s v=""/>
    <n v="43835.69"/>
    <n v="3611723"/>
    <n v="0"/>
    <n v="1"/>
    <n v="3970129.83"/>
    <n v="51932.49"/>
    <s v="10"/>
    <n v="51933.239928000003"/>
    <n v="3.1608000000000001"/>
    <n v="45"/>
    <s v="2022/09 БР"/>
    <s v="БЛАГОНРАВОВА ДАРЬЯ ДМИТРИЕВНА"/>
    <n v="178"/>
    <m/>
  </r>
  <r>
    <s v="1"/>
    <d v="2023-10-20T00:00:00"/>
    <x v="1"/>
    <s v="10131010/270323/3104737"/>
    <s v="10131010"/>
    <s v="3104737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87568.6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833.64"/>
    <n v="3529162"/>
    <n v="50852.52"/>
    <n v="82.39230000000000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РАСФАСОВАННЫЙ ДЛЯ РОЗНИЧНОЙ ПРОДАЖИ,БЕЗ СОДЕРЖАНИЯ КРАХМАЛА,БЕЗ СОДЕРЖАНИЯ МОЛОЧНЫХ ПРОДУКТОВ,БЕЗ СОДЕРЖАНИЯ ГМО,В АССОРТИМЕНТЕ"/>
    <x v="1"/>
    <m/>
    <s v="UNITED PETFOOD PRODUCERS NV"/>
    <n v="33"/>
    <n v="0"/>
    <n v="0"/>
    <m/>
    <n v="0"/>
    <m/>
    <s v="1"/>
    <s v="2309101100"/>
    <s v=""/>
    <s v=""/>
    <s v="BE"/>
    <n v="16419.419999999998"/>
    <s v="ОООО-ОО"/>
    <n v="4000000"/>
    <n v="16419.419999999998"/>
    <n v="0"/>
    <s v=""/>
    <s v=""/>
    <n v="42833.64"/>
    <n v="3529162"/>
    <n v="0"/>
    <n v="1"/>
    <n v="3887568.63"/>
    <n v="50852.52"/>
    <s v="10"/>
    <n v="50852.585681999997"/>
    <n v="3.0971000000000002"/>
    <n v="45"/>
    <s v="2022/09 БР"/>
    <s v="ОСИПОВА ТАТЬЯНА ВЛАДИМИРОВНА"/>
    <n v="229"/>
    <m/>
  </r>
  <r>
    <s v="1"/>
    <d v="2023-01-28T00:00:00"/>
    <x v="5"/>
    <s v="10131010/270223/3068314"/>
    <s v="10131010"/>
    <s v="306831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72489.5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560"/>
    <n v="3386567"/>
    <n v="50495.99"/>
    <n v="79.5716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O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80.939999999999"/>
    <s v="ОООО-ОО"/>
    <n v="4000000"/>
    <n v="16645"/>
    <n v="0"/>
    <s v=""/>
    <s v=""/>
    <n v="42560"/>
    <n v="3386567"/>
    <n v="0"/>
    <n v="1"/>
    <n v="3772489.56"/>
    <n v="50495.99"/>
    <s v="10"/>
    <n v="50495.936500000003"/>
    <n v="3.0337000000000001"/>
    <n v="45"/>
    <s v="2022/09 БР"/>
    <s v="ЧУДИНА ЭЛЬВИРА РАИСОВНА"/>
    <n v="293"/>
    <m/>
  </r>
  <r>
    <s v="1"/>
    <d v="2023-10-01T00:00:00"/>
    <x v="1"/>
    <s v="10131010/270223/3068244"/>
    <s v="10131010"/>
    <s v="3068244"/>
    <x v="0"/>
    <s v="40"/>
    <s v=""/>
    <s v=""/>
    <s v=""/>
    <s v="UNITED PETFOOD PRODUCERS NV"/>
    <s v="9400, , ERPE-MERE, EVENBROEKVELD 1,"/>
    <s v=""/>
    <s v=""/>
    <n v="1"/>
    <n v="0"/>
    <n v="1"/>
    <n v="32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52638.7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540.339999999997"/>
    <n v="3066717"/>
    <n v="46214.68"/>
    <n v="79.5716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;БЕЗ СОДЕРЖАНИЯ ГМО, В АССОРТИМЕНТЕ"/>
    <x v="1"/>
    <m/>
    <s v="UNITED PETFOOD PRODUCERS NV"/>
    <n v="32"/>
    <n v="0"/>
    <n v="0"/>
    <m/>
    <n v="0"/>
    <m/>
    <s v="1"/>
    <s v="2309101100"/>
    <s v=""/>
    <s v=""/>
    <s v="BE"/>
    <n v="16105.42"/>
    <s v="ОООО-ОО"/>
    <n v="4000000"/>
    <n v="16022.62"/>
    <n v="0"/>
    <s v=""/>
    <s v=""/>
    <n v="38540.339999999997"/>
    <n v="3066717"/>
    <n v="0"/>
    <n v="1"/>
    <n v="3452638.78"/>
    <n v="46214.68"/>
    <s v="10"/>
    <n v="46214.042866000003"/>
    <n v="2.8843000000000001"/>
    <n v="45"/>
    <s v="2022/09 БР"/>
    <s v="ЧУДИНА ЭЛЬВИРА РАИСОВНА"/>
    <n v="317"/>
    <m/>
  </r>
  <r>
    <s v="1"/>
    <d v="2023-02-21T00:00:00"/>
    <x v="12"/>
    <s v="10131010/270223/3068131"/>
    <s v="10131010"/>
    <s v="3068131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85952.2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972.46"/>
    <n v="3339816"/>
    <n v="49337.66"/>
    <n v="79.57160000000000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30.33"/>
    <s v="ОООО-ОО"/>
    <n v="4000000"/>
    <n v="15503.53"/>
    <n v="0"/>
    <s v=""/>
    <s v=""/>
    <n v="41972.46"/>
    <n v="3339816"/>
    <n v="0"/>
    <n v="1"/>
    <n v="3685952.26"/>
    <n v="49337.66"/>
    <s v="10"/>
    <n v="49338.433872000001"/>
    <n v="3.1823999999999999"/>
    <n v="45"/>
    <s v="2022/09 БР"/>
    <s v="ЧУДИНА ЭЛЬВИРА РАИСОВНА"/>
    <n v="286"/>
    <m/>
  </r>
  <r>
    <s v="1"/>
    <d v="2023-06-20T00:00:00"/>
    <x v="11"/>
    <s v="10131010/270223/3067930"/>
    <s v="10131010"/>
    <s v="306793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11461.3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293.04"/>
    <n v="3365325"/>
    <n v="49679.1"/>
    <n v="79.57160000000000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;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123.97"/>
    <s v="ОООО-ОО"/>
    <n v="4000000"/>
    <n v="14753.17"/>
    <n v="0"/>
    <s v=""/>
    <s v=""/>
    <n v="42293.04"/>
    <n v="3365325"/>
    <n v="0"/>
    <n v="1"/>
    <n v="3711461.32"/>
    <n v="49679.1"/>
    <s v="10"/>
    <n v="49679.824657999998"/>
    <n v="3.3673999999999999"/>
    <n v="45"/>
    <s v="2022/09 БР"/>
    <s v="ЯШИНА АННА СЕРГЕЕВНА"/>
    <n v="337"/>
    <m/>
  </r>
  <r>
    <s v="1"/>
    <d v="2023-03-08T00:00:00"/>
    <x v="2"/>
    <s v="10131010/270223/3067833"/>
    <s v="10131010"/>
    <s v="306783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66289.3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495.54"/>
    <n v="3620153"/>
    <n v="53090.06"/>
    <n v="79.5716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820.55"/>
    <s v="ОООО-ОО"/>
    <n v="4000000"/>
    <n v="15640.65"/>
    <n v="0"/>
    <s v=""/>
    <s v=""/>
    <n v="45495.54"/>
    <n v="3620153"/>
    <n v="0"/>
    <n v="1"/>
    <n v="3966289.37"/>
    <n v="53090.06"/>
    <s v="10"/>
    <n v="53090.622360000001"/>
    <n v="3.3944000000000001"/>
    <n v="45"/>
    <s v="2022/09 БР"/>
    <s v="ЯШИНА АННА СЕРГЕЕВНА"/>
    <n v="108"/>
    <m/>
  </r>
  <r>
    <s v="1"/>
    <d v="2023-10-29T00:00:00"/>
    <x v="1"/>
    <s v="10131010/270223/3067658"/>
    <s v="10131010"/>
    <s v="306765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307673.6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6518.519999999997"/>
    <n v="2905837"/>
    <n v="44274.28"/>
    <n v="79.5716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MЕНТЕ"/>
    <x v="1"/>
    <m/>
    <s v="UNITED PETFOOD PRODUCERS NV"/>
    <n v="33"/>
    <n v="0"/>
    <n v="0"/>
    <m/>
    <n v="0"/>
    <m/>
    <s v="1"/>
    <s v="2309101100"/>
    <s v=""/>
    <s v=""/>
    <s v="BE"/>
    <n v="16646.46"/>
    <s v="ОООО-ОО"/>
    <n v="4000000"/>
    <n v="16624.86"/>
    <n v="0"/>
    <s v=""/>
    <s v=""/>
    <n v="36518.519999999997"/>
    <n v="2905837"/>
    <n v="0"/>
    <n v="1"/>
    <n v="3307673.65"/>
    <n v="44274.28"/>
    <s v="10"/>
    <n v="44273.664666000004"/>
    <n v="2.6631"/>
    <n v="45"/>
    <s v="2022/09 БР"/>
    <s v="БЛАГОНРАВОВА ДАРЬЯ ДМИТРИЕВНА"/>
    <n v="368"/>
    <m/>
  </r>
  <r>
    <s v="1"/>
    <d v="2023-09-26T00:00:00"/>
    <x v="4"/>
    <s v="10131010/270223/3067550"/>
    <s v="10131010"/>
    <s v="306755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85928.3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972.160000000003"/>
    <n v="3339792"/>
    <n v="49337.34"/>
    <n v="79.5716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P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597.9"/>
    <s v="ОООО-ОО"/>
    <n v="4000000"/>
    <n v="15390.3"/>
    <n v="0"/>
    <s v=""/>
    <s v=""/>
    <n v="41972.160000000003"/>
    <n v="3339792"/>
    <n v="0"/>
    <n v="1"/>
    <n v="3685928.39"/>
    <n v="49337.34"/>
    <s v="10"/>
    <n v="49336.684710000001"/>
    <n v="3.2057000000000002"/>
    <n v="45"/>
    <s v="2022/09 БР"/>
    <s v="ОСИПОВА ТАТЬЯНА ВЛАДИМИРОВНА"/>
    <n v="546"/>
    <m/>
  </r>
  <r>
    <s v="1"/>
    <d v="2023-02-02T00:00:00"/>
    <x v="12"/>
    <s v="10131010/270223/3067051"/>
    <s v="10131010"/>
    <s v="3067051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00349.1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896.660000000003"/>
    <n v="3254213"/>
    <n v="48191.83"/>
    <n v="79.57160000000000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,РАСФАСОВАННЫЙ ДЛЯ РОЗНИЧНОЙ ПРОДАЖИ,БЕЗ СОДЕРЖАНИЯ КРАХМАЛА,БЕЗ СОДЕРЖАНИЯ МОЛОЧНЫХ ПРОДУКТОВ,БЕЗ СОДЕРЖАНИЯ ГМО,В АССОРТИМЕНТЕ"/>
    <x v="1"/>
    <m/>
    <s v="UNITED PETFOOD PRODUCERS NV"/>
    <n v="33"/>
    <n v="0"/>
    <n v="0"/>
    <m/>
    <n v="0"/>
    <m/>
    <s v="1"/>
    <s v="2309101100"/>
    <s v=""/>
    <s v=""/>
    <s v="BE"/>
    <n v="16633.150000000001"/>
    <s v="ОООО-ОО"/>
    <n v="4000000"/>
    <n v="16460.349999999999"/>
    <n v="0"/>
    <s v=""/>
    <s v=""/>
    <n v="40896.660000000003"/>
    <n v="3254213"/>
    <n v="0"/>
    <n v="1"/>
    <n v="3600349.13"/>
    <n v="48191.83"/>
    <s v="10"/>
    <n v="48192.612729999993"/>
    <n v="2.9278"/>
    <n v="45"/>
    <s v="2022/09 БР"/>
    <s v="БЛАГОНРАВОВА ДАРЬЯ ДМИТРИЕВНА"/>
    <n v="343"/>
    <m/>
  </r>
  <r>
    <s v="1"/>
    <d v="2023-11-15T00:00:00"/>
    <x v="7"/>
    <s v="10131010/270223/3067029"/>
    <s v="10131010"/>
    <s v="3067029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79688.4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407.199999999997"/>
    <n v="3533552"/>
    <n v="51930.879999999997"/>
    <n v="79.57160000000000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136.82"/>
    <s v="ОООО-ОО"/>
    <n v="4000000"/>
    <n v="16028.82"/>
    <n v="0"/>
    <s v=""/>
    <s v=""/>
    <n v="44407.199999999997"/>
    <n v="3533552"/>
    <n v="0"/>
    <n v="1"/>
    <n v="3879688.42"/>
    <n v="51930.879999999997"/>
    <s v="10"/>
    <n v="51930.171035999992"/>
    <n v="3.2397999999999998"/>
    <n v="45"/>
    <s v="2022/09 БР"/>
    <s v="БЛАГОНРАВОВА ДАРЬЯ ДМИТРИЕВНА"/>
    <n v="558"/>
    <m/>
  </r>
  <r>
    <s v="1"/>
    <d v="2023-03-04T00:00:00"/>
    <x v="2"/>
    <s v="10131010/270223/3067017"/>
    <s v="10131010"/>
    <s v="3067017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47383.1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744.480000000003"/>
    <n v="3401247"/>
    <n v="50159.93"/>
    <n v="79.57160000000000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24.37"/>
    <s v="ОООО-ОО"/>
    <n v="4000000"/>
    <n v="16759.57"/>
    <n v="0"/>
    <s v=""/>
    <s v=""/>
    <n v="42744.480000000003"/>
    <n v="3401247"/>
    <n v="0"/>
    <n v="1"/>
    <n v="3747383.12"/>
    <n v="50159.93"/>
    <s v="10"/>
    <n v="50159.717053"/>
    <n v="2.9929000000000001"/>
    <n v="45"/>
    <s v="2022/09 БР"/>
    <s v="ЯШИНА АННА СЕРГЕЕВНА"/>
    <n v="93"/>
    <m/>
  </r>
  <r>
    <s v="1"/>
    <d v="2023-06-01T00:00:00"/>
    <x v="11"/>
    <s v="10131010/270223/3067013"/>
    <s v="10131010"/>
    <s v="306701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1616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608.92"/>
    <n v="3470032"/>
    <n v="51080.639999999999"/>
    <n v="79.57160000000000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TЕ"/>
    <x v="1"/>
    <m/>
    <s v="UNITED PETFOOD PRODUCERS NV"/>
    <n v="33"/>
    <n v="0"/>
    <n v="0"/>
    <m/>
    <n v="0"/>
    <m/>
    <s v="1"/>
    <s v="2309101100"/>
    <s v=""/>
    <s v=""/>
    <s v="BE"/>
    <n v="16704.53"/>
    <s v="ОООО-ОО"/>
    <n v="4000000"/>
    <n v="16704.53"/>
    <n v="0"/>
    <s v=""/>
    <s v=""/>
    <n v="43608.92"/>
    <n v="3470032"/>
    <n v="0"/>
    <n v="1"/>
    <n v="3816168"/>
    <n v="51080.639999999999"/>
    <s v="10"/>
    <n v="51080.782286999995"/>
    <n v="3.0579000000000001"/>
    <n v="45"/>
    <s v="2022/09 БР"/>
    <s v="ОСИПОВА ТАТЬЯНА ВЛАДИМИРОВНА"/>
    <n v="196"/>
    <m/>
  </r>
  <r>
    <s v="1"/>
    <d v="2023-04-05T00:00:00"/>
    <x v="3"/>
    <s v="10131010/270223/3066945"/>
    <s v="10131010"/>
    <s v="3066945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17779.3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129.17"/>
    <n v="3431857"/>
    <n v="51102.21"/>
    <n v="79.5716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758.03"/>
    <s v="ОООО-ОО"/>
    <n v="4000000"/>
    <n v="16693.23"/>
    <n v="0"/>
    <s v=""/>
    <s v=""/>
    <n v="43129.17"/>
    <n v="3431857"/>
    <n v="0"/>
    <n v="1"/>
    <n v="3817779.32"/>
    <n v="51102.21"/>
    <s v="10"/>
    <n v="51102.984999"/>
    <n v="3.0613000000000001"/>
    <n v="45"/>
    <s v="2022/09 БР"/>
    <s v="ОСИПОВА ТАТЬЯНА ВЛАДИМИРОВНА"/>
    <n v="69"/>
    <m/>
  </r>
  <r>
    <s v="1"/>
    <d v="2023-12-13T00:00:00"/>
    <x v="10"/>
    <s v="10131010/270123/3029476"/>
    <s v="10131010"/>
    <s v="3029476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581410.71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4173.62"/>
    <n v="3327811"/>
    <n v="51809.67"/>
    <n v="75.334800000000001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&quot;PREMIER&quot;, РАСФАСОВАННЫЙ В ИНДИВИДУАЛЬНУЮ УПАКОВКУ ДЛЯ РОЗНИЧНO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402.38"/>
    <s v="ОООО-ОО"/>
    <n v="4000000"/>
    <n v="16294.38"/>
    <n v="0"/>
    <s v=""/>
    <s v=""/>
    <n v="44173.62"/>
    <n v="3327811"/>
    <n v="0"/>
    <n v="1"/>
    <n v="3581410.71"/>
    <n v="51809.67"/>
    <s v="10"/>
    <n v="51809.610648000002"/>
    <n v="3.1796000000000002"/>
    <n v="941"/>
    <s v="0770/СПБ/329"/>
    <s v="ДАШКИН АЛЕКСЕЙ ХАЛИМОВИЧ"/>
    <n v="65"/>
    <m/>
  </r>
  <r>
    <s v="1"/>
    <d v="2023-09-18T00:00:00"/>
    <x v="4"/>
    <s v="10131010/270123/3029358"/>
    <s v="10131010"/>
    <s v="3029358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265212.47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9976.379999999997"/>
    <n v="3011613"/>
    <n v="47235.46"/>
    <n v="75.334800000000001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Т.М;&quot;PREMIER&quot;,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074.84"/>
    <s v="ОООО-ОО"/>
    <n v="4000000"/>
    <n v="16858.84"/>
    <n v="0"/>
    <s v=""/>
    <s v=""/>
    <n v="39976.379999999997"/>
    <n v="3011613"/>
    <n v="0"/>
    <n v="1"/>
    <n v="3265212.47"/>
    <n v="47235.46"/>
    <s v="10"/>
    <n v="47235.097912000005"/>
    <n v="2.8018000000000001"/>
    <n v="941"/>
    <s v="0770/СПБ/329"/>
    <s v="ДАШКИН АЛЕКСЕЙ ХАЛИМОВИЧ"/>
    <n v="340"/>
    <m/>
  </r>
  <r>
    <s v="1"/>
    <d v="2023-02-16T00:00:00"/>
    <x v="12"/>
    <s v="10131010/270123/3029354"/>
    <s v="10131010"/>
    <s v="3029354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393379.57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1677.68"/>
    <n v="3139780"/>
    <n v="49089.56"/>
    <n v="75.334800000000001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РАСФАСОВАННЫЙ В ИНДИВИДУАЛЬНУЮ УПАКОВКУ ДЛЯ РОЗНИЧНОЙ ПРОДАЖИ,СОДЕРЖИТ КРАХМАЛ МЕНЕЕ 10%,НЕ СОДЕРЖИТ МОЛОЧНЫЕ ПРОДУКТЫ,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049.740000000002"/>
    <s v="ОООО-ОО"/>
    <n v="4000000"/>
    <n v="17049.740000000002"/>
    <n v="0"/>
    <s v=""/>
    <s v=""/>
    <n v="41677.68"/>
    <n v="3139780"/>
    <n v="0"/>
    <n v="1"/>
    <n v="3393379.57"/>
    <n v="49089.56"/>
    <s v="10"/>
    <n v="49089.611408000004"/>
    <n v="2.8792"/>
    <n v="941"/>
    <s v="0770/СПБ/329"/>
    <s v="ДАШКИН АЛЕКСЕЙ ХАЛИМОВИЧ"/>
    <n v="210"/>
    <m/>
  </r>
  <r>
    <s v="1"/>
    <d v="2023-09-09T00:00:00"/>
    <x v="4"/>
    <s v="10131010/261223/3424041"/>
    <s v="10131010"/>
    <s v="342404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24470.6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598.400000000001"/>
    <m/>
    <m/>
    <n v="101.578100000000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565.900000000001"/>
    <s v="ОООО-ОО"/>
    <n v="4000000"/>
    <n v="17565.900000000001"/>
    <n v="0"/>
    <s v=""/>
    <s v=""/>
    <n v="37598.400000000001"/>
    <m/>
    <n v="0"/>
    <n v="1"/>
    <n v="4224470.66"/>
    <n v="45933.64"/>
    <s v="10"/>
    <n v="45846.999000000003"/>
    <n v="2.61"/>
    <n v="45"/>
    <m/>
    <s v="ДРУЗЯГИНА"/>
    <n v="544"/>
    <m/>
  </r>
  <r>
    <s v="1"/>
    <d v="2022-10-11T00:00:00"/>
    <x v="6"/>
    <s v="10131010/261223/3424034"/>
    <s v="10131010"/>
    <s v="342403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41791.6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691.24"/>
    <m/>
    <m/>
    <n v="101.5781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490.939999999999"/>
    <s v="ОООО-ОО"/>
    <n v="4000000"/>
    <n v="16411.740000000002"/>
    <n v="0"/>
    <s v=""/>
    <s v=""/>
    <n v="42691.24"/>
    <m/>
    <n v="0"/>
    <n v="1"/>
    <n v="4741791.67"/>
    <n v="51558.59"/>
    <s v="10"/>
    <n v="51532.863600000004"/>
    <n v="3.14"/>
    <n v="45"/>
    <m/>
    <s v="ДРУЗЯГИНА"/>
    <n v="121"/>
    <m/>
  </r>
  <r>
    <s v="1"/>
    <d v="2022-12-05T00:00:00"/>
    <x v="6"/>
    <s v="10131010/261223/3424032"/>
    <s v="10131010"/>
    <s v="342403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03645.4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331.24"/>
    <m/>
    <m/>
    <n v="101.5781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163.71"/>
    <s v="ОООО-ОО"/>
    <n v="4000000"/>
    <n v="15926.11"/>
    <n v="0"/>
    <s v=""/>
    <s v=""/>
    <n v="41331.24"/>
    <m/>
    <n v="0"/>
    <n v="1"/>
    <n v="4603645.45"/>
    <n v="50056.49"/>
    <s v="10"/>
    <n v="50007.985400000005"/>
    <n v="3.14"/>
    <n v="45"/>
    <m/>
    <s v="ЧУДИНА"/>
    <n v="80"/>
    <m/>
  </r>
  <r>
    <s v="1"/>
    <d v="2023-05-14T00:00:00"/>
    <x v="9"/>
    <s v="10131010/261223/3424031"/>
    <s v="10131010"/>
    <s v="342403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57228.3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874.28"/>
    <m/>
    <m/>
    <n v="101.5781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289.84"/>
    <s v="ОООО-ОО"/>
    <n v="4000000"/>
    <n v="16127.84"/>
    <n v="0"/>
    <s v=""/>
    <s v=""/>
    <n v="40874.28"/>
    <m/>
    <n v="0"/>
    <n v="1"/>
    <n v="4557228.32"/>
    <n v="49551.79"/>
    <s v="10"/>
    <n v="49512.468799999995"/>
    <n v="3.07"/>
    <n v="45"/>
    <m/>
    <s v="ДРУЗЯГИНА"/>
    <n v="121"/>
    <m/>
  </r>
  <r>
    <s v="1"/>
    <d v="2023-03-16T00:00:00"/>
    <x v="2"/>
    <s v="10131010/261223/3423394"/>
    <s v="10131010"/>
    <s v="342339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84308.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063.199999999997"/>
    <m/>
    <m/>
    <n v="101.578100000000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10.810000000001"/>
    <s v="ОООО-ОО"/>
    <n v="4000000"/>
    <n v="17010.810000000001"/>
    <n v="0"/>
    <s v=""/>
    <s v=""/>
    <n v="46063.199999999997"/>
    <m/>
    <n v="0"/>
    <n v="1"/>
    <n v="5084308.96"/>
    <n v="55282.86"/>
    <s v="10"/>
    <n v="55285.132500000007"/>
    <n v="3.25"/>
    <n v="45"/>
    <m/>
    <s v="ЧУДИНА"/>
    <n v="551"/>
    <m/>
  </r>
  <r>
    <s v="1"/>
    <d v="2023-06-25T00:00:00"/>
    <x v="11"/>
    <s v="10131010/261222/3557440"/>
    <s v="10131010"/>
    <s v="3557440"/>
    <x v="0"/>
    <s v="40"/>
    <s v=""/>
    <s v=""/>
    <s v=""/>
    <s v="BAXI S.P.A."/>
    <s v="36061, VICENZA, BASSANO DEL GRAPPA, VIA TROZZETTI 20,"/>
    <s v=""/>
    <s v=""/>
    <n v="2"/>
    <n v="0"/>
    <n v="3"/>
    <n v="92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11001353.710000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44859.5"/>
    <n v="10580639"/>
    <n v="160192.109999999"/>
    <n v="73.040700000000001"/>
    <s v="010"/>
    <s v="31"/>
    <s v="14100003/0001/0000/2/1"/>
    <s v="-"/>
    <s v="99"/>
    <s v=""/>
    <s v=""/>
    <s v=""/>
    <s v="БРЯНСКАЯ ОБЛ.,"/>
    <s v="Г.БРЯНСК,ФОКИНСКИЙ Р-Н,"/>
    <s v="ПГТ БЕЛЫЕ БЕРЕГА"/>
    <s v="10102030 т/п Брянский"/>
    <n v="1"/>
    <s v="КОТЛЫ ЦЕНТРАЛЬНОГО ОТОПЛЕНИЯ, СТАЛЬНЫЕ, ВЕС БРУТТО С ПОДДОНАМИ 17892.0 КГ., АССОРТИМЕНТ"/>
    <x v="0"/>
    <m/>
    <s v="BAXI S.P.A."/>
    <n v="88"/>
    <n v="0"/>
    <n v="328"/>
    <s v="ШТ"/>
    <n v="0"/>
    <m/>
    <s v="1"/>
    <s v="8403109000"/>
    <s v=""/>
    <s v=""/>
    <s v="IT"/>
    <n v="16660"/>
    <s v="ОООО-ОО"/>
    <n v="4000000"/>
    <n v="16586"/>
    <n v="0"/>
    <s v=""/>
    <s v=""/>
    <n v="128219.34"/>
    <n v="9365230"/>
    <n v="0"/>
    <n v="1"/>
    <n v="9764722.8100000005"/>
    <n v="142185.37"/>
    <s v="10"/>
    <n v="8.5725999999999996"/>
    <n v="1053"/>
    <s v="0719/00-16-055"/>
    <m/>
    <s v="БЫКОВА ЛЮБОВЬ АЛЕКСАНДРОВНА"/>
    <n v="0"/>
    <m/>
  </r>
  <r>
    <s v="1"/>
    <d v="2023-09-25T00:00:00"/>
    <x v="4"/>
    <s v="10131010/261222/3556267"/>
    <s v="10131010"/>
    <s v="3556267"/>
    <x v="0"/>
    <s v="40"/>
    <s v=""/>
    <s v=""/>
    <s v=""/>
    <s v="BAXI S.P.A."/>
    <s v="36061, VICENZA, BASSANO DEL GRAPPA, VIA TROZZETTI 20,"/>
    <s v=""/>
    <s v=""/>
    <n v="2"/>
    <n v="0"/>
    <n v="4"/>
    <n v="103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9373743.9800000004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BASSANO DEL GRAPPA"/>
    <n v="1"/>
    <s v="EUR"/>
    <n v="121349.9"/>
    <n v="8863482"/>
    <n v="136492.29"/>
    <n v="73.040700000000001"/>
    <s v="010"/>
    <s v=""/>
    <s v="14100003/0001/0000/2/1"/>
    <s v="-"/>
    <s v="99"/>
    <s v=""/>
    <s v="10113/301110/10022/4"/>
    <s v=""/>
    <s v="СМОЛЕНСКАЯ ОБЛ."/>
    <s v="Г. ЯРЦЕВО"/>
    <s v="УЛ. 2-Я МАШИНОСТРОИТЕЛЬНАЯ, СТР. 5/3"/>
    <s v="10113070 т/п Ярцевский"/>
    <n v="1"/>
    <s v="КОТЛЫ ЦЕНТРАЛЬНОГО ОТОПЛЕНИЯ, СТАЛЬНЫЕ, БРУТТО С ПОДДОНАМИ 15972.6 КГ., АССОРТИМЕНТ"/>
    <x v="0"/>
    <m/>
    <s v="BAXI S.P.A."/>
    <n v="82"/>
    <n v="0"/>
    <n v="219"/>
    <s v="ШТ"/>
    <n v="0"/>
    <m/>
    <s v="1"/>
    <s v="8403109000"/>
    <s v=""/>
    <s v=""/>
    <s v="IT"/>
    <n v="14824.6"/>
    <s v="ОООО-ОО"/>
    <n v="4000000"/>
    <n v="14768.76"/>
    <n v="0"/>
    <s v=""/>
    <s v=""/>
    <n v="116731.8"/>
    <n v="8526172"/>
    <n v="0"/>
    <n v="1"/>
    <n v="9001847.75"/>
    <n v="131077.049999999"/>
    <s v="10"/>
    <n v="8.8752999999999993"/>
    <n v="1053"/>
    <s v="0719/00-16-055"/>
    <m/>
    <s v="БЫКОВА ЛЮБОВЬ АЛЕКСАНДРОВНА"/>
    <n v="0"/>
    <m/>
  </r>
  <r>
    <s v="1"/>
    <d v="2023-03-10T00:00:00"/>
    <x v="2"/>
    <s v="10131010/261222/3556242"/>
    <s v="10131010"/>
    <s v="3556242"/>
    <x v="0"/>
    <s v="40"/>
    <s v=""/>
    <s v=""/>
    <s v=""/>
    <s v="BAXI S.P.A."/>
    <s v="36061, VICENZA, BASSANO DEL GRAPPA, VIA TROZZETTI 20,"/>
    <s v=""/>
    <s v=""/>
    <n v="2"/>
    <n v="0"/>
    <n v="3"/>
    <n v="99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9535327.52999999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24788.14"/>
    <n v="9114613"/>
    <n v="138845.12"/>
    <n v="73.040700000000001"/>
    <s v="010"/>
    <s v="31"/>
    <s v="14100003/0001/0000/2/1"/>
    <s v="-"/>
    <s v="99"/>
    <s v=""/>
    <s v=""/>
    <s v=""/>
    <s v="БРЯНСКАЯ ОБЛ.,"/>
    <s v="Г.БРЯНСК,ФОКИНСКИЙ Р-Н,"/>
    <s v="ПГТ БЕЛЫЕ БЕРЕГА"/>
    <s v="10102030 т/п Брянский"/>
    <n v="1"/>
    <s v="КОТЛЫ ЦЕНТРАЛЬНОГО ОТОПЛЕНИЯ, СТАЛЬНЫЕ, БРУТТО С ПОДДОНАМИ 15807.40 КГ., АССОРТИМЕНТ"/>
    <x v="0"/>
    <m/>
    <s v="BAXI S.P.A."/>
    <n v="82"/>
    <n v="0"/>
    <n v="270"/>
    <s v="ШТ"/>
    <n v="0"/>
    <m/>
    <s v="1"/>
    <s v="8403109000"/>
    <s v=""/>
    <s v=""/>
    <s v="IT"/>
    <n v="14577.4"/>
    <s v="ОООО-ОО"/>
    <n v="4000000"/>
    <n v="14517"/>
    <n v="0"/>
    <s v=""/>
    <s v=""/>
    <n v="117854.04"/>
    <n v="8608142"/>
    <n v="0"/>
    <n v="1"/>
    <n v="8986320.02999999"/>
    <n v="130850.95"/>
    <s v="10"/>
    <n v="9.0136000000000003"/>
    <n v="1053"/>
    <s v="0719/00-16-055"/>
    <m/>
    <s v="БЫКОВА ЛЮБОВЬ АЛЕКСАНДРОВНА"/>
    <n v="0"/>
    <m/>
  </r>
  <r>
    <s v="1"/>
    <d v="2023-05-12T00:00:00"/>
    <x v="9"/>
    <s v="10131010/261222/3556239"/>
    <s v="10131010"/>
    <s v="3556239"/>
    <x v="0"/>
    <s v="40"/>
    <s v=""/>
    <s v=""/>
    <s v=""/>
    <s v="BAXI S.P.A."/>
    <s v="36061, VICENZA, BASSANO DEL GRAPPA, VIA TROZZETTI 20,"/>
    <s v=""/>
    <s v=""/>
    <n v="2"/>
    <n v="0"/>
    <n v="2"/>
    <n v="124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10832303.93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BASSANO DEL GRAPPA"/>
    <n v="1"/>
    <s v="EUR"/>
    <n v="142805.04"/>
    <n v="10430580"/>
    <n v="157730.56"/>
    <n v="73.040700000000001"/>
    <s v="010"/>
    <s v=""/>
    <s v="14100003/0001/0000/2/1"/>
    <s v="-"/>
    <s v="11"/>
    <s v="10102/091210/10039/3"/>
    <s v=""/>
    <s v=""/>
    <s v="БРЯНСКАЯ ОБЛ., БРЯНСКИЙ Р-Н"/>
    <s v="П. СВЕНЬ"/>
    <s v="УЛ. СОБОРНАЯ, Д. 21"/>
    <s v="10102030 т/п Брянский"/>
    <n v="1"/>
    <s v="КОТЛЫ ЦЕНТРАЛЬНОГО ОТОПЛЕНИЯ, СТАЛЬНЫЕ, АССОРТИМЕНТ"/>
    <x v="0"/>
    <m/>
    <s v="BDR THERMEA FRANCE S.A.S"/>
    <n v="94"/>
    <n v="0"/>
    <n v="354"/>
    <s v="ШТ"/>
    <n v="0"/>
    <m/>
    <s v="1"/>
    <s v="8403109000"/>
    <s v=""/>
    <s v=""/>
    <s v="IT"/>
    <n v="19798"/>
    <s v="ОООО-ОО"/>
    <n v="4000000"/>
    <n v="18636"/>
    <n v="0"/>
    <s v=""/>
    <s v=""/>
    <n v="141144.84"/>
    <n v="10309318"/>
    <n v="0"/>
    <n v="1"/>
    <n v="10709042.640000001"/>
    <n v="155935.74"/>
    <s v="10"/>
    <n v="8.3673999999999999"/>
    <n v="1053"/>
    <s v="0719/00-16-055"/>
    <m/>
    <s v="БЫКОВА ЛЮБОВЬ АЛЕКСАНДРОВНА"/>
    <n v="0"/>
    <m/>
  </r>
  <r>
    <s v="1"/>
    <d v="2023-05-14T00:00:00"/>
    <x v="9"/>
    <s v="10131010/261222/3556073"/>
    <s v="10131010"/>
    <s v="3556073"/>
    <x v="0"/>
    <s v="40"/>
    <s v=""/>
    <s v=""/>
    <s v=""/>
    <s v="ZHONGSHAN POWTEK APPLIANCES MFG.,LTD"/>
    <s v=", GUANGDONG, ZHONGSHAN, 23 HEALTH ROAD,"/>
    <s v=""/>
    <s v=""/>
    <n v="1"/>
    <n v="0"/>
    <n v="1"/>
    <n v="552"/>
    <s v="1094025002246"/>
    <s v="4025422770"/>
    <s v="АО ТАСКОМ"/>
    <s v="249020, КАЛУЖСКАЯ ОБЛАСТЬ, РАЙОН БОРОВСКИЙ, СЕЛО ВОРСИНО, СЕВЕРНАЯ ПРОМЫШЛЕННАЯ"/>
    <s v="29000"/>
    <s v="402501001"/>
    <s v="1157154020979"/>
    <s v="7104068905"/>
    <s v="ООО ТУЛЬСКИЙ ЗАВОД ГАЗОВОГО ОБОРУДОВАНИЯ"/>
    <s v="301212, ТУЛЬСКАЯ ОБЛАСТЬ, ЩЕКИНСКИЙ М.Р-Н, РАБОЧИЙ ПОСЕЛОК ПЕРВОМАЙСКИЙ Г.П., СИ"/>
    <s v="70000"/>
    <s v="710401001"/>
    <s v="CN"/>
    <s v="КИТАЙ"/>
    <n v="7612454.6699999897"/>
    <s v="1157154020979"/>
    <s v="7104068905"/>
    <s v="ООО ТУЛЬСКИЙ ЗАВОД ГАЗОВОГО ОБОРУДОВАНИЯ"/>
    <s v="301212, ТУЛЬСКАЯ ОБЛАСТЬ, ЩЕКИНСКИЙ М.Р-Н, РАБОЧИЙ ПОСЕЛОК ПЕРВОМАЙСКИЙ Г.П., СИ"/>
    <s v="70000"/>
    <s v="710401001"/>
    <s v="CN"/>
    <s v="КИТАЙ"/>
    <x v="1"/>
    <s v="RU"/>
    <s v="РОССИЯ"/>
    <n v="1"/>
    <s v="1"/>
    <s v="FOB"/>
    <s v="ZHONGSHAN"/>
    <n v="0"/>
    <s v="CNY"/>
    <n v="738666"/>
    <n v="7189687"/>
    <n v="110845.92"/>
    <n v="97.588399999999893"/>
    <s v="010"/>
    <s v=""/>
    <s v="22100053/3475/0000/2/1"/>
    <s v="-"/>
    <s v="11"/>
    <s v="10106/100913/10053/8"/>
    <s v=""/>
    <s v="249020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РАБОТАЮЩИЕ НА ПРИРОДНОМ ИЛИ СЖИЖЕННОМ ГАЗЕ. ПРЕДНАЗНАЧЕНЫ ДЛЯ ОТОПЛЕНИЯ И ГОРЯЧЕГО ВОДОСНАБЖЕНИЯ ЖИЛЫХ ПОМЕЩЕНИЙ."/>
    <x v="0"/>
    <m/>
    <s v="POWTEK INTERNATIONAL HOLDINGS LIMITED ZHONGSHAN POWTEK APPLIANCES MFG., LTD."/>
    <n v="552"/>
    <n v="1"/>
    <n v="552"/>
    <s v="ШТ"/>
    <n v="0"/>
    <m/>
    <s v="1"/>
    <s v="8403109000"/>
    <s v=""/>
    <s v=""/>
    <s v="CN"/>
    <n v="15460.4"/>
    <s v="ОООО-ОО"/>
    <n v="4000000"/>
    <n v="15460.4"/>
    <n v="0"/>
    <s v=""/>
    <s v=""/>
    <n v="738666"/>
    <n v="7189687"/>
    <n v="0"/>
    <n v="1"/>
    <n v="7612454.6699999897"/>
    <n v="110845.92"/>
    <s v="10"/>
    <n v="7.1696999999999997"/>
    <m/>
    <m/>
    <m/>
    <s v="БАТАЕВ ИЛЬЯ СЕРГЕЕВИЧ"/>
    <n v="0"/>
    <m/>
  </r>
  <r>
    <s v="1"/>
    <d v="2023-07-13T00:00:00"/>
    <x v="0"/>
    <s v="10131010/261023/3357287"/>
    <s v="10131010"/>
    <s v="335728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320327.7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9939"/>
    <m/>
    <m/>
    <n v="98.654300000000006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52.76"/>
    <s v="ОООО-ОО"/>
    <n v="4000000"/>
    <n v="15608.76"/>
    <n v="0"/>
    <s v=""/>
    <s v=""/>
    <n v="49939"/>
    <m/>
    <n v="0"/>
    <n v="1"/>
    <n v="5320327.75"/>
    <n v="57115.27"/>
    <s v="10"/>
    <n v="57128.061600000001"/>
    <n v="3.66"/>
    <n v="45"/>
    <m/>
    <s v="ЧУДИНА"/>
    <n v="288"/>
    <m/>
  </r>
  <r>
    <s v="1"/>
    <d v="2023-08-07T00:00:00"/>
    <x v="8"/>
    <s v="10131010/261023/3356519"/>
    <s v="10131010"/>
    <s v="335651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96435.98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084.98"/>
    <m/>
    <m/>
    <n v="98.654300000000006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395.41"/>
    <s v="ОООО-ОО"/>
    <n v="4000000"/>
    <n v="16341.41"/>
    <n v="0"/>
    <s v=""/>
    <s v=""/>
    <n v="43084.98"/>
    <m/>
    <n v="0"/>
    <n v="1"/>
    <n v="4696435.9800000004"/>
    <n v="50417.61"/>
    <s v="10"/>
    <n v="50494.956899999997"/>
    <n v="3.09"/>
    <n v="45"/>
    <m/>
    <s v="БЛАГОНРАВОВА"/>
    <n v="340"/>
    <m/>
  </r>
  <r>
    <s v="1"/>
    <d v="2023-07-05T00:00:00"/>
    <x v="0"/>
    <s v="10131010/261023/3356515"/>
    <s v="10131010"/>
    <s v="335651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85187.36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514.6"/>
    <m/>
    <m/>
    <n v="98.654300000000006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783.32"/>
    <s v="ОООО-ОО"/>
    <n v="4000000"/>
    <n v="16783.32"/>
    <n v="0"/>
    <s v=""/>
    <s v=""/>
    <n v="44514.6"/>
    <m/>
    <n v="0"/>
    <n v="1"/>
    <n v="4785187.3600000003"/>
    <n v="51370.39"/>
    <s v="10"/>
    <n v="51356.959199999998"/>
    <n v="3.06"/>
    <n v="45"/>
    <m/>
    <s v="ЯШИНА"/>
    <n v="236"/>
    <m/>
  </r>
  <r>
    <s v="1"/>
    <d v="2022-03-07T00:00:00"/>
    <x v="6"/>
    <s v="10131010/260923/5028726"/>
    <s v="10131010"/>
    <s v="502872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01410.6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947.76"/>
    <m/>
    <m/>
    <n v="102.2453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7147.75"/>
    <s v="ОООО-ОО"/>
    <n v="4000000"/>
    <n v="17093.75"/>
    <m/>
    <s v=""/>
    <s v=""/>
    <n v="43947.76"/>
    <m/>
    <n v="0"/>
    <n v="1"/>
    <n v="4901410.66"/>
    <n v="50979.040000000001"/>
    <s v="10"/>
    <n v="50939.375"/>
    <n v="2.98"/>
    <n v="45"/>
    <m/>
    <s v="ДРУЗЯГИНА"/>
    <n v="330"/>
    <m/>
  </r>
  <r>
    <s v="1"/>
    <d v="2023-09-11T00:00:00"/>
    <x v="4"/>
    <s v="10131010/260923/5028669"/>
    <s v="10131010"/>
    <s v="502866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99713.3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791.16"/>
    <m/>
    <m/>
    <n v="102.2453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7127.349999999999"/>
    <s v="ОООО-ОО"/>
    <n v="4000000"/>
    <n v="17127.349999999999"/>
    <m/>
    <s v=""/>
    <s v=""/>
    <n v="43791.16"/>
    <m/>
    <n v="0"/>
    <n v="1"/>
    <n v="4899713.38"/>
    <n v="50961.39"/>
    <s v="10"/>
    <n v="51039.502999999997"/>
    <n v="2.98"/>
    <n v="45"/>
    <m/>
    <s v="ЧУДИНА"/>
    <n v="42"/>
    <m/>
  </r>
  <r>
    <s v="1"/>
    <d v="2022-08-21T00:00:00"/>
    <x v="6"/>
    <s v="10131010/260923/3323987"/>
    <s v="10131010"/>
    <s v="332398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93772.9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873.06"/>
    <m/>
    <m/>
    <n v="102.2453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241.22"/>
    <s v="ОООО-ОО"/>
    <n v="4000000"/>
    <n v="17205.22"/>
    <n v="0"/>
    <s v=""/>
    <s v=""/>
    <n v="43873.06"/>
    <m/>
    <n v="0"/>
    <n v="1"/>
    <n v="4893772.93"/>
    <n v="50899.6"/>
    <s v="10"/>
    <n v="50927.451200000003"/>
    <n v="2.96"/>
    <n v="45"/>
    <m/>
    <s v="ЯШИНА"/>
    <n v="293"/>
    <m/>
  </r>
  <r>
    <s v="1"/>
    <d v="2023-03-01T00:00:00"/>
    <x v="2"/>
    <s v="10131010/260723/3262536"/>
    <s v="10131010"/>
    <s v="3262536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71061.1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728.11"/>
    <n v="4359334"/>
    <n v="52956.19"/>
    <n v="99.6918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E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162.82"/>
    <s v="ОООО-ОО"/>
    <n v="4000000"/>
    <n v="16072.82"/>
    <n v="0"/>
    <s v=""/>
    <s v=""/>
    <n v="43728.11"/>
    <n v="4359334"/>
    <n v="0"/>
    <n v="1"/>
    <n v="4771061.13"/>
    <n v="52956.19"/>
    <s v="10"/>
    <n v="52879.577799999999"/>
    <n v="3.29"/>
    <n v="45"/>
    <s v="2022/09 БР"/>
    <s v="ЧУДИНА ЭЛЬВИРА РАИСОВНА"/>
    <n v="368"/>
    <m/>
  </r>
  <r>
    <s v="1"/>
    <d v="2023-02-03T00:00:00"/>
    <x v="12"/>
    <s v="10131010/260723/3262064"/>
    <s v="10131010"/>
    <s v="3262064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90627.94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398.199999999997"/>
    <n v="4127061"/>
    <n v="50953.48"/>
    <n v="99.691800000000001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E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041.54"/>
    <s v="ОООО-ОО"/>
    <n v="4000000"/>
    <n v="15923.94"/>
    <n v="0"/>
    <s v=""/>
    <s v=""/>
    <n v="41398.199999999997"/>
    <n v="4127061"/>
    <n v="0"/>
    <n v="1"/>
    <n v="4590627.9400000004"/>
    <n v="50953.48"/>
    <s v="10"/>
    <n v="50956.608000000007"/>
    <n v="3.2"/>
    <n v="45"/>
    <s v="2022/09 БР"/>
    <s v="БЛАГОНРАВОВА ДАРЬЯ ДМИТРИЕВНА"/>
    <n v="324"/>
    <m/>
  </r>
  <r>
    <s v="1"/>
    <d v="2023-04-26T00:00:00"/>
    <x v="3"/>
    <s v="10131010/260623/3229462"/>
    <s v="10131010"/>
    <s v="3229462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71315.7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926.37"/>
    <n v="4293448"/>
    <n v="55558.45"/>
    <n v="91.49330000000000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CОРТИМЕНТЕ"/>
    <x v="1"/>
    <m/>
    <s v="UNITED PETFOOD PRODUCERS NV"/>
    <n v="33"/>
    <n v="0"/>
    <n v="0"/>
    <m/>
    <n v="0"/>
    <m/>
    <s v="1"/>
    <s v="2309101100"/>
    <s v=""/>
    <s v=""/>
    <s v="BE"/>
    <n v="16934.41"/>
    <s v="ОООО-ОО"/>
    <n v="4000000"/>
    <n v="16934.41"/>
    <n v="0"/>
    <s v=""/>
    <s v=""/>
    <n v="46926.37"/>
    <n v="4293448"/>
    <n v="0"/>
    <n v="1"/>
    <n v="4671315.78"/>
    <n v="55558.45"/>
    <s v="10"/>
    <n v="55544.864799999996"/>
    <n v="3.28"/>
    <n v="45"/>
    <s v="2022/09 БР"/>
    <s v="БЛАГОНРАВОВА ДАРЬЯ ДМИТРИЕВНА"/>
    <n v="144"/>
    <m/>
  </r>
  <r>
    <s v="1"/>
    <d v="2023-06-24T00:00:00"/>
    <x v="11"/>
    <s v="10131010/260523/3188264"/>
    <s v="10131010"/>
    <s v="3188264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82434.9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079.410000000003"/>
    <n v="3527764"/>
    <n v="48540.08"/>
    <n v="85.8767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67.93"/>
    <s v="ОООО-ОО"/>
    <n v="4000000"/>
    <n v="16824.73"/>
    <n v="0"/>
    <s v=""/>
    <s v=""/>
    <n v="41079.410000000003"/>
    <n v="3527764"/>
    <n v="0"/>
    <n v="1"/>
    <n v="3882434.94"/>
    <n v="48540.08"/>
    <s v="10"/>
    <n v="48539.346049999993"/>
    <n v="2.8849999999999998"/>
    <n v="45"/>
    <s v="2022/09 БР"/>
    <s v="ЧУДИНА ЭЛЬВИРА РАИСОВНА"/>
    <n v="211"/>
    <m/>
  </r>
  <r>
    <s v="1"/>
    <d v="2023-10-20T00:00:00"/>
    <x v="1"/>
    <s v="10131010/260123/3028508"/>
    <s v="10131010"/>
    <s v="3028508"/>
    <x v="0"/>
    <s v="40"/>
    <s v=""/>
    <s v=""/>
    <s v=""/>
    <s v="WELLPET BELGIUM BVBA"/>
    <s v="1831, ., DIEGEM, LEONARDO DA VINCILAAN, 19"/>
    <s v=""/>
    <s v=""/>
    <n v="1"/>
    <n v="0"/>
    <n v="1"/>
    <n v="33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n v="4041544.9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0670.61"/>
    <n v="3798087"/>
    <n v="58609.38"/>
    <n v="74.956400000000002"/>
    <s v="010"/>
    <s v="31"/>
    <s v="18090220/1481/1948/2/1"/>
    <s v="-"/>
    <s v="99"/>
    <s v=""/>
    <s v="."/>
    <s v=""/>
    <s v="СМОЛЕНСКАЯ ОБЛАСТЬ,СМОЛЕНСКИЙ Р-Н"/>
    <s v="СЕЛЬСКОЕ ПОСЕЛЕНИЕ СТАБНИНСКОЕ"/>
    <s v="СЕВЕРО-ВОСТОЧНЕЕ Д. СТАБНА,НА РАССТОЯНИИ 700 МЕТРО"/>
    <s v="10113100 т/п Стабнинский"/>
    <n v="1"/>
    <s v="СУХОЙ КОРМ ДЛЯ КОШЕК И СОБАК Т.М. &quot;WELLNESS CORE&quot;, РАСФАСОВАННЫЙ ДЛЯ РОЗНИЧНОЙ ПРОДАЖИ В ИНДИВИДУАЛЬНУЮ УПАКОВКУ, СОДЕРЖИТ 10 МАС.% ИЛИ МЕНЕЕ КРАХМАЛА, НЕ СОДЕРЖИТ ГЛЮКОЗУ, МОЛОЧНЫЕ ПРОДУКТЫ И МАЛЬТОДЕКСТРИН"/>
    <x v="1"/>
    <m/>
    <s v="UNITED PETFOOD FRANCE-UPF"/>
    <n v="33"/>
    <n v="0"/>
    <n v="0"/>
    <m/>
    <n v="0"/>
    <m/>
    <s v="1"/>
    <s v="2309101100"/>
    <s v=""/>
    <s v=""/>
    <s v="FR"/>
    <n v="14186.96"/>
    <s v="ОООО-ОО"/>
    <n v="4000000"/>
    <n v="13964.12"/>
    <n v="0"/>
    <s v=""/>
    <s v=""/>
    <n v="50670.61"/>
    <n v="3798087"/>
    <n v="0"/>
    <n v="1"/>
    <n v="4041544.9"/>
    <n v="58609.38"/>
    <s v="10"/>
    <n v="58608.808052"/>
    <n v="4.1970999999999998"/>
    <n v="941"/>
    <s v="0770/СПБ/161"/>
    <s v="ДАШКИН АЛЕКСЕЙ ХАЛИМОВИЧ"/>
    <n v="94"/>
    <m/>
  </r>
  <r>
    <s v="1"/>
    <d v="2023-04-17T00:00:00"/>
    <x v="3"/>
    <s v="10131010/260123/3028499"/>
    <s v="10131010"/>
    <s v="3028499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190797.15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9185.410000000003"/>
    <n v="2937197"/>
    <n v="46272.07"/>
    <n v="74.956400000000002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163.73"/>
    <s v="ОООО-ОО"/>
    <n v="4000000"/>
    <n v="16037.73"/>
    <n v="0"/>
    <s v=""/>
    <s v=""/>
    <n v="39185.410000000003"/>
    <n v="2937197"/>
    <n v="0"/>
    <n v="1"/>
    <n v="3190797.15"/>
    <n v="46272.07"/>
    <s v="10"/>
    <n v="46272.058596000003"/>
    <n v="2.8852000000000002"/>
    <n v="941"/>
    <s v="0770/СПБ/329"/>
    <s v="ДАШКИН АЛЕКСЕЙ ХАЛИМОВИЧ"/>
    <n v="32"/>
    <m/>
  </r>
  <r>
    <s v="1"/>
    <d v="2023-01-02T00:00:00"/>
    <x v="5"/>
    <s v="10131010/260123/3028024"/>
    <s v="10131010"/>
    <s v="302802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136084.3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7488.78"/>
    <n v="2810024"/>
    <n v="45478.64"/>
    <n v="74.95640000000000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,РАСФАСОВАННЫЙ ДЛЯ РОЗНИЧНОЙ ПРОДАЖИ,БЕЗ СОДЕРЖАНИЯ КРАХМАЛА,БЕЗ СОДЕРЖАНИЯ МОЛОЧНЫХ ПРОДУКТОВ,В АССОРТИМЕНТЕ"/>
    <x v="1"/>
    <m/>
    <s v="UNITED PETFOOD PRODUCERS NV"/>
    <n v="33"/>
    <n v="0"/>
    <n v="0"/>
    <m/>
    <n v="0"/>
    <m/>
    <s v="1"/>
    <s v="2309101100"/>
    <s v=""/>
    <s v=""/>
    <s v="BE"/>
    <n v="16344.14"/>
    <s v="ОООО-ОО"/>
    <n v="4000000"/>
    <n v="16072.34"/>
    <n v="0"/>
    <s v=""/>
    <s v=""/>
    <n v="37488.78"/>
    <n v="2810024"/>
    <n v="0"/>
    <n v="1"/>
    <n v="3136084.33"/>
    <n v="45478.64"/>
    <s v="10"/>
    <n v="45478.293264"/>
    <n v="2.8296000000000001"/>
    <n v="45"/>
    <s v="2022/09 БР"/>
    <s v="ОСИПОВА ТАТЬЯНА ВЛАДИМИРОВНА"/>
    <n v="42"/>
    <m/>
  </r>
  <r>
    <s v="1"/>
    <d v="2023-03-04T00:00:00"/>
    <x v="2"/>
    <s v="10131010/260123/3027497"/>
    <s v="10131010"/>
    <s v="3027497"/>
    <x v="0"/>
    <s v="40"/>
    <s v=""/>
    <s v=""/>
    <s v=""/>
    <s v="UNITED PETFOOD PRODUCERS NV"/>
    <s v="9400, , ERPE-MERE, EVENBROEKVELD 1,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82113.8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439.3"/>
    <n v="3256054"/>
    <n v="51946.84"/>
    <n v="74.95640000000000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8"/>
    <n v="0"/>
    <n v="0"/>
    <m/>
    <n v="0"/>
    <m/>
    <s v="1"/>
    <s v="2309101100"/>
    <s v=""/>
    <s v=""/>
    <s v="BE"/>
    <n v="18752"/>
    <s v="ОООО-ОО"/>
    <n v="4000000"/>
    <n v="18546.2"/>
    <n v="0"/>
    <s v=""/>
    <s v=""/>
    <n v="43439.3"/>
    <n v="3256054"/>
    <n v="0"/>
    <n v="1"/>
    <n v="3582113.89"/>
    <n v="51946.84"/>
    <s v="10"/>
    <n v="51946.051579999999"/>
    <n v="2.8008999999999999"/>
    <n v="45"/>
    <s v="2022/09 БР"/>
    <s v="ОСИПОВА ТАТЬЯНА ВЛАДИМИРОВНА"/>
    <n v="257"/>
    <m/>
  </r>
  <r>
    <s v="1"/>
    <d v="2022-03-27T00:00:00"/>
    <x v="6"/>
    <s v="10131010/251223/3422354"/>
    <s v="10131010"/>
    <s v="342235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39299.4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826.519999999997"/>
    <m/>
    <m/>
    <n v="101.286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73.9"/>
    <s v="ОООО-ОО"/>
    <n v="4000000"/>
    <n v="16244.3"/>
    <n v="0"/>
    <s v=""/>
    <s v=""/>
    <n v="40826.519999999997"/>
    <m/>
    <n v="0"/>
    <n v="1"/>
    <n v="4539299.49"/>
    <n v="49373"/>
    <s v="10"/>
    <n v="49382.671999999999"/>
    <n v="3.04"/>
    <n v="45"/>
    <m/>
    <s v="ОСИПОВА"/>
    <n v="585"/>
    <m/>
  </r>
  <r>
    <s v="1"/>
    <d v="2022-10-24T00:00:00"/>
    <x v="6"/>
    <s v="10131010/251223/3422346"/>
    <s v="10131010"/>
    <s v="342234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61694.98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543.03"/>
    <m/>
    <m/>
    <n v="101.286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42.12"/>
    <s v="ОООО-ОО"/>
    <n v="4000000"/>
    <n v="16424.52"/>
    <n v="0"/>
    <s v=""/>
    <s v=""/>
    <n v="38543.03"/>
    <m/>
    <n v="0"/>
    <n v="1"/>
    <n v="4361694.9800000004"/>
    <n v="47441.24"/>
    <s v="10"/>
    <n v="47466.862800000003"/>
    <n v="2.89"/>
    <n v="45"/>
    <m/>
    <s v="ОСИПОВА"/>
    <n v="547"/>
    <m/>
  </r>
  <r>
    <s v="1"/>
    <d v="2023-05-04T00:00:00"/>
    <x v="9"/>
    <s v="10131010/251223/3422332"/>
    <s v="10131010"/>
    <s v="342233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95624.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382.620000000003"/>
    <m/>
    <m/>
    <n v="101.286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496.27"/>
    <s v="ОООО-ОО"/>
    <n v="4000000"/>
    <n v="15212.47"/>
    <n v="0"/>
    <s v=""/>
    <s v=""/>
    <n v="41382.620000000003"/>
    <m/>
    <n v="0"/>
    <n v="1"/>
    <n v="4595624.8"/>
    <n v="49985.64"/>
    <s v="10"/>
    <n v="50049.026299999998"/>
    <n v="3.29"/>
    <n v="45"/>
    <m/>
    <s v="ОСИПОВА"/>
    <n v="182"/>
    <m/>
  </r>
  <r>
    <s v="1"/>
    <d v="2023-10-11T00:00:00"/>
    <x v="1"/>
    <s v="10131010/251223/3422331"/>
    <s v="10131010"/>
    <s v="342233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04349.8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544.959999999999"/>
    <m/>
    <m/>
    <n v="101.286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353.91"/>
    <s v="ОООО-ОО"/>
    <n v="4000000"/>
    <n v="17353.91"/>
    <n v="0"/>
    <s v=""/>
    <s v=""/>
    <n v="35544.959999999999"/>
    <m/>
    <n v="0"/>
    <n v="1"/>
    <n v="4004349.82"/>
    <n v="43554.47"/>
    <s v="10"/>
    <n v="43558.314099999996"/>
    <n v="2.5099999999999998"/>
    <n v="45"/>
    <m/>
    <s v="ЧУДИНА"/>
    <n v="180"/>
    <m/>
  </r>
  <r>
    <s v="1"/>
    <d v="2022-02-25T00:00:00"/>
    <x v="6"/>
    <s v="10131010/251223/3422320"/>
    <s v="10131010"/>
    <s v="342232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52055.3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384.36"/>
    <m/>
    <m/>
    <n v="101.286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173.73"/>
    <s v="ОООО-ОО"/>
    <n v="4000000"/>
    <n v="17173.73"/>
    <n v="0"/>
    <s v=""/>
    <s v=""/>
    <n v="43384.36"/>
    <m/>
    <n v="0"/>
    <n v="1"/>
    <n v="4852055.38"/>
    <n v="52774.78"/>
    <s v="10"/>
    <n v="52723.351099999993"/>
    <n v="3.07"/>
    <n v="45"/>
    <m/>
    <s v="ЧУДИНА"/>
    <n v="586"/>
    <m/>
  </r>
  <r>
    <s v="1"/>
    <d v="2022-04-15T00:00:00"/>
    <x v="6"/>
    <s v="10131010/251223/3422314"/>
    <s v="10131010"/>
    <s v="342231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06456.4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527.660000000003"/>
    <m/>
    <m/>
    <n v="101.286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07.33"/>
    <s v="ОООО-ОО"/>
    <n v="4000000"/>
    <n v="16203.52"/>
    <n v="0"/>
    <s v=""/>
    <s v=""/>
    <n v="38527.660000000003"/>
    <m/>
    <n v="0"/>
    <n v="1"/>
    <n v="4306456.47"/>
    <n v="46840.42"/>
    <s v="10"/>
    <n v="46828.1728"/>
    <n v="2.89"/>
    <n v="45"/>
    <m/>
    <s v="ЧУДИНА"/>
    <n v="278"/>
    <m/>
  </r>
  <r>
    <s v="1"/>
    <d v="2022-07-22T00:00:00"/>
    <x v="6"/>
    <s v="10131010/251223/3422313"/>
    <s v="10131010"/>
    <s v="342231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17920.0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640.839999999997"/>
    <m/>
    <m/>
    <n v="101.286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051.810000000001"/>
    <s v="ОООО-ОО"/>
    <n v="4000000"/>
    <n v="17051.810000000001"/>
    <n v="0"/>
    <s v=""/>
    <s v=""/>
    <n v="38640.839999999997"/>
    <m/>
    <n v="0"/>
    <n v="1"/>
    <n v="4317920.05"/>
    <n v="46965.1"/>
    <s v="10"/>
    <n v="46892.477500000001"/>
    <n v="2.75"/>
    <n v="45"/>
    <m/>
    <s v="ОСИПОВА"/>
    <n v="589"/>
    <m/>
  </r>
  <r>
    <s v="1"/>
    <d v="2023-05-21T00:00:00"/>
    <x v="9"/>
    <s v="10131010/251023/3355966"/>
    <s v="10131010"/>
    <s v="335596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16723.4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397.8"/>
    <m/>
    <m/>
    <n v="99.553399999999996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83.32"/>
    <s v="ОООО-ОО"/>
    <n v="4000000"/>
    <n v="16783.32"/>
    <n v="0"/>
    <s v=""/>
    <s v=""/>
    <n v="45397.8"/>
    <m/>
    <n v="0"/>
    <n v="1"/>
    <n v="4916723.41"/>
    <n v="52572.68"/>
    <s v="10"/>
    <n v="52531.791599999997"/>
    <n v="3.13"/>
    <n v="45"/>
    <m/>
    <s v="ОСИПОВА"/>
    <n v="596"/>
    <m/>
  </r>
  <r>
    <s v="1"/>
    <d v="2023-10-05T00:00:00"/>
    <x v="1"/>
    <s v="10131010/250923/3323280"/>
    <s v="10131010"/>
    <s v="332328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51506.13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972.17"/>
    <m/>
    <m/>
    <n v="102.2485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210.150000000001"/>
    <s v="ОООО-ОО"/>
    <n v="4000000"/>
    <n v="17166.95"/>
    <n v="0"/>
    <s v=""/>
    <s v=""/>
    <n v="40972.17"/>
    <m/>
    <n v="0"/>
    <n v="1"/>
    <n v="4651506.1399999997"/>
    <n v="48432.05"/>
    <s v="10"/>
    <n v="48410.798999999999"/>
    <n v="2.82"/>
    <n v="45"/>
    <m/>
    <s v="ЯШИНА"/>
    <n v="212"/>
    <m/>
  </r>
  <r>
    <s v="1"/>
    <d v="2023-10-13T00:00:00"/>
    <x v="1"/>
    <s v="10131010/250923/3322630"/>
    <s v="10131010"/>
    <s v="332263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01301.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417.14"/>
    <m/>
    <m/>
    <n v="102.2485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591.919999999998"/>
    <s v="ОООО-ОО"/>
    <n v="4000000"/>
    <n v="17591.919999999998"/>
    <n v="0"/>
    <s v=""/>
    <s v=""/>
    <n v="37417.14"/>
    <m/>
    <n v="0"/>
    <n v="1"/>
    <n v="4301301.97"/>
    <n v="44785.68"/>
    <s v="10"/>
    <n v="44859.395999999993"/>
    <n v="2.5499999999999998"/>
    <n v="45"/>
    <m/>
    <s v="БЛАГОНРАВОВА"/>
    <n v="212"/>
    <m/>
  </r>
  <r>
    <s v="1"/>
    <d v="2023-12-18T00:00:00"/>
    <x v="10"/>
    <s v="10131010/250923/3322626"/>
    <s v="10131010"/>
    <s v="332262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34410.3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129"/>
    <m/>
    <m/>
    <n v="102.2485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94.900000000001"/>
    <s v="ОООО-ОО"/>
    <n v="4000000"/>
    <n v="16730.099999999999"/>
    <n v="0"/>
    <s v=""/>
    <s v=""/>
    <n v="44129"/>
    <m/>
    <n v="0"/>
    <n v="1"/>
    <n v="4934410.37"/>
    <n v="51377.68"/>
    <s v="10"/>
    <n v="51361.406999999992"/>
    <n v="3.07"/>
    <n v="45"/>
    <m/>
    <s v="БЛАГОНРАВОВА"/>
    <n v="587"/>
    <m/>
  </r>
  <r>
    <s v="1"/>
    <d v="2022-05-20T00:00:00"/>
    <x v="6"/>
    <s v="10131010/250923/3322589"/>
    <s v="10131010"/>
    <s v="332258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56705.1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544.959999999999"/>
    <m/>
    <m/>
    <n v="102.2485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353.91"/>
    <s v="ОООО-ОО"/>
    <n v="4000000"/>
    <n v="17353.91"/>
    <n v="0"/>
    <s v=""/>
    <s v=""/>
    <n v="35544.959999999999"/>
    <m/>
    <n v="0"/>
    <n v="1"/>
    <n v="4056705.15"/>
    <n v="42238.91"/>
    <s v="10"/>
    <n v="42170.001300000004"/>
    <n v="2.4300000000000002"/>
    <n v="45"/>
    <m/>
    <s v="ДРУЗЯГИНА"/>
    <n v="245"/>
    <m/>
  </r>
  <r>
    <s v="1"/>
    <d v="2022-08-27T00:00:00"/>
    <x v="6"/>
    <s v="10131010/250923/3322551"/>
    <s v="10131010"/>
    <s v="332255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56705.1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544.959999999999"/>
    <m/>
    <m/>
    <n v="102.2485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353.91"/>
    <s v="ОООО-ОО"/>
    <n v="4000000"/>
    <n v="17353.91"/>
    <n v="0"/>
    <s v=""/>
    <s v=""/>
    <n v="35544.959999999999"/>
    <m/>
    <n v="0"/>
    <n v="1"/>
    <n v="4056705.15"/>
    <n v="42238.91"/>
    <s v="10"/>
    <n v="42170.001300000004"/>
    <n v="2.4300000000000002"/>
    <n v="45"/>
    <m/>
    <s v="ЧУДИНА"/>
    <n v="229"/>
    <m/>
  </r>
  <r>
    <s v="1"/>
    <d v="2023-10-28T00:00:00"/>
    <x v="1"/>
    <s v="10131010/250923/3322541"/>
    <s v="10131010"/>
    <s v="332254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500485.669999999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9665.27"/>
    <m/>
    <m/>
    <n v="102.2485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027.7"/>
    <s v="ОООО-ОО"/>
    <n v="4000000"/>
    <n v="17027.7"/>
    <n v="0"/>
    <s v=""/>
    <s v=""/>
    <n v="49665.27"/>
    <m/>
    <n v="0"/>
    <n v="1"/>
    <n v="5500485.6699999999"/>
    <n v="57271.73"/>
    <s v="10"/>
    <n v="57213.072"/>
    <n v="3.36"/>
    <n v="45"/>
    <m/>
    <s v="ЧУДИНА"/>
    <n v="130"/>
    <m/>
  </r>
  <r>
    <s v="1"/>
    <d v="2022-11-20T00:00:00"/>
    <x v="6"/>
    <s v="10131010/250923/3322324"/>
    <s v="10131010"/>
    <s v="332232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278865.11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7497.8"/>
    <m/>
    <m/>
    <n v="102.2485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525.080000000002"/>
    <s v="ОООО-ОО"/>
    <n v="4000000"/>
    <n v="16525.080000000002"/>
    <n v="0"/>
    <s v=""/>
    <s v=""/>
    <n v="47497.8"/>
    <m/>
    <n v="0"/>
    <n v="1"/>
    <n v="5278865.1100000003"/>
    <n v="54964.19"/>
    <s v="10"/>
    <n v="55028.516400000008"/>
    <n v="3.33"/>
    <n v="45"/>
    <m/>
    <s v="ЯШИНА"/>
    <n v="130"/>
    <m/>
  </r>
  <r>
    <s v="1"/>
    <d v="2023-03-09T00:00:00"/>
    <x v="2"/>
    <s v="10131010/250923/3322322"/>
    <s v="10131010"/>
    <s v="332232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59563.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375"/>
    <m/>
    <m/>
    <n v="102.2485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15.919999999998"/>
    <s v="ОООО-ОО"/>
    <n v="4000000"/>
    <n v="16861.919999999998"/>
    <n v="0"/>
    <s v=""/>
    <s v=""/>
    <n v="44375"/>
    <m/>
    <n v="0"/>
    <n v="1"/>
    <n v="4959563.5"/>
    <n v="51639.58"/>
    <s v="10"/>
    <n v="51597.475199999993"/>
    <n v="3.06"/>
    <n v="45"/>
    <m/>
    <s v="ДРУЗЯГИНА"/>
    <n v="353"/>
    <m/>
  </r>
  <r>
    <s v="1"/>
    <d v="2022-11-09T00:00:00"/>
    <x v="6"/>
    <s v="10131010/250923/3322321"/>
    <s v="10131010"/>
    <s v="3322321"/>
    <x v="0"/>
    <s v="40"/>
    <s v=""/>
    <s v=""/>
    <s v=""/>
    <s v="UNITED PETFOOD PRODUCERS"/>
    <s v="9042, , GHENT, TERDONKKAAI 16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96659.2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737.8"/>
    <m/>
    <m/>
    <n v="102.2485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525.080000000002"/>
    <s v="ОООО-ОО"/>
    <n v="4000000"/>
    <n v="16525.080000000002"/>
    <n v="0"/>
    <s v=""/>
    <s v=""/>
    <n v="44737.8"/>
    <m/>
    <n v="0"/>
    <n v="1"/>
    <n v="4996659.25"/>
    <n v="52025.83"/>
    <s v="10"/>
    <n v="52054.002"/>
    <n v="3.15"/>
    <n v="45"/>
    <m/>
    <s v="БЛАГОНРАВОВА"/>
    <n v="224"/>
    <m/>
  </r>
  <r>
    <s v="1"/>
    <d v="2023-07-24T00:00:00"/>
    <x v="0"/>
    <s v="10131010/250923/3322312"/>
    <s v="10131010"/>
    <s v="332231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71618.59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492.9"/>
    <m/>
    <m/>
    <n v="102.2485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48.28"/>
    <s v="ОООО-ОО"/>
    <n v="4000000"/>
    <n v="16294.28"/>
    <n v="0"/>
    <s v=""/>
    <s v=""/>
    <n v="44492.9"/>
    <m/>
    <n v="0"/>
    <n v="1"/>
    <n v="4971618.5999999996"/>
    <n v="51765.1"/>
    <s v="10"/>
    <n v="51815.810400000002"/>
    <n v="3.18"/>
    <n v="45"/>
    <m/>
    <s v="ДРУЗЯГИНА"/>
    <n v="224"/>
    <m/>
  </r>
  <r>
    <s v="1"/>
    <d v="2023-10-07T00:00:00"/>
    <x v="1"/>
    <s v="10131010/250923/3322311"/>
    <s v="10131010"/>
    <s v="332231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56705.1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544.959999999999"/>
    <m/>
    <m/>
    <n v="102.2485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353.91"/>
    <s v="ОООО-ОО"/>
    <n v="4000000"/>
    <n v="17353.91"/>
    <n v="0"/>
    <s v=""/>
    <s v=""/>
    <n v="35544.959999999999"/>
    <m/>
    <n v="0"/>
    <n v="1"/>
    <n v="4056705.15"/>
    <n v="42238.91"/>
    <s v="10"/>
    <n v="42170.001300000004"/>
    <n v="2.4300000000000002"/>
    <n v="45"/>
    <m/>
    <s v="ЯШИНА"/>
    <n v="559"/>
    <m/>
  </r>
  <r>
    <s v="1"/>
    <d v="2023-11-18T00:00:00"/>
    <x v="7"/>
    <s v="10131010/250823/3293667"/>
    <s v="10131010"/>
    <s v="3293667"/>
    <x v="0"/>
    <s v="40"/>
    <s v=""/>
    <s v=""/>
    <s v=""/>
    <s v="UNITED PETFOOD PRODUCERS NV"/>
    <s v="9400, , ERPE-MERE, EVENBROEKVELD 1,"/>
    <s v=""/>
    <s v=""/>
    <m/>
    <m/>
    <n v="1"/>
    <n v="33"/>
    <s v=""/>
    <s v="7,7010044847"/>
    <s v="ИП ЭСТРИН КИРИЛЛ ВАДИМОВИЧ"/>
    <s v="129085, РОССИЯ, МОСКВА, ПРОСПЕКТ МИРА, Д.81, КВ.101"/>
    <s v="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36652.360000000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39622.160000000003"/>
    <m/>
    <m/>
    <n v="102.4719000000000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7136.95"/>
    <s v="ОООО-ОО"/>
    <n v="4000000"/>
    <n v="17082.95"/>
    <n v="0"/>
    <s v=""/>
    <s v=""/>
    <n v="39622.160000000003"/>
    <m/>
    <n v="0"/>
    <n v="1"/>
    <n v="4536652.3600000003"/>
    <n v="48057.4"/>
    <s v="10"/>
    <n v="48003.089500000002"/>
    <n v="2.81"/>
    <m/>
    <m/>
    <m/>
    <n v="174"/>
    <m/>
  </r>
  <r>
    <s v="1"/>
    <d v="2023-09-05T00:00:00"/>
    <x v="4"/>
    <s v="10131010/250823/3293015"/>
    <s v="10131010"/>
    <s v="3293015"/>
    <x v="0"/>
    <s v="40"/>
    <s v=""/>
    <s v=""/>
    <s v=""/>
    <s v="UNITED PETFOOD PRODUCERS NV"/>
    <s v="9400, , ERPE-MERE, EVENBROEKVELD 1,"/>
    <s v=""/>
    <s v=""/>
    <m/>
    <m/>
    <n v="1"/>
    <n v="33"/>
    <s v=""/>
    <s v="7,7010044847"/>
    <s v="ИП ЭСТРИН КИРИЛЛ ВАДИМОВИЧ"/>
    <s v="129085, РОССИЯ, МОСКВА, ПРОСПЕКТ МИРА, Д.81, КВ.101"/>
    <s v="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01536.0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2207.1"/>
    <m/>
    <m/>
    <n v="102.4719000000000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5969.62"/>
    <s v="ОООО-ОО"/>
    <n v="4000000"/>
    <n v="15873.62"/>
    <n v="0"/>
    <s v=""/>
    <s v=""/>
    <n v="42207.1"/>
    <m/>
    <n v="0"/>
    <n v="1"/>
    <n v="4801536.07"/>
    <n v="50863.35"/>
    <s v="10"/>
    <n v="50795.584000000003"/>
    <n v="3.2"/>
    <m/>
    <m/>
    <m/>
    <n v="124"/>
    <m/>
  </r>
  <r>
    <s v="1"/>
    <d v="2023-07-30T00:00:00"/>
    <x v="0"/>
    <s v="10131010/250723/3261508"/>
    <s v="10131010"/>
    <s v="3261508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38860.4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091.56"/>
    <n v="4224368"/>
    <n v="51264.36"/>
    <n v="100.361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РАСФАСОВАННЫЙ ДЛЯ РОЗНИЧНОЙ ПРОДАЖИ,БЕЗ СОДЕРЖАНИЯ КРАХМАЛА,БЕЗ СОДЕРЖАНИЯ МОЛОЧНЫХ ПРОДУКТОВ,В АССОРТИМЕНТЕ:"/>
    <x v="1"/>
    <m/>
    <s v="UNITED PETFOOD PRODUCERS NV"/>
    <n v="33"/>
    <n v="0"/>
    <n v="0"/>
    <m/>
    <n v="0"/>
    <m/>
    <s v="1"/>
    <s v="2309101100"/>
    <s v=""/>
    <s v=""/>
    <s v="BE"/>
    <n v="17071.61"/>
    <s v="ОООО-ОО"/>
    <n v="4000000"/>
    <n v="17071.61"/>
    <n v="0"/>
    <s v=""/>
    <s v=""/>
    <n v="42091.56"/>
    <n v="4224368"/>
    <n v="0"/>
    <n v="1"/>
    <n v="4638860.47"/>
    <n v="51264.36"/>
    <s v="10"/>
    <n v="51214.83"/>
    <n v="3"/>
    <n v="45"/>
    <s v="2022/09 БР"/>
    <s v="ОСИПОВА ТАТЬЯНА ВЛАДИМИРОВНА"/>
    <n v="577"/>
    <m/>
  </r>
  <r>
    <s v="1"/>
    <d v="2023-08-24T00:00:00"/>
    <x v="8"/>
    <s v="10131010/250523/3186806"/>
    <s v="10131010"/>
    <s v="3186806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39229.1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088.68"/>
    <n v="3283225"/>
    <n v="45509.19"/>
    <n v="86.1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72"/>
    <s v="ОООО-ОО"/>
    <n v="4000000"/>
    <n v="16662"/>
    <n v="0"/>
    <s v=""/>
    <s v=""/>
    <n v="38088.68"/>
    <n v="3283225"/>
    <n v="0"/>
    <n v="1"/>
    <n v="3639229.11"/>
    <n v="45509.19"/>
    <s v="10"/>
    <n v="45508.920599999998"/>
    <n v="2.7313000000000001"/>
    <n v="45"/>
    <s v="2022/09 БР"/>
    <s v="ДРУЗЯГИНА ИРИНА НИКОЛАЕВНА"/>
    <n v="317"/>
    <m/>
  </r>
  <r>
    <s v="1"/>
    <d v="2023-11-26T00:00:00"/>
    <x v="7"/>
    <s v="10131010/250423/3146048"/>
    <s v="10131010"/>
    <s v="3146048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38647.8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913.120000000003"/>
    <n v="3749502"/>
    <n v="50921.85"/>
    <n v="89.458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63.25"/>
    <s v="ОООО-ОО"/>
    <n v="4000000"/>
    <n v="16719.25"/>
    <n v="0"/>
    <s v=""/>
    <s v=""/>
    <n v="41913.120000000003"/>
    <n v="3749502"/>
    <n v="0"/>
    <n v="1"/>
    <n v="4138647.83"/>
    <n v="50921.85"/>
    <s v="10"/>
    <n v="50921.819725000001"/>
    <n v="3.0457000000000001"/>
    <n v="45"/>
    <s v="2022/09 БР"/>
    <s v="ОСИПОВА ТАТЬЯНА ВЛАДИМИРОВНА"/>
    <n v="140"/>
    <m/>
  </r>
  <r>
    <s v="1"/>
    <d v="2023-03-15T00:00:00"/>
    <x v="2"/>
    <s v="10131010/250423/3145259"/>
    <s v="10131010"/>
    <s v="3145259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37569.2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665.4"/>
    <n v="3548423"/>
    <n v="48447.78"/>
    <n v="89.458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835.25"/>
    <s v="ОООО-ОО"/>
    <n v="4000000"/>
    <n v="16684.05"/>
    <n v="0"/>
    <s v=""/>
    <s v=""/>
    <n v="39665.4"/>
    <n v="3548423"/>
    <n v="0"/>
    <n v="1"/>
    <n v="3937569.27"/>
    <n v="48447.78"/>
    <s v="10"/>
    <n v="48447.144389999994"/>
    <n v="2.9037999999999999"/>
    <n v="45"/>
    <s v="2022/09 БР"/>
    <s v="БЛАГОНРАВОВА ДАРЬЯ ДМИТРИЕВНА"/>
    <n v="219"/>
    <m/>
  </r>
  <r>
    <s v="1"/>
    <d v="2023-04-18T00:00:00"/>
    <x v="3"/>
    <s v="10131010/250123/3025986"/>
    <s v="10131010"/>
    <s v="3025986"/>
    <x v="0"/>
    <s v="40"/>
    <s v=""/>
    <s v=""/>
    <s v=""/>
    <s v="UNITED PETFOOD PRODUCERS NV"/>
    <s v="9400, , ERPE-MERE, EVENBROEKVELD 1,"/>
    <s v=""/>
    <s v=""/>
    <n v="1"/>
    <n v="0"/>
    <n v="1"/>
    <n v="35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347675.2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468.050000000003"/>
    <n v="3022753"/>
    <n v="48691.4"/>
    <n v="74.6948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БЕЗ СОДЕРЖАНИЯ ГМО, B АССОРТИМЕНТЕ"/>
    <x v="1"/>
    <m/>
    <s v="UNITED PETFOOD PRODUCERS NV"/>
    <n v="35"/>
    <n v="0"/>
    <n v="0"/>
    <m/>
    <n v="0"/>
    <m/>
    <s v="1"/>
    <s v="2309101100"/>
    <s v=""/>
    <s v=""/>
    <s v="BE"/>
    <n v="19625.57"/>
    <s v="ОООО-ОО"/>
    <n v="4000000"/>
    <n v="19625.57"/>
    <n v="0"/>
    <s v=""/>
    <s v=""/>
    <n v="40468.050000000003"/>
    <n v="3022753"/>
    <n v="0"/>
    <n v="1"/>
    <n v="3347675.28"/>
    <n v="48691.4"/>
    <s v="10"/>
    <n v="48691.039169999996"/>
    <n v="2.4809999999999999"/>
    <n v="45"/>
    <s v="2022/09 БР"/>
    <s v="ДРУЗЯГИНА ИРИНА НИКОЛАЕВНА"/>
    <n v="118"/>
    <m/>
  </r>
  <r>
    <s v="1"/>
    <d v="2023-03-15T00:00:00"/>
    <x v="2"/>
    <s v="10131010/241222/5001977"/>
    <s v="10131010"/>
    <s v="5001977"/>
    <x v="0"/>
    <s v="40"/>
    <s v=""/>
    <s v=""/>
    <s v=""/>
    <s v="BAXI S.P.A."/>
    <s v="36061, VICENZA, BASSANO DEL GRAPPA, VIA TROZZETTI 20,"/>
    <s v=""/>
    <s v=""/>
    <n v="2"/>
    <m/>
    <n v="2"/>
    <n v="96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12214650.310000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BASSANO DEL GRAPPA"/>
    <n v="1"/>
    <s v="EUR"/>
    <n v="160171.74"/>
    <n v="11699056"/>
    <n v="177859.08"/>
    <n v="73.040700000000001"/>
    <s v="010"/>
    <s v=""/>
    <s v="14100003/0001/0000/2/1"/>
    <s v="-"/>
    <s v="99"/>
    <s v=""/>
    <s v="10113/301110/10022/4"/>
    <s v=""/>
    <s v="СМОЛЕНСКАЯ ОБЛ."/>
    <s v="Г. ЯРЦЕВО"/>
    <s v="УЛ. 2-Я МАШИНОСТРОИТЕЛЬНАЯ, СТР. 5/3"/>
    <s v="10113070 т/п Ярцевский"/>
    <n v="1"/>
    <s v="КОТЛЫ ЦЕНТРАЛЬНОГО ОТОПЛЕНИЯ, СТАЛЬНЫЕ, АССОРТИМЕНТ"/>
    <x v="0"/>
    <m/>
    <s v="BAXI S.P.A."/>
    <n v="92"/>
    <m/>
    <n v="240"/>
    <s v="ШТ"/>
    <m/>
    <m/>
    <s v="1"/>
    <s v="8403109000"/>
    <s v=""/>
    <s v=""/>
    <s v="IT"/>
    <n v="17323.400000000001"/>
    <s v="ОООО-ОО"/>
    <n v="4000000"/>
    <n v="16721.5999999999"/>
    <m/>
    <s v=""/>
    <s v=""/>
    <n v="130791.74"/>
    <n v="9553120"/>
    <n v="0"/>
    <n v="1"/>
    <n v="10036356.050000001"/>
    <n v="146140.66"/>
    <s v="10"/>
    <n v="8.7395999999999994"/>
    <n v="1053"/>
    <s v="0719/00-16-055"/>
    <m/>
    <s v="БЫКОВА ЛЮБОВЬ АЛЕКСАНДРОВНА"/>
    <n v="91"/>
    <m/>
  </r>
  <r>
    <s v="1"/>
    <d v="2023-05-07T00:00:00"/>
    <x v="9"/>
    <s v="10131010/241222/3554640"/>
    <s v="10131010"/>
    <s v="3554640"/>
    <x v="0"/>
    <s v="40"/>
    <s v=""/>
    <s v=""/>
    <s v=""/>
    <s v="BAXI S.P.A."/>
    <s v="36061, VICENZA, BASSANO DEL GRAPPA, VIA TROZZETTI 20,"/>
    <s v=""/>
    <s v=""/>
    <n v="1"/>
    <n v="0"/>
    <n v="1"/>
    <n v="84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10457564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34952.53"/>
    <n v="9857027"/>
    <n v="152273.92000000001"/>
    <n v="73.040700000000001"/>
    <s v="010"/>
    <s v="31"/>
    <s v="14100003/0001/0000/2/1"/>
    <s v="-"/>
    <s v="99"/>
    <s v=""/>
    <s v=""/>
    <s v=""/>
    <s v="БРЯНСКАЯ ОБЛ.,"/>
    <s v="Г.БРЯНСК,ФОКИНСКИЙ Р-Н,"/>
    <s v="ПГТ БЕЛЫЕ БЕРЕГА"/>
    <s v="10102030 т/п Брянский"/>
    <n v="1"/>
    <s v="КОТЛЫ ЦЕНТРАЛЬНОГО ОТОПЛЕНИЯ, СТАЛЬНЫЕ, ВЕС БРУТТО С ПОДДОНАМИ 17851.5 КГ., АССОРТИМЕНТ"/>
    <x v="0"/>
    <m/>
    <s v="BAXI S.P.A."/>
    <n v="84"/>
    <n v="0"/>
    <n v="327"/>
    <s v="ШТ"/>
    <n v="0"/>
    <m/>
    <s v="1"/>
    <s v="8403109000"/>
    <s v=""/>
    <s v=""/>
    <s v="IT"/>
    <n v="16591.5"/>
    <s v="ОООО-ОО"/>
    <n v="4000000"/>
    <n v="16512.45"/>
    <n v="0"/>
    <s v=""/>
    <s v=""/>
    <n v="134952.53"/>
    <n v="9857027"/>
    <n v="0"/>
    <n v="1"/>
    <n v="10457564"/>
    <n v="152273.92000000001"/>
    <s v="10"/>
    <n v="9.2218"/>
    <n v="1053"/>
    <s v="0719/00-16-055"/>
    <m/>
    <s v="БЫКОВА ЛЮБОВЬ АЛЕКСАНДРОВНА"/>
    <n v="0"/>
    <m/>
  </r>
  <r>
    <s v="1"/>
    <d v="2023-07-16T00:00:00"/>
    <x v="0"/>
    <s v="10131010/241222/3554601"/>
    <s v="10131010"/>
    <s v="3554601"/>
    <x v="0"/>
    <s v="40"/>
    <s v=""/>
    <s v=""/>
    <s v=""/>
    <s v="BAXI S.P.A."/>
    <s v="36061, VICENZA, BASSANO DEL GRAPPA, VIA TROZZETTI 20,"/>
    <s v=""/>
    <s v=""/>
    <n v="4"/>
    <n v="0"/>
    <n v="8"/>
    <n v="94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10208502.77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34264.579999999"/>
    <n v="9806779"/>
    <n v="148647.31"/>
    <n v="73.040700000000001"/>
    <s v="010"/>
    <s v="31"/>
    <s v="14100003/0001/0000/2/1"/>
    <s v="-"/>
    <s v="99"/>
    <s v=""/>
    <s v=""/>
    <s v=""/>
    <s v="БРЯНСКАЯ ОБЛ.,"/>
    <s v="Г.БРЯНСК,ФОКИНСКИЙ Р-Н,"/>
    <s v="ПГТ БЕЛЫЕ БЕРЕГА"/>
    <s v="10102030 т/п Брянский"/>
    <n v="1"/>
    <s v="КОТЛЫ ЦЕНТРАЛЬНОГО ОТОПЛЕНИЯ, СТАЛЬНЫЕ, ВЕС БРУТТО С ПОДДОНАМИ 15636.8 КГ., АССОРТИМЕНТ"/>
    <x v="0"/>
    <m/>
    <s v="BAXI S.P.A."/>
    <n v="72"/>
    <n v="0"/>
    <n v="232"/>
    <s v="ШТ"/>
    <n v="0"/>
    <m/>
    <s v="1"/>
    <s v="8403109000"/>
    <s v=""/>
    <s v=""/>
    <s v="IT"/>
    <n v="14556.8"/>
    <s v="ОООО-ОО"/>
    <n v="4000000"/>
    <n v="14468"/>
    <n v="0"/>
    <s v=""/>
    <s v=""/>
    <n v="100148.32"/>
    <n v="7314903"/>
    <n v="0"/>
    <n v="1"/>
    <n v="7649556.9000000004"/>
    <n v="111386.17"/>
    <s v="10"/>
    <n v="7.6988000000000003"/>
    <n v="1053"/>
    <s v="0719/00-16-055"/>
    <m/>
    <s v="БЫКОВА ЛЮБОВЬ АЛЕКСАНДРОВНА"/>
    <n v="342"/>
    <m/>
  </r>
  <r>
    <s v="1"/>
    <d v="2023-05-12T00:00:00"/>
    <x v="9"/>
    <s v="10131010/241222/3554408"/>
    <s v="10131010"/>
    <s v="3554408"/>
    <x v="0"/>
    <s v="40"/>
    <s v=""/>
    <s v=""/>
    <s v=""/>
    <s v="BAXI S.P.A."/>
    <s v="36061, VICENZA, BASSANO DEL GRAPPA, VIA TROZZETTI 20,"/>
    <s v=""/>
    <s v=""/>
    <n v="4"/>
    <n v="0"/>
    <n v="8"/>
    <n v="145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9654363.4199999906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25118.86"/>
    <n v="9138769"/>
    <n v="140578.42000000001"/>
    <n v="73.040700000000001"/>
    <s v="010"/>
    <s v="31"/>
    <s v="14100003/0001/0000/2/1"/>
    <s v="-"/>
    <s v="99"/>
    <s v=""/>
    <s v="10113/301110/10022/4"/>
    <s v=""/>
    <s v="СМОЛЕНСКАЯ ОБЛ."/>
    <s v="Г. ЯРЦЕВО"/>
    <s v="УЛ. 2-Я МАШИНОСТРОИТЕЛЬНАЯ, СТР. 5/3"/>
    <s v="10113070 т/п Ярцевский"/>
    <n v="1"/>
    <s v="КОТЛЫ ЦЕНТРАЛЬНОГО ОТОПЛЕНИЯ, СТАЛЬНЫЕ, ВЕС БРУТТО С ПОДДОНАМИ 16870.25 КГ., АССОРТИМЕНТ"/>
    <x v="0"/>
    <m/>
    <s v="BAXI S.P.A."/>
    <n v="89"/>
    <n v="0"/>
    <n v="299"/>
    <s v="ШТ"/>
    <n v="0"/>
    <m/>
    <s v="1"/>
    <s v="8403109000"/>
    <s v=""/>
    <s v=""/>
    <s v="IT"/>
    <n v="15638.25"/>
    <s v="ОООО-ОО"/>
    <n v="4000000"/>
    <n v="15592"/>
    <n v="0"/>
    <s v=""/>
    <s v=""/>
    <n v="121312.9"/>
    <n v="8860779"/>
    <n v="0"/>
    <n v="1"/>
    <n v="9366778.0800000001"/>
    <n v="136390.85"/>
    <s v="10"/>
    <n v="8.7475000000000005"/>
    <n v="1053"/>
    <s v="0719/00-16-055"/>
    <m/>
    <s v="БЫКОВА ЛЮБОВЬ АЛЕКСАНДРОВНА"/>
    <n v="349"/>
    <m/>
  </r>
  <r>
    <s v="0"/>
    <d v="2023-08-01T00:00:00"/>
    <x v="8"/>
    <s v="10131010/241023/3354812"/>
    <s v="10131010"/>
    <s v="3354812"/>
    <x v="0"/>
    <s v="40"/>
    <s v=""/>
    <s v=""/>
    <s v=""/>
    <s v="UNITED PETFOOD PRODUCERS"/>
    <s v="9042, , GHENT, TERDONKKAAI 16,"/>
    <s v=""/>
    <s v=""/>
    <n v="1"/>
    <m/>
    <n v="1"/>
    <n v="1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3896.7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2.26"/>
    <m/>
    <m/>
    <n v="100.30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 (ПОСТАВЛЯЕТСЯ В КАЧЕСТВЕ ОБРАЗЦОВ ДЛЯ ПРОВЕДЕНИЯ РАБОТ ПО ОЦЕНКЕ СООТВЕТСТВИЯ (ИССЛЕДОВАНИЙ И"/>
    <x v="1"/>
    <m/>
    <s v="UNITED PETFOOD PRODUCERS NV"/>
    <n v="1"/>
    <n v="0"/>
    <n v="0"/>
    <m/>
    <n v="0"/>
    <m/>
    <s v="1"/>
    <s v="2309101100"/>
    <s v=""/>
    <s v=""/>
    <s v="BE"/>
    <n v="4.0819999999999999"/>
    <s v="ОООО-ОО"/>
    <n v="4000064"/>
    <n v="4.0819999999999999"/>
    <n v="0"/>
    <s v=""/>
    <s v=""/>
    <n v="32.26"/>
    <m/>
    <n v="0"/>
    <n v="1"/>
    <n v="3896.77"/>
    <n v="41.15"/>
    <s v="10"/>
    <n v="41.146560000000001"/>
    <n v="10.08"/>
    <n v="45"/>
    <m/>
    <s v="ЧУДИНА"/>
    <n v="22"/>
    <m/>
  </r>
  <r>
    <s v="1"/>
    <d v="2023-05-28T00:00:00"/>
    <x v="9"/>
    <s v="10131010/241023/3354788"/>
    <s v="10131010"/>
    <s v="3354788"/>
    <x v="0"/>
    <s v="40"/>
    <s v=""/>
    <s v=""/>
    <s v=""/>
    <s v="UNITED PETFOOD PRODUCERS NV"/>
    <s v="9400, , ERPE-MERE, EVENBROEKVELD 1,"/>
    <s v=""/>
    <s v=""/>
    <n v="1"/>
    <m/>
    <n v="1"/>
    <n v="32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51631.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386.34"/>
    <m/>
    <m/>
    <n v="100.30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2"/>
    <n v="0"/>
    <n v="0"/>
    <m/>
    <n v="0"/>
    <m/>
    <s v="1"/>
    <s v="2309101100"/>
    <s v=""/>
    <s v=""/>
    <s v="BE"/>
    <n v="16779.238000000001"/>
    <s v="ОООО-ОО"/>
    <n v="4000000"/>
    <n v="16779.238000000001"/>
    <n v="0"/>
    <s v=""/>
    <s v=""/>
    <n v="44386.34"/>
    <m/>
    <n v="0"/>
    <n v="1"/>
    <n v="4851631.03"/>
    <n v="51227.199999999997"/>
    <s v="10"/>
    <n v="51176.675900000002"/>
    <n v="3.05"/>
    <n v="45"/>
    <m/>
    <s v="ЧУДИНА"/>
    <n v="343"/>
    <m/>
  </r>
  <r>
    <s v="1"/>
    <d v="2023-06-08T00:00:00"/>
    <x v="11"/>
    <s v="10131010/241023/3354702"/>
    <s v="10131010"/>
    <s v="335470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83720.4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717.800000000003"/>
    <m/>
    <m/>
    <n v="100.30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41.96"/>
    <s v="ОООО-ОО"/>
    <n v="4000000"/>
    <n v="15443.16"/>
    <n v="0"/>
    <s v=""/>
    <s v=""/>
    <n v="38717.800000000003"/>
    <m/>
    <n v="0"/>
    <n v="1"/>
    <n v="4283720.46"/>
    <n v="45230.77"/>
    <s v="10"/>
    <n v="45248.4588"/>
    <n v="2.93"/>
    <n v="45"/>
    <m/>
    <s v="ЯШИНА"/>
    <n v="22"/>
    <m/>
  </r>
  <r>
    <s v="1"/>
    <d v="2022-10-14T00:00:00"/>
    <x v="6"/>
    <s v="10131010/241023/3354702"/>
    <s v="10131010"/>
    <s v="335470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83720.4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717.800000000003"/>
    <m/>
    <m/>
    <n v="100.30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41.96"/>
    <s v="ОООО-ОО"/>
    <n v="4000000"/>
    <n v="15443.16"/>
    <n v="0"/>
    <s v=""/>
    <s v=""/>
    <n v="38717.800000000003"/>
    <m/>
    <n v="0"/>
    <n v="1"/>
    <n v="4283720.46"/>
    <n v="45230.77"/>
    <s v="10"/>
    <n v="45248.4588"/>
    <n v="2.93"/>
    <n v="45"/>
    <m/>
    <s v="ЯШИНА"/>
    <n v="22"/>
    <m/>
  </r>
  <r>
    <s v="1"/>
    <d v="2023-12-30T00:00:00"/>
    <x v="10"/>
    <s v="10131010/241023/3354563"/>
    <s v="10131010"/>
    <s v="335456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95631.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815.4"/>
    <m/>
    <m/>
    <n v="100.30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83.32"/>
    <s v="ОООО-ОО"/>
    <n v="4000000"/>
    <n v="16783.32"/>
    <n v="0"/>
    <s v=""/>
    <s v=""/>
    <n v="45815.4"/>
    <m/>
    <n v="0"/>
    <n v="1"/>
    <n v="4995631.04"/>
    <n v="52747.66"/>
    <s v="10"/>
    <n v="52699.624799999998"/>
    <n v="3.14"/>
    <n v="45"/>
    <m/>
    <s v="БЛАГОНРАВОВА"/>
    <n v="229"/>
    <m/>
  </r>
  <r>
    <s v="1"/>
    <d v="2022-10-18T00:00:00"/>
    <x v="6"/>
    <s v="10131010/241023/3354563"/>
    <s v="10131010"/>
    <s v="335456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95631.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815.4"/>
    <m/>
    <m/>
    <n v="100.30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83.32"/>
    <s v="ОООО-ОО"/>
    <n v="4000000"/>
    <n v="16783.32"/>
    <n v="0"/>
    <s v=""/>
    <s v=""/>
    <n v="45815.4"/>
    <m/>
    <n v="0"/>
    <n v="1"/>
    <n v="4995631.04"/>
    <n v="52747.66"/>
    <s v="10"/>
    <n v="52699.624799999998"/>
    <n v="3.14"/>
    <n v="45"/>
    <m/>
    <s v="БЛАГОНРАВОВА"/>
    <n v="229"/>
    <m/>
  </r>
  <r>
    <s v="1"/>
    <d v="2023-09-15T00:00:00"/>
    <x v="4"/>
    <s v="10131010/240823/5019237"/>
    <s v="10131010"/>
    <s v="5019237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90252.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3698.68"/>
    <m/>
    <m/>
    <n v="102.2452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m/>
    <m/>
    <m/>
    <m/>
    <m/>
    <s v="1"/>
    <s v="2309101100"/>
    <s v=""/>
    <s v=""/>
    <s v="BE"/>
    <n v="16823.599999999999"/>
    <s v="ОООО-ОО"/>
    <n v="4000000"/>
    <n v="16751.599999999999"/>
    <m/>
    <s v=""/>
    <s v=""/>
    <n v="43698.68"/>
    <m/>
    <n v="0"/>
    <n v="1"/>
    <n v="4890252.96"/>
    <n v="51780.43"/>
    <s v="10"/>
    <n v="51762.443999999996"/>
    <n v="3.09"/>
    <m/>
    <m/>
    <m/>
    <n v="20"/>
    <m/>
  </r>
  <r>
    <s v="1"/>
    <d v="2023-12-25T00:00:00"/>
    <x v="10"/>
    <s v="10131010/240823/3292341"/>
    <s v="10131010"/>
    <s v="3292341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22767.7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36192.36"/>
    <m/>
    <m/>
    <n v="102.2452"/>
    <s v=""/>
    <s v=""/>
    <s v=""/>
    <s v="-"/>
    <s v="99"/>
    <s v=""/>
    <s v=""/>
    <s v=""/>
    <s v=""/>
    <s v=""/>
    <s v="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7353.91"/>
    <s v="ОООО-ОО"/>
    <n v="4000000"/>
    <n v="17353.91"/>
    <n v="0"/>
    <s v=""/>
    <s v=""/>
    <n v="36192.36"/>
    <m/>
    <n v="0"/>
    <n v="1"/>
    <n v="4122767.77"/>
    <n v="43653.919999999998"/>
    <s v="10"/>
    <n v="43731.853199999998"/>
    <n v="2.52"/>
    <m/>
    <m/>
    <m/>
    <n v="205"/>
    <m/>
  </r>
  <r>
    <s v="1"/>
    <d v="2022-09-29T00:00:00"/>
    <x v="6"/>
    <s v="10131010/240823/3291636"/>
    <s v="10131010"/>
    <s v="3291636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029281.889999999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5058.44"/>
    <m/>
    <m/>
    <n v="102.2452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4622.07"/>
    <s v="ОООО-ОО"/>
    <n v="4000000"/>
    <n v="14322.66"/>
    <n v="0"/>
    <s v=""/>
    <s v=""/>
    <n v="45058.44"/>
    <m/>
    <n v="0"/>
    <n v="1"/>
    <n v="5029281.8899999997"/>
    <n v="53252.54"/>
    <s v="10"/>
    <n v="53280.2952"/>
    <n v="3.72"/>
    <m/>
    <m/>
    <m/>
    <n v="257"/>
    <m/>
  </r>
  <r>
    <s v="1"/>
    <d v="2023-11-21T00:00:00"/>
    <x v="7"/>
    <s v="10131010/240723/3259999"/>
    <s v="10131010"/>
    <s v="3259999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62221.2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201.31"/>
    <n v="4046511"/>
    <n v="49369.26"/>
    <n v="100.656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150.66"/>
    <s v="ОООО-ОО"/>
    <n v="4000000"/>
    <n v="16079.85"/>
    <n v="0"/>
    <s v=""/>
    <s v=""/>
    <n v="40201.31"/>
    <n v="4046511"/>
    <n v="0"/>
    <n v="1"/>
    <n v="4462221.21"/>
    <n v="49369.26"/>
    <s v="10"/>
    <n v="49365.139499999997"/>
    <n v="3.07"/>
    <n v="45"/>
    <s v="2022/09 БР"/>
    <s v="ДРУЗЯГИНА ИРИНА НИКОЛАЕВНА"/>
    <n v="564"/>
    <m/>
  </r>
  <r>
    <s v="1"/>
    <d v="2022-11-12T00:00:00"/>
    <x v="6"/>
    <s v="10131010/240723/3259354"/>
    <s v="10131010"/>
    <s v="3259354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04080.8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597.62"/>
    <n v="4388371"/>
    <n v="53151.54"/>
    <n v="100.656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EНТЕ:"/>
    <x v="1"/>
    <m/>
    <s v="UNITED PETFOOD PRODUCERS NV"/>
    <n v="33"/>
    <n v="0"/>
    <n v="0"/>
    <m/>
    <n v="0"/>
    <m/>
    <s v="1"/>
    <s v="2309101100"/>
    <s v=""/>
    <s v=""/>
    <s v="BE"/>
    <n v="16528.28"/>
    <s v="ОООО-ОО"/>
    <n v="4000000"/>
    <n v="16474.28"/>
    <n v="0"/>
    <s v=""/>
    <s v=""/>
    <n v="43597.62"/>
    <n v="4388371"/>
    <n v="0"/>
    <n v="1"/>
    <n v="4804080.87"/>
    <n v="53151.54"/>
    <s v="10"/>
    <n v="53211.924399999996"/>
    <n v="3.23"/>
    <n v="45"/>
    <s v="2022/09 БР"/>
    <s v="ЧУДИНА ЭЛЬВИРА РАИСОВНА"/>
    <n v="4"/>
    <m/>
  </r>
  <r>
    <s v="1"/>
    <d v="2023-07-18T00:00:00"/>
    <x v="0"/>
    <s v="10131010/240723/3259349"/>
    <s v="10131010"/>
    <s v="3259349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18472.76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747.12"/>
    <n v="4302763"/>
    <n v="52204.39"/>
    <n v="100.656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A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994.14"/>
    <s v="ОООО-ОО"/>
    <n v="4000000"/>
    <n v="16994.14"/>
    <n v="0"/>
    <s v=""/>
    <s v=""/>
    <n v="42747.12"/>
    <n v="4302763"/>
    <n v="0"/>
    <n v="1"/>
    <n v="4718472.7699999996"/>
    <n v="52204.39"/>
    <s v="10"/>
    <n v="52172.009799999993"/>
    <n v="3.07"/>
    <n v="45"/>
    <s v="2022/09 БР"/>
    <s v="БЛАГОНРАВОВА ДАРЬЯ ДМИТРИЕВНА"/>
    <n v="577"/>
    <m/>
  </r>
  <r>
    <s v="1"/>
    <d v="2023-08-15T00:00:00"/>
    <x v="8"/>
    <s v="10131010/240723/3259008"/>
    <s v="10131010"/>
    <s v="3259008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44878.0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022.49"/>
    <n v="4129168"/>
    <n v="50283.77"/>
    <n v="100.656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65.78"/>
    <s v="ОООО-ОО"/>
    <n v="4000000"/>
    <n v="16557.78"/>
    <n v="0"/>
    <s v=""/>
    <s v=""/>
    <n v="41022.49"/>
    <n v="4129168"/>
    <n v="0"/>
    <n v="1"/>
    <n v="4544878.07"/>
    <n v="50283.77"/>
    <s v="10"/>
    <n v="50335.6512"/>
    <n v="3.04"/>
    <n v="45"/>
    <s v="2022/09 БР"/>
    <s v="ЧУДИНА ЭЛЬВИРА РАИСОВНА"/>
    <n v="80"/>
    <m/>
  </r>
  <r>
    <s v="1"/>
    <d v="2023-03-07T00:00:00"/>
    <x v="2"/>
    <s v="10131010/240723/3259004"/>
    <s v="10131010"/>
    <s v="3259004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90498.48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475.72"/>
    <n v="4174788"/>
    <n v="50788.5"/>
    <n v="100.656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853.62"/>
    <s v="ОООО-ОО"/>
    <n v="4000000"/>
    <n v="16767.22"/>
    <n v="0"/>
    <s v=""/>
    <s v=""/>
    <n v="41475.72"/>
    <n v="4174788"/>
    <n v="0"/>
    <n v="1"/>
    <n v="4590498.4800000004"/>
    <n v="50788.5"/>
    <s v="10"/>
    <n v="50804.676599999999"/>
    <n v="3.03"/>
    <n v="45"/>
    <s v="2022/09 БР"/>
    <s v="БЛАГОНРАВОВА ДАРЬЯ ДМИТРИЕВНА"/>
    <n v="310"/>
    <m/>
  </r>
  <r>
    <s v="1"/>
    <d v="2023-12-18T00:00:00"/>
    <x v="10"/>
    <s v="10131010/240723/3258994"/>
    <s v="10131010"/>
    <s v="3258994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62866.4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207.72"/>
    <n v="4047156"/>
    <n v="49376.4"/>
    <n v="100.656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15.52"/>
    <s v="ОООО-ОО"/>
    <n v="4000000"/>
    <n v="16774.72"/>
    <n v="0"/>
    <s v=""/>
    <s v=""/>
    <n v="40207.72"/>
    <n v="4047156"/>
    <n v="0"/>
    <n v="1"/>
    <n v="4462866.42"/>
    <n v="49376.4"/>
    <s v="10"/>
    <n v="49317.676800000001"/>
    <n v="2.94"/>
    <n v="45"/>
    <s v="2022/09 БР"/>
    <s v="ДРУЗЯГИНА ИРИНА НИКОЛАЕВНА"/>
    <n v="15"/>
    <m/>
  </r>
  <r>
    <s v="1"/>
    <d v="2023-08-12T00:00:00"/>
    <x v="8"/>
    <s v="10131010/240523/3185980"/>
    <s v="10131010"/>
    <s v="3185980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22807.9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883.279999999999"/>
    <n v="3365356"/>
    <n v="46438.45"/>
    <n v="86.5502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736.02"/>
    <s v="ОООО-ОО"/>
    <n v="4000000"/>
    <n v="16628.02"/>
    <n v="0"/>
    <s v=""/>
    <s v=""/>
    <n v="38883.279999999999"/>
    <n v="3365356"/>
    <n v="0"/>
    <n v="1"/>
    <n v="3722807.99"/>
    <n v="46438.45"/>
    <s v="10"/>
    <n v="46438.734256000003"/>
    <n v="2.7928000000000002"/>
    <n v="45"/>
    <s v="2022/09 БР"/>
    <s v="ЯШИНА АННА СЕРГЕЕВНА"/>
    <n v="580"/>
    <m/>
  </r>
  <r>
    <s v="1"/>
    <d v="2023-05-12T00:00:00"/>
    <x v="9"/>
    <s v="10131010/240523/3185679"/>
    <s v="10131010"/>
    <s v="3185679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44542.7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600.6"/>
    <n v="3687090"/>
    <n v="50451.78"/>
    <n v="86.5502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031.54"/>
    <s v="ОООО-ОО"/>
    <n v="4000000"/>
    <n v="16966.740000000002"/>
    <n v="0"/>
    <s v=""/>
    <s v=""/>
    <n v="42600.6"/>
    <n v="3687090"/>
    <n v="0"/>
    <n v="1"/>
    <n v="4044542.78"/>
    <n v="50451.78"/>
    <s v="10"/>
    <n v="50452.298064000002"/>
    <n v="2.9735999999999998"/>
    <n v="45"/>
    <s v="2022/09 БР"/>
    <s v="ДРУЗЯГИНА ИРИНА НИКОЛАЕВНА"/>
    <n v="152"/>
    <m/>
  </r>
  <r>
    <s v="1"/>
    <d v="2023-04-06T00:00:00"/>
    <x v="3"/>
    <s v="10131010/240523/3185591"/>
    <s v="10131010"/>
    <s v="3185591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51418.5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470.84"/>
    <n v="3848960"/>
    <n v="53032.36"/>
    <n v="86.5502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204.650000000001"/>
    <s v="ОООО-ОО"/>
    <n v="4000000"/>
    <n v="17161.45"/>
    <n v="0"/>
    <s v=""/>
    <s v=""/>
    <n v="44470.84"/>
    <n v="3848960"/>
    <n v="0"/>
    <n v="1"/>
    <n v="4251418.53"/>
    <n v="53032.36"/>
    <s v="10"/>
    <n v="53032.312789999996"/>
    <n v="3.0901999999999998"/>
    <n v="45"/>
    <s v="2022/09 БР"/>
    <s v="ЧУДИНА ЭЛЬВИРА РАИСОВНА"/>
    <n v="174"/>
    <m/>
  </r>
  <r>
    <s v="1"/>
    <d v="2023-10-31T00:00:00"/>
    <x v="1"/>
    <s v="10131010/240523/3185476"/>
    <s v="10131010"/>
    <s v="3185476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26855.2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720.839999999997"/>
    <n v="3524397"/>
    <n v="48983.74"/>
    <n v="86.5502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395.93"/>
    <s v="ОООО-ОО"/>
    <n v="4000000"/>
    <n v="17395.93"/>
    <n v="0"/>
    <s v=""/>
    <s v=""/>
    <n v="40720.839999999997"/>
    <n v="3524397"/>
    <n v="0"/>
    <n v="1"/>
    <n v="3926855.28"/>
    <n v="48983.74"/>
    <s v="10"/>
    <n v="48983.459693999997"/>
    <n v="2.8157999999999999"/>
    <n v="45"/>
    <s v="2022/09 БР"/>
    <s v="ЯШИНА АННА СЕРГЕЕВНА"/>
    <n v="102"/>
    <m/>
  </r>
  <r>
    <s v="1"/>
    <d v="2023-12-19T00:00:00"/>
    <x v="10"/>
    <s v="10131010/240523/3185224"/>
    <s v="10131010"/>
    <s v="3185224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15195.1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950.720000000001"/>
    <n v="3457743"/>
    <n v="47590.89"/>
    <n v="86.5502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168.3"/>
    <s v="ОООО-ОО"/>
    <n v="4000000"/>
    <n v="17168.3"/>
    <n v="0"/>
    <s v=""/>
    <s v=""/>
    <n v="39950.720000000001"/>
    <n v="3457743"/>
    <n v="0"/>
    <n v="1"/>
    <n v="3815195.14"/>
    <n v="47590.89"/>
    <s v="10"/>
    <n v="47590.527599999994"/>
    <n v="2.7719999999999998"/>
    <n v="45"/>
    <s v="2022/09 БР"/>
    <s v="ДРУЗЯГИНА ИРИНА НИКОЛАЕВНА"/>
    <n v="166"/>
    <m/>
  </r>
  <r>
    <s v="1"/>
    <d v="2023-11-19T00:00:00"/>
    <x v="7"/>
    <s v="10131010/240423/3144339"/>
    <s v="10131010"/>
    <s v="3144339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55758.6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280.47"/>
    <n v="3867088"/>
    <n v="52226.68"/>
    <n v="89.3495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36"/>
    <s v="ОООО-ОО"/>
    <n v="4000000"/>
    <n v="16710"/>
    <n v="0"/>
    <s v=""/>
    <s v=""/>
    <n v="43280.47"/>
    <n v="3867088"/>
    <n v="0"/>
    <n v="1"/>
    <n v="4255758.68"/>
    <n v="52226.68"/>
    <s v="10"/>
    <n v="52227.105000000003"/>
    <n v="3.1255000000000002"/>
    <n v="45"/>
    <s v="2022/09 БР"/>
    <s v="ОСИПОВА ТАТЬЯНА ВЛАДИМИРОВНА"/>
    <n v="286"/>
    <m/>
  </r>
  <r>
    <s v="1"/>
    <d v="2023-11-13T00:00:00"/>
    <x v="7"/>
    <s v="10131010/240423/3142848"/>
    <s v="10131010"/>
    <s v="3142848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97675.1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868.800000000003"/>
    <n v="4009005"/>
    <n v="53968.28"/>
    <n v="89.34950000000000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643.32"/>
    <s v="ОООО-ОО"/>
    <n v="4000000"/>
    <n v="15445.32"/>
    <n v="0"/>
    <s v=""/>
    <s v=""/>
    <n v="44868.800000000003"/>
    <n v="4009005"/>
    <n v="0"/>
    <n v="1"/>
    <n v="4397675.18"/>
    <n v="53968.28"/>
    <s v="10"/>
    <n v="53969.037144000002"/>
    <n v="3.4942000000000002"/>
    <n v="45"/>
    <s v="2022/09 БР"/>
    <s v="ОСИПОВА ТАТЬЯНА ВЛАДИМИРОВНА"/>
    <n v="157"/>
    <m/>
  </r>
  <r>
    <s v="1"/>
    <d v="2023-09-12T00:00:00"/>
    <x v="4"/>
    <s v="10131010/240323/3102394"/>
    <s v="10131010"/>
    <s v="310239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38317.5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408.6"/>
    <n v="3276636"/>
    <n v="47679.87"/>
    <n v="83.14520000000000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C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59.36"/>
    <s v="ОООО-ОО"/>
    <n v="4000000"/>
    <n v="16759.36"/>
    <n v="0"/>
    <s v=""/>
    <s v=""/>
    <n v="39408.6"/>
    <n v="3276636"/>
    <n v="0"/>
    <n v="1"/>
    <n v="3638317.55"/>
    <n v="47679.87"/>
    <s v="10"/>
    <n v="47680.379200000003"/>
    <n v="2.8450000000000002"/>
    <n v="45"/>
    <s v="2022/09 БР"/>
    <s v="ЧУДИНА ЭЛЬВИРА РАИСОВНА"/>
    <n v="313"/>
    <m/>
  </r>
  <r>
    <s v="1"/>
    <d v="2023-09-18T00:00:00"/>
    <x v="4"/>
    <s v="10131010/240323/3102365"/>
    <s v="10131010"/>
    <s v="3102365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31699.90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545.3"/>
    <n v="3870018"/>
    <n v="55456.1"/>
    <n v="83.14520000000000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; В АССОРТИМЕНТЕ:"/>
    <x v="1"/>
    <m/>
    <s v="UNITED PETFOOD PRODUCERS NV"/>
    <n v="33"/>
    <n v="0"/>
    <n v="0"/>
    <m/>
    <n v="0"/>
    <m/>
    <s v="1"/>
    <s v="2309101100"/>
    <s v=""/>
    <s v=""/>
    <s v="BE"/>
    <n v="16567.349999999999"/>
    <s v="ОООО-ОО"/>
    <n v="4000000"/>
    <n v="16513.349999999999"/>
    <n v="0"/>
    <s v=""/>
    <s v=""/>
    <n v="46545.3"/>
    <n v="3870018"/>
    <n v="0"/>
    <n v="1"/>
    <n v="4231699.9000000004"/>
    <n v="55456.1"/>
    <s v="10"/>
    <n v="55456.78330499999"/>
    <n v="3.3582999999999998"/>
    <n v="45"/>
    <s v="2022/09 БР"/>
    <s v="ОСИПОВА ТАТЬЯНА ВЛАДИМИРОВНА"/>
    <n v="340"/>
    <m/>
  </r>
  <r>
    <s v="1"/>
    <d v="2023-05-30T00:00:00"/>
    <x v="9"/>
    <s v="10131010/240123/3023851"/>
    <s v="10131010"/>
    <s v="3023851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165633.5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010.550000000003"/>
    <n v="2840555"/>
    <n v="46126.9"/>
    <n v="74.73069999999999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, РАСФАСОВАННЫЙ ДЛЯ РОЗНИЧНОЙ ПРОДАЖИ, БЕЗ СОДЕРЖАНИЯ КРАX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477.28"/>
    <s v="ОООО-ОО"/>
    <n v="4000000"/>
    <n v="16299.68"/>
    <n v="0"/>
    <s v=""/>
    <s v=""/>
    <n v="38010.550000000003"/>
    <n v="2840555"/>
    <n v="0"/>
    <n v="1"/>
    <n v="3165633.56"/>
    <n v="46126.9"/>
    <s v="10"/>
    <n v="46126.464432000001"/>
    <n v="2.8298999999999999"/>
    <n v="45"/>
    <s v="2022/09 БР"/>
    <s v="БЛАГОНРАВОВА ДАРЬЯ ДМИТРИЕВНА"/>
    <n v="169"/>
    <m/>
  </r>
  <r>
    <s v="1"/>
    <d v="2023-09-03T00:00:00"/>
    <x v="4"/>
    <s v="10131010/240123/3023832"/>
    <s v="10131010"/>
    <s v="3023832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67450.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725.56"/>
    <n v="3342372"/>
    <n v="53438.95"/>
    <n v="74.73069999999999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99.55"/>
    <s v="ОООО-ОО"/>
    <n v="4000000"/>
    <n v="16248.35"/>
    <n v="0"/>
    <s v=""/>
    <s v=""/>
    <n v="44725.56"/>
    <n v="3342372"/>
    <n v="0"/>
    <n v="1"/>
    <n v="3667450.96"/>
    <n v="53438.95"/>
    <s v="10"/>
    <n v="53439.198315000001"/>
    <n v="3.2888999999999999"/>
    <n v="45"/>
    <s v="2022/09 БР"/>
    <s v="ЯШИНА АННА СЕРГЕЕВНА"/>
    <n v="252"/>
    <m/>
  </r>
  <r>
    <s v="1"/>
    <d v="2023-11-01T00:00:00"/>
    <x v="7"/>
    <s v="10131010/231222/3552897"/>
    <s v="10131010"/>
    <s v="3552897"/>
    <x v="0"/>
    <s v="40"/>
    <s v=""/>
    <s v=""/>
    <s v=""/>
    <s v="BAXI S.P.A."/>
    <s v="36061, VICENZA, BASSANO DEL GRAPPA, VIA TROZZETTI 20,"/>
    <s v=""/>
    <s v=""/>
    <n v="5"/>
    <n v="0"/>
    <n v="12"/>
    <n v="95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10067763.34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25956.46"/>
    <n v="9653882"/>
    <n v="139576.87"/>
    <n v="76.644599999999897"/>
    <s v="010"/>
    <s v="31"/>
    <s v="14100003/0001/0000/2/1"/>
    <s v="-"/>
    <s v="99"/>
    <s v=""/>
    <s v=""/>
    <s v=""/>
    <s v="БРЯНСКАЯ ОБЛ.,"/>
    <s v="Г.БРЯНСК,ФОКИНСКИЙ Р-Н,"/>
    <s v="ПГТ БЕЛЫЕ БЕРЕГА"/>
    <s v="10102030 т/п Брянский"/>
    <n v="1"/>
    <s v="КОТЛЫ ЦЕНТРАЛЬНОГО ОТОПЛЕНИЯ, СТАЛЬНЫЕ, ВЕС БРУТТО С ПОДДОНАМИ 17557.80 КГ., АССОРТИМЕНТ"/>
    <x v="0"/>
    <m/>
    <s v="BAXI S.P.A."/>
    <n v="90"/>
    <n v="0"/>
    <n v="318"/>
    <s v="ШТ"/>
    <n v="0"/>
    <m/>
    <s v="1"/>
    <s v="8403109000"/>
    <s v=""/>
    <s v=""/>
    <s v="IT"/>
    <n v="16387.8"/>
    <s v="ОООО-ОО"/>
    <n v="4000000"/>
    <n v="16290"/>
    <n v="0"/>
    <s v=""/>
    <s v=""/>
    <n v="122034.76"/>
    <n v="9353305"/>
    <n v="0"/>
    <n v="1"/>
    <n v="9762516.25"/>
    <n v="135345"/>
    <s v="10"/>
    <n v="8.3085000000000004"/>
    <n v="1053"/>
    <s v="0719/00-16-055"/>
    <m/>
    <s v="БЫКОВА ЛЮБОВЬ АЛЕКСАНДРОВНА"/>
    <n v="163"/>
    <m/>
  </r>
  <r>
    <s v="1"/>
    <d v="2023-08-26T00:00:00"/>
    <x v="8"/>
    <s v="10131010/231123/5045335"/>
    <s v="10131010"/>
    <s v="504533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65867.8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498.16"/>
    <m/>
    <m/>
    <n v="96.147499999999994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033.55"/>
    <s v="ОООО-ОО"/>
    <n v="4000000"/>
    <n v="15831.95"/>
    <n v="0"/>
    <s v=""/>
    <s v=""/>
    <n v="43498.16"/>
    <m/>
    <n v="0"/>
    <n v="1"/>
    <n v="4565867.87"/>
    <n v="51787.88"/>
    <s v="10"/>
    <n v="51770.476500000004"/>
    <n v="3.27"/>
    <n v="45"/>
    <m/>
    <s v="БЛАГОНРАВОВА"/>
    <n v="544"/>
    <m/>
  </r>
  <r>
    <s v="1"/>
    <d v="2023-06-05T00:00:00"/>
    <x v="11"/>
    <s v="10131010/231023/5036452"/>
    <s v="10131010"/>
    <s v="503645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11475.9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490.6"/>
    <m/>
    <m/>
    <n v="101.4257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312.12"/>
    <s v="ОООО-ОО"/>
    <n v="4000000"/>
    <n v="14988.12"/>
    <n v="0"/>
    <s v=""/>
    <s v=""/>
    <n v="40490.6"/>
    <m/>
    <n v="0"/>
    <n v="1"/>
    <n v="4511475.99"/>
    <n v="47040.95"/>
    <s v="10"/>
    <n v="47062.696800000005"/>
    <n v="3.14"/>
    <n v="45"/>
    <m/>
    <s v="ЧУДИНА"/>
    <n v="34"/>
    <m/>
  </r>
  <r>
    <s v="1"/>
    <d v="2023-10-14T00:00:00"/>
    <x v="1"/>
    <s v="10131010/231023/5036333"/>
    <s v="10131010"/>
    <s v="503633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51939.09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903.599999999999"/>
    <m/>
    <m/>
    <n v="101.425700000000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4983.74"/>
    <s v="ОООО-ОО"/>
    <n v="4000000"/>
    <n v="14594.94"/>
    <n v="0"/>
    <s v=""/>
    <s v=""/>
    <n v="39903.599999999999"/>
    <m/>
    <n v="0"/>
    <n v="1"/>
    <n v="4451939.0999999996"/>
    <n v="46420.160000000003"/>
    <s v="10"/>
    <n v="46411.909200000002"/>
    <n v="3.18"/>
    <n v="45"/>
    <m/>
    <s v="ЯШИНА"/>
    <n v="368"/>
    <m/>
  </r>
  <r>
    <s v="1"/>
    <d v="2023-05-21T00:00:00"/>
    <x v="9"/>
    <s v="10131010/231023/3353589"/>
    <s v="10131010"/>
    <s v="335358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90928.1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715.839999999997"/>
    <m/>
    <m/>
    <n v="101.4257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777.330000000002"/>
    <s v="ОООО-ОО"/>
    <n v="4000000"/>
    <n v="16777.330000000002"/>
    <n v="0"/>
    <s v=""/>
    <s v=""/>
    <n v="42715.839999999997"/>
    <m/>
    <n v="0"/>
    <n v="1"/>
    <n v="4790928.13"/>
    <n v="49954.78"/>
    <s v="10"/>
    <n v="49996.443400000004"/>
    <n v="2.98"/>
    <n v="45"/>
    <m/>
    <s v="ДРУЗЯГИНА"/>
    <n v="337"/>
    <m/>
  </r>
  <r>
    <s v="1"/>
    <d v="2022-01-24T00:00:00"/>
    <x v="6"/>
    <s v="10131010/231023/3353589"/>
    <s v="10131010"/>
    <s v="335358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90928.1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715.839999999997"/>
    <m/>
    <m/>
    <n v="101.4257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777.330000000002"/>
    <s v="ОООО-ОО"/>
    <n v="4000000"/>
    <n v="16777.330000000002"/>
    <n v="0"/>
    <s v=""/>
    <s v=""/>
    <n v="42715.839999999997"/>
    <m/>
    <n v="0"/>
    <n v="1"/>
    <n v="4790928.13"/>
    <n v="49954.78"/>
    <s v="10"/>
    <n v="49996.443400000004"/>
    <n v="2.98"/>
    <n v="45"/>
    <m/>
    <s v="ДРУЗЯГИНА"/>
    <n v="337"/>
    <m/>
  </r>
  <r>
    <s v="1"/>
    <d v="2023-11-06T00:00:00"/>
    <x v="7"/>
    <s v="10131010/231023/3353212"/>
    <s v="10131010"/>
    <s v="335321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75479.6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121.64"/>
    <m/>
    <m/>
    <n v="101.4257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505.33"/>
    <s v="ОООО-ОО"/>
    <n v="4000000"/>
    <n v="15159.73"/>
    <n v="0"/>
    <s v=""/>
    <s v=""/>
    <n v="41121.64"/>
    <m/>
    <n v="0"/>
    <n v="1"/>
    <n v="4575479.66"/>
    <n v="47708.31"/>
    <s v="10"/>
    <n v="47753.1495"/>
    <n v="3.15"/>
    <n v="45"/>
    <m/>
    <s v="ДРУЗЯГИНА"/>
    <n v="342"/>
    <m/>
  </r>
  <r>
    <s v="1"/>
    <d v="2022-04-03T00:00:00"/>
    <x v="6"/>
    <s v="10131010/230823/5018985"/>
    <s v="10131010"/>
    <s v="5018985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33427.139999999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2389.279999999999"/>
    <m/>
    <m/>
    <n v="102.753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m/>
    <m/>
    <m/>
    <m/>
    <m/>
    <s v="1"/>
    <s v="2309101100"/>
    <s v=""/>
    <s v=""/>
    <s v="BE"/>
    <n v="15951.26"/>
    <s v="ОООО-ОО"/>
    <n v="4000000"/>
    <n v="15771.26"/>
    <m/>
    <s v=""/>
    <s v=""/>
    <n v="42389.279999999999"/>
    <m/>
    <n v="0"/>
    <n v="1"/>
    <n v="4833427.1399999997"/>
    <n v="51354.7"/>
    <s v="10"/>
    <n v="51414.3076"/>
    <n v="3.26"/>
    <m/>
    <m/>
    <m/>
    <n v="343"/>
    <m/>
  </r>
  <r>
    <s v="1"/>
    <d v="2022-02-10T00:00:00"/>
    <x v="6"/>
    <s v="10131010/230823/5018955"/>
    <s v="10131010"/>
    <s v="5018955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048070.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4998.21"/>
    <m/>
    <m/>
    <n v="102.753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m/>
    <m/>
    <m/>
    <m/>
    <m/>
    <s v="1"/>
    <s v="2309101100"/>
    <s v=""/>
    <s v=""/>
    <s v="BE"/>
    <n v="16257.65"/>
    <s v="ОООО-ОО"/>
    <n v="4000000"/>
    <n v="16149.65"/>
    <m/>
    <s v=""/>
    <s v=""/>
    <n v="44998.21"/>
    <m/>
    <n v="0"/>
    <n v="1"/>
    <n v="5048070.96"/>
    <n v="53635.27"/>
    <s v="10"/>
    <n v="53616.837999999996"/>
    <n v="3.32"/>
    <m/>
    <m/>
    <m/>
    <n v="34"/>
    <m/>
  </r>
  <r>
    <s v="1"/>
    <d v="2022-01-04T00:00:00"/>
    <x v="6"/>
    <s v="10131010/230823/3290202"/>
    <s v="10131010"/>
    <s v="3290202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20884.610000000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840.800000000003"/>
    <m/>
    <m/>
    <n v="102.753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6485.990000000002"/>
    <s v="ОООО-ОО"/>
    <n v="4000000"/>
    <n v="16344.99"/>
    <n v="0"/>
    <s v=""/>
    <s v=""/>
    <n v="40840.800000000003"/>
    <m/>
    <n v="0"/>
    <n v="1"/>
    <n v="4620884.6100000003"/>
    <n v="49096.45"/>
    <s v="10"/>
    <n v="49034.97"/>
    <n v="3"/>
    <m/>
    <m/>
    <m/>
    <n v="243"/>
    <m/>
  </r>
  <r>
    <s v="1"/>
    <d v="2023-09-29T00:00:00"/>
    <x v="4"/>
    <s v="10131010/230523/3184337"/>
    <s v="10131010"/>
    <s v="3184337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55493.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756.32"/>
    <n v="3698263"/>
    <n v="50733.05"/>
    <n v="86.49630000000000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315.400000000001"/>
    <s v="ОООО-ОО"/>
    <n v="4000000"/>
    <n v="17315.400000000001"/>
    <n v="0"/>
    <s v=""/>
    <s v=""/>
    <n v="42756.32"/>
    <n v="3698263"/>
    <n v="0"/>
    <n v="1"/>
    <n v="4055493.2"/>
    <n v="50733.05"/>
    <s v="10"/>
    <n v="50732.390460000002"/>
    <n v="2.9298999999999999"/>
    <n v="45"/>
    <s v="2022/09 БР"/>
    <s v="БЛАГОНРАВОВА ДАРЬЯ ДМИТРИЕВНА"/>
    <n v="319"/>
    <m/>
  </r>
  <r>
    <s v="1"/>
    <d v="2023-01-07T00:00:00"/>
    <x v="5"/>
    <s v="10131010/230523/3184288"/>
    <s v="10131010"/>
    <s v="3184288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89136.8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625.279999999999"/>
    <n v="3686929"/>
    <n v="51153.919999999998"/>
    <n v="86.49630000000000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444.5"/>
    <s v="ОООО-ОО"/>
    <n v="4000000"/>
    <n v="16401.3"/>
    <n v="0"/>
    <s v=""/>
    <s v=""/>
    <n v="42625.279999999999"/>
    <n v="3686929"/>
    <n v="0"/>
    <n v="1"/>
    <n v="4089136.81"/>
    <n v="51153.919999999998"/>
    <s v="10"/>
    <n v="51154.014569999999"/>
    <n v="3.1189"/>
    <n v="45"/>
    <s v="2022/09 БР"/>
    <s v="БЛАГОНРАВОВА ДАРЬЯ ДМИТРИЕВНА"/>
    <n v="343"/>
    <m/>
  </r>
  <r>
    <s v="1"/>
    <d v="2023-06-09T00:00:00"/>
    <x v="11"/>
    <s v="10131010/230323/5002151"/>
    <s v="10131010"/>
    <s v="5002151"/>
    <x v="0"/>
    <s v="40"/>
    <s v=""/>
    <s v=""/>
    <s v=""/>
    <s v="UNITED PETFOOD PRODUCERS NV"/>
    <s v="9400, , ERPE-MERE, EVENBROEKVELD 1,"/>
    <s v=""/>
    <s v=""/>
    <n v="1"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76294.9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986.82"/>
    <n v="3815388"/>
    <n v="54268.54"/>
    <n v="82.96699999999999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X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6627.07"/>
    <s v="ОООО-ОО"/>
    <n v="4000000"/>
    <n v="16627.07"/>
    <m/>
    <s v=""/>
    <s v=""/>
    <n v="45986.82"/>
    <n v="3815388"/>
    <n v="0"/>
    <n v="1"/>
    <n v="4176294.94"/>
    <n v="54268.54"/>
    <s v="10"/>
    <n v="54269.093773000001"/>
    <n v="3.2639"/>
    <n v="45"/>
    <s v="2022/09 БР"/>
    <s v="ЯШИНА АННА СЕРГЕЕВНА"/>
    <n v="552"/>
    <m/>
  </r>
  <r>
    <s v="1"/>
    <d v="2023-12-23T00:00:00"/>
    <x v="10"/>
    <s v="10131010/230323/3101680"/>
    <s v="10131010"/>
    <s v="310168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63816.2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015.22"/>
    <n v="3402910"/>
    <n v="48908.61"/>
    <n v="82.96699999999999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TИМЕНТЕ:"/>
    <x v="1"/>
    <m/>
    <s v="UNITED PETFOOD PRODUCERS NV"/>
    <n v="33"/>
    <n v="0"/>
    <n v="0"/>
    <m/>
    <n v="0"/>
    <m/>
    <s v="1"/>
    <s v="2309101100"/>
    <s v=""/>
    <s v=""/>
    <s v="BE"/>
    <n v="16083.75"/>
    <s v="ОООО-ОО"/>
    <n v="4000000"/>
    <n v="15885.15"/>
    <n v="0"/>
    <s v=""/>
    <s v=""/>
    <n v="41015.22"/>
    <n v="3402910"/>
    <n v="0"/>
    <n v="1"/>
    <n v="3763816.21"/>
    <n v="48908.61"/>
    <s v="10"/>
    <n v="48908.788334999997"/>
    <n v="3.0789"/>
    <n v="45"/>
    <s v="2022/09 БР"/>
    <s v="ОСИПОВА ТАТЬЯНА ВЛАДИМИРОВНА"/>
    <n v="319"/>
    <m/>
  </r>
  <r>
    <s v="1"/>
    <d v="2023-03-10T00:00:00"/>
    <x v="2"/>
    <s v="10131010/230323/3100642"/>
    <s v="10131010"/>
    <s v="3100642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58943.2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277.68"/>
    <n v="3756553"/>
    <n v="54043.06"/>
    <n v="82.96699999999999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H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728.98"/>
    <s v="ОООО-ОО"/>
    <n v="4000000"/>
    <n v="16692.98"/>
    <n v="0"/>
    <s v=""/>
    <s v=""/>
    <n v="45277.68"/>
    <n v="3756553"/>
    <n v="0"/>
    <n v="1"/>
    <n v="4158943.23"/>
    <n v="54043.06"/>
    <s v="10"/>
    <n v="54043.522749999996"/>
    <n v="3.2374999999999998"/>
    <n v="45"/>
    <s v="2022/09 БР"/>
    <s v="БЛАГОНРАВОВА ДАРЬЯ ДМИТРИЕВНА"/>
    <n v="300"/>
    <m/>
  </r>
  <r>
    <s v="1"/>
    <d v="2023-07-20T00:00:00"/>
    <x v="0"/>
    <s v="10131010/230323/3100510"/>
    <s v="10131010"/>
    <s v="310051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94122.0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7764.6"/>
    <n v="3133216"/>
    <n v="45404.09"/>
    <n v="82.966999999999999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659.46"/>
    <s v="ОООО-ОО"/>
    <n v="4000000"/>
    <n v="15391.86"/>
    <n v="0"/>
    <s v=""/>
    <s v=""/>
    <n v="37764.6"/>
    <n v="3133216"/>
    <n v="0"/>
    <n v="1"/>
    <n v="3494122.02"/>
    <n v="45404.09"/>
    <s v="10"/>
    <n v="45404.447813999999"/>
    <n v="2.9499"/>
    <n v="45"/>
    <s v="2022/09 БР"/>
    <s v="ОСИПОВА ТАТЬЯНА ВЛАДИМИРОВНА"/>
    <n v="224"/>
    <m/>
  </r>
  <r>
    <s v="1"/>
    <d v="2023-10-12T00:00:00"/>
    <x v="1"/>
    <s v="10131010/230123/3022489"/>
    <s v="10131010"/>
    <s v="3022489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575170.67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4760.959999999999"/>
    <n v="3327682"/>
    <n v="52066.400000000001"/>
    <n v="74.3434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CТРИН."/>
    <x v="1"/>
    <m/>
    <s v="UNITED PETFOOD PRODUCERS NV"/>
    <n v="33"/>
    <n v="1"/>
    <n v="0"/>
    <m/>
    <n v="0"/>
    <m/>
    <s v="1"/>
    <s v="2309101100"/>
    <s v=""/>
    <s v=""/>
    <s v="BE"/>
    <n v="17193.21"/>
    <s v="ОООО-ОО"/>
    <n v="4000000"/>
    <n v="17193.21"/>
    <n v="0"/>
    <s v=""/>
    <s v=""/>
    <n v="44760.959999999999"/>
    <n v="3327682"/>
    <n v="0"/>
    <n v="1"/>
    <n v="3575170.67"/>
    <n v="52066.400000000001"/>
    <s v="10"/>
    <n v="52066.197843000002"/>
    <n v="3.0283000000000002"/>
    <n v="941"/>
    <s v="0770/СПБ/329"/>
    <s v="ДАШКИН АЛЕКСЕЙ ХАЛИМОВИЧ"/>
    <n v="201"/>
    <m/>
  </r>
  <r>
    <s v="1"/>
    <d v="2023-03-26T00:00:00"/>
    <x v="2"/>
    <s v="10131010/221223/3419545"/>
    <s v="10131010"/>
    <s v="341954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3947838.6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287.56"/>
    <m/>
    <m/>
    <n v="100.5113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353.91"/>
    <s v="ОООО-ОО"/>
    <n v="4000000"/>
    <n v="17353.91"/>
    <n v="0"/>
    <s v=""/>
    <s v=""/>
    <n v="35287.56"/>
    <m/>
    <n v="0"/>
    <n v="1"/>
    <n v="3947838.62"/>
    <n v="43048.76"/>
    <s v="10"/>
    <n v="43037.696799999998"/>
    <n v="2.48"/>
    <n v="45"/>
    <m/>
    <s v="ДРУЗЯГИНА"/>
    <n v="221"/>
    <m/>
  </r>
  <r>
    <s v="1"/>
    <d v="2022-02-28T00:00:00"/>
    <x v="6"/>
    <s v="10131010/221223/3419372"/>
    <s v="10131010"/>
    <s v="3419372"/>
    <x v="0"/>
    <s v="40"/>
    <s v=""/>
    <s v=""/>
    <s v=""/>
    <s v="UNITED PETFOOD PRODUCERS NV"/>
    <s v="9400, , ERPE-MERE, EVENBROEKVELD 1,"/>
    <s v=""/>
    <s v=""/>
    <n v="1"/>
    <m/>
    <n v="1"/>
    <n v="36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37682.65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130.559999999998"/>
    <m/>
    <m/>
    <n v="100.5113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6"/>
    <n v="0"/>
    <n v="0"/>
    <m/>
    <n v="0"/>
    <m/>
    <s v="1"/>
    <s v="2309101100"/>
    <s v=""/>
    <s v=""/>
    <s v="BE"/>
    <n v="19138.13"/>
    <s v="ОООО-ОО"/>
    <n v="4000000"/>
    <n v="19138.13"/>
    <n v="0"/>
    <s v=""/>
    <s v=""/>
    <n v="46130.559999999998"/>
    <m/>
    <n v="0"/>
    <n v="1"/>
    <n v="5037682.6500000004"/>
    <n v="54932.85"/>
    <s v="10"/>
    <n v="54926.433100000002"/>
    <n v="2.87"/>
    <n v="45"/>
    <m/>
    <s v="ЧУДИНА"/>
    <n v="150"/>
    <m/>
  </r>
  <r>
    <s v="1"/>
    <d v="2022-04-07T00:00:00"/>
    <x v="6"/>
    <s v="10131010/221223/3419349"/>
    <s v="10131010"/>
    <s v="341934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185998.1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657.040000000001"/>
    <m/>
    <m/>
    <n v="100.5113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221.919999999998"/>
    <s v="ОООО-ОО"/>
    <n v="4000000"/>
    <n v="17203.919999999998"/>
    <n v="0"/>
    <s v=""/>
    <s v=""/>
    <n v="37657.040000000001"/>
    <m/>
    <n v="0"/>
    <n v="1"/>
    <n v="4185998.13"/>
    <n v="45645.75"/>
    <s v="10"/>
    <n v="45590.387999999992"/>
    <n v="2.65"/>
    <n v="45"/>
    <m/>
    <s v="ДРУЗЯГИНА"/>
    <n v="128"/>
    <m/>
  </r>
  <r>
    <s v="1"/>
    <d v="2023-08-23T00:00:00"/>
    <x v="8"/>
    <s v="10131010/221223/3418479"/>
    <s v="10131010"/>
    <s v="341847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59975.86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852.879999999997"/>
    <m/>
    <m/>
    <n v="100.511300000000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715.439999999999"/>
    <s v="ОООО-ОО"/>
    <n v="4000000"/>
    <n v="17715.439999999999"/>
    <n v="0"/>
    <s v=""/>
    <s v=""/>
    <n v="39852.879999999997"/>
    <m/>
    <n v="0"/>
    <n v="1"/>
    <n v="4459975.8600000003"/>
    <n v="48633.31"/>
    <s v="10"/>
    <n v="48717.46"/>
    <n v="2.75"/>
    <n v="45"/>
    <m/>
    <s v="ЧУДИНА"/>
    <n v="60"/>
    <m/>
  </r>
  <r>
    <s v="1"/>
    <d v="2022-08-30T00:00:00"/>
    <x v="6"/>
    <s v="10131010/221222/3552467"/>
    <s v="10131010"/>
    <s v="3552467"/>
    <x v="0"/>
    <s v="40"/>
    <s v=""/>
    <s v=""/>
    <s v=""/>
    <s v="OU ELECTROAIR TRADE"/>
    <s v="75322, RAE VALD, SOODEVAHE, KAPTENI TEE 1, 1"/>
    <s v=""/>
    <s v=""/>
    <n v="3"/>
    <n v="0"/>
    <n v="5"/>
    <n v="5"/>
    <s v="1117746229281"/>
    <s v="7743812781"/>
    <s v="ООО СТРОЙПРОЕКТ"/>
    <s v="117218, МОСКВА, МОСКВА, ПР.НАХИМОВСКИЙ, Д.32, ЭТАЖ 12, ПОМ.1, ОФИС 13 И 14,"/>
    <s v="45000"/>
    <s v="772701001"/>
    <s v="1117746229281"/>
    <s v="7743812781"/>
    <s v="ООО СТРОЙПРОЕКТ"/>
    <s v="117218, МОСКВА, МОСКВА, ПР.НАХИМОВСКИЙ, Д.32, ЭТАЖ 12, ПОМ.1, ОФИС 13 И 14,"/>
    <s v="45000"/>
    <s v="772701001"/>
    <s v="EE"/>
    <s v="ЭСТОНИЯ"/>
    <n v="1435627.4"/>
    <s v="1117746229281"/>
    <s v="7743812781"/>
    <s v="ООО СТРОЙПРОЕКТ"/>
    <s v="117218, МОСКВА, МОСКВА, ПР.НАХИМОВСКИЙ, Д.32, ЭТАЖ 12, ПОМ.1, ОФИС 13 И 14,"/>
    <s v="45000"/>
    <s v="772701001"/>
    <s v="EE"/>
    <s v="ЭСТОНИЯ"/>
    <x v="8"/>
    <s v="RU"/>
    <s v="РОССИЯ"/>
    <n v="2"/>
    <s v="0"/>
    <s v="FCA"/>
    <s v="ТАЛЛИНН"/>
    <n v="1"/>
    <s v="EUR"/>
    <n v="18743.400000000001"/>
    <n v="1407468"/>
    <n v="20356.12"/>
    <n v="75.091399999999894"/>
    <s v="010"/>
    <s v="31"/>
    <s v=""/>
    <s v="-"/>
    <s v="11"/>
    <s v="10210/300413/10110/2"/>
    <s v=""/>
    <s v="196626"/>
    <s v="."/>
    <s v="СПБ"/>
    <s v="П.ШУШАРЫ, УЛ.ПОСЕЛКОВАЯ, Д.12, ЛИТ.В; ТЕР.ПРЕДП.Ш"/>
    <s v="10210100 т/п Южный"/>
    <n v="2"/>
    <s v="КОТЛЫ ЦЕНТРАЛЬНОГО ОТОПЛЕНИЯ, ВОДОГРЕЙНЫЕ, ГАЗОВЫЕ В СТАЛЬНОМ КОРПУСЕ, НАПОЛЬНЫЕ КОНДЕНСАЦИОННЫЕ, МОЩНОСТЬ 150КВТ, ТИП LOGANO PLUS KB372"/>
    <x v="0"/>
    <m/>
    <s v="BOSCH THERMOTECHNIEK GMBH"/>
    <n v="2"/>
    <n v="0"/>
    <n v="2"/>
    <s v="ШТ"/>
    <n v="0"/>
    <m/>
    <s v="3"/>
    <s v="8403109000"/>
    <s v=""/>
    <s v=""/>
    <s v="DE"/>
    <n v="365"/>
    <s v="ОООО-ОО"/>
    <n v="4000000"/>
    <n v="365"/>
    <n v="0"/>
    <s v=""/>
    <s v=""/>
    <n v="12788"/>
    <n v="960269"/>
    <n v="0"/>
    <n v="1"/>
    <n v="975512.37"/>
    <n v="13832.03"/>
    <s v="10"/>
    <n v="37.896000000000001"/>
    <m/>
    <m/>
    <m/>
    <s v="ШАДРИН НИКОЛАЙ ОЛЕГОВИЧ"/>
    <n v="233"/>
    <m/>
  </r>
  <r>
    <s v="1"/>
    <d v="2023-04-08T00:00:00"/>
    <x v="3"/>
    <s v="10131010/221222/3552385"/>
    <s v="10131010"/>
    <s v="3552385"/>
    <x v="0"/>
    <s v="40"/>
    <s v=""/>
    <s v=""/>
    <s v=""/>
    <s v="BDR THERMEA HVAC CO., LTD"/>
    <s v="314000, , JIAXING, NO. 2000 GUANGQIONG ROAD,"/>
    <s v=""/>
    <s v=""/>
    <n v="9"/>
    <n v="0"/>
    <n v="24"/>
    <n v="52"/>
    <s v="1087746423005"/>
    <s v="7717615508"/>
    <s v="ООО БДР ТЕРМИЯ РУС ЧЕРЕЗ АО ТАСКОМ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n v="7494882.75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x v="1"/>
    <s v="RU"/>
    <s v="РОССИЯ"/>
    <n v="1"/>
    <s v="1"/>
    <s v="EXW"/>
    <s v="JIAXING"/>
    <n v="0"/>
    <s v="EUR"/>
    <n v="96034.55"/>
    <n v="7211369"/>
    <n v="106271.79"/>
    <n v="75.091399999999894"/>
    <s v="010"/>
    <s v="40"/>
    <s v="22060044/0001/0000/2/1"/>
    <s v="-"/>
    <s v="11"/>
    <s v="10106/100913/10053/8"/>
    <s v=""/>
    <s v="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СТАЛЬНЫЕ, БРУТТО С ПОДДОНАМИ 11632.0 КГ., АССОРТИМЕНТ"/>
    <x v="0"/>
    <m/>
    <s v="BDR THERMEA HVAC &amp; CO., LTD"/>
    <n v="52"/>
    <n v="1"/>
    <n v="308"/>
    <s v="ШТ"/>
    <n v="0"/>
    <m/>
    <s v="1"/>
    <s v="8403109000"/>
    <s v=""/>
    <s v=""/>
    <s v="CN"/>
    <n v="10332"/>
    <s v="ОООО-ОО"/>
    <n v="4000000"/>
    <n v="10034"/>
    <n v="0"/>
    <s v=""/>
    <s v=""/>
    <n v="90655.45"/>
    <n v="6807445"/>
    <n v="0"/>
    <n v="1"/>
    <n v="7078714.5800000001"/>
    <n v="100370.85"/>
    <s v="10"/>
    <n v="10.0031"/>
    <n v="1053"/>
    <s v="0719/00-16-055"/>
    <m/>
    <s v="НОВИКОВА ЕЛЕНА ПЕТРОВНА"/>
    <n v="150"/>
    <m/>
  </r>
  <r>
    <s v="1"/>
    <d v="2023-11-29T00:00:00"/>
    <x v="7"/>
    <s v="10131010/221222/3552377"/>
    <s v="10131010"/>
    <s v="3552377"/>
    <x v="0"/>
    <s v="40"/>
    <s v=""/>
    <s v=""/>
    <s v=""/>
    <s v="BDR THERMEA HVAC CO., LTD"/>
    <s v="314000, , JIAXING, NO. 2000 GUANGQIONG ROAD,"/>
    <s v=""/>
    <s v=""/>
    <n v="1"/>
    <n v="0"/>
    <n v="1"/>
    <n v="56"/>
    <s v="1087746423005"/>
    <s v="7717615508"/>
    <s v="ООО БДР ТЕРМИЯ РУС ЧЕРЕЗ АО ТАСКОМ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n v="7809163.3399999896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x v="1"/>
    <s v="RU"/>
    <s v="РОССИЯ"/>
    <n v="1"/>
    <s v="1"/>
    <s v="EXW"/>
    <s v="JIAXING"/>
    <n v="0"/>
    <s v="EUR"/>
    <n v="100219.87"/>
    <n v="7525650"/>
    <n v="110728.07"/>
    <n v="75.091399999999894"/>
    <s v="010"/>
    <s v="40"/>
    <s v="22060044/0001/0000/2/1"/>
    <s v="-"/>
    <s v="11"/>
    <s v="10106/100913/10053/8"/>
    <s v=""/>
    <s v="142455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СТАЛЬНЫЕ, АССОРТИМЕНТ"/>
    <x v="0"/>
    <m/>
    <s v="BDR THERMEA HVAC CO., LTD"/>
    <n v="56"/>
    <n v="1"/>
    <n v="388"/>
    <s v="ШТ"/>
    <n v="0"/>
    <m/>
    <s v="1"/>
    <s v="8403109000"/>
    <s v=""/>
    <s v=""/>
    <s v="CN"/>
    <n v="11316"/>
    <s v="ОООО-ОО"/>
    <n v="4000000"/>
    <n v="10864"/>
    <n v="0"/>
    <s v=""/>
    <s v=""/>
    <n v="100219.87"/>
    <n v="7525650"/>
    <n v="0"/>
    <n v="1"/>
    <n v="7809163.3399999896"/>
    <n v="110728.07"/>
    <s v="10"/>
    <n v="10.1922"/>
    <n v="1053"/>
    <s v="0719/00-16-055"/>
    <m/>
    <s v="БЫКОВА ЛЮБОВЬ АЛЕКСАНДРОВНА"/>
    <n v="0"/>
    <m/>
  </r>
  <r>
    <s v="1"/>
    <d v="2023-01-19T00:00:00"/>
    <x v="5"/>
    <s v="10131010/221222/3552370"/>
    <s v="10131010"/>
    <s v="3552370"/>
    <x v="0"/>
    <s v="40"/>
    <s v=""/>
    <s v=""/>
    <s v=""/>
    <s v="BDR THERMEA HVAC CO., LTD"/>
    <s v="314000, , JIAXING, NO. 2000 GUANGQIONG ROAD,"/>
    <s v=""/>
    <s v=""/>
    <n v="1"/>
    <n v="0"/>
    <n v="1"/>
    <n v="52"/>
    <s v="1087746423005"/>
    <s v="7717615508"/>
    <s v="ООО БДР ТЕРМИЯ РУС ЧЕРЕЗ АО ТАСКОМ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n v="7210892.8700000001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x v="1"/>
    <s v="RU"/>
    <s v="РОССИЯ"/>
    <n v="1"/>
    <s v="1"/>
    <s v="EXW"/>
    <s v="JIAXING"/>
    <n v="0"/>
    <s v="EUR"/>
    <n v="92252.64"/>
    <n v="6927380"/>
    <n v="102245.04"/>
    <n v="75.091399999999894"/>
    <s v="010"/>
    <s v="40"/>
    <s v="22060044/0001/0000/2/1"/>
    <s v="-"/>
    <s v="11"/>
    <s v="10106/100913/10053/8"/>
    <s v=""/>
    <s v="142455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СТАЛЬНЫЕ, АССОРТИМЕНТ"/>
    <x v="0"/>
    <m/>
    <s v="BDR THERMEA HVAC CO., LTD"/>
    <n v="52"/>
    <n v="1"/>
    <n v="324"/>
    <s v="ШТ"/>
    <n v="0"/>
    <m/>
    <s v="1"/>
    <s v="8403109000"/>
    <s v=""/>
    <s v=""/>
    <s v="CN"/>
    <n v="10656"/>
    <s v="ОООО-ОО"/>
    <n v="4000000"/>
    <n v="10196"/>
    <n v="0"/>
    <s v=""/>
    <s v=""/>
    <n v="92252.64"/>
    <n v="6927380"/>
    <n v="0"/>
    <n v="1"/>
    <n v="7210892.8700000001"/>
    <n v="102245.04"/>
    <s v="10"/>
    <n v="10.028"/>
    <n v="1053"/>
    <s v="0719/00-16-055"/>
    <m/>
    <s v="БЫКОВА ЛЮБОВЬ АЛЕКСАНДРОВНА"/>
    <n v="0"/>
    <m/>
  </r>
  <r>
    <s v="1"/>
    <d v="2023-06-13T00:00:00"/>
    <x v="11"/>
    <s v="10131010/221222/3552355"/>
    <s v="10131010"/>
    <s v="3552355"/>
    <x v="0"/>
    <s v="40"/>
    <s v=""/>
    <s v=""/>
    <s v=""/>
    <s v="BDR THERMEA HVAC CO., LTD"/>
    <s v="314000, , JIAXING, NO. 2000 GUANGQIONG ROAD,"/>
    <s v=""/>
    <s v=""/>
    <n v="1"/>
    <n v="0"/>
    <n v="1"/>
    <n v="52"/>
    <s v="1087746423005"/>
    <s v="7717615508"/>
    <s v="ООО БДР ТЕРМИЯ РУС ЧЕРЕЗ АО ТАСКОМ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n v="7129962.2000000002"/>
    <s v="1087746423005"/>
    <s v="7717615508"/>
    <s v="ООО БДР ТЕРМИЯ РУС"/>
    <s v="129164, , Г. МОСКВА, ПЕР. ЗУБАРЕВ, Д.15, КОРП.1, ЭТ. 3, ПОМ.1, КОМ. 67Г"/>
    <s v="45000"/>
    <s v="771701001"/>
    <s v="CN"/>
    <s v="КИТАЙ"/>
    <x v="1"/>
    <s v="RU"/>
    <s v="РОССИЯ"/>
    <n v="1"/>
    <s v="1"/>
    <s v="EXW"/>
    <s v="JIAXING"/>
    <n v="0"/>
    <s v="EUR"/>
    <n v="91034.11"/>
    <n v="6835879"/>
    <n v="101097.51"/>
    <n v="75.091399999999894"/>
    <s v="010"/>
    <s v="40"/>
    <s v="22060044/0001/0000/2/1"/>
    <s v="-"/>
    <s v="11"/>
    <s v="10106/100913/10053/8"/>
    <s v=""/>
    <s v="142455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СТАЛЬНЫЕ, АССОРТИМЕНТ"/>
    <x v="0"/>
    <m/>
    <s v="BDR THERMEA HVAC CO., LTD"/>
    <n v="52"/>
    <n v="1"/>
    <n v="324"/>
    <s v="ШТ"/>
    <n v="0"/>
    <m/>
    <s v="1"/>
    <s v="8403109000"/>
    <s v=""/>
    <s v=""/>
    <s v="CN"/>
    <n v="10528"/>
    <s v="ОООО-ОО"/>
    <n v="4000000"/>
    <n v="9972"/>
    <n v="0"/>
    <s v=""/>
    <s v=""/>
    <n v="91034.11"/>
    <n v="6835879"/>
    <n v="0"/>
    <n v="1"/>
    <n v="7129962.2000000002"/>
    <n v="101097.51"/>
    <s v="10"/>
    <n v="10.1381"/>
    <n v="1053"/>
    <s v="0719/00-16-055"/>
    <m/>
    <s v="БЫКОВА ЛЮБОВЬ АЛЕКСАНДРОВНА"/>
    <n v="0"/>
    <m/>
  </r>
  <r>
    <s v="1"/>
    <d v="2023-02-01T00:00:00"/>
    <x v="12"/>
    <s v="10131010/221222/3551386"/>
    <s v="10131010"/>
    <s v="3551386"/>
    <x v="0"/>
    <s v="40"/>
    <s v=""/>
    <s v=""/>
    <s v=""/>
    <s v="BDR THERMEA FRANCE S.A.S."/>
    <s v="67580, MERTZWILLER, B.P.30, 57 RUE DE LA GARE,"/>
    <s v=""/>
    <s v=""/>
    <n v="3"/>
    <n v="0"/>
    <n v="5"/>
    <n v="38"/>
    <s v="1087746423005"/>
    <s v="7717615508"/>
    <s v="ООО БДР ТЕРМИЯ РУС"/>
    <s v="129164, ГОРОД, МОСКВА, ЗУБАРЕВ ПЕРЕУЛОК, ДОМ 15, КОРПУС 1, ЭТ.3, ПОМ.1, КОМ.67Г"/>
    <s v="45000"/>
    <s v="771701001"/>
    <s v="1087746423005"/>
    <s v="7717615508"/>
    <s v="ООО БДР ТЕРМИЯ РУС"/>
    <s v="129164, ГОРОД, МОСКВА, ЗУБАРЕВ ПЕРЕУЛОК, ДОМ 15, КОРПУС 1, ЭТ.3, ПОМ.1, КОМ.67Г"/>
    <s v="45000"/>
    <s v="771701001"/>
    <s v="FR"/>
    <s v="ФРАНЦИЯ"/>
    <n v="11501240.609999901"/>
    <s v="1087746423005"/>
    <s v="7717615508"/>
    <s v="ООО БДР ТЕРМИЯ РУС"/>
    <s v="129164, ГОРОД, МОСКВА, ЗУБАРЕВ ПЕРЕУЛОК, ДОМ 15, КОРПУС 1, ЭТ.3, ПОМ.1, КОМ.67Г"/>
    <s v="45000"/>
    <s v="771701001"/>
    <s v="FR"/>
    <s v="ФРАНЦИЯ"/>
    <x v="6"/>
    <s v="RU"/>
    <s v="РОССИЯ"/>
    <n v="2"/>
    <s v="0"/>
    <s v="FCA"/>
    <s v="MERTZWILLER"/>
    <n v="1"/>
    <s v="EUR"/>
    <n v="148063.22"/>
    <n v="11118274"/>
    <n v="163078.95000000001"/>
    <n v="75.091399999999894"/>
    <s v="010"/>
    <s v=""/>
    <s v="16120140/0001/0000/2/1"/>
    <s v="-"/>
    <s v="99"/>
    <s v=""/>
    <s v=""/>
    <s v=""/>
    <s v="СМОЛЕНСКАЯ ОБЛ."/>
    <s v="Г. РОСЛАВЛЬ"/>
    <s v="УЛ. КАРЛА МАРКСА, Д. 166"/>
    <s v="10113050 т/п Рославльский"/>
    <n v="1"/>
    <s v="КОТЛЫ ЦЕНТРАЛЬНОГО ОТОПЛЕНИЯ НЕ ИЗ ЧУГУННОГО ЛИТЬЯ, НЕВОЕННОГО НАЗНАЧЕНИЯ, АССОРТИМЕНТ"/>
    <x v="0"/>
    <m/>
    <s v="BDR THERMEA FRANCE S.A.S"/>
    <n v="36"/>
    <n v="0"/>
    <n v="132"/>
    <s v="ШТ"/>
    <n v="0"/>
    <m/>
    <s v="1"/>
    <s v="8403109000"/>
    <s v=""/>
    <s v=""/>
    <s v="FR"/>
    <n v="11630"/>
    <s v="ОООО-ОО"/>
    <n v="4000000"/>
    <n v="11004"/>
    <n v="0"/>
    <s v=""/>
    <s v=""/>
    <n v="142121.06"/>
    <n v="10672069"/>
    <n v="0"/>
    <n v="1"/>
    <n v="10995048.74"/>
    <n v="155901.53"/>
    <s v="10"/>
    <n v="14.1677"/>
    <n v="1053"/>
    <s v="0719/00-16-055"/>
    <m/>
    <s v="БЫКОВА ЛЮБОВЬ АЛЕКСАНДРОВНА"/>
    <n v="564"/>
    <m/>
  </r>
  <r>
    <s v="1"/>
    <d v="2023-08-29T00:00:00"/>
    <x v="8"/>
    <s v="10131010/221123/5045064"/>
    <s v="10131010"/>
    <s v="504506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82627.1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820.79"/>
    <m/>
    <m/>
    <n v="96.256100000000004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683.45"/>
    <s v="ОООО-ОО"/>
    <n v="4000000"/>
    <n v="16553.849999999999"/>
    <n v="0"/>
    <s v=""/>
    <s v=""/>
    <n v="40820.79"/>
    <m/>
    <n v="0"/>
    <n v="1"/>
    <n v="4382627.16"/>
    <n v="49523.78"/>
    <s v="10"/>
    <n v="49496.011500000001"/>
    <n v="2.99"/>
    <n v="45"/>
    <m/>
    <s v="ЧУДИНА"/>
    <n v="4"/>
    <m/>
  </r>
  <r>
    <s v="1"/>
    <d v="2023-10-10T00:00:00"/>
    <x v="1"/>
    <s v="10131010/221123/3385745"/>
    <s v="10131010"/>
    <s v="338574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38252.2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666.58"/>
    <m/>
    <m/>
    <n v="96.256100000000004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01.03"/>
    <s v="ОООО-ОО"/>
    <n v="4000000"/>
    <n v="16921.830000000002"/>
    <n v="0"/>
    <s v=""/>
    <s v=""/>
    <n v="43666.58"/>
    <m/>
    <n v="0"/>
    <n v="1"/>
    <n v="4638252.26"/>
    <n v="52785.33"/>
    <s v="10"/>
    <n v="52796.109600000011"/>
    <n v="3.12"/>
    <n v="45"/>
    <m/>
    <s v="ОСИПОВА"/>
    <n v="581"/>
    <m/>
  </r>
  <r>
    <s v="1"/>
    <d v="2023-05-16T00:00:00"/>
    <x v="9"/>
    <s v="10131010/221123/3385670"/>
    <s v="10131010"/>
    <s v="338567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103178.0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637.72"/>
    <m/>
    <m/>
    <n v="96.256100000000004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214.59"/>
    <s v="ОООО-ОО"/>
    <n v="4000000"/>
    <n v="16079.59"/>
    <n v="0"/>
    <s v=""/>
    <s v=""/>
    <n v="38637.72"/>
    <m/>
    <n v="0"/>
    <n v="1"/>
    <n v="4103178.08"/>
    <n v="46695.95"/>
    <s v="10"/>
    <n v="46630.811000000002"/>
    <n v="2.9"/>
    <n v="45"/>
    <m/>
    <s v="ОСИПОВА"/>
    <n v="313"/>
    <m/>
  </r>
  <r>
    <s v="1"/>
    <d v="2023-11-26T00:00:00"/>
    <x v="7"/>
    <s v="10131010/221123/3385665"/>
    <s v="10131010"/>
    <s v="338566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12968.1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972.800000000003"/>
    <m/>
    <m/>
    <n v="96.256100000000004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426.439999999999"/>
    <s v="ОООО-ОО"/>
    <n v="4000000"/>
    <n v="16372.44"/>
    <n v="0"/>
    <s v=""/>
    <s v=""/>
    <n v="44972.800000000003"/>
    <m/>
    <n v="0"/>
    <n v="1"/>
    <n v="4712968.17"/>
    <n v="53635.63"/>
    <s v="10"/>
    <n v="53701.603199999998"/>
    <n v="3.28"/>
    <n v="45"/>
    <m/>
    <s v="ЯШИНА"/>
    <n v="285"/>
    <m/>
  </r>
  <r>
    <s v="1"/>
    <d v="2023-07-03T00:00:00"/>
    <x v="0"/>
    <s v="10131010/221123/3385660"/>
    <s v="10131010"/>
    <s v="338566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42269.4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7355"/>
    <m/>
    <m/>
    <n v="96.256100000000004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493.7"/>
    <s v="ОООО-ОО"/>
    <n v="4000000"/>
    <n v="16439.7"/>
    <n v="0"/>
    <s v=""/>
    <s v=""/>
    <n v="47355"/>
    <m/>
    <n v="0"/>
    <n v="1"/>
    <n v="4942269.46"/>
    <n v="56245.18"/>
    <s v="10"/>
    <n v="56223.774000000005"/>
    <n v="3.42"/>
    <n v="45"/>
    <m/>
    <s v="ЧУДИНА"/>
    <n v="148"/>
    <m/>
  </r>
  <r>
    <s v="1"/>
    <d v="2023-09-05T00:00:00"/>
    <x v="4"/>
    <s v="10131010/221123/3385139"/>
    <s v="10131010"/>
    <s v="338513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84669.80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756.6"/>
    <m/>
    <m/>
    <n v="96.256100000000004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047.14"/>
    <s v="ОООО-ОО"/>
    <n v="4000000"/>
    <n v="17029.14"/>
    <n v="0"/>
    <s v=""/>
    <s v=""/>
    <n v="46756.6"/>
    <m/>
    <n v="0"/>
    <n v="1"/>
    <n v="4884669.8099999996"/>
    <n v="55589.67"/>
    <s v="10"/>
    <n v="55514.996399999996"/>
    <n v="3.26"/>
    <n v="45"/>
    <m/>
    <s v="ЯШИНА"/>
    <n v="109"/>
    <m/>
  </r>
  <r>
    <s v="1"/>
    <d v="2023-04-16T00:00:00"/>
    <x v="3"/>
    <s v="10131010/221123/3384889"/>
    <s v="10131010"/>
    <s v="338488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37925.4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232.08"/>
    <m/>
    <m/>
    <n v="96.256100000000004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"/>
    <n v="33"/>
    <n v="0"/>
    <n v="0"/>
    <m/>
    <n v="0"/>
    <m/>
    <s v="1"/>
    <s v="2309101100"/>
    <s v=""/>
    <s v=""/>
    <s v="BE"/>
    <n v="16727.89"/>
    <s v="ОООО-ОО"/>
    <n v="4000000"/>
    <n v="16727.89"/>
    <n v="0"/>
    <s v=""/>
    <s v=""/>
    <n v="45232.08"/>
    <m/>
    <n v="0"/>
    <n v="1"/>
    <n v="4737925.46"/>
    <n v="53919.65"/>
    <s v="10"/>
    <n v="53863.805800000002"/>
    <n v="3.22"/>
    <n v="45"/>
    <m/>
    <s v="ЧУДИНА"/>
    <n v="310"/>
    <m/>
  </r>
  <r>
    <s v="1"/>
    <d v="2023-12-11T00:00:00"/>
    <x v="10"/>
    <s v="10131010/221123/3384843"/>
    <s v="10131010"/>
    <s v="338484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84485.1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443.519999999997"/>
    <m/>
    <m/>
    <n v="96.256100000000004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667.740000000002"/>
    <s v="ОООО-ОО"/>
    <n v="4000000"/>
    <n v="16538.14"/>
    <n v="0"/>
    <s v=""/>
    <s v=""/>
    <n v="38443.519999999997"/>
    <m/>
    <n v="0"/>
    <n v="1"/>
    <n v="4084485.15"/>
    <n v="46483.22"/>
    <s v="10"/>
    <n v="46472.1734"/>
    <n v="2.81"/>
    <n v="45"/>
    <m/>
    <s v="ОСИПОВА"/>
    <n v="88"/>
    <m/>
  </r>
  <r>
    <s v="1"/>
    <d v="2023-01-22T00:00:00"/>
    <x v="5"/>
    <s v="10131010/220923/3320386"/>
    <s v="10131010"/>
    <s v="332038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75949.55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758.9"/>
    <m/>
    <m/>
    <n v="102.3606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670.650000000001"/>
    <s v="ОООО-ОО"/>
    <n v="4000000"/>
    <n v="16670.650000000001"/>
    <n v="0"/>
    <s v=""/>
    <s v=""/>
    <n v="44758.9"/>
    <m/>
    <n v="0"/>
    <n v="1"/>
    <n v="5075949.5599999996"/>
    <n v="52832.54"/>
    <s v="10"/>
    <n v="52845.960500000001"/>
    <n v="3.17"/>
    <n v="45"/>
    <m/>
    <s v="БЛАГОНРАВОВА"/>
    <n v="124"/>
    <m/>
  </r>
  <r>
    <s v="1"/>
    <d v="2022-08-27T00:00:00"/>
    <x v="6"/>
    <s v="10131010/220823/3289962"/>
    <s v="10131010"/>
    <s v="3289962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126006.0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5844.76"/>
    <m/>
    <m/>
    <n v="102.5719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642.400000000001"/>
    <s v="ОООО-ОО"/>
    <n v="4000000"/>
    <n v="16552.400000000001"/>
    <n v="0"/>
    <s v=""/>
    <s v=""/>
    <n v="45844.76"/>
    <m/>
    <n v="0"/>
    <n v="1"/>
    <n v="5126006.09"/>
    <n v="54449.49"/>
    <s v="10"/>
    <n v="54457.396000000008"/>
    <n v="3.29"/>
    <m/>
    <m/>
    <m/>
    <n v="46"/>
    <m/>
  </r>
  <r>
    <s v="1"/>
    <d v="2023-03-25T00:00:00"/>
    <x v="2"/>
    <s v="10131010/220623/5005558"/>
    <s v="10131010"/>
    <s v="5005558"/>
    <x v="0"/>
    <s v="40"/>
    <s v=""/>
    <s v=""/>
    <s v=""/>
    <s v="UNITED PETFOOD PRODUCERS NV"/>
    <s v="9400, , ERPE-MERE, EVENBROEKVELD 1, ,,.."/>
    <s v=""/>
    <s v=""/>
    <n v="1"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31010.05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945.48"/>
    <n v="3951044"/>
    <n v="51408.66"/>
    <n v="92.0014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H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6978.52"/>
    <s v="ОООО-ОО"/>
    <n v="4000000"/>
    <n v="16978.52"/>
    <m/>
    <s v=""/>
    <s v=""/>
    <n v="42945.48"/>
    <n v="3951044"/>
    <n v="0"/>
    <n v="1"/>
    <n v="4331010.0599999996"/>
    <n v="51408.66"/>
    <s v="10"/>
    <n v="51444.9156"/>
    <n v="3.03"/>
    <n v="45"/>
    <s v="2022/09 БР"/>
    <s v="ДРУЗЯГИНА ИРИНА НИКОЛАЕВНА"/>
    <n v="109"/>
    <m/>
  </r>
  <r>
    <s v="1"/>
    <d v="2023-07-13T00:00:00"/>
    <x v="0"/>
    <s v="10131010/220623/3225377"/>
    <s v="10131010"/>
    <s v="3225377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35467.5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993.93"/>
    <n v="3955502"/>
    <n v="51461.57"/>
    <n v="92.0014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A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7179.91"/>
    <s v="ОООО-ОО"/>
    <n v="4000000"/>
    <n v="17179.91"/>
    <n v="0"/>
    <s v=""/>
    <s v=""/>
    <n v="42993.93"/>
    <n v="3955502"/>
    <n v="0"/>
    <n v="1"/>
    <n v="4335467.53"/>
    <n v="51461.57"/>
    <s v="10"/>
    <n v="51539.729999999996"/>
    <n v="3"/>
    <n v="45"/>
    <s v="2022/09 БР"/>
    <s v="БЛАГОНРАВОВА ДАРЬЯ ДМИТРИЕВНА"/>
    <n v="15"/>
    <m/>
  </r>
  <r>
    <s v="1"/>
    <d v="2023-09-20T00:00:00"/>
    <x v="4"/>
    <s v="10131010/220623/3225105"/>
    <s v="10131010"/>
    <s v="3225105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47390.9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036.59"/>
    <n v="3867425"/>
    <n v="50416.11"/>
    <n v="92.0014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7313.75"/>
    <s v="ОООО-ОО"/>
    <n v="4000000"/>
    <n v="17313.75"/>
    <n v="0"/>
    <s v=""/>
    <s v=""/>
    <n v="42036.59"/>
    <n v="3867425"/>
    <n v="0"/>
    <n v="1"/>
    <n v="4247390.91"/>
    <n v="50416.11"/>
    <s v="10"/>
    <n v="50383.012500000004"/>
    <n v="2.91"/>
    <n v="45"/>
    <s v="2022/09 БР"/>
    <s v="БЛАГОНРАВОВА ДАРЬЯ ДМИТРИЕВНА"/>
    <n v="147"/>
    <m/>
  </r>
  <r>
    <s v="1"/>
    <d v="2023-10-30T00:00:00"/>
    <x v="1"/>
    <s v="10131010/220623/3224901"/>
    <s v="10131010"/>
    <s v="3224901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57368.4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145.04"/>
    <n v="3877403"/>
    <n v="50534.54"/>
    <n v="92.0014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CОРТИМЕНТЕ"/>
    <x v="1"/>
    <m/>
    <s v="UNITED PETFOOD PRODUCERS NV"/>
    <n v="33"/>
    <n v="0"/>
    <n v="0"/>
    <m/>
    <n v="0"/>
    <m/>
    <s v="1"/>
    <s v="2309101100"/>
    <s v=""/>
    <s v=""/>
    <s v="BE"/>
    <n v="17194.009999999998"/>
    <s v="ОООО-ОО"/>
    <n v="4000000"/>
    <n v="17194.009999999998"/>
    <n v="0"/>
    <s v=""/>
    <s v=""/>
    <n v="42145.04"/>
    <n v="3877403"/>
    <n v="0"/>
    <n v="1"/>
    <n v="4257368.46"/>
    <n v="50534.54"/>
    <s v="10"/>
    <n v="50550.389399999993"/>
    <n v="2.94"/>
    <n v="45"/>
    <s v="2022/09 БР"/>
    <s v="ЧУДИНА ЭЛЬВИРА РАИСОВНА"/>
    <n v="152"/>
    <m/>
  </r>
  <r>
    <s v="1"/>
    <d v="2023-06-08T00:00:00"/>
    <x v="11"/>
    <s v="10131010/220623/3224724"/>
    <s v="10131010"/>
    <s v="3224724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25880.0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7237.48"/>
    <n v="4345914"/>
    <n v="56095.73"/>
    <n v="92.0014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,В АССОРТИМЕНТЕ:"/>
    <x v="1"/>
    <m/>
    <s v="UNITED PETFOOD PRODUCERS NV"/>
    <n v="33"/>
    <n v="0"/>
    <n v="0"/>
    <m/>
    <n v="0"/>
    <m/>
    <s v="1"/>
    <s v="2309101100"/>
    <s v=""/>
    <s v=""/>
    <s v="BE"/>
    <n v="17287.82"/>
    <s v="ОООО-ОО"/>
    <n v="4000000"/>
    <n v="17287.82"/>
    <n v="0"/>
    <s v=""/>
    <s v=""/>
    <n v="47237.48"/>
    <n v="4345914"/>
    <n v="0"/>
    <n v="1"/>
    <n v="4725880.07"/>
    <n v="56095.73"/>
    <s v="10"/>
    <n v="56012.536800000002"/>
    <n v="3.24"/>
    <n v="45"/>
    <s v="2022/09 БР"/>
    <s v="ДРУЗЯГИНА ИРИНА НИКОЛАЕВНА"/>
    <n v="555"/>
    <m/>
  </r>
  <r>
    <s v="1"/>
    <d v="2023-02-22T00:00:00"/>
    <x v="12"/>
    <s v="10131010/220523/3182633"/>
    <s v="10131010"/>
    <s v="3182633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04063.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279.4"/>
    <n v="3647740"/>
    <n v="50107.61"/>
    <n v="86.2770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7214.419999999998"/>
    <s v="ОООО-ОО"/>
    <n v="4000000"/>
    <n v="17160.419999999998"/>
    <n v="0"/>
    <s v=""/>
    <s v=""/>
    <n v="42279.4"/>
    <n v="3647740"/>
    <n v="0"/>
    <n v="1"/>
    <n v="4004063.8"/>
    <n v="50107.61"/>
    <s v="10"/>
    <n v="50108.426399999997"/>
    <n v="2.92"/>
    <n v="45"/>
    <s v="2022/09 БР"/>
    <s v="БЛАГОНРАВОВА ДАРЬЯ ДМИТРИЕВНА"/>
    <n v="115"/>
    <m/>
  </r>
  <r>
    <s v="1"/>
    <d v="2023-12-17T00:00:00"/>
    <x v="10"/>
    <s v="10131010/220523/3182026"/>
    <s v="10131010"/>
    <s v="3182026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70773.1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352.6"/>
    <n v="3654055"/>
    <n v="50942.42"/>
    <n v="86.2770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08.86"/>
    <s v="ОООО-ОО"/>
    <n v="4000000"/>
    <n v="16965.66"/>
    <n v="0"/>
    <s v=""/>
    <s v=""/>
    <n v="42352.6"/>
    <n v="3654055"/>
    <n v="0"/>
    <n v="1"/>
    <n v="4070773.18"/>
    <n v="50942.42"/>
    <s v="10"/>
    <n v="50942.787281999998"/>
    <n v="3.0026999999999999"/>
    <n v="45"/>
    <s v="2022/09 БР"/>
    <s v="ЧУДИНА ЭЛЬВИРА РАИСОВНА"/>
    <n v="314"/>
    <m/>
  </r>
  <r>
    <s v="1"/>
    <d v="2023-05-03T00:00:00"/>
    <x v="9"/>
    <s v="10131010/220523/3180835"/>
    <s v="10131010"/>
    <s v="3180835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63779.7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130.6"/>
    <n v="3807456"/>
    <n v="52106.32"/>
    <n v="86.277000000000001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92.62"/>
    <s v="ОООО-ОО"/>
    <n v="4000000"/>
    <n v="17092.62"/>
    <n v="0"/>
    <s v=""/>
    <s v=""/>
    <n v="44130.6"/>
    <n v="3807456"/>
    <n v="0"/>
    <n v="1"/>
    <n v="4163779.79"/>
    <n v="52106.32"/>
    <s v="10"/>
    <n v="52106.852070000001"/>
    <n v="3.0485000000000002"/>
    <n v="45"/>
    <s v="2022/09 БР"/>
    <s v="ЯШИНА АННА СЕРГЕЕВНА"/>
    <n v="13"/>
    <m/>
  </r>
  <r>
    <s v="1"/>
    <d v="2023-08-15T00:00:00"/>
    <x v="8"/>
    <s v="10131010/220523/3180831"/>
    <s v="10131010"/>
    <s v="3180831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41649.0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513.15"/>
    <n v="3840461"/>
    <n v="53080.79"/>
    <n v="86.277000000000001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492.759999999998"/>
    <s v="ОООО-ОО"/>
    <n v="4000000"/>
    <n v="16402.759999999998"/>
    <n v="0"/>
    <s v=""/>
    <s v=""/>
    <n v="44513.15"/>
    <n v="3840461"/>
    <n v="0"/>
    <n v="1"/>
    <n v="4241649.09"/>
    <n v="53080.79"/>
    <s v="10"/>
    <n v="53080.971635999995"/>
    <n v="3.2361"/>
    <n v="45"/>
    <s v="2022/09 БР"/>
    <s v="ЧУДИНА ЭЛЬВИРА РАИСОВНА"/>
    <n v="36"/>
    <m/>
  </r>
  <r>
    <s v="1"/>
    <d v="2023-12-01T00:00:00"/>
    <x v="10"/>
    <s v="10131010/220523/3180829"/>
    <s v="10131010"/>
    <s v="3180829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40987.7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7343.6"/>
    <n v="4084664"/>
    <n v="55575.360000000001"/>
    <n v="86.277000000000001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83.32"/>
    <s v="ОООО-ОО"/>
    <n v="4000000"/>
    <n v="16783.32"/>
    <n v="0"/>
    <s v=""/>
    <s v=""/>
    <n v="47343.6"/>
    <n v="4084664"/>
    <n v="0"/>
    <n v="1"/>
    <n v="4440987.79"/>
    <n v="55575.360000000001"/>
    <s v="10"/>
    <n v="55574.607516000004"/>
    <n v="3.3113000000000001"/>
    <n v="45"/>
    <s v="2022/09 БР"/>
    <s v="БЛАГОНРАВОВА ДАРЬЯ ДМИТРИЕВНА"/>
    <n v="20"/>
    <m/>
  </r>
  <r>
    <s v="1"/>
    <d v="2023-09-15T00:00:00"/>
    <x v="4"/>
    <s v="10131010/220323/3099965"/>
    <s v="10131010"/>
    <s v="3099965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61878.8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436.38"/>
    <n v="3502818"/>
    <n v="50260.47"/>
    <n v="82.542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532.84"/>
    <s v="ОООО-ОО"/>
    <n v="4000000"/>
    <n v="16460.84"/>
    <n v="0"/>
    <s v=""/>
    <s v=""/>
    <n v="42436.38"/>
    <n v="3502818"/>
    <n v="0"/>
    <n v="1"/>
    <n v="3861878.81"/>
    <n v="50260.47"/>
    <s v="10"/>
    <n v="50259.882772000004"/>
    <n v="3.0533000000000001"/>
    <n v="45"/>
    <s v="2022/09 БР"/>
    <s v="ДРУЗЯГИНА ИРИНА НИКОЛАЕВНА"/>
    <n v="163"/>
    <m/>
  </r>
  <r>
    <s v="1"/>
    <d v="2023-08-25T00:00:00"/>
    <x v="8"/>
    <s v="10131010/220223/3064898"/>
    <s v="10131010"/>
    <s v="306489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11256.6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7196.12"/>
    <n v="3764306"/>
    <n v="54919.57"/>
    <n v="79.7587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4983.63"/>
    <s v="ОООО-ОО"/>
    <n v="4000000"/>
    <n v="14722.63"/>
    <n v="0"/>
    <s v=""/>
    <s v=""/>
    <n v="47196.12"/>
    <n v="3764306"/>
    <n v="0"/>
    <n v="1"/>
    <n v="4111256.68"/>
    <n v="54919.57"/>
    <s v="10"/>
    <n v="54919.826689000001"/>
    <n v="3.7303000000000002"/>
    <n v="45"/>
    <s v="2022/09 БР"/>
    <s v="ДРУЗЯГИНА ИРИНА НИКОЛАЕВНА"/>
    <n v="330"/>
    <m/>
  </r>
  <r>
    <s v="1"/>
    <d v="2023-11-28T00:00:00"/>
    <x v="7"/>
    <s v="10131010/220223/3064708"/>
    <s v="10131010"/>
    <s v="306470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02830.1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582.91"/>
    <n v="3555879"/>
    <n v="52135.33"/>
    <n v="79.7587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M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95.310000000001"/>
    <s v="ОООО-ОО"/>
    <n v="4000000"/>
    <n v="16587.310000000001"/>
    <n v="0"/>
    <s v=""/>
    <s v=""/>
    <n v="44582.91"/>
    <n v="3555879"/>
    <n v="0"/>
    <n v="1"/>
    <n v="3902830.18"/>
    <n v="52135.33"/>
    <s v="10"/>
    <n v="52135.574061000007"/>
    <n v="3.1431"/>
    <n v="45"/>
    <s v="2022/09 БР"/>
    <s v="ДРУЗЯГИНА ИРИНА НИКОЛАЕВНА"/>
    <n v="13"/>
    <m/>
  </r>
  <r>
    <s v="1"/>
    <d v="2023-01-12T00:00:00"/>
    <x v="5"/>
    <s v="10131010/220223/3063792"/>
    <s v="10131010"/>
    <s v="3063792"/>
    <x v="0"/>
    <s v="40"/>
    <s v=""/>
    <s v=""/>
    <s v=""/>
    <s v="UNITED PETFOOD PRODUCERS NV"/>
    <s v="9400, , ERPE-MERE, EVENBROEKVELD 1,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81165.2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54341.52"/>
    <n v="4334214"/>
    <n v="62532.6"/>
    <n v="79.7587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РАСФАСОВАННЫЙ ДЛЯ РОЗНИЧНОЙ ПРОДАЖИ,БЕЗ СОДЕРЖАНИЯ КРАХМАЛА,БЕЗ СОДЕРЖАНИЯ МОЛОЧНЫХ ПРОДУКТОВ,БЕЗ СОДЕРЖАНИЯ ГМО,В АССОРТИМЕНТЕ"/>
    <x v="1"/>
    <m/>
    <s v="UNITED PETFOOD PRODUCERS NV"/>
    <n v="38"/>
    <n v="0"/>
    <n v="0"/>
    <m/>
    <n v="0"/>
    <m/>
    <s v="1"/>
    <s v="2309101100"/>
    <s v=""/>
    <s v=""/>
    <s v="BE"/>
    <n v="17711.919999999998"/>
    <s v="ОООО-ОО"/>
    <n v="4000000"/>
    <n v="17384.32"/>
    <n v="0"/>
    <s v=""/>
    <s v=""/>
    <n v="54341.52"/>
    <n v="4334214"/>
    <n v="0"/>
    <n v="1"/>
    <n v="4681165.21"/>
    <n v="62532.6"/>
    <s v="10"/>
    <n v="62533.137472000002"/>
    <n v="3.5971000000000002"/>
    <n v="45"/>
    <s v="2022/09 БР"/>
    <s v="ЧУДИНА ЭЛЬВИРА РАИСОВНА"/>
    <n v="219"/>
    <m/>
  </r>
  <r>
    <s v="1"/>
    <d v="2023-07-26T00:00:00"/>
    <x v="0"/>
    <s v="10131010/220223/3063374"/>
    <s v="10131010"/>
    <s v="3063374"/>
    <x v="0"/>
    <s v="40"/>
    <s v=""/>
    <s v=""/>
    <s v=""/>
    <s v="UNITED PETFOOD PRODUCERS NV"/>
    <s v="9400, , ERPE-MERE, EVENBROEKVELD 1,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16086.84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9764.24"/>
    <n v="3969136"/>
    <n v="57655.76"/>
    <n v="79.75879999999999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8"/>
    <n v="0"/>
    <n v="0"/>
    <m/>
    <n v="0"/>
    <m/>
    <s v="1"/>
    <s v="2309101100"/>
    <s v=""/>
    <s v=""/>
    <s v="BE"/>
    <n v="18855.849999999999"/>
    <s v="ОООО-ОО"/>
    <n v="4000000"/>
    <n v="18636.25"/>
    <n v="0"/>
    <s v=""/>
    <s v=""/>
    <n v="49764.24"/>
    <n v="3969136"/>
    <n v="0"/>
    <n v="1"/>
    <n v="4316086.8499999996"/>
    <n v="57655.76"/>
    <s v="10"/>
    <n v="57654.966625000001"/>
    <n v="3.0937000000000001"/>
    <n v="45"/>
    <s v="2022/09 БР"/>
    <s v="ДРУЗЯГИНА ИРИНА НИКОЛАЕВНА"/>
    <n v="117"/>
    <m/>
  </r>
  <r>
    <s v="1"/>
    <d v="2023-11-12T00:00:00"/>
    <x v="7"/>
    <s v="10131010/220123/3021244"/>
    <s v="10131010"/>
    <s v="3021244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109166.91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8492.699999999997"/>
    <n v="2861678"/>
    <n v="45279.83"/>
    <n v="74.3434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КОШЕК И СОБАК Т.М. &quot;PREMIER&quot;,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280.689999999999"/>
    <s v="ОООО-ОО"/>
    <n v="4000000"/>
    <n v="17280.689999999999"/>
    <n v="0"/>
    <s v=""/>
    <s v=""/>
    <n v="38492.699999999997"/>
    <n v="2861678"/>
    <n v="0"/>
    <n v="1"/>
    <n v="3109166.91"/>
    <n v="45279.83"/>
    <s v="10"/>
    <n v="45280.592006999992"/>
    <n v="2.6202999999999999"/>
    <n v="941"/>
    <s v="0770/СПБ/329"/>
    <s v="ДАШКИН АЛЕКСЕЙ ХАЛИМОВИЧ"/>
    <n v="138"/>
    <m/>
  </r>
  <r>
    <s v="1"/>
    <d v="2023-05-21T00:00:00"/>
    <x v="9"/>
    <s v="10131010/220123/3021032"/>
    <s v="10131010"/>
    <s v="3021032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691146.38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6320.959999999999"/>
    <n v="3443658"/>
    <n v="53755.39"/>
    <n v="74.3434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КОШЕК И СОБАК Т.М. &quot;PREMIER&quot;,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302.490000000002"/>
    <s v="ОООО-ОО"/>
    <n v="4000000"/>
    <n v="17302.490000000002"/>
    <n v="0"/>
    <s v=""/>
    <s v=""/>
    <n v="46320.959999999999"/>
    <n v="3443658"/>
    <n v="0"/>
    <n v="1"/>
    <n v="3691146.38"/>
    <n v="53755.39"/>
    <s v="10"/>
    <n v="53755.375932000003"/>
    <n v="3.1067999999999998"/>
    <n v="941"/>
    <s v="0770/СПБ/329"/>
    <s v="СУШКОВА ОЛЬГА АЛЕКСАНДРОВНА"/>
    <n v="298"/>
    <m/>
  </r>
  <r>
    <s v="1"/>
    <d v="2023-05-30T00:00:00"/>
    <x v="9"/>
    <s v="10131010/220123/3021014"/>
    <s v="10131010"/>
    <s v="3021014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57785.42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3182"/>
    <n v="3210297"/>
    <n v="50356.88"/>
    <n v="74.3434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619.12"/>
    <s v="ОООО-ОО"/>
    <n v="4000000"/>
    <n v="16597.52"/>
    <n v="0"/>
    <s v=""/>
    <s v=""/>
    <n v="43182"/>
    <n v="3210297"/>
    <n v="0"/>
    <n v="1"/>
    <n v="3457785.42"/>
    <n v="50356.88"/>
    <s v="10"/>
    <n v="50356.875679999997"/>
    <n v="3.0339999999999998"/>
    <n v="941"/>
    <s v="0770/СПБ/329"/>
    <s v="СУШКОВА ОЛЬГА АЛЕКСАНДРОВНА"/>
    <n v="300"/>
    <m/>
  </r>
  <r>
    <s v="1"/>
    <d v="2023-05-10T00:00:00"/>
    <x v="9"/>
    <s v="10131010/211223/3417902"/>
    <s v="10131010"/>
    <s v="341790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61469.4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063.12"/>
    <m/>
    <m/>
    <n v="99.048000000000002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312.74"/>
    <s v="ОООО-ОО"/>
    <n v="4000000"/>
    <n v="16143.54"/>
    <n v="0"/>
    <s v=""/>
    <s v=""/>
    <n v="42063.12"/>
    <m/>
    <n v="0"/>
    <n v="1"/>
    <n v="4561469.43"/>
    <n v="50455.61"/>
    <s v="10"/>
    <n v="50529.280200000001"/>
    <n v="3.13"/>
    <n v="45"/>
    <m/>
    <s v="ОСИПОВА"/>
    <n v="182"/>
    <m/>
  </r>
  <r>
    <s v="1"/>
    <d v="2022-07-16T00:00:00"/>
    <x v="6"/>
    <s v="10131010/211223/3417874"/>
    <s v="10131010"/>
    <s v="341787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87721.6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357"/>
    <m/>
    <m/>
    <n v="99.048000000000002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57.52"/>
    <s v="ОООО-ОО"/>
    <n v="4000000"/>
    <n v="16685.52"/>
    <n v="0"/>
    <s v=""/>
    <s v=""/>
    <n v="45357"/>
    <m/>
    <n v="0"/>
    <n v="1"/>
    <n v="4887721.66"/>
    <n v="54064.37"/>
    <s v="10"/>
    <n v="54061.084800000004"/>
    <n v="3.24"/>
    <n v="45"/>
    <m/>
    <s v="ОСИПОВА"/>
    <n v="313"/>
    <m/>
  </r>
  <r>
    <s v="1"/>
    <d v="2023-12-01T00:00:00"/>
    <x v="10"/>
    <s v="10131010/211223/3417869"/>
    <s v="10131010"/>
    <s v="341786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14266.51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625"/>
    <m/>
    <m/>
    <n v="99.048000000000002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3393.32"/>
    <s v="ОООО-ОО"/>
    <n v="4000000"/>
    <n v="12906.12"/>
    <n v="0"/>
    <s v=""/>
    <s v=""/>
    <n v="45625"/>
    <m/>
    <n v="0"/>
    <n v="1"/>
    <n v="4914266.5199999996"/>
    <n v="54357.99"/>
    <s v="10"/>
    <n v="54334.765200000002"/>
    <n v="4.21"/>
    <n v="45"/>
    <m/>
    <s v="ЧУДИНА"/>
    <n v="313"/>
    <m/>
  </r>
  <r>
    <s v="1"/>
    <d v="2023-11-25T00:00:00"/>
    <x v="7"/>
    <s v="10131010/211222/3550312"/>
    <s v="10131010"/>
    <s v="3550312"/>
    <x v="0"/>
    <s v="40"/>
    <s v=""/>
    <s v=""/>
    <s v=""/>
    <s v="ZHONGSHAN POWTEK APPLIANCES MFG.,LTD"/>
    <s v=", GUANGDONG, ZHONGSHAN, 23 HEALTH ROAD,"/>
    <s v=""/>
    <s v=""/>
    <n v="11"/>
    <n v="0"/>
    <n v="29"/>
    <n v="1029"/>
    <s v="1094025002246"/>
    <s v="4025422770"/>
    <s v="АО ТАСКОМ"/>
    <s v="249020, КАЛУЖСКАЯ ОБЛАСТЬ, РАЙОН БОРОВСКИЙ, СЕЛО ВОРСИНО, СЕВЕРНАЯ ПРОМЫШЛЕННАЯ"/>
    <s v="29000"/>
    <s v="402501001"/>
    <s v="1157154020979"/>
    <s v="7104068905"/>
    <s v="ООО ТУЛЬСКИЙ ЗАВОД ГАЗОВОГО ОБОРУДОВАНИЯ"/>
    <s v="301212, ТУЛЬСКАЯ ОБЛАСТЬ, ЩЕКИНСКИЙ М.Р-Н, РАБОЧИЙ ПОСЕЛОК ПЕРВОМАЙСКИЙ Г.П., СИ"/>
    <s v="70000"/>
    <s v="710401001"/>
    <s v="CN"/>
    <s v="КИТАЙ"/>
    <n v="7589697.04"/>
    <s v="1157154020979"/>
    <s v="7104068905"/>
    <s v="ООО ТУЛЬСКИЙ ЗАВОД ГАЗОВОГО ОБОРУДОВАНИЯ"/>
    <s v="301212, ТУЛЬСКАЯ ОБЛАСТЬ, ЩЕКИНСКИЙ М.Р-Н, РАБОЧИЙ ПОСЕЛОК ПЕРВОМАЙСКИЙ Г.П., СИ"/>
    <s v="70000"/>
    <s v="710401001"/>
    <s v="CN"/>
    <s v="КИТАЙ"/>
    <x v="1"/>
    <s v="RU"/>
    <s v="РОССИЯ"/>
    <n v="1"/>
    <s v="1"/>
    <s v="FOB"/>
    <s v="ZHONGSHAN"/>
    <n v="0"/>
    <s v="CNY"/>
    <n v="738132.94"/>
    <n v="7292023"/>
    <n v="109989.72"/>
    <n v="98.790099999999896"/>
    <s v="010"/>
    <s v=""/>
    <s v="22040034/3475/0000/2/1"/>
    <s v="-"/>
    <s v="11"/>
    <s v="10106/100913/10053/8"/>
    <s v=""/>
    <s v="249020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РАБОТАЮЩИЕ НА ПРИРОДНОМ ИЛИ СЖИЖЕННОМ ГАЗЕ. ПРЕДНАЗНАЧЕНЫ ДЛЯ ОТОПЛЕНИЯ И ГОРЯЧЕГО ВОДОСНАБЖЕНИЯ ЖИЛЫХ ПОМЕЩЕНИЙ."/>
    <x v="0"/>
    <m/>
    <s v="POWTEK INTERNATIONAL HOLDINGS LIMITED ZHONGSHAN POWTEK APPLIANCES MFG., LTD."/>
    <n v="230"/>
    <n v="1"/>
    <n v="230"/>
    <s v="ШТ"/>
    <n v="0"/>
    <m/>
    <s v="1"/>
    <s v="8403109000"/>
    <s v=""/>
    <s v=""/>
    <s v="CN"/>
    <n v="6440"/>
    <s v="ОООО-ОО"/>
    <n v="4000000"/>
    <n v="6440"/>
    <n v="0"/>
    <s v=""/>
    <s v=""/>
    <n v="306427.8"/>
    <n v="3027203"/>
    <n v="0"/>
    <n v="1"/>
    <n v="3184923.87"/>
    <n v="46155.839999999902"/>
    <s v="10"/>
    <n v="7.1670999999999996"/>
    <m/>
    <m/>
    <m/>
    <s v="БАТАЕВ ИЛЬЯ СЕРГЕЕВИЧ"/>
    <n v="201"/>
    <m/>
  </r>
  <r>
    <s v="1"/>
    <d v="2023-08-06T00:00:00"/>
    <x v="8"/>
    <s v="10131010/210923/5027166"/>
    <s v="10131010"/>
    <s v="502716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404682.82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8154.879999999997"/>
    <m/>
    <m/>
    <n v="103.3699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m/>
    <m/>
    <m/>
    <m/>
    <m/>
    <s v="1"/>
    <s v="2309101100"/>
    <s v=""/>
    <s v=""/>
    <s v="BE"/>
    <n v="16523"/>
    <s v="ОООО-ОО"/>
    <n v="4000000"/>
    <n v="16415"/>
    <m/>
    <s v=""/>
    <s v=""/>
    <n v="48154.879999999997"/>
    <m/>
    <n v="0"/>
    <n v="1"/>
    <n v="5404682.8200000003"/>
    <n v="55939.14"/>
    <s v="10"/>
    <n v="55975.15"/>
    <n v="3.41"/>
    <n v="45"/>
    <m/>
    <s v="ДРУЗЯГИНА"/>
    <n v="205"/>
    <m/>
  </r>
  <r>
    <s v="1"/>
    <d v="2023-06-23T00:00:00"/>
    <x v="11"/>
    <s v="10131010/210923/3319826"/>
    <s v="10131010"/>
    <s v="331982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54457.2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312"/>
    <m/>
    <m/>
    <n v="103.36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05.259999999998"/>
    <s v="ОООО-ОО"/>
    <n v="4000000"/>
    <n v="16705.259999999998"/>
    <n v="0"/>
    <s v=""/>
    <s v=""/>
    <n v="42312"/>
    <m/>
    <n v="0"/>
    <n v="1"/>
    <n v="4854457.25"/>
    <n v="50244.23"/>
    <s v="10"/>
    <n v="50282.832599999994"/>
    <n v="3.01"/>
    <n v="45"/>
    <m/>
    <s v="ЧУДИНА"/>
    <n v="205"/>
    <m/>
  </r>
  <r>
    <s v="1"/>
    <d v="2023-03-21T00:00:00"/>
    <x v="2"/>
    <s v="10131010/210923/3319377"/>
    <s v="10131010"/>
    <s v="331937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334169.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7472.73"/>
    <m/>
    <m/>
    <n v="103.36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474.330000000002"/>
    <s v="ОООО-ОО"/>
    <n v="4000000"/>
    <n v="16348.33"/>
    <n v="0"/>
    <s v=""/>
    <s v=""/>
    <n v="47472.73"/>
    <m/>
    <n v="0"/>
    <n v="1"/>
    <n v="5334169.04"/>
    <n v="55209.31"/>
    <s v="10"/>
    <n v="55257.3554"/>
    <n v="3.38"/>
    <n v="45"/>
    <m/>
    <s v="ЯШИНА"/>
    <n v="150"/>
    <m/>
  </r>
  <r>
    <s v="1"/>
    <d v="2023-03-01T00:00:00"/>
    <x v="2"/>
    <s v="10131010/210923/3319096"/>
    <s v="10131010"/>
    <s v="331909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538579.919999999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9450.2"/>
    <m/>
    <m/>
    <n v="103.36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4909.7"/>
    <s v="ОООО-ОО"/>
    <n v="4000000"/>
    <n v="14675.7"/>
    <n v="0"/>
    <s v=""/>
    <s v=""/>
    <n v="49450.2"/>
    <m/>
    <n v="0"/>
    <n v="1"/>
    <n v="5538579.9199999999"/>
    <n v="57324.99"/>
    <s v="10"/>
    <n v="57381.987000000008"/>
    <n v="3.91"/>
    <n v="45"/>
    <m/>
    <s v="БЛАГОНРАВОВА"/>
    <n v="221"/>
    <m/>
  </r>
  <r>
    <s v="1"/>
    <d v="2023-05-17T00:00:00"/>
    <x v="9"/>
    <s v="10131010/210923/3319080"/>
    <s v="10131010"/>
    <s v="331908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25848.4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165.64"/>
    <m/>
    <m/>
    <n v="103.36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381.87"/>
    <s v="ОООО-ОО"/>
    <n v="4000000"/>
    <n v="16259.47"/>
    <n v="0"/>
    <s v=""/>
    <s v=""/>
    <n v="38165.64"/>
    <m/>
    <n v="0"/>
    <n v="1"/>
    <n v="4425848.43"/>
    <n v="45808.08"/>
    <s v="10"/>
    <n v="45851.705399999999"/>
    <n v="2.82"/>
    <n v="45"/>
    <m/>
    <s v="ЯШИНА"/>
    <n v="118"/>
    <m/>
  </r>
  <r>
    <s v="1"/>
    <d v="2023-03-24T00:00:00"/>
    <x v="2"/>
    <s v="10131010/210923/3319076"/>
    <s v="10131010"/>
    <s v="331907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499919.580000000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8556.2"/>
    <m/>
    <m/>
    <n v="103.36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211.58"/>
    <s v="ОООО-ОО"/>
    <n v="4000000"/>
    <n v="16139.58"/>
    <n v="0"/>
    <s v=""/>
    <s v=""/>
    <n v="48556.2"/>
    <m/>
    <n v="0"/>
    <n v="1"/>
    <n v="5499919.5800000001"/>
    <n v="56924.85"/>
    <s v="10"/>
    <n v="56972.717399999994"/>
    <n v="3.53"/>
    <n v="45"/>
    <m/>
    <s v="ЧУДИНА"/>
    <n v="300"/>
    <m/>
  </r>
  <r>
    <s v="1"/>
    <d v="2023-07-12T00:00:00"/>
    <x v="0"/>
    <s v="10131010/210923/3319056"/>
    <s v="10131010"/>
    <s v="331905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20373.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632.68"/>
    <m/>
    <m/>
    <n v="103.36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584.560000000001"/>
    <s v="ОООО-ОО"/>
    <n v="4000000"/>
    <n v="16411.759999999998"/>
    <n v="0"/>
    <s v=""/>
    <s v=""/>
    <n v="38632.68"/>
    <m/>
    <n v="0"/>
    <n v="1"/>
    <n v="4420373.96"/>
    <n v="45751.42"/>
    <s v="10"/>
    <n v="45788.810399999995"/>
    <n v="2.79"/>
    <n v="45"/>
    <m/>
    <s v="ДРУЗЯГИНА"/>
    <n v="150"/>
    <m/>
  </r>
  <r>
    <s v="1"/>
    <d v="2023-06-20T00:00:00"/>
    <x v="11"/>
    <s v="10131010/210923/3319039"/>
    <s v="10131010"/>
    <s v="331903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270603.7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337.8"/>
    <m/>
    <m/>
    <n v="103.36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660.98"/>
    <s v="ОООО-ОО"/>
    <n v="4000000"/>
    <n v="16570.98"/>
    <n v="0"/>
    <s v=""/>
    <s v=""/>
    <n v="46337.8"/>
    <m/>
    <n v="0"/>
    <n v="1"/>
    <n v="5270603.79"/>
    <n v="54551.4"/>
    <s v="10"/>
    <n v="54518.5242"/>
    <n v="3.29"/>
    <n v="45"/>
    <m/>
    <s v="БЛАГОНРАВОВА"/>
    <n v="579"/>
    <m/>
  </r>
  <r>
    <s v="1"/>
    <d v="2022-03-29T00:00:00"/>
    <x v="6"/>
    <s v="10131010/210823/3287300"/>
    <s v="10131010"/>
    <s v="3287300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96668.84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180.800000000003"/>
    <m/>
    <m/>
    <n v="101.4802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6546.71"/>
    <s v="ОООО-ОО"/>
    <n v="4000000"/>
    <n v="16420.11"/>
    <n v="0"/>
    <s v=""/>
    <s v=""/>
    <n v="40180.800000000003"/>
    <m/>
    <n v="0"/>
    <n v="1"/>
    <n v="4496668.8499999996"/>
    <n v="48141.78"/>
    <s v="10"/>
    <n v="48110.922300000006"/>
    <n v="2.93"/>
    <m/>
    <m/>
    <m/>
    <n v="586"/>
    <m/>
  </r>
  <r>
    <s v="1"/>
    <d v="2022-09-19T00:00:00"/>
    <x v="6"/>
    <s v="10131010/210723/3258323"/>
    <s v="10131010"/>
    <s v="3258323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012173.4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089.54"/>
    <n v="4591603"/>
    <n v="55167.040000000001"/>
    <n v="101.83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818"/>
    <s v="ОООО-ОО"/>
    <n v="4000000"/>
    <n v="16818"/>
    <n v="0"/>
    <s v=""/>
    <s v=""/>
    <n v="45089.54"/>
    <n v="4591603"/>
    <n v="0"/>
    <n v="1"/>
    <n v="5012173.42"/>
    <n v="55167.040000000001"/>
    <s v="10"/>
    <n v="55163.039999999994"/>
    <n v="3.28"/>
    <n v="45"/>
    <s v="2022/09 БР"/>
    <s v="БЛАГОНРАВОВА ДАРЬЯ ДМИТРИЕВНА"/>
    <n v="303"/>
    <m/>
  </r>
  <r>
    <s v="1"/>
    <d v="2022-05-12T00:00:00"/>
    <x v="6"/>
    <s v="10131010/210723/3258101"/>
    <s v="10131010"/>
    <s v="3258101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67453.44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166.39"/>
    <n v="4293930"/>
    <n v="52473.5"/>
    <n v="101.83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846.68"/>
    <s v="ОООО-ОО"/>
    <n v="4000000"/>
    <n v="15774.68"/>
    <n v="0"/>
    <s v=""/>
    <s v=""/>
    <n v="42166.39"/>
    <n v="4293930"/>
    <n v="0"/>
    <n v="1"/>
    <n v="4767453.4400000004"/>
    <n v="52473.5"/>
    <s v="10"/>
    <n v="52529.684400000006"/>
    <n v="3.33"/>
    <n v="45"/>
    <s v="2022/09 БР"/>
    <s v="ЯШИНА АННА СЕРГЕЕВНА"/>
    <n v="582"/>
    <m/>
  </r>
  <r>
    <s v="1"/>
    <d v="2022-09-22T00:00:00"/>
    <x v="6"/>
    <s v="10131010/210723/3257504"/>
    <s v="10131010"/>
    <s v="3257504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85256.9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843.22"/>
    <n v="4464687"/>
    <n v="53770.11"/>
    <n v="101.83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C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47.38"/>
    <s v="ОООО-ОО"/>
    <n v="4000000"/>
    <n v="16847.38"/>
    <n v="0"/>
    <s v=""/>
    <s v=""/>
    <n v="43843.22"/>
    <n v="4464687"/>
    <n v="0"/>
    <n v="1"/>
    <n v="4885256.91"/>
    <n v="53770.11"/>
    <s v="10"/>
    <n v="53743.142200000002"/>
    <n v="3.19"/>
    <n v="45"/>
    <s v="2022/09 БР"/>
    <s v="ОСИПОВА ТАТЬЯНА ВЛАДИМИРОВНА"/>
    <n v="178"/>
    <m/>
  </r>
  <r>
    <s v="1"/>
    <d v="2023-08-13T00:00:00"/>
    <x v="8"/>
    <s v="10131010/210623/3223899"/>
    <s v="10131010"/>
    <s v="3223899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17701.09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763.56"/>
    <n v="3937433"/>
    <n v="51258.66"/>
    <n v="92.074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H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238.04"/>
    <s v="ОООО-ОО"/>
    <n v="4000000"/>
    <n v="17238.04"/>
    <n v="0"/>
    <s v=""/>
    <s v=""/>
    <n v="42763.56"/>
    <n v="3937433"/>
    <n v="0"/>
    <n v="1"/>
    <n v="4317701.0999999996"/>
    <n v="51258.66"/>
    <s v="10"/>
    <n v="51196.978800000004"/>
    <n v="2.97"/>
    <n v="45"/>
    <s v="2022/09 БР"/>
    <s v="ДРУЗЯГИНА ИРИНА НИКОЛАЕВНА"/>
    <n v="77"/>
    <m/>
  </r>
  <r>
    <s v="1"/>
    <d v="2023-01-25T00:00:00"/>
    <x v="5"/>
    <s v="10131010/210623/3223005"/>
    <s v="10131010"/>
    <s v="3223005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78054.0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419.040000000001"/>
    <n v="3997786"/>
    <n v="51975.15"/>
    <n v="92.074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HТЕ"/>
    <x v="1"/>
    <m/>
    <s v="UNITED PETFOOD PRODUCERS NV"/>
    <n v="33"/>
    <n v="0"/>
    <n v="0"/>
    <m/>
    <n v="0"/>
    <m/>
    <s v="1"/>
    <s v="2309101100"/>
    <s v=""/>
    <s v=""/>
    <s v="BE"/>
    <n v="16903.810000000001"/>
    <s v="ОООО-ОО"/>
    <n v="4000000"/>
    <n v="16903.810000000001"/>
    <n v="0"/>
    <s v=""/>
    <s v=""/>
    <n v="43419.040000000001"/>
    <n v="3997786"/>
    <n v="0"/>
    <n v="1"/>
    <n v="4378054.09"/>
    <n v="51975.15"/>
    <s v="10"/>
    <n v="51894.6967"/>
    <n v="3.07"/>
    <n v="45"/>
    <s v="2022/09 БР"/>
    <s v="ЧУДИНА ЭЛЬВИРА РАИСОВНА"/>
    <n v="152"/>
    <m/>
  </r>
  <r>
    <s v="1"/>
    <d v="2023-07-21T00:00:00"/>
    <x v="0"/>
    <s v="10131010/210623/3222986"/>
    <s v="10131010"/>
    <s v="3222986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23270.30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996.2"/>
    <n v="4143003"/>
    <n v="53699.12"/>
    <n v="92.074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E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143.68"/>
    <s v="ОООО-ОО"/>
    <n v="4000000"/>
    <n v="17143.68"/>
    <n v="0"/>
    <s v=""/>
    <s v=""/>
    <n v="44996.2"/>
    <n v="4143003"/>
    <n v="0"/>
    <n v="1"/>
    <n v="4523270.3099999996"/>
    <n v="53699.12"/>
    <s v="10"/>
    <n v="53659.718399999998"/>
    <n v="3.13"/>
    <n v="45"/>
    <s v="2022/09 БР"/>
    <s v="ДРУЗЯГИНА ИРИНА НИКОЛАЕВНА"/>
    <n v="177"/>
    <m/>
  </r>
  <r>
    <s v="1"/>
    <d v="2023-11-07T00:00:00"/>
    <x v="7"/>
    <s v="10131010/210623/3222977"/>
    <s v="10131010"/>
    <s v="3222977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60356.0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398.98"/>
    <n v="4180088"/>
    <n v="54139.39"/>
    <n v="92.074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229.78"/>
    <s v="ОООО-ОО"/>
    <n v="4000000"/>
    <n v="17229.78"/>
    <n v="0"/>
    <s v=""/>
    <s v=""/>
    <n v="45398.98"/>
    <n v="4180088"/>
    <n v="0"/>
    <n v="1"/>
    <n v="4560356.07"/>
    <n v="54139.39"/>
    <s v="10"/>
    <n v="54101.5092"/>
    <n v="3.14"/>
    <n v="45"/>
    <s v="2022/09 БР"/>
    <s v="БЛАГОНРАВОВА ДАРЬЯ ДМИТРИЕВНА"/>
    <n v="77"/>
    <m/>
  </r>
  <r>
    <s v="1"/>
    <d v="2023-12-30T00:00:00"/>
    <x v="10"/>
    <s v="10131010/210323/3098411"/>
    <s v="10131010"/>
    <s v="3098411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50305.4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750.04"/>
    <n v="3191980"/>
    <n v="45963.29"/>
    <n v="82.3735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051.73"/>
    <s v="ОООО-ОО"/>
    <n v="4000000"/>
    <n v="15792.53"/>
    <n v="0"/>
    <s v=""/>
    <s v=""/>
    <n v="38750.04"/>
    <n v="3191980"/>
    <n v="0"/>
    <n v="1"/>
    <n v="3550305.45"/>
    <n v="45963.29"/>
    <s v="10"/>
    <n v="45962.579312000002"/>
    <n v="2.9104000000000001"/>
    <n v="45"/>
    <s v="2022/09 БР"/>
    <s v="ЧУДИНА ЭЛЬВИРА РАИСОВНА"/>
    <n v="15"/>
    <m/>
  </r>
  <r>
    <s v="1"/>
    <d v="2023-03-23T00:00:00"/>
    <x v="2"/>
    <s v="10131010/210323/3098406"/>
    <s v="10131010"/>
    <s v="3098406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58259.4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846.6"/>
    <n v="3199934"/>
    <n v="46066.26"/>
    <n v="82.3735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 В АССОРТИМЕНTЕ:"/>
    <x v="1"/>
    <m/>
    <s v="UNITED PETFOOD PRODUCERS NV"/>
    <n v="33"/>
    <n v="0"/>
    <n v="0"/>
    <m/>
    <n v="0"/>
    <m/>
    <s v="1"/>
    <s v="2309101100"/>
    <s v=""/>
    <s v=""/>
    <s v="BE"/>
    <n v="17146.54"/>
    <s v="ОООО-ОО"/>
    <n v="4000000"/>
    <n v="17103.34"/>
    <n v="0"/>
    <s v=""/>
    <s v=""/>
    <n v="38846.6"/>
    <n v="3199934"/>
    <n v="0"/>
    <n v="1"/>
    <n v="3558259.45"/>
    <n v="46066.26"/>
    <s v="10"/>
    <n v="46066.135955999998"/>
    <n v="2.6934"/>
    <n v="45"/>
    <s v="2022/09 БР"/>
    <s v="ЯШИНА АННА СЕРГЕЕВНА"/>
    <n v="166"/>
    <m/>
  </r>
  <r>
    <s v="1"/>
    <d v="2023-03-29T00:00:00"/>
    <x v="2"/>
    <s v="10131010/210323/3097690"/>
    <s v="10131010"/>
    <s v="309769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34484.4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199.92"/>
    <n v="3476159"/>
    <n v="49642.35"/>
    <n v="82.3735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202.48"/>
    <s v="ОООО-ОО"/>
    <n v="4000000"/>
    <n v="17202.48"/>
    <n v="0"/>
    <s v=""/>
    <s v=""/>
    <n v="42199.92"/>
    <n v="3476159"/>
    <n v="0"/>
    <n v="1"/>
    <n v="3834484.49"/>
    <n v="49642.35"/>
    <s v="10"/>
    <n v="49642.916784000001"/>
    <n v="2.8858000000000001"/>
    <n v="45"/>
    <s v="2022/09 БР"/>
    <s v="ДРУЗЯГИНА ИРИНА НИКОЛАЕВНА"/>
    <n v="275"/>
    <m/>
  </r>
  <r>
    <s v="1"/>
    <d v="2023-02-05T00:00:00"/>
    <x v="12"/>
    <s v="10131010/210323/3097689"/>
    <s v="10131010"/>
    <s v="3097689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11669.8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6367.03"/>
    <n v="2995683"/>
    <n v="44168.47"/>
    <n v="82.3735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373.38"/>
    <s v="ОООО-ОО"/>
    <n v="4000000"/>
    <n v="16308.58"/>
    <n v="0"/>
    <s v=""/>
    <s v=""/>
    <n v="36367.03"/>
    <n v="2995683"/>
    <n v="0"/>
    <n v="1"/>
    <n v="3411669.86"/>
    <n v="44168.47"/>
    <s v="10"/>
    <n v="44168.527214000002"/>
    <n v="2.7082999999999999"/>
    <n v="45"/>
    <s v="2022/09 БР"/>
    <s v="БЛАГОНРАВОВА ДАРЬЯ ДМИТРИЕВНА"/>
    <n v="177"/>
    <m/>
  </r>
  <r>
    <s v="1"/>
    <d v="2023-09-26T00:00:00"/>
    <x v="4"/>
    <s v="10131010/210223/3062783"/>
    <s v="10131010"/>
    <s v="306278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32741.5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820.480000000003"/>
    <n v="3388513"/>
    <n v="50413.02"/>
    <n v="79.1329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00.169999999998"/>
    <s v="ОООО-ОО"/>
    <n v="4000000"/>
    <n v="16374.19"/>
    <n v="0"/>
    <s v=""/>
    <s v=""/>
    <n v="42820.480000000003"/>
    <n v="3388513"/>
    <n v="0"/>
    <n v="1"/>
    <n v="3732741.59"/>
    <n v="50413.02"/>
    <s v="10"/>
    <n v="50412.856172000007"/>
    <n v="3.0788000000000002"/>
    <n v="45"/>
    <s v="2022/09 БР"/>
    <s v="ЧУДИНА ЭЛЬВИРА РАИСОВНА"/>
    <n v="570"/>
    <m/>
  </r>
  <r>
    <s v="1"/>
    <d v="2023-01-06T00:00:00"/>
    <x v="5"/>
    <s v="10131010/210223/3062758"/>
    <s v="10131010"/>
    <s v="306275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10211.2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772.07"/>
    <n v="3226416"/>
    <n v="48758.17"/>
    <n v="79.1329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88.310000000001"/>
    <s v="ОООО-ОО"/>
    <n v="4000000"/>
    <n v="16264.11"/>
    <n v="0"/>
    <s v=""/>
    <s v=""/>
    <n v="40772.07"/>
    <n v="3226416"/>
    <n v="0"/>
    <n v="1"/>
    <n v="3610211.27"/>
    <n v="48758.17"/>
    <s v="10"/>
    <n v="48758.175369000004"/>
    <n v="2.9979"/>
    <n v="45"/>
    <s v="2022/09 БР"/>
    <s v="ЯШИНА АННА СЕРГЕЕВНА"/>
    <n v="189"/>
    <m/>
  </r>
  <r>
    <s v="1"/>
    <d v="2023-12-05T00:00:00"/>
    <x v="10"/>
    <s v="10131010/210223/3062327"/>
    <s v="10131010"/>
    <s v="3062327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95638.0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915.3"/>
    <n v="3396016"/>
    <n v="51262.48"/>
    <n v="79.1329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O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46.009999999998"/>
    <s v="ОООО-ОО"/>
    <n v="4000000"/>
    <n v="16841.61"/>
    <n v="0"/>
    <s v=""/>
    <s v=""/>
    <n v="42915.3"/>
    <n v="3396016"/>
    <n v="0"/>
    <n v="1"/>
    <n v="3795638.08"/>
    <n v="51262.48"/>
    <s v="10"/>
    <n v="51262.492518000006"/>
    <n v="3.0438000000000001"/>
    <n v="45"/>
    <s v="2022/09 БР"/>
    <s v="ДРУЗЯГИНА ИРИНА НИКОЛАЕВНА"/>
    <n v="80"/>
    <m/>
  </r>
  <r>
    <s v="1"/>
    <d v="2023-08-02T00:00:00"/>
    <x v="8"/>
    <s v="10131010/210123/3020766"/>
    <s v="10131010"/>
    <s v="3020766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47219.73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3039.88"/>
    <n v="3199731"/>
    <n v="50203.01"/>
    <n v="74.3434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КОШЕК И СОБАК Т.М. &quot;PREMIER&quot;,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147.22"/>
    <s v="ОООО-ОО"/>
    <n v="4000000"/>
    <n v="16041.62"/>
    <n v="0"/>
    <s v=""/>
    <s v=""/>
    <n v="43039.88"/>
    <n v="3199731"/>
    <n v="0"/>
    <n v="1"/>
    <n v="3447219.73"/>
    <n v="50203.01"/>
    <s v="10"/>
    <n v="50202.249790000002"/>
    <n v="3.1295000000000002"/>
    <n v="941"/>
    <s v="0770/СПБ/329"/>
    <s v="ДАШКИН АЛЕКСЕЙ ХАЛИМОВИЧ"/>
    <n v="553"/>
    <m/>
  </r>
  <r>
    <s v="1"/>
    <d v="2022-02-21T00:00:00"/>
    <x v="6"/>
    <s v="10131010/210123/3020756"/>
    <s v="10131010"/>
    <s v="3020756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068744.92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7948.980000000003"/>
    <n v="2821256"/>
    <n v="44691.15"/>
    <n v="74.3434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Т.М. &quot;PREMIER&quot;,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4665.91"/>
    <s v="ОООО-ОО"/>
    <n v="4000000"/>
    <n v="14265.71"/>
    <n v="0"/>
    <s v=""/>
    <s v=""/>
    <n v="37948.980000000003"/>
    <n v="2821256"/>
    <n v="0"/>
    <n v="1"/>
    <n v="3068744.92"/>
    <n v="44691.15"/>
    <s v="10"/>
    <n v="44691.616287999997"/>
    <n v="3.1328"/>
    <n v="941"/>
    <s v="0770/СПБ/329"/>
    <s v="ДАШКИН АЛЕКСЕЙ ХАЛИМОВИЧ"/>
    <n v="343"/>
    <m/>
  </r>
  <r>
    <s v="1"/>
    <d v="2023-06-24T00:00:00"/>
    <x v="11"/>
    <s v="10131010/210123/3020614"/>
    <s v="10131010"/>
    <s v="3020614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372543.28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2035.4"/>
    <n v="3125055"/>
    <n v="49115.47"/>
    <n v="74.3434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705.259999999998"/>
    <s v="ОООО-ОО"/>
    <n v="4000000"/>
    <n v="16705.259999999998"/>
    <n v="0"/>
    <s v=""/>
    <s v=""/>
    <n v="42035.4"/>
    <n v="3125055"/>
    <n v="0"/>
    <n v="1"/>
    <n v="3372543.28"/>
    <n v="49115.47"/>
    <s v="10"/>
    <n v="49115.134925999999"/>
    <n v="2.9401000000000002"/>
    <n v="941"/>
    <s v="0770/СПБ/329"/>
    <s v="ДАШКИН АЛЕКСЕЙ ХАЛИМОВИЧ"/>
    <n v="302"/>
    <m/>
  </r>
  <r>
    <s v="1"/>
    <d v="2023-12-22T00:00:00"/>
    <x v="10"/>
    <s v="10131010/210123/3020540"/>
    <s v="10131010"/>
    <s v="3020540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059408.88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7823.4"/>
    <n v="2811920"/>
    <n v="44555.19"/>
    <n v="74.3434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Т.М. &quot;PREMIER&quot;,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086.24"/>
    <s v="ОООО-ОО"/>
    <n v="4000000"/>
    <n v="15848.64"/>
    <n v="0"/>
    <s v=""/>
    <s v=""/>
    <n v="37823.4"/>
    <n v="2811920"/>
    <n v="0"/>
    <n v="1"/>
    <n v="3059408.88"/>
    <n v="44555.19"/>
    <s v="10"/>
    <n v="44555.281631999998"/>
    <n v="2.8113000000000001"/>
    <n v="941"/>
    <s v="0770/СПБ/329"/>
    <s v="ДАШКИН АЛЕКСЕЙ ХАЛИМОВИЧ"/>
    <n v="211"/>
    <m/>
  </r>
  <r>
    <s v="1"/>
    <d v="2022-12-10T00:00:00"/>
    <x v="6"/>
    <s v="10131010/210123/3020521"/>
    <s v="10131010"/>
    <s v="3020521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66621.88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3300.86"/>
    <n v="3219133"/>
    <n v="50485.57"/>
    <n v="74.3434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178.48"/>
    <s v="ОООО-ОО"/>
    <n v="4000000"/>
    <n v="16088.47"/>
    <n v="0"/>
    <s v=""/>
    <s v=""/>
    <n v="43300.86"/>
    <n v="3219133"/>
    <n v="0"/>
    <n v="1"/>
    <n v="3466621.88"/>
    <n v="50485.57"/>
    <s v="10"/>
    <n v="50485.618859999995"/>
    <n v="3.1379999999999999"/>
    <n v="941"/>
    <s v="0770/СПБ/329"/>
    <s v="ДАШКИН АЛЕКСЕЙ ХАЛИМОВИЧ"/>
    <n v="229"/>
    <m/>
  </r>
  <r>
    <s v="1"/>
    <d v="2022-02-11T00:00:00"/>
    <x v="6"/>
    <s v="10131010/201223/3416453"/>
    <s v="10131010"/>
    <s v="341645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04319.6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775.9"/>
    <m/>
    <m/>
    <n v="98.576400000000007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209.07"/>
    <s v="ОООО-ОО"/>
    <n v="4000000"/>
    <n v="15036.87"/>
    <n v="0"/>
    <s v=""/>
    <s v=""/>
    <n v="46775.9"/>
    <m/>
    <n v="0"/>
    <n v="1"/>
    <n v="5004319.67"/>
    <n v="55549.85"/>
    <s v="10"/>
    <n v="55486.050300000003"/>
    <n v="3.69"/>
    <n v="45"/>
    <m/>
    <s v="ЧУДИНА"/>
    <n v="586"/>
    <m/>
  </r>
  <r>
    <s v="1"/>
    <d v="2023-11-06T00:00:00"/>
    <x v="7"/>
    <s v="10131010/201222/3548892"/>
    <s v="10131010"/>
    <s v="3548892"/>
    <x v="0"/>
    <s v="40"/>
    <s v=""/>
    <s v=""/>
    <s v=""/>
    <s v="DDC KLIMAT GMBH FROM SIA WELLMAN LOGISTICS, LATVIA"/>
    <s v="21376, , SALZHAUSEN, KREUZWEG, 1B,"/>
    <s v=""/>
    <s v=""/>
    <n v="2"/>
    <n v="0"/>
    <n v="2"/>
    <n v="30"/>
    <s v="5087746162983"/>
    <s v="7703675923"/>
    <s v="ООО ДАИЧИ"/>
    <s v="125130, , Г.МОСКВА, СТАРОПЕТРОВСКИЙ ПРОЕЗД,, Д.11,КОРП.1,ЭТАЖ 3,ОФИС 20"/>
    <s v="45000"/>
    <s v="774301001"/>
    <s v="5087746162983"/>
    <s v="7703675923"/>
    <s v="ООО ДАИЧИ"/>
    <s v="125130, , Г.МОСКВА, СТАРОПЕТРОВСКИЙ ПРОЕЗД,, Д.11,КОРП.1,ЭТАЖ 3,ОФИС 20"/>
    <s v="45000"/>
    <s v="774301001"/>
    <s v="DE"/>
    <s v="ГЕРМАНИЯ"/>
    <n v="5805072.3600000003"/>
    <s v="5087746162983"/>
    <s v="7703675923"/>
    <s v="ООО ДАИЧИ"/>
    <s v="125130, , Г.МОСКВА, СТАРОПЕТРОВСКИЙ ПРОЕЗД,, Д.11,КОРП.1,ЭТАЖ 3,ОФИС 20"/>
    <s v="45000"/>
    <s v="774301001"/>
    <s v="LV"/>
    <s v="ЛАТВИЯ"/>
    <x v="3"/>
    <s v="RU"/>
    <s v="РОССИЯ"/>
    <n v="2"/>
    <s v="0"/>
    <s v="CIР"/>
    <s v="МОСКВА"/>
    <n v="1"/>
    <s v="EUR"/>
    <n v="82202"/>
    <n v="5805072"/>
    <n v="87495.1"/>
    <n v="70.619600000000005"/>
    <s v="010"/>
    <s v=""/>
    <s v="13010001/2156/0000/2/1"/>
    <s v="-"/>
    <s v="99"/>
    <s v=""/>
    <s v="512"/>
    <s v=""/>
    <s v="ТВЕРСКАЯ ОБЛ."/>
    <s v="Г. РЖЕВ"/>
    <s v="УЛ. СОЛНЕЧНАЯ, Д. 22"/>
    <s v="10113150 т/п Ржевский"/>
    <n v="1"/>
    <s v="КОТЛЫ ЦЕНТРАЛЬНОГО ОТОПЛЕНИЯ, ДВУХКОНТУРНЫЕ ДЛЯ РАБОТЫ В СИСТЕМАХ ОТОПЛЕНИЯ И ГОРЯЧЕГО ВОДОСНАБЖЕНИЯ:"/>
    <x v="0"/>
    <m/>
    <s v="DAIKIN ISITMA VE SOGUTMA SISTEMLERI SAN.TIC. A.S."/>
    <n v="28"/>
    <n v="0"/>
    <n v="280"/>
    <s v="ШТ"/>
    <n v="0"/>
    <m/>
    <s v="1"/>
    <s v="8403109000"/>
    <s v=""/>
    <s v=""/>
    <s v="TR"/>
    <n v="9380"/>
    <s v="ОООО-ОО"/>
    <n v="4000000"/>
    <n v="8680"/>
    <n v="0"/>
    <s v=""/>
    <s v=""/>
    <n v="80620"/>
    <n v="5693352"/>
    <n v="0"/>
    <n v="1"/>
    <n v="5693352.1500000004"/>
    <n v="85811.23"/>
    <s v="10"/>
    <n v="9.8861000000000008"/>
    <n v="538"/>
    <n v="4"/>
    <m/>
    <s v="ЛАПИНА АЛЛА АЛЕКСЕЕВНА"/>
    <n v="140"/>
    <m/>
  </r>
  <r>
    <s v="1"/>
    <d v="2023-04-28T00:00:00"/>
    <x v="3"/>
    <s v="10131010/201222/3548232"/>
    <s v="10131010"/>
    <s v="3548232"/>
    <x v="0"/>
    <s v="40"/>
    <s v=""/>
    <s v=""/>
    <s v=""/>
    <s v="ZHONGSHAN POWTEK APPLIANCES MFG.,LTD"/>
    <s v=", GUANGDONG, ZHONGSHAN, 23 HEALTH ROAD, NATIONAL HEALTH TECHNOLOGY PARK,"/>
    <s v=""/>
    <s v=""/>
    <n v="2"/>
    <n v="0"/>
    <n v="2"/>
    <n v="546"/>
    <s v="1094025002246"/>
    <s v="4025422770"/>
    <s v="АО ТАСКОМ"/>
    <s v="249020, КАЛУЖСКАЯ ОБЛАСТЬ, РАЙОН БОРОВСКИЙ, СЕЛО ВОРСИНО, СЕВЕРНАЯ ПРОМЫШЛЕННАЯ"/>
    <s v="29000"/>
    <s v="402501001"/>
    <s v="1157154020979"/>
    <s v="7104068905"/>
    <s v="ООО ТУЛЬСКИЙ ЗАВОД ГАЗОВОГО ОБОРУДОВАНИЯ"/>
    <s v="301212, ТУЛЬСКАЯ ОБЛАСТЬ, ЩЕКИНСКИЙ М.Р-Н, РАБОЧИЙ ПОСЕЛОК ПЕРВОМАЙСКИЙ Г.П., СИ"/>
    <s v="70000"/>
    <s v="710401001"/>
    <s v="CN"/>
    <s v="КИТАЙ"/>
    <n v="7721421.3799999896"/>
    <s v="1157154020979"/>
    <s v="7104068905"/>
    <s v="ООО ТУЛЬСКИЙ ЗАВОД ГАЗОВОГО ОБОРУДОВАНИЯ"/>
    <s v="301212, ТУЛЬСКАЯ ОБЛАСТЬ, ЩЕКИНСКИЙ М.Р-Н, РАБОЧИЙ ПОСЕЛОК ПЕРВОМАЙСКИЙ Г.П., СИ"/>
    <s v="70000"/>
    <s v="710401001"/>
    <s v="CN"/>
    <s v="КИТАЙ"/>
    <x v="1"/>
    <s v="RU"/>
    <s v="РОССИЯ"/>
    <n v="1"/>
    <s v="1"/>
    <s v="FOB"/>
    <s v="ZHONGSHAN"/>
    <n v="0"/>
    <s v="CNY"/>
    <n v="782680"/>
    <n v="7435178"/>
    <n v="116378.65"/>
    <n v="94.996399999999895"/>
    <s v="010"/>
    <s v=""/>
    <s v="22040034/3475/0000/2/1"/>
    <s v="-"/>
    <s v="11"/>
    <s v="10106/100913/10053/8"/>
    <s v=""/>
    <s v="249020"/>
    <s v="КАЛУЖСКАЯ ОБЛ., БОРОВСКИЙ Р-Н"/>
    <s v="С. ВОРСИНО"/>
    <s v="СЕВЕРНАЯ ПРОМЗОНА, ВЛД. 6"/>
    <s v="10106050 т/п Обнинский"/>
    <n v="1"/>
    <s v="КОТЛЫ ЦЕНТРАЛЬНОГО ОТОПЛЕНИЯ, РАБОТАЮЩИЕ НА ПРИРОДНОМ ИЛИ СЖИЖЕННОМ ГАЗЕ. ПРЕДНАЗНАЧЕНЫ ДЛЯ ОТОПЛЕНИЯ И ГОРЯЧЕГО ВОДОСНАБЖЕНИЯ ЖИЛЫХ ПОМЕЩЕНИЙ."/>
    <x v="0"/>
    <m/>
    <s v="POWTEK INTERNATIONAL HOLDINGS LIMITED ZHONGSHAN POWTEK APPLIANCES MFG., LTD."/>
    <n v="538"/>
    <n v="1"/>
    <n v="538"/>
    <s v="ШТ"/>
    <n v="0"/>
    <m/>
    <s v="1"/>
    <s v="8403109000"/>
    <s v=""/>
    <s v=""/>
    <s v="CN"/>
    <n v="15359.4"/>
    <s v="ОООО-ОО"/>
    <n v="4000000"/>
    <n v="15359.4"/>
    <n v="0"/>
    <s v=""/>
    <s v=""/>
    <n v="782072"/>
    <n v="7429402"/>
    <n v="0"/>
    <n v="1"/>
    <n v="7715199.0199999902"/>
    <n v="116284.87"/>
    <s v="10"/>
    <n v="7.5709"/>
    <m/>
    <m/>
    <m/>
    <s v="БАТАЕВ ИЛЬЯ СЕРГЕЕВИЧ"/>
    <n v="128"/>
    <m/>
  </r>
  <r>
    <s v="1"/>
    <d v="2023-07-02T00:00:00"/>
    <x v="0"/>
    <s v="10131010/201222/3548012"/>
    <s v="10131010"/>
    <s v="3548012"/>
    <x v="0"/>
    <s v="40"/>
    <s v=""/>
    <s v=""/>
    <s v=""/>
    <s v="BAXI S.P.A."/>
    <s v="36061, VICENZA, BASSANO DEL GRAPPA, VIA TROZZETTI 20,"/>
    <s v=""/>
    <s v=""/>
    <n v="3"/>
    <n v="0"/>
    <n v="5"/>
    <n v="188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10909403.3699999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49081.24"/>
    <n v="10528058"/>
    <n v="164428.5"/>
    <n v="70.619600000000005"/>
    <s v="010"/>
    <s v="31"/>
    <s v="14100003/0001/0000/2/1"/>
    <s v="-"/>
    <s v="99"/>
    <s v=""/>
    <s v=""/>
    <s v=""/>
    <s v="БРЯНСКАЯ ОБЛ.,"/>
    <s v="Г.БРЯНСК,ФОКИНСКИЙ Р-Н,"/>
    <s v="ПГТ БЕЛЫЕ БЕРЕГА"/>
    <s v="10102030 т/п Брянский"/>
    <n v="1"/>
    <s v="КОТЛЫ ЦЕНТРАЛЬНОГО ОТОПЛЕНИЯ, СТАЛЬНЫЕ, ВЕС БРУТТО С ПОДДОНАМИ 15462.40 КГ., АССОРТИМЕНТ"/>
    <x v="0"/>
    <m/>
    <s v="BAXI S.P.A."/>
    <n v="85"/>
    <n v="0"/>
    <n v="304"/>
    <s v="ШТ"/>
    <n v="0"/>
    <m/>
    <s v="1"/>
    <s v="8403109000"/>
    <s v=""/>
    <s v=""/>
    <s v="IT"/>
    <n v="14612.4"/>
    <s v="ОООО-ОО"/>
    <n v="4000000"/>
    <n v="14538"/>
    <n v="0"/>
    <s v=""/>
    <s v=""/>
    <n v="133553.579999999"/>
    <n v="9431500"/>
    <n v="0"/>
    <n v="1"/>
    <n v="9792927.27999999"/>
    <n v="147600.769999999"/>
    <s v="10"/>
    <n v="10.152799999999999"/>
    <n v="1053"/>
    <s v="0719/00-16-055"/>
    <m/>
    <s v="БЫКОВА ЛЮБОВЬ АЛЕКСАНДРОВНА"/>
    <n v="370"/>
    <m/>
  </r>
  <r>
    <s v="1"/>
    <d v="2023-01-22T00:00:00"/>
    <x v="5"/>
    <s v="10131010/201222/3547976"/>
    <s v="10131010"/>
    <s v="3547976"/>
    <x v="0"/>
    <s v="40"/>
    <s v=""/>
    <s v=""/>
    <s v=""/>
    <s v="BAXI S.P.A."/>
    <s v="36061, VICENZA, BASSANO DEL GRAPPA, VIA TROZZETTI 20,"/>
    <s v=""/>
    <s v=""/>
    <n v="2"/>
    <n v="0"/>
    <n v="3"/>
    <n v="93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10817225.720000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47875.97"/>
    <n v="10442942"/>
    <n v="163039.18"/>
    <n v="70.619600000000005"/>
    <s v="010"/>
    <s v="31"/>
    <s v="14100003/0001/0000/2/1"/>
    <s v="-"/>
    <s v="99"/>
    <s v=""/>
    <s v=""/>
    <s v=""/>
    <s v="БРЯНСКАЯ ОБЛ.,"/>
    <s v="Г.БРЯНСК,ФОКИНСКИЙ Р-Н,"/>
    <s v="ПГТ БЕЛЫЕ БЕРЕГА"/>
    <s v="10102030 т/п Брянский"/>
    <n v="1"/>
    <s v="КОТЛЫ ЦЕНТРАЛЬНОГО ОТОПЛЕНИЯ, СТАЛЬНЫЕ, ВЕС БРУТТО С ПОДДОНАМИ 14994.4 КГ., АССОРТИМЕНТ"/>
    <x v="0"/>
    <m/>
    <s v="BAXI S.P.A."/>
    <n v="64"/>
    <n v="0"/>
    <n v="264"/>
    <s v="ШТ"/>
    <n v="0"/>
    <m/>
    <s v="1"/>
    <s v="8403109000"/>
    <s v=""/>
    <s v=""/>
    <s v="IT"/>
    <n v="14034.4"/>
    <s v="ОООО-ОО"/>
    <n v="4000000"/>
    <n v="13900"/>
    <n v="0"/>
    <s v=""/>
    <s v=""/>
    <n v="143150.20000000001"/>
    <n v="10109210"/>
    <n v="0"/>
    <n v="1"/>
    <n v="10469123.359999901"/>
    <n v="157792.519999999"/>
    <s v="10"/>
    <n v="11.352"/>
    <n v="1053"/>
    <s v="0719/00-16-055"/>
    <m/>
    <s v="БЫКОВА ЛЮБОВЬ АЛЕКСАНДРОВНА"/>
    <n v="0"/>
    <m/>
  </r>
  <r>
    <s v="1"/>
    <d v="2023-11-28T00:00:00"/>
    <x v="7"/>
    <s v="10131010/201123/3382412"/>
    <s v="10131010"/>
    <s v="338241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64261.88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679.86"/>
    <m/>
    <m/>
    <n v="96.769199999999998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197.41"/>
    <s v="ОООО-ОО"/>
    <n v="4000000"/>
    <n v="16122.41"/>
    <n v="0"/>
    <s v=""/>
    <s v=""/>
    <n v="43679.86"/>
    <m/>
    <n v="0"/>
    <n v="1"/>
    <n v="4664261.8899999997"/>
    <n v="52334.7"/>
    <s v="10"/>
    <n v="52397.832499999997"/>
    <n v="3.25"/>
    <n v="45"/>
    <m/>
    <s v="БЛАГОНРАВОВА"/>
    <n v="559"/>
    <m/>
  </r>
  <r>
    <s v="1"/>
    <d v="2023-07-12T00:00:00"/>
    <x v="0"/>
    <s v="10131010/201123/3382119"/>
    <s v="10131010"/>
    <s v="338211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28570.1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177.480000000003"/>
    <m/>
    <m/>
    <n v="96.769199999999998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01.78"/>
    <s v="ОООО-ОО"/>
    <n v="4000000"/>
    <n v="16375.78"/>
    <n v="0"/>
    <s v=""/>
    <s v=""/>
    <n v="39177.480000000003"/>
    <m/>
    <n v="0"/>
    <n v="1"/>
    <n v="4228570.18"/>
    <n v="47446.080000000002"/>
    <s v="10"/>
    <n v="47489.762000000002"/>
    <n v="2.9"/>
    <n v="45"/>
    <m/>
    <s v="ЯШИНА"/>
    <n v="18"/>
    <m/>
  </r>
  <r>
    <s v="1"/>
    <d v="2023-10-06T00:00:00"/>
    <x v="1"/>
    <s v="10131010/201123/3382073"/>
    <s v="10131010"/>
    <s v="338207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99351.0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438.92"/>
    <m/>
    <m/>
    <n v="96.769199999999998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19.68"/>
    <s v="ОООО-ОО"/>
    <n v="4000000"/>
    <n v="16798.080000000002"/>
    <n v="0"/>
    <s v=""/>
    <s v=""/>
    <n v="40438.92"/>
    <m/>
    <n v="0"/>
    <n v="1"/>
    <n v="4299351.05"/>
    <n v="48240.27"/>
    <s v="10"/>
    <n v="48210.489600000008"/>
    <n v="2.87"/>
    <n v="45"/>
    <m/>
    <s v="ЧУДИНА"/>
    <n v="557"/>
    <m/>
  </r>
  <r>
    <s v="1"/>
    <d v="2023-07-16T00:00:00"/>
    <x v="0"/>
    <s v="10131010/201023/3350650"/>
    <s v="10131010"/>
    <s v="335065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4787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692.91"/>
    <m/>
    <m/>
    <n v="102.625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364.43"/>
    <s v="ОООО-ОО"/>
    <n v="4000000"/>
    <n v="16278.03"/>
    <n v="0"/>
    <s v=""/>
    <s v=""/>
    <n v="43692.91"/>
    <m/>
    <n v="0"/>
    <n v="1"/>
    <n v="4947874"/>
    <n v="50847.87"/>
    <s v="10"/>
    <n v="50787.453600000001"/>
    <n v="3.12"/>
    <n v="45"/>
    <m/>
    <s v="БЛАГОНРАВОВА"/>
    <n v="166"/>
    <m/>
  </r>
  <r>
    <s v="1"/>
    <d v="2023-07-01T00:00:00"/>
    <x v="0"/>
    <s v="10131010/201023/3350650"/>
    <s v="10131010"/>
    <s v="335065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4787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692.91"/>
    <m/>
    <m/>
    <n v="102.625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364.43"/>
    <s v="ОООО-ОО"/>
    <n v="4000000"/>
    <n v="16278.03"/>
    <n v="0"/>
    <s v=""/>
    <s v=""/>
    <n v="43692.91"/>
    <m/>
    <n v="0"/>
    <n v="1"/>
    <n v="4947874"/>
    <n v="50847.87"/>
    <s v="10"/>
    <n v="50787.453600000001"/>
    <n v="3.12"/>
    <n v="45"/>
    <m/>
    <s v="БЛАГОНРАВОВА"/>
    <n v="166"/>
    <m/>
  </r>
  <r>
    <s v="1"/>
    <d v="2023-10-31T00:00:00"/>
    <x v="1"/>
    <s v="10131010/200923/3318829"/>
    <s v="10131010"/>
    <s v="331882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97241.5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395.72"/>
    <m/>
    <m/>
    <n v="102.921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080.12"/>
    <s v="ОООО-ОО"/>
    <n v="4000000"/>
    <n v="16062.12"/>
    <n v="0"/>
    <s v=""/>
    <s v=""/>
    <n v="45395.72"/>
    <m/>
    <n v="0"/>
    <n v="1"/>
    <n v="5097241.58"/>
    <n v="52972.88"/>
    <s v="10"/>
    <n v="53004.995999999999"/>
    <n v="3.3"/>
    <n v="45"/>
    <m/>
    <s v="ОСИПОВА"/>
    <n v="42"/>
    <m/>
  </r>
  <r>
    <s v="1"/>
    <d v="2023-07-17T00:00:00"/>
    <x v="0"/>
    <s v="10131010/200923/3318527"/>
    <s v="10131010"/>
    <s v="331852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18945.5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606.6"/>
    <m/>
    <m/>
    <n v="102.921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92.62"/>
    <s v="ОООО-ОО"/>
    <n v="4000000"/>
    <n v="17092.62"/>
    <n v="0"/>
    <s v=""/>
    <s v=""/>
    <n v="45606.6"/>
    <m/>
    <n v="0"/>
    <n v="1"/>
    <n v="5118945.58"/>
    <n v="53198.44"/>
    <s v="10"/>
    <n v="53158.048199999997"/>
    <n v="3.11"/>
    <n v="45"/>
    <m/>
    <s v="ЯШИНА"/>
    <n v="205"/>
    <m/>
  </r>
  <r>
    <s v="1"/>
    <d v="2023-01-27T00:00:00"/>
    <x v="5"/>
    <s v="10131010/200923/3317659"/>
    <s v="10131010"/>
    <s v="331765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813337.78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51833.440000000002"/>
    <m/>
    <m/>
    <n v="102.921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160.64"/>
    <s v="ОООО-ОО"/>
    <n v="4000000"/>
    <n v="16160.64"/>
    <n v="0"/>
    <s v=""/>
    <s v=""/>
    <n v="51833.440000000002"/>
    <m/>
    <n v="0"/>
    <n v="1"/>
    <n v="5813337.7800000003"/>
    <n v="60414.89"/>
    <s v="10"/>
    <n v="60440.793600000005"/>
    <n v="3.74"/>
    <n v="45"/>
    <m/>
    <s v="ЧУДИНА"/>
    <n v="155"/>
    <m/>
  </r>
  <r>
    <s v="1"/>
    <d v="2023-09-08T00:00:00"/>
    <x v="4"/>
    <s v="10131010/200723/3256377"/>
    <s v="10131010"/>
    <s v="3256377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69426.6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930.239999999998"/>
    <n v="4193062"/>
    <n v="51197.27"/>
    <n v="102.4441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A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81.939999999999"/>
    <s v="ОООО-ОО"/>
    <n v="4000000"/>
    <n v="16577.54"/>
    <n v="0"/>
    <s v=""/>
    <s v=""/>
    <n v="40930.239999999998"/>
    <n v="4193062"/>
    <n v="0"/>
    <n v="1"/>
    <n v="4669426.67"/>
    <n v="51197.27"/>
    <s v="10"/>
    <n v="51224.598599999998"/>
    <n v="3.09"/>
    <n v="45"/>
    <s v="2022/09 БР"/>
    <s v="ДРУЗЯГИНА ИРИНА НИКОЛАЕВНА"/>
    <n v="340"/>
    <m/>
  </r>
  <r>
    <s v="1"/>
    <d v="2023-10-12T00:00:00"/>
    <x v="1"/>
    <s v="10131010/200723/3256371"/>
    <s v="10131010"/>
    <s v="3256371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07310.4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820.04"/>
    <n v="4284216"/>
    <n v="51612.639999999999"/>
    <n v="102.4441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H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162.77"/>
    <s v="ОООО-ОО"/>
    <n v="4000000"/>
    <n v="17108.77"/>
    <n v="0"/>
    <s v=""/>
    <s v=""/>
    <n v="41820.04"/>
    <n v="4284216"/>
    <n v="0"/>
    <n v="1"/>
    <n v="4707310.49"/>
    <n v="51612.639999999999"/>
    <s v="10"/>
    <n v="51668.485400000005"/>
    <n v="3.02"/>
    <n v="45"/>
    <s v="2022/09 БР"/>
    <s v="БЛАГОНРАВОВА ДАРЬЯ ДМИТРИЕВНА"/>
    <n v="551"/>
    <m/>
  </r>
  <r>
    <s v="1"/>
    <d v="2022-08-08T00:00:00"/>
    <x v="6"/>
    <s v="10131010/200723/3256211"/>
    <s v="10131010"/>
    <s v="3256211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26091.4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098.800000000003"/>
    <n v="3902997"/>
    <n v="47432.82"/>
    <n v="102.4441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153.01"/>
    <s v="ОООО-ОО"/>
    <n v="4000000"/>
    <n v="16058.21"/>
    <n v="0"/>
    <s v=""/>
    <s v=""/>
    <n v="38098.800000000003"/>
    <n v="3902997"/>
    <n v="0"/>
    <n v="1"/>
    <n v="4326091.41"/>
    <n v="47432.82"/>
    <s v="10"/>
    <n v="47371.719499999999"/>
    <n v="2.95"/>
    <n v="45"/>
    <s v="2022/09 БР"/>
    <s v="ЯШИНА АННА СЕРГЕЕВНА"/>
    <n v="581"/>
    <m/>
  </r>
  <r>
    <s v="1"/>
    <d v="2023-12-28T00:00:00"/>
    <x v="10"/>
    <s v="10131010/200623/3221383"/>
    <s v="10131010"/>
    <s v="3221383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86515.2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956.43"/>
    <n v="3759661"/>
    <n v="49847.42"/>
    <n v="91.7965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H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35.57"/>
    <s v="ОООО-ОО"/>
    <n v="4000000"/>
    <n v="16613.97"/>
    <n v="0"/>
    <s v=""/>
    <s v=""/>
    <n v="40956.43"/>
    <n v="3759661"/>
    <n v="0"/>
    <n v="1"/>
    <n v="4186515.21"/>
    <n v="49847.42"/>
    <s v="10"/>
    <n v="49841.91"/>
    <n v="3"/>
    <n v="45"/>
    <s v="2022/09 БР"/>
    <s v="ЧУДИНА ЭЛЬВИРА РАИСОВНА"/>
    <n v="128"/>
    <m/>
  </r>
  <r>
    <s v="1"/>
    <d v="2023-08-31T00:00:00"/>
    <x v="8"/>
    <s v="10131010/200623/3221216"/>
    <s v="10131010"/>
    <s v="3221216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35356.05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756.58"/>
    <n v="4108502"/>
    <n v="54000.95"/>
    <n v="91.7965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411.22"/>
    <s v="ОООО-ОО"/>
    <n v="4000000"/>
    <n v="16357.22"/>
    <n v="0"/>
    <s v=""/>
    <s v=""/>
    <n v="44756.58"/>
    <n v="4108502"/>
    <n v="0"/>
    <n v="1"/>
    <n v="4535356.0599999996"/>
    <n v="54000.95"/>
    <s v="10"/>
    <n v="53978.825999999994"/>
    <n v="3.3"/>
    <n v="45"/>
    <s v="2022/09 БР"/>
    <s v="БЛАГОНРАВОВА ДАРЬЯ ДМИТРИЕВНА"/>
    <n v="342"/>
    <m/>
  </r>
  <r>
    <s v="1"/>
    <d v="2023-02-18T00:00:00"/>
    <x v="12"/>
    <s v="10131010/200423/5003069"/>
    <s v="10131010"/>
    <s v="5003069"/>
    <x v="0"/>
    <s v="40"/>
    <s v=""/>
    <s v=""/>
    <s v=""/>
    <s v="UNITED PETFOOD PRODUCERS NV"/>
    <s v="9400, , ERPE-MERE, EVENBROEKVELD 1, .,.."/>
    <s v=""/>
    <s v=""/>
    <n v="1"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84656.1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590.96"/>
    <n v="3895881"/>
    <n v="52472.74"/>
    <n v="89.3735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m/>
    <m/>
    <m/>
    <m/>
    <m/>
    <s v="1"/>
    <s v="2309101100"/>
    <s v=""/>
    <s v=""/>
    <s v="BE"/>
    <n v="16454.39"/>
    <s v="ОООО-ОО"/>
    <n v="4000000"/>
    <n v="16364.39"/>
    <m/>
    <s v=""/>
    <s v=""/>
    <n v="43590.96"/>
    <n v="3895881"/>
    <n v="0"/>
    <n v="1"/>
    <n v="4284656.18"/>
    <n v="52472.74"/>
    <s v="10"/>
    <n v="52472.416534999997"/>
    <n v="3.2065000000000001"/>
    <n v="45"/>
    <s v="2022/09 БР"/>
    <s v="БЛАГОНРАВОВА ДАРЬЯ ДМИТРИЕВНА"/>
    <n v="212"/>
    <m/>
  </r>
  <r>
    <s v="1"/>
    <d v="2023-07-14T00:00:00"/>
    <x v="0"/>
    <s v="10131010/200423/3139351"/>
    <s v="10131010"/>
    <s v="3139351"/>
    <x v="0"/>
    <s v="40"/>
    <s v=""/>
    <s v=""/>
    <s v=""/>
    <s v="UNITED PETFOOD PRODUCERS"/>
    <s v="9042, , GHENT, TERDONKKAAI 16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33638.1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020.12"/>
    <n v="3844863"/>
    <n v="51847.94"/>
    <n v="89.3735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509.08"/>
    <s v="ОООО-ОО"/>
    <n v="4000000"/>
    <n v="15271.48"/>
    <n v="0"/>
    <s v=""/>
    <s v=""/>
    <n v="43020.12"/>
    <n v="3844863"/>
    <n v="0"/>
    <n v="1"/>
    <n v="4233638.16"/>
    <n v="51847.94"/>
    <s v="10"/>
    <n v="51848.201747999992"/>
    <n v="3.3950999999999998"/>
    <n v="45"/>
    <s v="2022/09 БР"/>
    <s v="ЧУДИНА ЭЛЬВИРА РАИСОВНА"/>
    <n v="163"/>
    <m/>
  </r>
  <r>
    <s v="1"/>
    <d v="2023-05-08T00:00:00"/>
    <x v="9"/>
    <s v="10131010/200423/3139269"/>
    <s v="10131010"/>
    <s v="3139269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89467.8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407"/>
    <n v="3700693"/>
    <n v="50082.33"/>
    <n v="89.3735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125.42"/>
    <s v="ОООО-ОО"/>
    <n v="4000000"/>
    <n v="15909.42"/>
    <n v="0"/>
    <s v=""/>
    <s v=""/>
    <n v="41407"/>
    <n v="3700693"/>
    <n v="0"/>
    <n v="1"/>
    <n v="4089467.82"/>
    <n v="50082.33"/>
    <s v="10"/>
    <n v="50082.854160000003"/>
    <n v="3.1480000000000001"/>
    <n v="45"/>
    <s v="2022/09 БР"/>
    <s v="БЛАГОНРАВОВА ДАРЬЯ ДМИТРИЕВНА"/>
    <n v="221"/>
    <m/>
  </r>
  <r>
    <s v="1"/>
    <d v="2023-02-13T00:00:00"/>
    <x v="12"/>
    <s v="10131010/200423/3139225"/>
    <s v="10131010"/>
    <s v="3139225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27833.7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479.58"/>
    <n v="3439059"/>
    <n v="46878.19"/>
    <n v="89.3735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5757.73"/>
    <s v="ОООО-ОО"/>
    <n v="4000000"/>
    <n v="15455.93"/>
    <n v="0"/>
    <s v=""/>
    <s v=""/>
    <n v="38479.58"/>
    <n v="3439059"/>
    <n v="0"/>
    <n v="1"/>
    <n v="3827833.75"/>
    <n v="46878.19"/>
    <s v="10"/>
    <n v="46877.83569"/>
    <n v="3.0329999999999999"/>
    <n v="45"/>
    <s v="2022/09 БР"/>
    <s v="БЛАГОНРАВОВА ДАРЬЯ ДМИТРИЕВНА"/>
    <n v="221"/>
    <m/>
  </r>
  <r>
    <s v="1"/>
    <d v="2023-08-02T00:00:00"/>
    <x v="8"/>
    <s v="10131010/200323/3096065"/>
    <s v="10131010"/>
    <s v="3096065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07037.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427.96"/>
    <n v="3211940"/>
    <n v="47086.559999999998"/>
    <n v="81.46349999999999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P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110.669999999998"/>
    <s v="ОООО-ОО"/>
    <n v="4000000"/>
    <n v="17071.07"/>
    <n v="0"/>
    <s v=""/>
    <s v=""/>
    <n v="39427.96"/>
    <n v="3211940"/>
    <n v="0"/>
    <n v="1"/>
    <n v="3607037.6"/>
    <n v="47086.559999999998"/>
    <s v="10"/>
    <n v="47087.132381000003"/>
    <n v="2.7583000000000002"/>
    <n v="45"/>
    <s v="2022/09 БР"/>
    <s v="ЧУДИНА ЭЛЬВИРА РАИСОВНА"/>
    <n v="166"/>
    <m/>
  </r>
  <r>
    <s v="1"/>
    <d v="2023-05-07T00:00:00"/>
    <x v="9"/>
    <s v="10131010/200323/3095765"/>
    <s v="10131010"/>
    <s v="3095765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65622.6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192.03"/>
    <n v="3111256"/>
    <n v="45240.52"/>
    <n v="81.46349999999999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224.3"/>
    <s v="ОООО-ОО"/>
    <n v="4000000"/>
    <n v="17205.099999999999"/>
    <n v="0"/>
    <s v=""/>
    <s v=""/>
    <n v="38192.03"/>
    <n v="3111256"/>
    <n v="0"/>
    <n v="1"/>
    <n v="3465622.67"/>
    <n v="45240.52"/>
    <s v="10"/>
    <n v="45240.810449999997"/>
    <n v="2.6295000000000002"/>
    <n v="45"/>
    <s v="2022/09 БР"/>
    <s v="ОСИПОВА ТАТЬЯНА ВЛАДИМИРОВНА"/>
    <n v="236"/>
    <m/>
  </r>
  <r>
    <s v="1"/>
    <d v="2023-04-18T00:00:00"/>
    <x v="3"/>
    <s v="10131010/200323/3095726"/>
    <s v="10131010"/>
    <s v="3095726"/>
    <x v="0"/>
    <s v="40"/>
    <s v=""/>
    <s v=""/>
    <s v=""/>
    <s v="UNITED PETFOOD PRODUCERS"/>
    <s v="9042, , GENT, DESTELDONK TERDONKKAAI 16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64146.7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629"/>
    <n v="3309781"/>
    <n v="47832.07"/>
    <n v="81.46349999999999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M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885.439999999999"/>
    <s v="ОООО-ОО"/>
    <n v="4000000"/>
    <n v="16885.439999999999"/>
    <n v="0"/>
    <s v=""/>
    <s v=""/>
    <n v="40629"/>
    <n v="3309781"/>
    <n v="0"/>
    <n v="1"/>
    <n v="3664146.77"/>
    <n v="47832.07"/>
    <s v="10"/>
    <n v="47831.385887999997"/>
    <n v="2.8327"/>
    <n v="45"/>
    <s v="2022/09 БР"/>
    <s v="ЯШИНА АННА СЕРГЕЕВНА"/>
    <n v="21"/>
    <m/>
  </r>
  <r>
    <s v="1"/>
    <d v="2023-05-31T00:00:00"/>
    <x v="9"/>
    <s v="10131010/200323/3095689"/>
    <s v="10131010"/>
    <s v="3095689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76454.2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780.080000000002"/>
    <n v="3322088"/>
    <n v="47992.73"/>
    <n v="81.46349999999999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H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007.48"/>
    <s v="ОООО-ОО"/>
    <n v="4000000"/>
    <n v="15863.48"/>
    <n v="0"/>
    <s v=""/>
    <s v=""/>
    <n v="40780.080000000002"/>
    <n v="3322088"/>
    <n v="0"/>
    <n v="1"/>
    <n v="3676454.28"/>
    <n v="47992.73"/>
    <s v="10"/>
    <n v="47993.372391999997"/>
    <n v="3.0253999999999999"/>
    <n v="45"/>
    <s v="2022/09 БР"/>
    <s v="БЛАГОНРАВОВА ДАРЬЯ ДМИТРИЕВНА"/>
    <n v="313"/>
    <m/>
  </r>
  <r>
    <s v="1"/>
    <d v="2023-09-25T00:00:00"/>
    <x v="4"/>
    <s v="10131010/200223/3059675"/>
    <s v="10131010"/>
    <s v="3059675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88167.7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233.83"/>
    <n v="3441862"/>
    <n v="50671.86"/>
    <n v="79.6103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K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555.03"/>
    <s v="ОООО-ОО"/>
    <n v="4000000"/>
    <n v="16490.23"/>
    <n v="0"/>
    <s v=""/>
    <s v=""/>
    <n v="43233.83"/>
    <n v="3441862"/>
    <n v="0"/>
    <n v="1"/>
    <n v="3788167.74"/>
    <n v="50671.86"/>
    <s v="10"/>
    <n v="50671.178743999997"/>
    <n v="3.0728"/>
    <n v="45"/>
    <s v="2022/09 БР"/>
    <s v="ЯШИНА АННА СЕРГЕЕВНА"/>
    <n v="544"/>
    <m/>
  </r>
  <r>
    <s v="1"/>
    <d v="2022-05-29T00:00:00"/>
    <x v="6"/>
    <s v="10131010/200123/3020197"/>
    <s v="10131010"/>
    <s v="3020197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030496.3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7403.1"/>
    <n v="2783008"/>
    <n v="44018.03"/>
    <n v="74.405799999999999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Т.М. &quot;PREMIER&quot;,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376.03"/>
    <s v="ОООО-ОО"/>
    <n v="4000000"/>
    <n v="16224.83"/>
    <n v="0"/>
    <s v=""/>
    <s v=""/>
    <n v="37403.1"/>
    <n v="2783008"/>
    <n v="0"/>
    <n v="1"/>
    <n v="3030496.3"/>
    <n v="44018.03"/>
    <s v="10"/>
    <n v="44017.963790000002"/>
    <n v="2.7130000000000001"/>
    <n v="941"/>
    <s v="0770/СПБ/329"/>
    <s v="ДАШКИН АЛЕКСЕЙ ХАЛИМОВИЧ"/>
    <n v="567"/>
    <m/>
  </r>
  <r>
    <s v="1"/>
    <d v="2022-06-23T00:00:00"/>
    <x v="6"/>
    <s v="10131010/200123/3019718"/>
    <s v="10131010"/>
    <s v="3019718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385169.4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2169.84"/>
    <n v="3137681"/>
    <n v="49169.67"/>
    <n v="74.405799999999999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957.509999999998"/>
    <s v="ОООО-ОО"/>
    <n v="4000000"/>
    <n v="16957.509999999998"/>
    <n v="0"/>
    <s v=""/>
    <s v=""/>
    <n v="42169.84"/>
    <n v="3137681"/>
    <n v="0"/>
    <n v="1"/>
    <n v="3385169.4"/>
    <n v="49169.67"/>
    <s v="10"/>
    <n v="49169.995995999998"/>
    <n v="2.8996"/>
    <n v="941"/>
    <s v="0770/СПБ/329"/>
    <s v="ДАШКИН АЛЕКСЕЙ ХАЛИМОВИЧ"/>
    <n v="263"/>
    <m/>
  </r>
  <r>
    <s v="1"/>
    <d v="2022-09-20T00:00:00"/>
    <x v="6"/>
    <s v="10131010/200123/3019542"/>
    <s v="10131010"/>
    <s v="3019542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69417.6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3302.12"/>
    <n v="3221929"/>
    <n v="50393.38"/>
    <n v="74.405799999999999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951.46"/>
    <s v="ОООО-ОО"/>
    <n v="4000000"/>
    <n v="16951.46"/>
    <n v="0"/>
    <s v=""/>
    <s v=""/>
    <n v="43302.12"/>
    <n v="3221929"/>
    <n v="0"/>
    <n v="1"/>
    <n v="3469417.6"/>
    <n v="50393.38"/>
    <s v="10"/>
    <n v="50393.300287999999"/>
    <n v="2.9727999999999999"/>
    <n v="941"/>
    <s v="0770/СПБ/329"/>
    <s v="ДАШКИН АЛЕКСЕЙ ХАЛИМОВИЧ"/>
    <n v="298"/>
    <m/>
  </r>
  <r>
    <s v="1"/>
    <d v="2023-08-23T00:00:00"/>
    <x v="8"/>
    <s v="10131010/191223/3415086"/>
    <s v="10131010"/>
    <s v="341508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43449.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003.4"/>
    <m/>
    <m/>
    <n v="98.75780000000000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4517.36"/>
    <s v="ОООО-ОО"/>
    <n v="4000000"/>
    <n v="14270.16"/>
    <n v="0"/>
    <s v=""/>
    <s v=""/>
    <n v="41003.4"/>
    <m/>
    <n v="0"/>
    <n v="1"/>
    <n v="4443449.2"/>
    <n v="49144.39"/>
    <s v="10"/>
    <n v="49089.350399999996"/>
    <n v="3.44"/>
    <n v="45"/>
    <m/>
    <s v="ДРУЗЯГИНА"/>
    <n v="128"/>
    <m/>
  </r>
  <r>
    <s v="1"/>
    <d v="2023-09-04T00:00:00"/>
    <x v="4"/>
    <s v="10131010/191223/3414767"/>
    <s v="10131010"/>
    <s v="341476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22781.86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144.44"/>
    <m/>
    <m/>
    <n v="98.75780000000000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086.1"/>
    <s v="ОООО-ОО"/>
    <n v="4000000"/>
    <n v="15964.9"/>
    <n v="0"/>
    <s v=""/>
    <s v=""/>
    <n v="44144.44"/>
    <m/>
    <n v="1"/>
    <n v="1"/>
    <n v="4822781.8600000003"/>
    <n v="53339.8"/>
    <s v="10"/>
    <n v="53322.765999999996"/>
    <n v="3.34"/>
    <n v="45"/>
    <m/>
    <s v="ЧУДИНА"/>
    <n v="586"/>
    <m/>
  </r>
  <r>
    <s v="1"/>
    <d v="2023-07-21T00:00:00"/>
    <x v="0"/>
    <s v="10131010/191222/3546920"/>
    <s v="10131010"/>
    <s v="3546920"/>
    <x v="0"/>
    <s v="40"/>
    <s v=""/>
    <s v=""/>
    <s v=""/>
    <s v="ICI CALDAIE S.P.A."/>
    <s v="37059, , CAMPAGNOLA DI ZEVIO(VR), VIA G.PASCOLI,38,"/>
    <s v=""/>
    <s v=""/>
    <n v="1"/>
    <n v="0"/>
    <n v="1"/>
    <n v="10"/>
    <s v="1157746439080"/>
    <s v="7718171799"/>
    <s v="ОООРИЗКО ИЧИ"/>
    <s v="107023, , Г.МОСКВА, УЛ.ЭЛЕКТРОЗАВОДСКАЯ,Д.52,СТР.16, ПОМЕЩ. 21А,"/>
    <s v="45000"/>
    <s v="771801001"/>
    <s v="1157746439080"/>
    <s v="7718171799"/>
    <s v="ОООРИЗКО ИЧИ"/>
    <s v="107023, , Г.МОСКВА, УЛ.ЭЛЕКТРОЗАВОДСКАЯ,Д.52,СТР.16, ПОМЕЩ. 21А,"/>
    <s v="45000"/>
    <s v="771801001"/>
    <s v="IT"/>
    <s v="ИТАЛИЯ"/>
    <n v="3871271.04"/>
    <s v="1157746439080"/>
    <s v="7718171799"/>
    <s v="ОООРИЗКО ИЧИ"/>
    <s v="107023, , Г.МОСКВА, УЛ.ЭЛЕКТРОЗАВОДСКАЯ,Д.52,СТР.16, ПОМЕЩ. 21А,"/>
    <s v="45000"/>
    <s v="771801001"/>
    <s v="IT"/>
    <s v="ИТАЛИЯ"/>
    <x v="0"/>
    <s v="RU"/>
    <s v="РОССИЯ"/>
    <n v="2"/>
    <s v="0"/>
    <s v="FCA"/>
    <s v="CAMPAGNOLA DI ZEVIO VERONA"/>
    <n v="0"/>
    <s v="EUR"/>
    <n v="51485"/>
    <n v="3541128"/>
    <n v="59919.56"/>
    <n v="68.779799999999895"/>
    <s v="010"/>
    <s v="31"/>
    <s v="15110008/2216/0000/2/1"/>
    <s v="-"/>
    <s v="99"/>
    <s v=""/>
    <s v=""/>
    <s v="215119"/>
    <s v="СМОЛЕНСКАЯ ОБЛ."/>
    <s v="Г. ВЯЗЬМА"/>
    <s v="УЛ. ЭЛЕВАТОРНАЯ, Д. 12"/>
    <s v="10113020 т/п Вяземский"/>
    <n v="1"/>
    <s v="КОТЕЛ ОТОПИТЕЛЬНЫЙ ВОДОГРЕЙНЫЙ, РАБОТАЮЩИЙ НА ГАЗЕ(МЕТАН, СЖИЖЕННЫЙ ГАЗ), ИЗ СТАЛИ, ДВУХХОДОВОЙ, ДЛЯ СИСТЕМ ОТОПЛЕНИЯ: МОЩНОСТЬ 1400 КВТ, 2900Х1470Х1750Н ММ"/>
    <x v="0"/>
    <m/>
    <s v="ICI CALDAIE S.P.A."/>
    <n v="10"/>
    <n v="0"/>
    <n v="11"/>
    <s v="ШТ"/>
    <n v="0"/>
    <m/>
    <s v="1"/>
    <s v="8403109000"/>
    <s v=""/>
    <s v=""/>
    <s v="IT"/>
    <n v="13820"/>
    <s v="ОООО-ОО"/>
    <n v="4000000"/>
    <n v="13680"/>
    <n v="0"/>
    <s v=""/>
    <s v=""/>
    <n v="51485"/>
    <n v="3541128"/>
    <n v="0"/>
    <n v="1"/>
    <n v="3871271.04"/>
    <n v="59919.56"/>
    <s v="10"/>
    <n v="4.3800999999999997"/>
    <n v="526"/>
    <s v="0526/01-15-032"/>
    <m/>
    <s v="ПАНОВА ЖАННА АЛЕКСАНДРОВНА"/>
    <n v="37"/>
    <m/>
  </r>
  <r>
    <s v="1"/>
    <d v="2023-11-12T00:00:00"/>
    <x v="7"/>
    <s v="10131010/191222/3546320"/>
    <s v="10131010"/>
    <s v="3546320"/>
    <x v="0"/>
    <s v="40"/>
    <s v=""/>
    <s v=""/>
    <s v=""/>
    <s v="RADIJATOR INZENJERING D.O.O."/>
    <s v="36000, СЕРБИЯ, KRALJEVO, UL. ZIVOJINA LAZICA-SOLUNCA BR.6,"/>
    <s v=""/>
    <s v=""/>
    <n v="2"/>
    <n v="0"/>
    <n v="3"/>
    <n v="46"/>
    <s v="5117746059460"/>
    <s v="7701943983"/>
    <s v="ООО АТЛАНТИК НЕМАН"/>
    <s v="107023, , МОСКВА, СЕМЕНОВСКАЯ ПЛ.,1А, 24 ЭТАЖ ПОМ. XXXIII КОМ.9,"/>
    <s v="45000"/>
    <s v="771901001"/>
    <s v="5117746059460"/>
    <s v="7701943983"/>
    <s v="ООО АТЛАНТИК НЕМАН"/>
    <s v="107023, , МОСКВА, СЕМЕНОВСКАЯ ПЛ.,1А, 24 ЭТАЖ ПОМ. XXXIII КОМ.9,"/>
    <s v="45000"/>
    <s v="771901001"/>
    <s v="RS"/>
    <s v="СЕРБИЯ"/>
    <n v="3928548.11"/>
    <s v="5117746059460"/>
    <s v="7701943983"/>
    <s v="ООО АТЛАНТИК НЕМАН"/>
    <s v="107023, , МОСКВА, СЕМЕНОВСКАЯ ПЛ.,1А, 24 ЭТАЖ ПОМ. XXXIII КОМ.9,"/>
    <s v="45000"/>
    <s v="771901001"/>
    <s v="RS"/>
    <s v="СЕРБИЯ"/>
    <x v="9"/>
    <s v="RU"/>
    <s v="РОССИЯ"/>
    <n v="2"/>
    <s v="0"/>
    <s v="CPT"/>
    <s v="МОСКВА"/>
    <n v="1"/>
    <s v="EUR"/>
    <n v="57117.760000000002"/>
    <n v="3928548"/>
    <n v="60806.1"/>
    <n v="68.779799999999895"/>
    <s v="010"/>
    <s v="31"/>
    <s v="19100232/3292/0000/2/1"/>
    <s v="-"/>
    <s v="99"/>
    <s v=""/>
    <s v=""/>
    <s v=""/>
    <s v="КАЛУЖ.ОБЛ.,БОРОВСК.Р-Н,"/>
    <s v="С.ВОРСИНО,"/>
    <s v="СЕВЕРНАЯ ПРОМ.ЗОНА, ВЛД.6"/>
    <s v="10106050 т/п Обнинский"/>
    <n v="1"/>
    <s v="КОТЛЫ ЦЕНТРАЛЬНОГО ОТОПЛЕНИЯ:"/>
    <x v="0"/>
    <m/>
    <s v="RADIJATOR INZENJERING"/>
    <n v="44"/>
    <n v="0"/>
    <n v="54"/>
    <s v="ШТ"/>
    <n v="0"/>
    <m/>
    <s v="1"/>
    <s v="8403109000"/>
    <s v=""/>
    <s v=""/>
    <s v="RS"/>
    <n v="11130"/>
    <s v="ООСБ-ОО"/>
    <n v="4000000"/>
    <n v="10137"/>
    <n v="0"/>
    <s v=""/>
    <s v=""/>
    <n v="52637.04"/>
    <n v="3620365"/>
    <n v="0"/>
    <n v="1"/>
    <n v="3620365.08"/>
    <n v="56036.04"/>
    <s v="10"/>
    <n v="5.5278999999999998"/>
    <n v="991"/>
    <s v="ИНК-06/05/2019/1"/>
    <m/>
    <s v="ХЛАНЬ ЛИЛИЯ АНАТОЛЬЕВНА"/>
    <n v="324"/>
    <m/>
  </r>
  <r>
    <s v="1"/>
    <d v="2023-10-27T00:00:00"/>
    <x v="1"/>
    <s v="10131010/191222/3546277"/>
    <s v="10131010"/>
    <s v="3546277"/>
    <x v="0"/>
    <s v="40"/>
    <s v=""/>
    <s v=""/>
    <s v=""/>
    <s v="BAXI S.P.A."/>
    <s v="36061, VICENZA, BASSANO DEL GRAPPA, VIA TROZZETTI 20,"/>
    <s v=""/>
    <s v=""/>
    <n v="2"/>
    <n v="0"/>
    <n v="2"/>
    <n v="83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10248688.17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43707.24"/>
    <n v="9884155"/>
    <n v="158629.269999999"/>
    <n v="68.779799999999895"/>
    <s v="010"/>
    <s v="31"/>
    <s v="14100003/0001/0000/2/1"/>
    <s v="-"/>
    <s v="99"/>
    <s v=""/>
    <s v=""/>
    <s v=""/>
    <s v="БРЯНСКАЯ ОБЛ.,"/>
    <s v="Г.БРЯНСК,ФОКИНСКИЙ Р-Н,"/>
    <s v="ПГТ БЕЛЫЕ БЕРЕГА"/>
    <s v="10102030 т/п Брянский"/>
    <n v="1"/>
    <s v="КОТЛЫ ЦЕНТРАЛЬНОГО ОТОПЛЕНИЯ, СТАЛЬНЫЕ, ВЕС БРУТТО С ПОДДОНАМИ 16791.40 КГ., АССОРТИМЕНТ"/>
    <x v="0"/>
    <m/>
    <s v="BAXI S.P.A."/>
    <n v="82"/>
    <n v="0"/>
    <n v="335"/>
    <s v="ШТ"/>
    <n v="0"/>
    <m/>
    <s v="1"/>
    <s v="8403109000"/>
    <s v=""/>
    <s v=""/>
    <s v="IT"/>
    <n v="15315.4"/>
    <s v="ОООО-ОО"/>
    <n v="4000000"/>
    <n v="15194"/>
    <n v="0"/>
    <s v=""/>
    <s v=""/>
    <n v="142406.74"/>
    <n v="9794707"/>
    <n v="0"/>
    <n v="1"/>
    <n v="10157722.76"/>
    <n v="157221.31"/>
    <s v="10"/>
    <n v="10.3476"/>
    <n v="1053"/>
    <s v="0719/00-16-055"/>
    <m/>
    <s v="БЫКОВА ЛЮБОВЬ АЛЕКСАНДРОВНА"/>
    <n v="0"/>
    <m/>
  </r>
  <r>
    <s v="1"/>
    <d v="2023-11-09T00:00:00"/>
    <x v="7"/>
    <s v="10131010/191222/3546106"/>
    <s v="10131010"/>
    <s v="3546106"/>
    <x v="0"/>
    <s v="40"/>
    <s v=""/>
    <s v=""/>
    <s v=""/>
    <s v="FONDITAL S.P.A."/>
    <s v="25079, BS, VOBARNO, VIA CERRETO, 40"/>
    <s v=""/>
    <s v=""/>
    <n v="2"/>
    <n v="0"/>
    <n v="4"/>
    <n v="27"/>
    <s v="1104802000753"/>
    <s v="4802013114"/>
    <s v="ООО ФОНДИТАЛЬ"/>
    <s v="399071, ЛИПЕЦКАЯ ОБЛАСТЬ, ГРЯЗИНСКИЙ РАЙОН, Г.ГРЯЗИ, ТЕР.ОЭЗ ППТ ЛИПЕЦК, СТРОЕ"/>
    <s v="42000"/>
    <s v="480201001"/>
    <s v="1104802000753"/>
    <s v="4802013114"/>
    <s v="ООО ФОНДИТАЛЬ"/>
    <s v="399071, ЛИПЕЦКАЯ ОБЛАСТЬ, ГРЯЗИНСКИЙ РАЙОН, Г.ГРЯЗИ, ТЕР.ОЭЗ ППТ ЛИПЕЦК, СТРОЕ"/>
    <s v="42000"/>
    <s v="480201001"/>
    <s v="IT"/>
    <s v="ИТАЛИЯ"/>
    <n v="7949885.6799999904"/>
    <s v="1104802000753"/>
    <s v="4802013114"/>
    <s v="ООО ФОНДИТАЛЬ"/>
    <s v="399071, ЛИПЕЦКАЯ ОБЛАСТЬ, ГРЯЗИНСКИЙ РАЙОН, Г.ГРЯЗИ, ТЕР.ОЭЗ ППТ ЛИПЕЦК, СТРОЕ"/>
    <s v="42000"/>
    <s v="480201001"/>
    <s v="IT"/>
    <s v="ИТАЛИЯ"/>
    <x v="0"/>
    <s v="RU"/>
    <s v="РОССИЯ"/>
    <n v="2"/>
    <s v="0"/>
    <s v="FCA"/>
    <s v="ВОБАРНО"/>
    <n v="1"/>
    <s v="EUR"/>
    <n v="110602.6"/>
    <n v="7607225"/>
    <n v="123048.39"/>
    <n v="68.779799999999895"/>
    <s v="010"/>
    <s v="31"/>
    <s v="22080014/2216/0000/2/1"/>
    <s v="-"/>
    <s v="80"/>
    <s v=""/>
    <s v="38"/>
    <s v=""/>
    <s v="ЛИПЕЦКАЯ ОБЛАСТЬ, ГРЯЗИНСКИЙ РАЙОН"/>
    <s v="С. КАЗИНКА"/>
    <s v="ОЭЗ ППТ ЛИПЕЦК"/>
    <s v="10104120 т/п Липецкий"/>
    <n v="2"/>
    <s v="КОТЛЫ ГАЗОВЫЕ ЦЕНТРАЛЬНОГО ОТОПЛЕНИЯ, ПРЕДНАЗНАЧЕНЫ ДЛЯ ОТОПЛЕНИЕ И ГОРЯЧЕГО ВОДОСНАБЖЕНИЯ ЖИЛЫХ ПОМЕЩЕНИЙ. ВЫПОЛНЕНЫ ИЗ СТАЛИ. ПРЕДСТАВЛЯЕТ СОБОЙ НАПОЛЬНЫЙ /НАСТЕННЫЙ ОДНОКОНТУРНЫЙ КОТЕЛ ТОЛЬКО ДЛЯ ОТОПЛЕНИЯ.С ЭЛЕКТРОННЫМ ПОДЖИГОМ И КОНТРОЛЕМ"/>
    <x v="0"/>
    <m/>
    <s v="FONDITAL S.P.A."/>
    <n v="24"/>
    <n v="0"/>
    <n v="86"/>
    <s v="ШТ"/>
    <n v="0"/>
    <m/>
    <s v="2"/>
    <s v="8403101000"/>
    <s v=""/>
    <s v=""/>
    <s v="IT"/>
    <n v="16889.8"/>
    <s v="ОООО-ОО"/>
    <n v="4000000"/>
    <n v="15338"/>
    <n v="0"/>
    <s v=""/>
    <s v=""/>
    <n v="90188"/>
    <n v="6203113"/>
    <n v="0"/>
    <n v="1"/>
    <n v="6497303.75"/>
    <n v="100565.31"/>
    <s v="10"/>
    <n v="6.5566000000000004"/>
    <m/>
    <m/>
    <m/>
    <s v="ПРИХОДЬКО МАРИНА АЛЕКСАНДРОВНА"/>
    <n v="257"/>
    <m/>
  </r>
  <r>
    <s v="1"/>
    <d v="2023-07-05T00:00:00"/>
    <x v="0"/>
    <s v="10131010/191222/3546106"/>
    <s v="10131010"/>
    <s v="3546106"/>
    <x v="0"/>
    <s v="40"/>
    <s v=""/>
    <s v=""/>
    <s v=""/>
    <s v="FONDITAL S.P.A."/>
    <s v="25079, BS, VOBARNO, VIA CERRETO, 40"/>
    <s v=""/>
    <s v=""/>
    <n v="2"/>
    <n v="0"/>
    <n v="4"/>
    <n v="27"/>
    <s v="1104802000753"/>
    <s v="4802013114"/>
    <s v="ООО ФОНДИТАЛЬ"/>
    <s v="399071, ЛИПЕЦКАЯ ОБЛАСТЬ, ГРЯЗИНСКИЙ РАЙОН, Г.ГРЯЗИ, ТЕР.ОЭЗ ППТ ЛИПЕЦК, СТРОЕ"/>
    <s v="42000"/>
    <s v="480201001"/>
    <s v="1104802000753"/>
    <s v="4802013114"/>
    <s v="ООО ФОНДИТАЛЬ"/>
    <s v="399071, ЛИПЕЦКАЯ ОБЛАСТЬ, ГРЯЗИНСКИЙ РАЙОН, Г.ГРЯЗИ, ТЕР.ОЭЗ ППТ ЛИПЕЦК, СТРОЕ"/>
    <s v="42000"/>
    <s v="480201001"/>
    <s v="IT"/>
    <s v="ИТАЛИЯ"/>
    <n v="7949885.6799999904"/>
    <s v="1104802000753"/>
    <s v="4802013114"/>
    <s v="ООО ФОНДИТАЛЬ"/>
    <s v="399071, ЛИПЕЦКАЯ ОБЛАСТЬ, ГРЯЗИНСКИЙ РАЙОН, Г.ГРЯЗИ, ТЕР.ОЭЗ ППТ ЛИПЕЦК, СТРОЕ"/>
    <s v="42000"/>
    <s v="480201001"/>
    <s v="IT"/>
    <s v="ИТАЛИЯ"/>
    <x v="0"/>
    <s v="RU"/>
    <s v="РОССИЯ"/>
    <n v="2"/>
    <s v="0"/>
    <s v="FCA"/>
    <s v="ВОБАРНО"/>
    <n v="1"/>
    <s v="EUR"/>
    <n v="110602.6"/>
    <n v="7607225"/>
    <n v="123048.39"/>
    <n v="68.779799999999895"/>
    <s v="010"/>
    <s v="31"/>
    <s v="22080014/2216/0000/2/1"/>
    <s v="-"/>
    <s v="80"/>
    <s v=""/>
    <s v="38"/>
    <s v=""/>
    <s v="ЛИПЕЦКАЯ ОБЛАСТЬ, ГРЯЗИНСКИЙ РАЙОН"/>
    <s v="С. КАЗИНКА"/>
    <s v="ОЭЗ ППТ ЛИПЕЦК"/>
    <s v="10104120 т/п Липецкий"/>
    <n v="2"/>
    <s v="КОТЛЫ ГАЗОВЫЕ ЦЕНТРАЛЬНОГО ОТОПЛЕНИЯ, ПРЕДНАЗНАЧЕНЫ ДЛЯ ОТОПЛЕНИЯ И ГОРЯЧЕГО ВОДОСНАБЖЕНИЯ ЖИЛЫХ ПОМЕЩЕНИЙ ОБЛАСТЬ ПРИМЕНЕНИЯ: ДЛЯ ПРИМЕНЕНИЯ В СИСТЕМАХ ОТОПЛЕНИЯ И НАГРЕВА ВОДЫ ЖИЛЫХ, ПРОМЫШЛЕННЫХ И ОБЩЕСТВЕННЫХ ЗДАНИЙ. ПРИНЦИП РАБОТЫ: РАБОТАЕТ"/>
    <x v="0"/>
    <m/>
    <s v="FONDITAL S.P.A."/>
    <n v="1"/>
    <n v="0"/>
    <n v="5"/>
    <s v="ШТ"/>
    <n v="0"/>
    <m/>
    <s v="3"/>
    <s v="8403109000"/>
    <s v=""/>
    <s v=""/>
    <s v="IT"/>
    <n v="189"/>
    <s v="ОООО-ОО"/>
    <n v="4000000"/>
    <n v="169"/>
    <n v="0"/>
    <s v=""/>
    <s v=""/>
    <n v="3307"/>
    <n v="227455"/>
    <n v="0"/>
    <n v="1"/>
    <n v="230884.85"/>
    <n v="3573.64"/>
    <s v="10"/>
    <n v="21.145800000000001"/>
    <m/>
    <m/>
    <m/>
    <s v="ПРИХОДЬКО МАРИНА АЛЕКСАНДРОВНА"/>
    <n v="257"/>
    <m/>
  </r>
  <r>
    <s v="1"/>
    <d v="2023-02-07T00:00:00"/>
    <x v="12"/>
    <s v="10131010/191222/3545723"/>
    <s v="10131010"/>
    <s v="3545723"/>
    <x v="0"/>
    <s v="40"/>
    <s v=""/>
    <s v=""/>
    <s v=""/>
    <s v="I.VAR. INDUSTRY S.R.L."/>
    <s v="37060, , TREVENZUOLO (VR), VIA S.PIERINO N.4,"/>
    <s v=""/>
    <s v=""/>
    <n v="1"/>
    <n v="0"/>
    <n v="1"/>
    <n v="22"/>
    <s v="1037739409146"/>
    <s v="7707236490"/>
    <s v="ООО ТЕПЛОТРАНССЕРВИС"/>
    <s v="119296, МОСКОВСКАЯ ОБЛАСТЬ, Г. МОСКВА, УЛ. МОЛОДЕЖНАЯ, Д.5, К.21,"/>
    <s v="45000"/>
    <s v="773601001"/>
    <s v="1037739409146"/>
    <s v="7707236490"/>
    <s v="ООО ТЕПЛОТРАНССЕРВИС"/>
    <s v="119296, МОСКОВСКАЯ ОБЛАСТЬ, Г. МОСКВА, УЛ. МОЛОДЕЖНАЯ, Д.5, К.21,"/>
    <s v="45000"/>
    <s v="773601001"/>
    <s v="IT"/>
    <s v="ИТАЛИЯ"/>
    <n v="2925067.33"/>
    <s v="1037739409146"/>
    <s v="7707236490"/>
    <s v="ООО ТЕПЛОТРАНССЕРВИС"/>
    <s v="119296, МОСКОВСКАЯ ОБЛАСТЬ, Г. МОСКВА, УЛ. МОЛОДЕЖНАЯ, Д.5, К.21,"/>
    <s v="45000"/>
    <s v="773601001"/>
    <s v="IT"/>
    <s v="ИТАЛИЯ"/>
    <x v="0"/>
    <s v="RU"/>
    <s v="РОССИЯ"/>
    <n v="2"/>
    <s v="0"/>
    <s v="DAP"/>
    <s v="ТУЛА"/>
    <n v="1"/>
    <s v="EUR"/>
    <n v="42528"/>
    <n v="2925067"/>
    <n v="45274.21"/>
    <n v="68.779799999999895"/>
    <s v="010"/>
    <s v="31"/>
    <s v="20020005/2879/0000/9/1"/>
    <s v="-"/>
    <s v="99"/>
    <s v=""/>
    <s v=""/>
    <s v=""/>
    <s v="БРЯНСКАЯ ОБЛ., БРЯНСКИЙ Р-Н"/>
    <s v="П. СВЕНЬ"/>
    <s v="УЛ. СОБОРНАЯ, 21"/>
    <s v="10102032 ОТО и ТК №2 т/п Брянский"/>
    <n v="1"/>
    <s v="СТАЛЬНЫЕ КОТЛЫ ЯВЛЯЮТСЯ ВЫСОКОПРОИЗВОДИТЕЛЬНЫМИ ГЕНЕРАТОРАМИ ТЕПЛА ДЛЯ СИСТЕМ ОБОГРЕВА НА ГОРЯЧЕЙ ВОДЕ С ТЕМПЕРАТУРОЙ ДО 120°C"/>
    <x v="0"/>
    <m/>
    <s v="I.VAR INDUSTRY S.R.L."/>
    <n v="22"/>
    <n v="0"/>
    <n v="11"/>
    <s v="ШТ"/>
    <n v="0"/>
    <m/>
    <s v="1"/>
    <s v="8403109000"/>
    <s v=""/>
    <s v=""/>
    <s v="IT"/>
    <n v="14348"/>
    <s v="ОООО-ОО"/>
    <n v="4000000"/>
    <n v="14156"/>
    <n v="0"/>
    <s v=""/>
    <s v=""/>
    <n v="42528"/>
    <n v="2925067"/>
    <n v="0"/>
    <n v="1"/>
    <n v="2925067.33"/>
    <n v="45274.21"/>
    <s v="10"/>
    <n v="3.1981999999999999"/>
    <m/>
    <m/>
    <m/>
    <s v="ГОЛОЩАПОВА ИРИНА АЛЕКСАНДРОВНА"/>
    <n v="257"/>
    <m/>
  </r>
  <r>
    <s v="1"/>
    <d v="2023-01-20T00:00:00"/>
    <x v="5"/>
    <s v="10131010/191023/5035308"/>
    <s v="10131010"/>
    <s v="503530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74258.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319.69"/>
    <m/>
    <m/>
    <n v="102.905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408.23"/>
    <s v="ОООО-ОО"/>
    <n v="4000000"/>
    <n v="16343.43"/>
    <n v="0"/>
    <s v=""/>
    <s v=""/>
    <n v="45319.69"/>
    <m/>
    <n v="0"/>
    <n v="1"/>
    <n v="5074258.03"/>
    <n v="52111.87"/>
    <s v="10"/>
    <n v="52135.541700000002"/>
    <n v="3.19"/>
    <n v="45"/>
    <m/>
    <s v="ЯШИНА"/>
    <n v="108"/>
    <m/>
  </r>
  <r>
    <s v="1"/>
    <d v="2023-12-08T00:00:00"/>
    <x v="10"/>
    <s v="10131010/191023/5035308"/>
    <s v="10131010"/>
    <s v="503530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74258.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319.69"/>
    <m/>
    <m/>
    <n v="102.905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408.23"/>
    <s v="ОООО-ОО"/>
    <n v="4000000"/>
    <n v="16343.43"/>
    <n v="0"/>
    <s v=""/>
    <s v=""/>
    <n v="45319.69"/>
    <m/>
    <n v="0"/>
    <n v="1"/>
    <n v="5074258.03"/>
    <n v="52111.87"/>
    <s v="10"/>
    <n v="52135.541700000002"/>
    <n v="3.19"/>
    <n v="45"/>
    <m/>
    <s v="ЯШИНА"/>
    <n v="108"/>
    <m/>
  </r>
  <r>
    <s v="1"/>
    <d v="2023-01-07T00:00:00"/>
    <x v="5"/>
    <s v="10131010/191023/3350100"/>
    <s v="10131010"/>
    <s v="335010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53278.5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285.25"/>
    <m/>
    <m/>
    <n v="102.905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4659.37"/>
    <s v="ОООО-ОО"/>
    <n v="4000000"/>
    <n v="14370.77"/>
    <n v="0"/>
    <s v=""/>
    <s v=""/>
    <n v="39285.25"/>
    <m/>
    <n v="0"/>
    <n v="1"/>
    <n v="4453278.55"/>
    <n v="45734.51"/>
    <s v="10"/>
    <n v="45699.048600000002"/>
    <n v="3.18"/>
    <n v="45"/>
    <m/>
    <s v="ДРУЗЯГИНА"/>
    <n v="243"/>
    <m/>
  </r>
  <r>
    <s v="1"/>
    <d v="2023-03-09T00:00:00"/>
    <x v="2"/>
    <s v="10131010/191023/3350100"/>
    <s v="10131010"/>
    <s v="335010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53278.5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285.25"/>
    <m/>
    <m/>
    <n v="102.905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4659.37"/>
    <s v="ОООО-ОО"/>
    <n v="4000000"/>
    <n v="14370.77"/>
    <n v="0"/>
    <s v=""/>
    <s v=""/>
    <n v="39285.25"/>
    <m/>
    <n v="0"/>
    <n v="1"/>
    <n v="4453278.55"/>
    <n v="45734.51"/>
    <s v="10"/>
    <n v="45699.048600000002"/>
    <n v="3.18"/>
    <n v="45"/>
    <m/>
    <s v="ДРУЗЯГИНА"/>
    <n v="243"/>
    <m/>
  </r>
  <r>
    <s v="1"/>
    <d v="2023-08-15T00:00:00"/>
    <x v="8"/>
    <s v="10131010/191023/3349355"/>
    <s v="10131010"/>
    <s v="334935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227953.13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283.24"/>
    <m/>
    <m/>
    <n v="102.905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4795.47"/>
    <s v="ОООО-ОО"/>
    <n v="4000000"/>
    <n v="14529.07"/>
    <n v="0"/>
    <s v=""/>
    <s v=""/>
    <n v="46283.24"/>
    <m/>
    <n v="0"/>
    <n v="1"/>
    <n v="5227953.1399999997"/>
    <n v="53690.3"/>
    <s v="10"/>
    <n v="53757.559000000001"/>
    <n v="3.7"/>
    <n v="45"/>
    <m/>
    <s v="ЧУДИНА"/>
    <n v="42"/>
    <m/>
  </r>
  <r>
    <s v="1"/>
    <d v="2023-12-18T00:00:00"/>
    <x v="10"/>
    <s v="10131010/191023/3349355"/>
    <s v="10131010"/>
    <s v="334935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227953.13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283.24"/>
    <m/>
    <m/>
    <n v="102.905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4795.47"/>
    <s v="ОООО-ОО"/>
    <n v="4000000"/>
    <n v="14529.07"/>
    <n v="0"/>
    <s v=""/>
    <s v=""/>
    <n v="46283.24"/>
    <m/>
    <n v="0"/>
    <n v="1"/>
    <n v="5227953.1399999997"/>
    <n v="53690.3"/>
    <s v="10"/>
    <n v="53757.559000000001"/>
    <n v="3.7"/>
    <n v="45"/>
    <m/>
    <s v="ЧУДИНА"/>
    <n v="42"/>
    <m/>
  </r>
  <r>
    <s v="1"/>
    <d v="2023-07-19T00:00:00"/>
    <x v="0"/>
    <s v="10131010/190723/3255537"/>
    <s v="10131010"/>
    <s v="3255537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165742.2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501.08"/>
    <n v="4744370"/>
    <n v="56960.06"/>
    <n v="102.027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P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133.86"/>
    <s v="ОООО-ОО"/>
    <n v="4000000"/>
    <n v="17133.86"/>
    <n v="0"/>
    <s v=""/>
    <s v=""/>
    <n v="46501.08"/>
    <n v="4744370"/>
    <n v="0"/>
    <n v="1"/>
    <n v="5165742.26"/>
    <n v="56960.06"/>
    <s v="10"/>
    <n v="56884.415199999996"/>
    <n v="3.32"/>
    <n v="45"/>
    <s v="2022/09 БР"/>
    <s v="ЯШИНА АННА СЕРГЕЕВНА"/>
    <n v="9"/>
    <m/>
  </r>
  <r>
    <s v="1"/>
    <d v="2023-09-01T00:00:00"/>
    <x v="4"/>
    <s v="10131010/190723/3255457"/>
    <s v="10131010"/>
    <s v="3255457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183198.0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672.17"/>
    <n v="4761826"/>
    <n v="57152.54"/>
    <n v="102.027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113.47"/>
    <s v="ОООО-ОО"/>
    <n v="4000000"/>
    <n v="17113.47"/>
    <n v="0"/>
    <s v=""/>
    <s v=""/>
    <n v="46672.17"/>
    <n v="4761826"/>
    <n v="0"/>
    <n v="1"/>
    <n v="5183198.08"/>
    <n v="57152.54"/>
    <s v="10"/>
    <n v="57158.989800000003"/>
    <n v="3.34"/>
    <n v="45"/>
    <s v="2022/09 БР"/>
    <s v="БЛАГОНРАВОВА ДАРЬЯ ДМИТРИЕВНА"/>
    <n v="152"/>
    <m/>
  </r>
  <r>
    <s v="1"/>
    <d v="2023-05-05T00:00:00"/>
    <x v="9"/>
    <s v="10131010/190723/3255293"/>
    <s v="10131010"/>
    <s v="3255293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23427.0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145.94"/>
    <n v="4402055"/>
    <n v="53185.52"/>
    <n v="102.027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TЕ:"/>
    <x v="1"/>
    <m/>
    <s v="UNITED PETFOOD PRODUCERS NV"/>
    <n v="33"/>
    <n v="0"/>
    <n v="0"/>
    <m/>
    <n v="0"/>
    <m/>
    <s v="1"/>
    <s v="2309101100"/>
    <s v=""/>
    <s v=""/>
    <s v="BE"/>
    <n v="16592.060000000001"/>
    <s v="ОООО-ОО"/>
    <n v="4000000"/>
    <n v="16556.060000000001"/>
    <n v="0"/>
    <s v=""/>
    <s v=""/>
    <n v="43145.94"/>
    <n v="4402055"/>
    <n v="0"/>
    <n v="1"/>
    <n v="4823427.05"/>
    <n v="53185.52"/>
    <s v="10"/>
    <n v="53144.952600000004"/>
    <n v="3.21"/>
    <n v="45"/>
    <s v="2022/09 БР"/>
    <s v="ДРУЗЯГИНА ИРИНА НИКОЛАЕВНА"/>
    <n v="80"/>
    <m/>
  </r>
  <r>
    <s v="1"/>
    <d v="2023-09-11T00:00:00"/>
    <x v="4"/>
    <s v="10131010/190723/3255268"/>
    <s v="10131010"/>
    <s v="3255268"/>
    <x v="0"/>
    <s v="40"/>
    <s v=""/>
    <s v=""/>
    <s v=""/>
    <s v="UNITED PETFOOD PRODUCERS"/>
    <s v="9042, , GHENT, TERDONKKAAI 16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50120.09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487.040000000001"/>
    <n v="4028748"/>
    <n v="49069.25"/>
    <n v="102.027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C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57.650000000001"/>
    <s v="ОООО-ОО"/>
    <n v="4000000"/>
    <n v="16444.849999999999"/>
    <n v="0"/>
    <s v=""/>
    <s v=""/>
    <n v="39487.040000000001"/>
    <n v="4028748"/>
    <n v="0"/>
    <n v="1"/>
    <n v="4450120.0999999996"/>
    <n v="49069.25"/>
    <s v="10"/>
    <n v="49005.652999999998"/>
    <n v="2.98"/>
    <n v="45"/>
    <s v="2022/09 БР"/>
    <s v="ЧУДИНА ЭЛЬВИРА РАИСОВНА"/>
    <n v="127"/>
    <m/>
  </r>
  <r>
    <s v="1"/>
    <d v="2023-12-15T00:00:00"/>
    <x v="10"/>
    <s v="10131010/190623/3219178"/>
    <s v="10131010"/>
    <s v="3219178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32620.7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361.06"/>
    <n v="3790034"/>
    <n v="50599.29"/>
    <n v="91.6329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CОРТИМЕНТЕ"/>
    <x v="1"/>
    <m/>
    <s v="UNITED PETFOOD PRODUCERS NV"/>
    <n v="33"/>
    <n v="0"/>
    <n v="0"/>
    <m/>
    <n v="0"/>
    <m/>
    <s v="1"/>
    <s v="2309101100"/>
    <s v=""/>
    <s v=""/>
    <s v="BE"/>
    <n v="16788.03"/>
    <s v="ОООО-ОО"/>
    <n v="4000000"/>
    <n v="16770.03"/>
    <n v="0"/>
    <s v=""/>
    <s v=""/>
    <n v="41361.06"/>
    <n v="3790034"/>
    <n v="0"/>
    <n v="1"/>
    <n v="4232620.78"/>
    <n v="50599.29"/>
    <s v="10"/>
    <n v="50645.490599999997"/>
    <n v="3.02"/>
    <n v="45"/>
    <s v="2022/09 БР"/>
    <s v="БЛАГОНРАВОВА ДАРЬЯ ДМИТРИЕВНА"/>
    <n v="115"/>
    <m/>
  </r>
  <r>
    <s v="1"/>
    <d v="2023-11-08T00:00:00"/>
    <x v="7"/>
    <s v="10131010/190623/3219159"/>
    <s v="10131010"/>
    <s v="3219159"/>
    <x v="0"/>
    <s v="40"/>
    <s v=""/>
    <s v=""/>
    <s v=""/>
    <s v="UNITED PETFOOD PRODUCERS NV"/>
    <s v="9400, , ERPE-MERE, EVENBROEKVELD 1, ,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26890.1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387.21"/>
    <n v="3700797"/>
    <n v="49335.33"/>
    <n v="91.63290000000000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,РАСФАСОВАННЫЙ ДЛЯ РОЗНИЧНОЙ ПРОДАЖИ,БЕЗ СОДЕРЖАНИЯ КРАХМАЛА,БЕЗ СОДЕРЖАНИЯ МОЛОЧНЫХ ПРОДУКТОВ,В АССОРТИМЕНТЕ:"/>
    <x v="1"/>
    <m/>
    <s v="UNITED PETFOOD PRODUCERS NV"/>
    <n v="33"/>
    <n v="0"/>
    <n v="0"/>
    <m/>
    <n v="0"/>
    <m/>
    <s v="1"/>
    <s v="2309101100"/>
    <s v=""/>
    <s v=""/>
    <s v="BE"/>
    <n v="16645.86"/>
    <s v="ОООО-ОО"/>
    <n v="4000000"/>
    <n v="16537.86"/>
    <n v="0"/>
    <s v=""/>
    <s v=""/>
    <n v="40387.21"/>
    <n v="3700797"/>
    <n v="0"/>
    <n v="1"/>
    <n v="4126890.17"/>
    <n v="49335.33"/>
    <s v="10"/>
    <n v="49282.822800000002"/>
    <n v="2.98"/>
    <n v="45"/>
    <s v="2022/09 БР"/>
    <s v="ОСИПОВА ТАТЬЯНА ВЛАДИМИРОВНА"/>
    <n v="117"/>
    <m/>
  </r>
  <r>
    <s v="1"/>
    <d v="2023-11-27T00:00:00"/>
    <x v="7"/>
    <s v="10131010/190523/3179187"/>
    <s v="10131010"/>
    <s v="3179187"/>
    <x v="0"/>
    <s v="40"/>
    <s v=""/>
    <s v=""/>
    <s v=""/>
    <s v="UNITED PETFOOD PRODUCERS NV"/>
    <s v="9400, , ERPE-MERE, EVENBROEKVELD 1, ,,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07965.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6426.199999999997"/>
    <n v="3150735"/>
    <n v="43829.51"/>
    <n v="86.4963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63.849999999999"/>
    <s v="ОООО-ОО"/>
    <n v="4000000"/>
    <n v="16434.25"/>
    <n v="0"/>
    <s v=""/>
    <s v=""/>
    <n v="36426.199999999997"/>
    <n v="3150735"/>
    <n v="0"/>
    <n v="1"/>
    <n v="3507965.3"/>
    <n v="43829.51"/>
    <s v="10"/>
    <n v="43830.144749999999"/>
    <n v="2.6669999999999998"/>
    <n v="45"/>
    <s v="2022/09 БР"/>
    <s v="ОСИПОВА ТАТЬЯНА ВЛАДИМИРОВНА"/>
    <n v="340"/>
    <m/>
  </r>
  <r>
    <s v="1"/>
    <d v="2023-01-10T00:00:00"/>
    <x v="5"/>
    <s v="10131010/190423/3138359"/>
    <s v="10131010"/>
    <s v="3138359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89361.7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537.68"/>
    <n v="3899727"/>
    <n v="52563.9"/>
    <n v="89.5712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284.56"/>
    <s v="ОООО-ОО"/>
    <n v="4000000"/>
    <n v="16162.16"/>
    <n v="0"/>
    <s v=""/>
    <s v=""/>
    <n v="43537.68"/>
    <n v="3899727"/>
    <n v="0"/>
    <n v="1"/>
    <n v="4289361.76"/>
    <n v="52563.9"/>
    <s v="10"/>
    <n v="52564.192967999996"/>
    <n v="3.2523"/>
    <n v="45"/>
    <s v="2022/09 БР"/>
    <s v="ДРУЗЯГИНА ИРИНА НИКОЛАЕВНА"/>
    <n v="324"/>
    <m/>
  </r>
  <r>
    <s v="1"/>
    <d v="2023-01-07T00:00:00"/>
    <x v="5"/>
    <s v="10131010/190423/3138295"/>
    <s v="10131010"/>
    <s v="3138295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83238.0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818.6"/>
    <n v="4193603"/>
    <n v="56165.21"/>
    <n v="89.5712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83.32"/>
    <s v="ОООО-ОО"/>
    <n v="4000000"/>
    <n v="16783.32"/>
    <n v="0"/>
    <s v=""/>
    <s v=""/>
    <n v="46818.6"/>
    <n v="4193603"/>
    <n v="0"/>
    <n v="1"/>
    <n v="4583238.03"/>
    <n v="56165.21"/>
    <s v="10"/>
    <n v="56165.380379999995"/>
    <n v="3.3464999999999998"/>
    <n v="45"/>
    <s v="2022/09 БР"/>
    <s v="ЧУДИНА ЭЛЬВИРА РАИСОВНА"/>
    <n v="301"/>
    <m/>
  </r>
  <r>
    <s v="1"/>
    <d v="2023-07-22T00:00:00"/>
    <x v="0"/>
    <s v="10131010/190423/3137569"/>
    <s v="10131010"/>
    <s v="3137569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28741.69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360.9"/>
    <n v="3794321"/>
    <n v="51821.04"/>
    <n v="89.5712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400.509999999998"/>
    <s v="ОООО-ОО"/>
    <n v="4000000"/>
    <n v="16400.509999999998"/>
    <n v="0"/>
    <s v=""/>
    <s v=""/>
    <n v="42360.9"/>
    <n v="3794321"/>
    <n v="0"/>
    <n v="1"/>
    <n v="4228741.6900000004"/>
    <n v="51821.04"/>
    <s v="10"/>
    <n v="51820.691446999997"/>
    <n v="3.1597"/>
    <n v="45"/>
    <s v="2022/09 БР"/>
    <s v="ДРУЗЯГИНА ИРИНА НИКОЛАЕВНА"/>
    <n v="129"/>
    <m/>
  </r>
  <r>
    <s v="1"/>
    <d v="2022-12-19T00:00:00"/>
    <x v="6"/>
    <s v="10131010/190123/3017686"/>
    <s v="10131010"/>
    <s v="3017686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32080.72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2565.08"/>
    <n v="3174853"/>
    <n v="49832.160000000003"/>
    <n v="74.588200000000001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139.62"/>
    <s v="ОООО-ОО"/>
    <n v="4000000"/>
    <n v="17139.62"/>
    <n v="0"/>
    <s v=""/>
    <s v=""/>
    <n v="42565.08"/>
    <n v="3174853"/>
    <n v="0"/>
    <n v="1"/>
    <n v="3432080.72"/>
    <n v="49832.160000000003"/>
    <s v="10"/>
    <n v="49831.731187999998"/>
    <n v="2.9074"/>
    <n v="941"/>
    <s v="0770/СПБ/329"/>
    <s v="ДАШКИН АЛЕКСЕЙ ХАЛИМОВИЧ"/>
    <n v="549"/>
    <m/>
  </r>
  <r>
    <s v="1"/>
    <d v="2023-10-03T00:00:00"/>
    <x v="1"/>
    <s v="10131010/181223/3413636"/>
    <s v="10131010"/>
    <s v="341363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150671.5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483.65"/>
    <m/>
    <m/>
    <n v="98.418599999999998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62.259999999998"/>
    <s v="ОООО-ОО"/>
    <n v="4000000"/>
    <n v="16461.46"/>
    <n v="0"/>
    <s v=""/>
    <s v=""/>
    <n v="37483.65"/>
    <m/>
    <n v="0"/>
    <n v="1"/>
    <n v="4150671.59"/>
    <n v="46274.57"/>
    <s v="10"/>
    <n v="46256.702599999997"/>
    <n v="2.81"/>
    <n v="45"/>
    <m/>
    <s v="ЧУДИНА"/>
    <n v="317"/>
    <m/>
  </r>
  <r>
    <s v="1"/>
    <d v="2023-10-15T00:00:00"/>
    <x v="1"/>
    <s v="10131010/181223/3413632"/>
    <s v="10131010"/>
    <s v="341363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56682.7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309"/>
    <m/>
    <m/>
    <n v="98.418599999999998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64.580000000002"/>
    <s v="ОООО-ОО"/>
    <n v="4000000"/>
    <n v="16560.18"/>
    <n v="0"/>
    <s v=""/>
    <s v=""/>
    <n v="42309"/>
    <m/>
    <n v="0"/>
    <n v="1"/>
    <n v="4556682.76"/>
    <n v="50801.06"/>
    <s v="10"/>
    <n v="50839.7526"/>
    <n v="3.07"/>
    <n v="45"/>
    <m/>
    <s v="ДРУЗЯГИНА"/>
    <n v="163"/>
    <m/>
  </r>
  <r>
    <s v="1"/>
    <d v="2022-05-14T00:00:00"/>
    <x v="6"/>
    <s v="10131010/181223/3413517"/>
    <s v="10131010"/>
    <s v="341351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68259.9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912.7"/>
    <m/>
    <m/>
    <n v="98.418599999999998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40.919999999998"/>
    <s v="ОООО-ОО"/>
    <n v="4000000"/>
    <n v="16486.919999999998"/>
    <n v="0"/>
    <s v=""/>
    <s v=""/>
    <n v="42912.7"/>
    <m/>
    <n v="0"/>
    <n v="1"/>
    <n v="4668259.93"/>
    <n v="52045"/>
    <s v="10"/>
    <n v="52098.667199999996"/>
    <n v="3.16"/>
    <n v="45"/>
    <m/>
    <s v="ЧУДИНА"/>
    <n v="36"/>
    <m/>
  </r>
  <r>
    <s v="1"/>
    <d v="2023-04-23T00:00:00"/>
    <x v="3"/>
    <s v="10131010/181223/3413511"/>
    <s v="10131010"/>
    <s v="341351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74457.5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441.4"/>
    <m/>
    <m/>
    <n v="98.418599999999998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900.36"/>
    <s v="ОООО-ОО"/>
    <n v="4000000"/>
    <n v="15619.56"/>
    <n v="0"/>
    <s v=""/>
    <s v=""/>
    <n v="39441.4"/>
    <m/>
    <n v="0"/>
    <n v="1"/>
    <n v="4274457.58"/>
    <n v="47654.62"/>
    <s v="10"/>
    <n v="47639.657999999996"/>
    <n v="3.05"/>
    <n v="45"/>
    <m/>
    <s v="ДРУЗЯГИНА"/>
    <n v="52"/>
    <m/>
  </r>
  <r>
    <s v="1"/>
    <d v="2023-07-31T00:00:00"/>
    <x v="0"/>
    <s v="10131010/181223/3413509"/>
    <s v="10131010"/>
    <s v="341350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42556.5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149.4"/>
    <m/>
    <m/>
    <n v="98.418599999999998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26.04"/>
    <s v="ОООО-ОО"/>
    <n v="4000000"/>
    <n v="16398.84"/>
    <n v="0"/>
    <s v=""/>
    <s v=""/>
    <n v="41149.4"/>
    <m/>
    <n v="0"/>
    <n v="1"/>
    <n v="4442556.55"/>
    <n v="49528.71"/>
    <s v="10"/>
    <n v="49524.496800000001"/>
    <n v="3.02"/>
    <n v="45"/>
    <m/>
    <s v="ЧУДИНА"/>
    <n v="567"/>
    <m/>
  </r>
  <r>
    <s v="1"/>
    <d v="2023-09-09T00:00:00"/>
    <x v="4"/>
    <s v="10131010/181223/3413190"/>
    <s v="10131010"/>
    <s v="341319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60715.3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382.11"/>
    <m/>
    <m/>
    <n v="98.418599999999998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92.02"/>
    <s v="ОООО-ОО"/>
    <n v="4000000"/>
    <n v="15540.02"/>
    <n v="0"/>
    <s v=""/>
    <s v=""/>
    <n v="44382.11"/>
    <m/>
    <n v="0"/>
    <n v="1"/>
    <n v="4760715.34"/>
    <n v="53075.76"/>
    <s v="10"/>
    <n v="53146.868399999999"/>
    <n v="3.42"/>
    <n v="45"/>
    <m/>
    <s v="ЧУДИНА"/>
    <n v="70"/>
    <m/>
  </r>
  <r>
    <s v="1"/>
    <d v="2023-07-18T00:00:00"/>
    <x v="0"/>
    <s v="10131010/181223/3412954"/>
    <s v="10131010"/>
    <s v="341295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29780.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586"/>
    <m/>
    <m/>
    <n v="98.418599999999998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329.9"/>
    <s v="ОООО-ОО"/>
    <n v="4000000"/>
    <n v="16257.9"/>
    <n v="0"/>
    <s v=""/>
    <s v=""/>
    <n v="46586"/>
    <m/>
    <n v="0"/>
    <n v="1"/>
    <n v="5029780.97"/>
    <n v="56075.49"/>
    <s v="10"/>
    <n v="56089.755000000005"/>
    <n v="3.45"/>
    <n v="45"/>
    <m/>
    <s v="ДРУЗЯГИНА"/>
    <n v="163"/>
    <m/>
  </r>
  <r>
    <s v="1"/>
    <d v="2022-04-04T00:00:00"/>
    <x v="6"/>
    <s v="10131010/181223/3412887"/>
    <s v="10131010"/>
    <s v="341288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110527.6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775.760000000002"/>
    <m/>
    <m/>
    <n v="98.418599999999998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353.91"/>
    <s v="ОООО-ОО"/>
    <n v="4000000"/>
    <n v="17353.91"/>
    <n v="0"/>
    <s v=""/>
    <s v=""/>
    <n v="37775.760000000002"/>
    <m/>
    <n v="0"/>
    <n v="1"/>
    <n v="4110527.62"/>
    <n v="45827.02"/>
    <s v="10"/>
    <n v="45814.322400000005"/>
    <n v="2.64"/>
    <n v="45"/>
    <m/>
    <s v="ДРУЗЯГИНА"/>
    <n v="212"/>
    <m/>
  </r>
  <r>
    <s v="1"/>
    <d v="2022-11-23T00:00:00"/>
    <x v="6"/>
    <s v="10131010/181223/3412883"/>
    <s v="10131010"/>
    <s v="341288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56629.9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340.6"/>
    <m/>
    <m/>
    <n v="98.418599999999998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952.400000000001"/>
    <s v="ОООО-ОО"/>
    <n v="4000000"/>
    <n v="16909.2"/>
    <n v="0"/>
    <s v=""/>
    <s v=""/>
    <n v="44340.6"/>
    <m/>
    <n v="0"/>
    <n v="1"/>
    <n v="4756629.99"/>
    <n v="53030.22"/>
    <s v="10"/>
    <n v="53094.888000000006"/>
    <n v="3.14"/>
    <n v="45"/>
    <m/>
    <s v="ЧУДИНА"/>
    <n v="571"/>
    <m/>
  </r>
  <r>
    <s v="1"/>
    <d v="2023-03-06T00:00:00"/>
    <x v="2"/>
    <s v="10131010/181223/3412864"/>
    <s v="10131010"/>
    <s v="341286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44257.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700.959999999999"/>
    <m/>
    <m/>
    <n v="98.418599999999998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779.21"/>
    <s v="ОООО-ОО"/>
    <n v="4000000"/>
    <n v="16779.21"/>
    <n v="0"/>
    <s v=""/>
    <s v=""/>
    <n v="44700.959999999999"/>
    <m/>
    <n v="0"/>
    <n v="1"/>
    <n v="4844257.97"/>
    <n v="54007.15"/>
    <s v="10"/>
    <n v="54029.056199999999"/>
    <n v="3.22"/>
    <n v="45"/>
    <m/>
    <s v="ДРУЗЯГИНА"/>
    <n v="212"/>
    <m/>
  </r>
  <r>
    <s v="1"/>
    <d v="2023-11-10T00:00:00"/>
    <x v="7"/>
    <s v="10131010/181223/3412816"/>
    <s v="10131010"/>
    <s v="341281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19427.7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962.6"/>
    <m/>
    <m/>
    <n v="98.418599999999998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329.259999999998"/>
    <s v="ОООО-ОО"/>
    <n v="4000000"/>
    <n v="17329.259999999998"/>
    <n v="0"/>
    <s v=""/>
    <s v=""/>
    <n v="43962.6"/>
    <m/>
    <n v="0"/>
    <n v="1"/>
    <n v="4719427.75"/>
    <n v="52615.46"/>
    <s v="10"/>
    <n v="52680.950399999994"/>
    <n v="3.04"/>
    <n v="45"/>
    <m/>
    <s v="ДРУЗЯГИНА"/>
    <n v="552"/>
    <m/>
  </r>
  <r>
    <s v="1"/>
    <d v="2023-12-05T00:00:00"/>
    <x v="10"/>
    <s v="10131010/181222/3544468"/>
    <s v="10131010"/>
    <s v="3544468"/>
    <x v="0"/>
    <s v="40"/>
    <s v=""/>
    <s v=""/>
    <s v=""/>
    <s v="BDR THERMEA FRANCE S.A.S."/>
    <s v="67580, MERTZWILLER, B.P.30, 57 RUE DE LA GARE,"/>
    <s v=""/>
    <s v=""/>
    <n v="10"/>
    <n v="0"/>
    <n v="26"/>
    <n v="38"/>
    <s v="1087746423005"/>
    <s v="7717615508"/>
    <s v="ООО БДР ТЕРМИЯ РУС"/>
    <s v="129164, ГОРОД, МОСКВА, ЗУБАРЕВ ПЕРЕУЛОК, ДОМ 15, КОРПУС 1, ЭТ.3, ПОМ.1, КОМ.67Г"/>
    <s v="45000"/>
    <s v="771701001"/>
    <s v="1087746423005"/>
    <s v="7717615508"/>
    <s v="ООО БДР ТЕРМИЯ РУС"/>
    <s v="129164, ГОРОД, МОСКВА, ЗУБАРЕВ ПЕРЕУЛОК, ДОМ 15, КОРПУС 1, ЭТ.3, ПОМ.1, КОМ.67Г"/>
    <s v="45000"/>
    <s v="771701001"/>
    <s v="FR"/>
    <s v="ФРАНЦИЯ"/>
    <n v="8655996.2699999902"/>
    <s v="1087746423005"/>
    <s v="7717615508"/>
    <s v="ООО БДР ТЕРМИЯ РУС"/>
    <s v="129164, ГОРОД, МОСКВА, ЗУБАРЕВ ПЕРЕУЛОК, ДОМ 15, КОРПУС 1, ЭТ.3, ПОМ.1, КОМ.67Г"/>
    <s v="45000"/>
    <s v="771701001"/>
    <s v="FR"/>
    <s v="ФРАНЦИЯ"/>
    <x v="6"/>
    <s v="RU"/>
    <s v="РОССИЯ"/>
    <n v="2"/>
    <s v="0"/>
    <s v="FCA"/>
    <s v="MERTZWILLER"/>
    <n v="1"/>
    <s v="EUR"/>
    <n v="120750.85"/>
    <n v="8305219"/>
    <n v="133977.56"/>
    <n v="68.779799999999895"/>
    <s v="010"/>
    <s v=""/>
    <s v="16120140/0001/0000/2/1"/>
    <s v="-"/>
    <s v="99"/>
    <s v=""/>
    <s v=""/>
    <s v=""/>
    <s v="СМОЛЕНСКАЯ ОБЛ."/>
    <s v="Г. РОСЛАВЛЬ"/>
    <s v="УЛ. КАРЛА МАРКСА, Д. 166"/>
    <s v="10113050 т/п Рославльский"/>
    <n v="1"/>
    <s v="КОТЛЫ ЦЕНТРАЛЬНОГО ОТОПЛЕНИЯ НЕ ИЗ ЧУГУННОГО ЛИТЬЯ, НЕВОЕННОГО НАЗНАЧЕНИЯ, АССОРТИМЕНТ"/>
    <x v="0"/>
    <m/>
    <s v="BDR THERMEA FRANCE S.A.S"/>
    <n v="32"/>
    <n v="0"/>
    <n v="97"/>
    <s v="ШТ"/>
    <n v="0"/>
    <m/>
    <s v="1"/>
    <s v="8403109000"/>
    <s v=""/>
    <s v=""/>
    <s v="FR"/>
    <n v="8084.2"/>
    <s v="ОООО-ОО"/>
    <n v="4000000"/>
    <n v="7393.1"/>
    <n v="0"/>
    <s v=""/>
    <s v=""/>
    <n v="112401.24"/>
    <n v="7730935"/>
    <n v="0"/>
    <n v="1"/>
    <n v="8058068.7300000004"/>
    <n v="124722.85"/>
    <s v="10"/>
    <n v="16.870200000000001"/>
    <n v="1053"/>
    <s v="0719/00-16-055"/>
    <m/>
    <s v="БЫКОВА ЛЮБОВЬ АЛЕКСАНДРОВНА"/>
    <n v="138"/>
    <m/>
  </r>
  <r>
    <s v="1"/>
    <d v="2023-01-14T00:00:00"/>
    <x v="5"/>
    <s v="10131010/181222/3544440"/>
    <s v="10131010"/>
    <s v="3544440"/>
    <x v="0"/>
    <s v="40"/>
    <s v=""/>
    <s v=""/>
    <s v=""/>
    <s v="BDR THERMEA FRANCE S.A.S."/>
    <s v="67580, MERTZWILLER, B.P.30, 57 RUE DE LA GARE,"/>
    <s v=""/>
    <s v=""/>
    <n v="4"/>
    <n v="0"/>
    <n v="10"/>
    <n v="26"/>
    <s v="1087746423005"/>
    <s v="7717615508"/>
    <s v="ООО БДР ТЕРМИЯ РУС"/>
    <s v="129164, ГОРОД, МОСКВА, ЗУБАРЕВ ПЕРЕУЛОК, ДОМ 15, КОРПУС 1, ЭТ.3, ПОМ.1, КОМ.67Г"/>
    <s v="45000"/>
    <s v="771701001"/>
    <s v="1087746423005"/>
    <s v="7717615508"/>
    <s v="ООО БДР ТЕРМИЯ РУС"/>
    <s v="129164, ГОРОД, МОСКВА, ЗУБАРЕВ ПЕРЕУЛОК, ДОМ 15, КОРПУС 1, ЭТ.3, ПОМ.1, КОМ.67Г"/>
    <s v="45000"/>
    <s v="771701001"/>
    <s v="FR"/>
    <s v="ФРАНЦИЯ"/>
    <n v="5507373.9699999904"/>
    <s v="1087746423005"/>
    <s v="7717615508"/>
    <s v="ООО БДР ТЕРМИЯ РУС"/>
    <s v="129164, ГОРОД, МОСКВА, ЗУБАРЕВ ПЕРЕУЛОК, ДОМ 15, КОРПУС 1, ЭТ.3, ПОМ.1, КОМ.67Г"/>
    <s v="45000"/>
    <s v="771701001"/>
    <s v="FR"/>
    <s v="ФРАНЦИЯ"/>
    <x v="6"/>
    <s v="RU"/>
    <s v="РОССИЯ"/>
    <n v="2"/>
    <s v="0"/>
    <s v="FCA"/>
    <s v="MERTZWILLER"/>
    <n v="1"/>
    <s v="EUR"/>
    <n v="75032.55"/>
    <n v="5160724"/>
    <n v="85243.199999999895"/>
    <n v="68.779799999999895"/>
    <s v="010"/>
    <s v=""/>
    <s v="16120140/0001/0000/2/1"/>
    <s v="-"/>
    <s v="99"/>
    <s v=""/>
    <s v=""/>
    <s v=""/>
    <s v="СМОЛЕНСКАЯ ОБЛ."/>
    <s v="Г. РОСЛАВЛЬ"/>
    <s v="УЛ. КАРЛА МАРКСА, Д. 166"/>
    <s v="10113050 т/п Рославльский"/>
    <n v="1"/>
    <s v="КОТЛЫ ЦЕНТРАЛЬНОГО ОТОПЛЕНИЯ СТАЛЬНЫЕ, НЕВОЕННОГО НАЗНАЧЕНИЯ. ВЕС БРУТТО С ПОДДОНАМИ 5042.000 КГ. АССОРТИМЕНТ"/>
    <x v="0"/>
    <m/>
    <s v="BDR THERMEA FRANCE S.A.S"/>
    <n v="23"/>
    <n v="0"/>
    <n v="23"/>
    <s v="ШТ"/>
    <n v="0"/>
    <m/>
    <s v="1"/>
    <s v="8403109000"/>
    <s v=""/>
    <s v=""/>
    <s v="FR"/>
    <n v="5042"/>
    <s v="ОООО-ОО"/>
    <n v="4000000"/>
    <n v="4461"/>
    <n v="0"/>
    <s v=""/>
    <s v=""/>
    <n v="69433.61"/>
    <n v="4775630"/>
    <n v="0"/>
    <n v="1"/>
    <n v="5031157.08"/>
    <n v="77872.289999999906"/>
    <s v="10"/>
    <n v="17.456199999999999"/>
    <n v="1053"/>
    <s v="0719/00-16-055"/>
    <m/>
    <s v="БЫКОВА ЛЮБОВЬ АЛЕКСАНДРОВНА"/>
    <n v="0"/>
    <m/>
  </r>
  <r>
    <s v="1"/>
    <d v="2023-04-22T00:00:00"/>
    <x v="3"/>
    <s v="10131010/181023/3348987"/>
    <s v="10131010"/>
    <s v="334898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62028.4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247.4"/>
    <m/>
    <m/>
    <n v="102.7527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018.2"/>
    <s v="ОООО-ОО"/>
    <n v="4000000"/>
    <n v="15845.4"/>
    <n v="0"/>
    <s v=""/>
    <s v=""/>
    <n v="46247.4"/>
    <m/>
    <n v="0"/>
    <n v="1"/>
    <n v="5162028.49"/>
    <n v="53027.75"/>
    <s v="10"/>
    <n v="53082.090000000004"/>
    <n v="3.35"/>
    <n v="45"/>
    <m/>
    <s v="ОСИПОВА"/>
    <n v="314"/>
    <m/>
  </r>
  <r>
    <s v="1"/>
    <d v="2023-02-06T00:00:00"/>
    <x v="12"/>
    <s v="10131010/181023/3348987"/>
    <s v="10131010"/>
    <s v="334898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62028.4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247.4"/>
    <m/>
    <m/>
    <n v="102.7527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018.2"/>
    <s v="ОООО-ОО"/>
    <n v="4000000"/>
    <n v="15845.4"/>
    <n v="0"/>
    <s v=""/>
    <s v=""/>
    <n v="46247.4"/>
    <m/>
    <n v="0"/>
    <n v="1"/>
    <n v="5162028.49"/>
    <n v="53027.75"/>
    <s v="10"/>
    <n v="53082.090000000004"/>
    <n v="3.35"/>
    <n v="45"/>
    <m/>
    <s v="ОСИПОВА"/>
    <n v="314"/>
    <m/>
  </r>
  <r>
    <s v="1"/>
    <d v="2023-03-28T00:00:00"/>
    <x v="2"/>
    <s v="10131010/180923/3315875"/>
    <s v="10131010"/>
    <s v="331587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67955.4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262.6"/>
    <m/>
    <m/>
    <n v="103.0357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87.12"/>
    <s v="ОООО-ОО"/>
    <n v="4000000"/>
    <n v="16435.919999999998"/>
    <n v="0"/>
    <s v=""/>
    <s v=""/>
    <n v="38262.6"/>
    <m/>
    <n v="0"/>
    <n v="1"/>
    <n v="4367955.45"/>
    <n v="45201.11"/>
    <s v="10"/>
    <n v="45198.78"/>
    <n v="2.75"/>
    <n v="45"/>
    <m/>
    <s v="ЧУДИНА"/>
    <n v="65"/>
    <m/>
  </r>
  <r>
    <s v="1"/>
    <d v="2022-04-22T00:00:00"/>
    <x v="6"/>
    <s v="10131010/180923/3315875"/>
    <s v="10131010"/>
    <s v="331587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67955.4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262.6"/>
    <m/>
    <m/>
    <n v="103.0357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87.12"/>
    <s v="ОООО-ОО"/>
    <n v="4000000"/>
    <n v="16435.919999999998"/>
    <n v="0"/>
    <s v=""/>
    <s v=""/>
    <n v="38262.6"/>
    <m/>
    <n v="0"/>
    <n v="1"/>
    <n v="4367955.45"/>
    <n v="45201.11"/>
    <s v="10"/>
    <n v="45198.78"/>
    <n v="2.75"/>
    <n v="45"/>
    <m/>
    <s v="ЧУДИНА"/>
    <n v="65"/>
    <m/>
  </r>
  <r>
    <s v="1"/>
    <d v="2023-10-14T00:00:00"/>
    <x v="1"/>
    <s v="10131010/180923/3315814"/>
    <s v="10131010"/>
    <s v="331581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69981.26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105.48"/>
    <m/>
    <m/>
    <n v="103.0357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12.82"/>
    <s v="ОООО-ОО"/>
    <n v="4000000"/>
    <n v="16312.82"/>
    <n v="0"/>
    <s v=""/>
    <s v=""/>
    <n v="44105.48"/>
    <m/>
    <n v="0"/>
    <n v="1"/>
    <n v="4969981.2699999996"/>
    <n v="51431.09"/>
    <s v="10"/>
    <n v="51385.382999999994"/>
    <n v="3.15"/>
    <n v="45"/>
    <m/>
    <s v="ДРУЗЯГИНА"/>
    <n v="134"/>
    <m/>
  </r>
  <r>
    <s v="1"/>
    <d v="2023-08-30T00:00:00"/>
    <x v="8"/>
    <s v="10131010/180923/3315814"/>
    <s v="10131010"/>
    <s v="331581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69981.26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105.48"/>
    <m/>
    <m/>
    <n v="103.0357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12.82"/>
    <s v="ОООО-ОО"/>
    <n v="4000000"/>
    <n v="16312.82"/>
    <n v="0"/>
    <s v=""/>
    <s v=""/>
    <n v="44105.48"/>
    <m/>
    <n v="0"/>
    <n v="1"/>
    <n v="4969981.2699999996"/>
    <n v="51431.09"/>
    <s v="10"/>
    <n v="51385.382999999994"/>
    <n v="3.15"/>
    <n v="45"/>
    <m/>
    <s v="ДРУЗЯГИНА"/>
    <n v="134"/>
    <m/>
  </r>
  <r>
    <s v="1"/>
    <d v="2023-02-18T00:00:00"/>
    <x v="12"/>
    <s v="10131010/180923/3315595"/>
    <s v="10131010"/>
    <s v="331559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89907.1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564.04"/>
    <m/>
    <m/>
    <n v="103.0357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63.849999999999"/>
    <s v="ОООО-ОО"/>
    <n v="4000000"/>
    <n v="16434.25"/>
    <n v="0"/>
    <s v=""/>
    <s v=""/>
    <n v="35564.04"/>
    <m/>
    <n v="0"/>
    <n v="1"/>
    <n v="4089907.16"/>
    <n v="42323.77"/>
    <s v="10"/>
    <n v="42400.364999999998"/>
    <n v="2.58"/>
    <n v="45"/>
    <m/>
    <s v="ЧУДИНА"/>
    <n v="65"/>
    <m/>
  </r>
  <r>
    <s v="1"/>
    <d v="2023-09-01T00:00:00"/>
    <x v="4"/>
    <s v="10131010/180923/3315595"/>
    <s v="10131010"/>
    <s v="331559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89907.1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564.04"/>
    <m/>
    <m/>
    <n v="103.0357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63.849999999999"/>
    <s v="ОООО-ОО"/>
    <n v="4000000"/>
    <n v="16434.25"/>
    <n v="0"/>
    <s v=""/>
    <s v=""/>
    <n v="35564.04"/>
    <m/>
    <n v="0"/>
    <n v="1"/>
    <n v="4089907.16"/>
    <n v="42323.77"/>
    <s v="10"/>
    <n v="42400.364999999998"/>
    <n v="2.58"/>
    <n v="45"/>
    <m/>
    <s v="ЧУДИНА"/>
    <n v="65"/>
    <m/>
  </r>
  <r>
    <s v="1"/>
    <d v="2023-06-13T00:00:00"/>
    <x v="11"/>
    <s v="10131010/180923/3315321"/>
    <s v="10131010"/>
    <s v="331532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73660.6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141.19"/>
    <m/>
    <m/>
    <n v="103.0357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133.57"/>
    <s v="ОООО-ОО"/>
    <n v="4000000"/>
    <n v="17133.57"/>
    <n v="0"/>
    <s v=""/>
    <s v=""/>
    <n v="44141.19"/>
    <m/>
    <n v="0"/>
    <n v="1"/>
    <n v="4973660.67"/>
    <n v="51469.16"/>
    <s v="10"/>
    <n v="51400.71"/>
    <n v="3"/>
    <n v="45"/>
    <m/>
    <s v="ЧУДИНА"/>
    <n v="182"/>
    <m/>
  </r>
  <r>
    <s v="1"/>
    <d v="2023-05-26T00:00:00"/>
    <x v="9"/>
    <s v="10131010/180923/3314853"/>
    <s v="10131010"/>
    <s v="331485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27498.5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693.17"/>
    <m/>
    <m/>
    <n v="103.03579999999999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162.68"/>
    <s v="ОООО-ОО"/>
    <n v="4000000"/>
    <n v="16162.68"/>
    <n v="0"/>
    <s v=""/>
    <s v=""/>
    <n v="43693.17"/>
    <m/>
    <n v="0"/>
    <n v="1"/>
    <n v="4927498.58"/>
    <n v="50991.46"/>
    <s v="10"/>
    <n v="50912.442000000003"/>
    <n v="3.15"/>
    <n v="45"/>
    <m/>
    <s v="БЛАГОНРАВОВА"/>
    <n v="96"/>
    <m/>
  </r>
  <r>
    <s v="1"/>
    <d v="2023-12-14T00:00:00"/>
    <x v="10"/>
    <s v="10131010/180923/3314853"/>
    <s v="10131010"/>
    <s v="331485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27498.5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693.17"/>
    <m/>
    <m/>
    <n v="103.03579999999999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162.68"/>
    <s v="ОООО-ОО"/>
    <n v="4000000"/>
    <n v="16162.68"/>
    <n v="0"/>
    <s v=""/>
    <s v=""/>
    <n v="43693.17"/>
    <m/>
    <n v="0"/>
    <n v="1"/>
    <n v="4927498.58"/>
    <n v="50991.46"/>
    <s v="10"/>
    <n v="50912.442000000003"/>
    <n v="3.15"/>
    <n v="45"/>
    <m/>
    <s v="БЛАГОНРАВОВА"/>
    <n v="96"/>
    <m/>
  </r>
  <r>
    <s v="1"/>
    <d v="2023-03-15T00:00:00"/>
    <x v="2"/>
    <s v="10131010/180923/3314846"/>
    <s v="10131010"/>
    <s v="331484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89907.1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564.04"/>
    <m/>
    <m/>
    <n v="103.03579999999999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563.849999999999"/>
    <s v="ОООО-ОО"/>
    <n v="4000000"/>
    <n v="16434.25"/>
    <n v="0"/>
    <s v=""/>
    <s v=""/>
    <n v="35564.04"/>
    <m/>
    <n v="0"/>
    <n v="1"/>
    <n v="4089907.16"/>
    <n v="42323.77"/>
    <s v="10"/>
    <n v="42400.364999999998"/>
    <n v="2.58"/>
    <n v="45"/>
    <m/>
    <s v="ДРУЗЯГИНА"/>
    <n v="180"/>
    <m/>
  </r>
  <r>
    <s v="1"/>
    <d v="2023-12-29T00:00:00"/>
    <x v="10"/>
    <s v="10131010/180923/3314830"/>
    <s v="10131010"/>
    <s v="331483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85252.13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342.080000000002"/>
    <m/>
    <m/>
    <n v="103.03579999999999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976.88"/>
    <s v="ОООО-ОО"/>
    <n v="4000000"/>
    <n v="15804.08"/>
    <n v="0"/>
    <s v=""/>
    <s v=""/>
    <n v="41342.080000000002"/>
    <m/>
    <n v="0"/>
    <n v="1"/>
    <n v="4685252.1399999997"/>
    <n v="48484.61"/>
    <s v="10"/>
    <n v="48518.525600000001"/>
    <n v="3.07"/>
    <n v="45"/>
    <m/>
    <s v="ДРУЗЯГИНА"/>
    <n v="296"/>
    <m/>
  </r>
  <r>
    <s v="1"/>
    <d v="2023-06-04T00:00:00"/>
    <x v="11"/>
    <s v="10131010/180923/3314830"/>
    <s v="10131010"/>
    <s v="331483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85252.13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342.080000000002"/>
    <m/>
    <m/>
    <n v="103.03579999999999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976.88"/>
    <s v="ОООО-ОО"/>
    <n v="4000000"/>
    <n v="15804.08"/>
    <n v="0"/>
    <s v=""/>
    <s v=""/>
    <n v="41342.080000000002"/>
    <m/>
    <n v="0"/>
    <n v="1"/>
    <n v="4685252.1399999997"/>
    <n v="48484.61"/>
    <s v="10"/>
    <n v="48518.525600000001"/>
    <n v="3.07"/>
    <n v="45"/>
    <m/>
    <s v="ДРУЗЯГИНА"/>
    <n v="296"/>
    <m/>
  </r>
  <r>
    <s v="1"/>
    <d v="2023-01-25T00:00:00"/>
    <x v="5"/>
    <s v="10131010/180923/3314774"/>
    <s v="10131010"/>
    <s v="331477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68852.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182.92"/>
    <m/>
    <m/>
    <n v="103.0357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30.2"/>
    <s v="ОООО-ОО"/>
    <n v="4000000"/>
    <n v="16958.2"/>
    <n v="0"/>
    <s v=""/>
    <s v=""/>
    <n v="41182.92"/>
    <m/>
    <n v="0"/>
    <n v="1"/>
    <n v="4668852.96"/>
    <n v="48314.91"/>
    <s v="10"/>
    <n v="48330.87"/>
    <n v="2.85"/>
    <n v="45"/>
    <m/>
    <s v="ЯШИНА"/>
    <n v="182"/>
    <m/>
  </r>
  <r>
    <s v="1"/>
    <d v="2023-09-16T00:00:00"/>
    <x v="4"/>
    <s v="10131010/180923/3314774"/>
    <s v="10131010"/>
    <s v="331477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68852.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182.92"/>
    <m/>
    <m/>
    <n v="103.0357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30.2"/>
    <s v="ОООО-ОО"/>
    <n v="4000000"/>
    <n v="16958.2"/>
    <n v="0"/>
    <s v=""/>
    <s v=""/>
    <n v="41182.92"/>
    <m/>
    <n v="0"/>
    <n v="1"/>
    <n v="4668852.96"/>
    <n v="48314.91"/>
    <s v="10"/>
    <n v="48330.87"/>
    <n v="2.85"/>
    <n v="45"/>
    <m/>
    <s v="ЯШИНА"/>
    <n v="182"/>
    <m/>
  </r>
  <r>
    <s v="1"/>
    <d v="2022-09-14T00:00:00"/>
    <x v="6"/>
    <s v="10131010/180823/3286874"/>
    <s v="10131010"/>
    <s v="3286874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33422.8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3172.56"/>
    <m/>
    <m/>
    <n v="102.181"/>
    <s v=""/>
    <s v=""/>
    <s v=""/>
    <s v="-"/>
    <s v="11"/>
    <s v=""/>
    <s v=""/>
    <s v=""/>
    <s v=""/>
    <s v=""/>
    <s v="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452.89"/>
    <s v="ОООО-ОО"/>
    <n v="4000000"/>
    <n v="16258.49"/>
    <n v="0"/>
    <s v=""/>
    <s v=""/>
    <n v="43172.56"/>
    <m/>
    <n v="0"/>
    <n v="1"/>
    <n v="4833422.88"/>
    <n v="51558.71"/>
    <s v="10"/>
    <n v="51539.4133"/>
    <n v="3.17"/>
    <m/>
    <m/>
    <m/>
    <n v="314"/>
    <m/>
  </r>
  <r>
    <s v="1"/>
    <d v="2022-04-05T00:00:00"/>
    <x v="6"/>
    <s v="10131010/180823/3286658"/>
    <s v="10131010"/>
    <s v="3286658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88859.7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2736.44"/>
    <m/>
    <m/>
    <n v="102.18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7000.21"/>
    <s v="ОООО-ОО"/>
    <n v="4000000"/>
    <n v="16964.21"/>
    <n v="0"/>
    <s v=""/>
    <s v=""/>
    <n v="42736.44"/>
    <m/>
    <n v="0"/>
    <n v="1"/>
    <n v="4788859.71"/>
    <n v="51083.35"/>
    <s v="10"/>
    <n v="51062.272099999995"/>
    <n v="3.01"/>
    <m/>
    <m/>
    <m/>
    <n v="314"/>
    <m/>
  </r>
  <r>
    <s v="1"/>
    <d v="2022-02-14T00:00:00"/>
    <x v="6"/>
    <s v="10131010/180823/3286654"/>
    <s v="10131010"/>
    <s v="3286654"/>
    <x v="0"/>
    <s v="40"/>
    <s v=""/>
    <s v=""/>
    <s v=""/>
    <s v="UNITED PETFOOD PRODUCERS NV"/>
    <s v="9400, , ERPE-MERE, EVENBROEKVELD 1,"/>
    <s v=""/>
    <s v=""/>
    <m/>
    <m/>
    <n v="1"/>
    <n v="32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78055.5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3609.36"/>
    <m/>
    <m/>
    <n v="102.18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2"/>
    <n v="0"/>
    <n v="0"/>
    <m/>
    <m/>
    <m/>
    <s v="1"/>
    <s v="2309101100"/>
    <s v=""/>
    <s v=""/>
    <s v="BE"/>
    <n v="16131.93"/>
    <s v="ОООО-ОО"/>
    <n v="4000000"/>
    <n v="16002.33"/>
    <n v="0"/>
    <s v=""/>
    <s v=""/>
    <n v="43609.36"/>
    <m/>
    <n v="0"/>
    <n v="1"/>
    <n v="4878055.54"/>
    <n v="52034.81"/>
    <s v="10"/>
    <n v="52007.572500000002"/>
    <n v="3.25"/>
    <m/>
    <m/>
    <m/>
    <n v="257"/>
    <m/>
  </r>
  <r>
    <s v="1"/>
    <d v="2023-04-23T00:00:00"/>
    <x v="3"/>
    <s v="10131010/180823/3286606"/>
    <s v="10131010"/>
    <s v="3286606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05546.9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942.44"/>
    <m/>
    <m/>
    <n v="102.18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497.07"/>
    <s v="ОООО-ОО"/>
    <n v="4000000"/>
    <n v="16417.87"/>
    <n v="0"/>
    <s v=""/>
    <s v=""/>
    <n v="40942.44"/>
    <m/>
    <n v="0"/>
    <n v="1"/>
    <n v="4605546.99"/>
    <n v="49127.93"/>
    <s v="10"/>
    <n v="49089.431300000004"/>
    <n v="2.99"/>
    <m/>
    <m/>
    <m/>
    <n v="211"/>
    <m/>
  </r>
  <r>
    <s v="1"/>
    <d v="2022-09-11T00:00:00"/>
    <x v="6"/>
    <s v="10131010/180823/3286598"/>
    <s v="10131010"/>
    <s v="3286598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47887.6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2614.12"/>
    <m/>
    <m/>
    <n v="102.18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7131.34"/>
    <s v="ОООО-ОО"/>
    <n v="4000000"/>
    <n v="17109.740000000002"/>
    <n v="0"/>
    <s v=""/>
    <s v=""/>
    <n v="42614.12"/>
    <m/>
    <n v="0"/>
    <n v="1"/>
    <n v="4847887.63"/>
    <n v="51713.01"/>
    <s v="10"/>
    <n v="51671.414800000006"/>
    <n v="3.02"/>
    <m/>
    <m/>
    <m/>
    <n v="249"/>
    <m/>
  </r>
  <r>
    <s v="1"/>
    <d v="2023-09-03T00:00:00"/>
    <x v="4"/>
    <s v="10131010/180823/3286592"/>
    <s v="10131010"/>
    <s v="3286592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42081.2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2278.64"/>
    <m/>
    <m/>
    <n v="102.18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6665.29"/>
    <s v="ОООО-ОО"/>
    <n v="4000000"/>
    <n v="16577.689999999999"/>
    <n v="0"/>
    <s v=""/>
    <s v=""/>
    <n v="42278.64"/>
    <m/>
    <n v="0"/>
    <n v="1"/>
    <n v="4742081.24"/>
    <n v="50584.36"/>
    <s v="10"/>
    <n v="50561.954499999993"/>
    <n v="3.05"/>
    <m/>
    <m/>
    <m/>
    <n v="319"/>
    <m/>
  </r>
  <r>
    <s v="1"/>
    <d v="2023-01-27T00:00:00"/>
    <x v="5"/>
    <s v="10131010/180823/3286591"/>
    <s v="10131010"/>
    <s v="3286591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33117.9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2190.92"/>
    <m/>
    <m/>
    <n v="102.18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6726.919999999998"/>
    <s v="ОООО-ОО"/>
    <n v="4000000"/>
    <n v="16636.919999999998"/>
    <n v="0"/>
    <s v=""/>
    <s v=""/>
    <n v="42190.92"/>
    <m/>
    <n v="0"/>
    <n v="1"/>
    <n v="4733117.93"/>
    <n v="50488.75"/>
    <s v="10"/>
    <n v="50409.86759999999"/>
    <n v="3.03"/>
    <m/>
    <m/>
    <m/>
    <n v="300"/>
    <m/>
  </r>
  <r>
    <s v="1"/>
    <d v="2023-12-03T00:00:00"/>
    <x v="10"/>
    <s v="10131010/180723/3253943"/>
    <s v="10131010"/>
    <s v="3253943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05721.5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431.1"/>
    <n v="4414754"/>
    <n v="54253.81"/>
    <n v="101.6496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404.21"/>
    <s v="ОООО-ОО"/>
    <n v="4000000"/>
    <n v="15285.41"/>
    <n v="0"/>
    <s v=""/>
    <s v=""/>
    <n v="43431.1"/>
    <n v="4414754"/>
    <n v="0"/>
    <n v="1"/>
    <n v="4905721.51"/>
    <n v="54253.81"/>
    <s v="10"/>
    <n v="54263.205499999996"/>
    <n v="3.55"/>
    <n v="45"/>
    <s v="2022/09 БР"/>
    <s v="БЛАГОНРАВОВА ДАРЬЯ ДМИТРИЕВНА"/>
    <n v="172"/>
    <m/>
  </r>
  <r>
    <s v="1"/>
    <d v="2023-09-14T00:00:00"/>
    <x v="4"/>
    <s v="10131010/180523/3176968"/>
    <s v="10131010"/>
    <s v="3176968"/>
    <x v="0"/>
    <s v="40"/>
    <s v=""/>
    <s v=""/>
    <s v=""/>
    <s v="UNITED PETFOOD PRODUCERS NV"/>
    <s v="9400, , ERPE-MERE, EVENBROEKVELD 1, ,,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65685.860000000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862.76"/>
    <n v="4104002"/>
    <n v="55292.89"/>
    <n v="87.574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80.03"/>
    <s v="ОООО-ОО"/>
    <n v="4000000"/>
    <n v="16680.03"/>
    <n v="0"/>
    <s v=""/>
    <s v=""/>
    <n v="46862.76"/>
    <n v="4104002"/>
    <n v="0"/>
    <n v="1"/>
    <n v="4465685.8600000003"/>
    <n v="55292.89"/>
    <s v="10"/>
    <n v="55292.631447"/>
    <n v="3.3149000000000002"/>
    <n v="45"/>
    <s v="2022/09 БР"/>
    <s v="ЯШИНА АННА СЕРГЕЕВНА"/>
    <n v="249"/>
    <m/>
  </r>
  <r>
    <s v="1"/>
    <d v="2023-06-28T00:00:00"/>
    <x v="11"/>
    <s v="10131010/180523/3176956"/>
    <s v="10131010"/>
    <s v="3176956"/>
    <x v="0"/>
    <s v="40"/>
    <s v=""/>
    <s v=""/>
    <s v=""/>
    <s v="UNITED PETFOOD PRODUCERS NV"/>
    <s v="9400, , ERPE-MERE, EVENBROEKVELD 1, ,,...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08772.6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071"/>
    <n v="3947088"/>
    <n v="53350.03"/>
    <n v="87.574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8"/>
    <n v="0"/>
    <n v="0"/>
    <m/>
    <n v="0"/>
    <m/>
    <s v="1"/>
    <s v="2309101100"/>
    <s v=""/>
    <s v=""/>
    <s v="BE"/>
    <n v="18268.8"/>
    <s v="ОООО-ОО"/>
    <n v="4000000"/>
    <n v="17998.8"/>
    <n v="0"/>
    <s v=""/>
    <s v=""/>
    <n v="45071"/>
    <n v="3947088"/>
    <n v="0"/>
    <n v="1"/>
    <n v="4308772.66"/>
    <n v="53350.03"/>
    <s v="10"/>
    <n v="53350.24308"/>
    <n v="2.9641000000000002"/>
    <n v="45"/>
    <s v="2022/09 БР"/>
    <s v="ОСИПОВА ТАТЬЯНА ВЛАДИМИРОВНА"/>
    <n v="70"/>
    <m/>
  </r>
  <r>
    <s v="1"/>
    <d v="2023-03-22T00:00:00"/>
    <x v="2"/>
    <s v="10131010/180523/3176393"/>
    <s v="10131010"/>
    <s v="3176393"/>
    <x v="0"/>
    <s v="40"/>
    <s v=""/>
    <s v=""/>
    <s v=""/>
    <s v="UNITED PETFOOD PRODUCERS NV"/>
    <s v="9400, , ERPE-MERE, EVENBROEKVELD 1, ,,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86878.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111.599999999999"/>
    <n v="3425194"/>
    <n v="46888.09"/>
    <n v="87.574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990.41"/>
    <s v="ОООО-ОО"/>
    <n v="4000000"/>
    <n v="16990.41"/>
    <n v="0"/>
    <s v=""/>
    <s v=""/>
    <n v="39111.599999999999"/>
    <n v="3425194"/>
    <n v="0"/>
    <n v="1"/>
    <n v="3786878.8"/>
    <n v="46888.09"/>
    <s v="10"/>
    <n v="46888.434477000003"/>
    <n v="2.7597"/>
    <n v="45"/>
    <s v="2022/09 БР"/>
    <s v="ЧУДИНА ЭЛЬВИРА РАИСОВНА"/>
    <n v="248"/>
    <m/>
  </r>
  <r>
    <s v="1"/>
    <d v="2023-03-14T00:00:00"/>
    <x v="2"/>
    <s v="10131010/180423/3135951"/>
    <s v="10131010"/>
    <s v="3135951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42420.2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582.62"/>
    <n v="3907574"/>
    <n v="53197.75"/>
    <n v="89.6590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544.88"/>
    <s v="ОООО-ОО"/>
    <n v="4000000"/>
    <n v="16544.88"/>
    <n v="0"/>
    <s v=""/>
    <s v=""/>
    <n v="43582.62"/>
    <n v="3907574"/>
    <n v="0"/>
    <n v="1"/>
    <n v="4342420.28"/>
    <n v="53197.75"/>
    <s v="10"/>
    <n v="53198.407152"/>
    <n v="3.2153999999999998"/>
    <n v="45"/>
    <s v="2022/09 БР"/>
    <s v="ДРУЗЯГИНА ИРИНА НИКОЛАЕВНА"/>
    <n v="9"/>
    <m/>
  </r>
  <r>
    <s v="1"/>
    <d v="2022-09-28T00:00:00"/>
    <x v="6"/>
    <s v="10131010/180123/3017012"/>
    <s v="10131010"/>
    <s v="3017012"/>
    <x v="0"/>
    <s v="40"/>
    <s v=""/>
    <s v=""/>
    <s v=""/>
    <s v="WELLPET BELGIUM BVBA"/>
    <s v="1831, ., DIEGEM, LEONARDO DA VINCILAAN, 19"/>
    <s v=""/>
    <s v=""/>
    <n v="1"/>
    <n v="0"/>
    <n v="1"/>
    <n v="33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n v="3724377.86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6490.11"/>
    <n v="3452569"/>
    <n v="54240.3"/>
    <n v="74.264600000000002"/>
    <s v="010"/>
    <s v="31"/>
    <s v="18090220/1481/1948/2/1"/>
    <s v="-"/>
    <s v="99"/>
    <s v=""/>
    <s v="."/>
    <s v=""/>
    <s v="СМОЛЕНСКАЯ ОБЛАСТЬ,СМОЛЕНСКИЙ Р-Н"/>
    <s v="СЕЛЬСКОЕ ПОСЕЛЕНИЕ СТАБНИНСКОЕ"/>
    <s v="СЕВЕРО-ВОСТОЧНЕЕ Д. СТАБНА,НА РАССТОЯНИИ 700 МЕТРО"/>
    <s v="10113100 т/п Стабнинский"/>
    <n v="1"/>
    <s v="СУХОЙ КОРМ ДЛЯ КОШЕК И СОБАК Т.М. &quot;WELLNESS CORE&quot;, РАСФАСОВАННЫЙ ДЛЯ РОЗНИЧНОЙ ПРОДАЖИ В ИНДИВИДУАЛЬНУЮ УПАКОВКУ, СОДЕРЖИТ 10 МАС.% ИЛИ МЕНЕЕ КРАХМАЛА, НЕ СОДЕРЖИТ ГЛЮКОЗУ, МОЛОЧНЫЕ ПРОДУКТЫ И МАЛЬТОДЕКСТРИН"/>
    <x v="1"/>
    <m/>
    <s v="UNITED PETFOOD FRANCE-UPF"/>
    <n v="33"/>
    <n v="0"/>
    <n v="0"/>
    <m/>
    <n v="0"/>
    <m/>
    <s v="1"/>
    <s v="2309101100"/>
    <s v=""/>
    <s v=""/>
    <s v="FR"/>
    <n v="15339.52"/>
    <s v="ОООО-ОО"/>
    <n v="4000000"/>
    <n v="15263.8"/>
    <n v="0"/>
    <s v=""/>
    <s v=""/>
    <n v="46490.11"/>
    <n v="3452569"/>
    <n v="0"/>
    <n v="1"/>
    <n v="3724377.86"/>
    <n v="54240.3"/>
    <s v="10"/>
    <n v="54239.9133"/>
    <n v="3.5535000000000001"/>
    <n v="941"/>
    <s v="0770/СПБ/161"/>
    <s v="ДАШКИН АЛЕКСЕЙ ХАЛИМОВИЧ"/>
    <n v="152"/>
    <m/>
  </r>
  <r>
    <s v="1"/>
    <d v="2023-06-16T00:00:00"/>
    <x v="11"/>
    <s v="10131010/171123/3380583"/>
    <s v="10131010"/>
    <s v="338058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65216.7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643.4"/>
    <m/>
    <m/>
    <n v="96.592100000000002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788.5"/>
    <s v="ОООО-ОО"/>
    <n v="4000000"/>
    <n v="15601.3"/>
    <n v="0"/>
    <s v=""/>
    <s v=""/>
    <n v="44643.4"/>
    <m/>
    <n v="0"/>
    <n v="1"/>
    <n v="4765216.71"/>
    <n v="53573.91"/>
    <s v="10"/>
    <n v="53512.459000000003"/>
    <n v="3.43"/>
    <n v="45"/>
    <m/>
    <s v="БЛАГОНРАВОВА"/>
    <n v="593"/>
    <m/>
  </r>
  <r>
    <s v="1"/>
    <d v="2023-08-03T00:00:00"/>
    <x v="8"/>
    <s v="10131010/171123/3380482"/>
    <s v="10131010"/>
    <s v="338048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01048.3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219.64"/>
    <m/>
    <m/>
    <n v="96.592100000000002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722.900000000001"/>
    <s v="ОООО-ОО"/>
    <n v="4000000"/>
    <n v="16668.900000000001"/>
    <n v="0"/>
    <s v=""/>
    <s v=""/>
    <n v="46219.64"/>
    <m/>
    <n v="0"/>
    <n v="1"/>
    <n v="4901048.38"/>
    <n v="55101.02"/>
    <s v="10"/>
    <n v="55174.059000000008"/>
    <n v="3.31"/>
    <n v="45"/>
    <m/>
    <s v="ЧУДИНА"/>
    <n v="124"/>
    <m/>
  </r>
  <r>
    <s v="1"/>
    <d v="2023-07-12T00:00:00"/>
    <x v="0"/>
    <s v="10131010/171023/5034665"/>
    <s v="10131010"/>
    <s v="5034665"/>
    <x v="0"/>
    <s v="40"/>
    <s v=""/>
    <s v=""/>
    <s v=""/>
    <s v="UNITED PETFOOD PRODUCERS"/>
    <s v="9042, , GHENT, TERDONKKAAI 16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62070.4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435.58"/>
    <m/>
    <m/>
    <n v="102.52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140.6"/>
    <s v="ОООО-ОО"/>
    <n v="4000000"/>
    <n v="15967.8"/>
    <n v="0"/>
    <s v=""/>
    <s v=""/>
    <n v="43435.58"/>
    <m/>
    <n v="0"/>
    <n v="1"/>
    <n v="4862070.46"/>
    <n v="49976.83"/>
    <s v="10"/>
    <n v="49979.213999999993"/>
    <n v="3.13"/>
    <n v="45"/>
    <m/>
    <s v="ЧУДИНА"/>
    <n v="278"/>
    <m/>
  </r>
  <r>
    <s v="1"/>
    <d v="2022-01-10T00:00:00"/>
    <x v="6"/>
    <s v="10131010/171023/5034665"/>
    <s v="10131010"/>
    <s v="5034665"/>
    <x v="0"/>
    <s v="40"/>
    <s v=""/>
    <s v=""/>
    <s v=""/>
    <s v="UNITED PETFOOD PRODUCERS"/>
    <s v="9042, , GHENT, TERDONKKAAI 16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62070.4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435.58"/>
    <m/>
    <m/>
    <n v="102.52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140.6"/>
    <s v="ОООО-ОО"/>
    <n v="4000000"/>
    <n v="15967.8"/>
    <n v="0"/>
    <s v=""/>
    <s v=""/>
    <n v="43435.58"/>
    <m/>
    <n v="0"/>
    <n v="1"/>
    <n v="4862070.46"/>
    <n v="49976.83"/>
    <s v="10"/>
    <n v="49979.213999999993"/>
    <n v="3.13"/>
    <n v="45"/>
    <m/>
    <s v="ЧУДИНА"/>
    <n v="278"/>
    <m/>
  </r>
  <r>
    <s v="1"/>
    <d v="2023-09-19T00:00:00"/>
    <x v="4"/>
    <s v="10131010/171023/3347528"/>
    <s v="10131010"/>
    <s v="334752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66893.05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758.04"/>
    <m/>
    <m/>
    <n v="102.52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4825.84"/>
    <s v="ОООО-ОО"/>
    <n v="4000000"/>
    <n v="14577.44"/>
    <n v="0"/>
    <s v=""/>
    <s v=""/>
    <n v="43758.04"/>
    <m/>
    <n v="0"/>
    <n v="1"/>
    <n v="4966893.0599999996"/>
    <n v="51054.29"/>
    <s v="10"/>
    <n v="51021.04"/>
    <n v="3.5"/>
    <n v="45"/>
    <m/>
    <s v="БЛАГОНРАВОВА"/>
    <n v="109"/>
    <m/>
  </r>
  <r>
    <s v="1"/>
    <d v="2023-01-16T00:00:00"/>
    <x v="5"/>
    <s v="10131010/171023/3347528"/>
    <s v="10131010"/>
    <s v="334752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66893.05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758.04"/>
    <m/>
    <m/>
    <n v="102.52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4825.84"/>
    <s v="ОООО-ОО"/>
    <n v="4000000"/>
    <n v="14577.44"/>
    <n v="0"/>
    <s v=""/>
    <s v=""/>
    <n v="43758.04"/>
    <m/>
    <n v="0"/>
    <n v="1"/>
    <n v="4966893.0599999996"/>
    <n v="51054.29"/>
    <s v="10"/>
    <n v="51021.04"/>
    <n v="3.5"/>
    <n v="45"/>
    <m/>
    <s v="БЛАГОНРАВОВА"/>
    <n v="109"/>
    <m/>
  </r>
  <r>
    <s v="1"/>
    <d v="2023-06-19T00:00:00"/>
    <x v="11"/>
    <s v="10131010/170823/3285351"/>
    <s v="10131010"/>
    <s v="3285351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54072.0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1810.879999999997"/>
    <m/>
    <m/>
    <n v="105.659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m/>
    <m/>
    <s v="1"/>
    <s v="2309101100"/>
    <s v=""/>
    <s v=""/>
    <s v="BE"/>
    <n v="16711.599999999999"/>
    <s v="ОООО-ОО"/>
    <n v="4000000"/>
    <n v="16621.599999999999"/>
    <n v="0"/>
    <s v=""/>
    <s v=""/>
    <n v="41810.879999999997"/>
    <m/>
    <n v="0"/>
    <n v="1"/>
    <n v="4854072.03"/>
    <n v="50194.89"/>
    <s v="10"/>
    <n v="50197.231999999996"/>
    <n v="3.02"/>
    <m/>
    <m/>
    <m/>
    <n v="547"/>
    <m/>
  </r>
  <r>
    <s v="1"/>
    <d v="2023-03-16T00:00:00"/>
    <x v="2"/>
    <s v="10131010/170823/3285290"/>
    <s v="10131010"/>
    <s v="3285290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035925.0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3532.01"/>
    <m/>
    <m/>
    <n v="105.659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BE"/>
    <n v="16081.35"/>
    <s v="ОООО-ОО"/>
    <n v="4000000"/>
    <n v="15951.76"/>
    <n v="0"/>
    <s v=""/>
    <s v=""/>
    <n v="43532.01"/>
    <m/>
    <n v="0"/>
    <n v="1"/>
    <n v="5035925.08"/>
    <n v="52075.4"/>
    <s v="10"/>
    <n v="52002.7376"/>
    <n v="3.26"/>
    <m/>
    <m/>
    <m/>
    <n v="174"/>
    <m/>
  </r>
  <r>
    <s v="1"/>
    <d v="2023-06-20T00:00:00"/>
    <x v="11"/>
    <s v="10131010/170823/3285191"/>
    <s v="10131010"/>
    <s v="3285191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58163.15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1849.599999999999"/>
    <m/>
    <m/>
    <n v="105.659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5958.98"/>
    <s v="ОООО-ОО"/>
    <n v="4000000"/>
    <n v="15810.78"/>
    <n v="0"/>
    <s v=""/>
    <s v=""/>
    <n v="41849.599999999999"/>
    <m/>
    <n v="0"/>
    <n v="1"/>
    <n v="4858163.1500000004"/>
    <n v="50237.2"/>
    <s v="10"/>
    <n v="50278.280400000003"/>
    <n v="3.18"/>
    <m/>
    <m/>
    <m/>
    <n v="278"/>
    <m/>
  </r>
  <r>
    <s v="1"/>
    <d v="2023-12-15T00:00:00"/>
    <x v="10"/>
    <s v="10131010/170823/3285184"/>
    <s v="10131010"/>
    <s v="3285184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14859.8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2386.2"/>
    <m/>
    <m/>
    <n v="105.659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BE"/>
    <n v="16089.54"/>
    <s v="ОООО-ОО"/>
    <n v="4000000"/>
    <n v="15999.54"/>
    <n v="0"/>
    <s v=""/>
    <s v=""/>
    <n v="42386.2"/>
    <m/>
    <n v="0"/>
    <n v="1"/>
    <n v="4914859.82"/>
    <n v="50823.49"/>
    <s v="10"/>
    <n v="50878.537200000006"/>
    <n v="3.18"/>
    <m/>
    <m/>
    <m/>
    <n v="313"/>
    <m/>
  </r>
  <r>
    <s v="1"/>
    <d v="2023-07-24T00:00:00"/>
    <x v="0"/>
    <s v="10131010/170823/3285183"/>
    <s v="10131010"/>
    <s v="3285183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76962.0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561.08"/>
    <m/>
    <m/>
    <n v="105.659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m/>
    <m/>
    <s v="1"/>
    <s v="2309101100"/>
    <s v=""/>
    <s v=""/>
    <s v="BE"/>
    <n v="17219.650000000001"/>
    <s v="ОООО-ОО"/>
    <n v="4000000"/>
    <n v="17219.650000000001"/>
    <n v="0"/>
    <s v=""/>
    <s v=""/>
    <n v="40561.08"/>
    <m/>
    <n v="0"/>
    <n v="1"/>
    <n v="4776962.03"/>
    <n v="49397.52"/>
    <s v="10"/>
    <n v="49420.395500000006"/>
    <n v="2.87"/>
    <m/>
    <m/>
    <m/>
    <n v="182"/>
    <m/>
  </r>
  <r>
    <s v="1"/>
    <d v="2023-10-25T00:00:00"/>
    <x v="1"/>
    <s v="10131010/170823/3285181"/>
    <s v="10131010"/>
    <s v="3285181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369593.34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6169.98"/>
    <m/>
    <m/>
    <n v="105.659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7000.900000000001"/>
    <s v="ОООО-ОО"/>
    <n v="4000000"/>
    <n v="16947.5"/>
    <n v="0"/>
    <s v=""/>
    <s v=""/>
    <n v="46169.98"/>
    <m/>
    <n v="0"/>
    <n v="1"/>
    <n v="5369593.3499999996"/>
    <n v="55525.79"/>
    <s v="10"/>
    <n v="55587.799999999996"/>
    <n v="3.28"/>
    <m/>
    <m/>
    <m/>
    <n v="296"/>
    <m/>
  </r>
  <r>
    <s v="1"/>
    <d v="2023-05-10T00:00:00"/>
    <x v="9"/>
    <s v="10131010/170723/3253273"/>
    <s v="10131010"/>
    <s v="3253273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98630.26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767.67"/>
    <n v="4328054"/>
    <n v="53247.71"/>
    <n v="101.199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949.099999999999"/>
    <s v="ОООО-ОО"/>
    <n v="4000000"/>
    <n v="16869.89"/>
    <n v="0"/>
    <s v=""/>
    <s v=""/>
    <n v="42767.67"/>
    <n v="4328054"/>
    <n v="0"/>
    <n v="1"/>
    <n v="4798630.2699999996"/>
    <n v="53247.71"/>
    <s v="10"/>
    <n v="53308.852400000003"/>
    <n v="3.16"/>
    <n v="45"/>
    <s v="2022/09 БР"/>
    <s v="ОСИПОВА ТАТЬЯНА ВЛАДИМИРОВНА"/>
    <n v="212"/>
    <m/>
  </r>
  <r>
    <s v="1"/>
    <d v="2023-04-23T00:00:00"/>
    <x v="3"/>
    <s v="10131010/170723/3252221"/>
    <s v="10131010"/>
    <s v="3252221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11800.3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453.360000000001"/>
    <n v="4093848"/>
    <n v="50064.92"/>
    <n v="101.199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, РАСФАC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161.11"/>
    <s v="ОООО-ОО"/>
    <n v="4000000"/>
    <n v="15972.11"/>
    <n v="0"/>
    <s v=""/>
    <s v=""/>
    <n v="40453.360000000001"/>
    <n v="4093848"/>
    <n v="0"/>
    <n v="1"/>
    <n v="4511800.37"/>
    <n v="50064.92"/>
    <s v="10"/>
    <n v="49992.704299999998"/>
    <n v="3.13"/>
    <n v="45"/>
    <s v="2022/09 БР"/>
    <s v="ОСИПОВА ТАТЬЯНА ВЛАДИМИРОВНА"/>
    <n v="287"/>
    <m/>
  </r>
  <r>
    <s v="1"/>
    <d v="2023-05-25T00:00:00"/>
    <x v="9"/>
    <s v="10131010/170723/3252194"/>
    <s v="10131010"/>
    <s v="3252194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71764.9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022.2"/>
    <n v="4353812"/>
    <n v="52949.599999999999"/>
    <n v="101.199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618.32"/>
    <s v="ОООО-ОО"/>
    <n v="4000000"/>
    <n v="15345.92"/>
    <n v="0"/>
    <s v=""/>
    <s v=""/>
    <n v="43022.2"/>
    <n v="4353812"/>
    <n v="0"/>
    <n v="1"/>
    <n v="4771764.92"/>
    <n v="52949.599999999999"/>
    <s v="10"/>
    <n v="52943.424000000006"/>
    <n v="3.45"/>
    <n v="45"/>
    <s v="2022/09 БР"/>
    <s v="ЯШИНА АННА СЕРГЕЕВНА"/>
    <n v="314"/>
    <m/>
  </r>
  <r>
    <s v="1"/>
    <d v="2023-09-24T00:00:00"/>
    <x v="4"/>
    <s v="10131010/170723/3252189"/>
    <s v="10131010"/>
    <s v="3252189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34412.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653.1"/>
    <n v="4316460"/>
    <n v="52535.12"/>
    <n v="101.199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57.990000000002"/>
    <s v="ОООО-ОО"/>
    <n v="4000000"/>
    <n v="16771.59"/>
    <n v="0"/>
    <s v=""/>
    <s v=""/>
    <n v="42653.1"/>
    <n v="4316460"/>
    <n v="0"/>
    <n v="1"/>
    <n v="4734412.3"/>
    <n v="52535.12"/>
    <s v="10"/>
    <n v="52495.076699999998"/>
    <n v="3.13"/>
    <n v="45"/>
    <s v="2022/09 БР"/>
    <s v="ЧУДИНА ЭЛЬВИРА РАИСОВНА"/>
    <n v="583"/>
    <m/>
  </r>
  <r>
    <s v="1"/>
    <d v="2023-09-24T00:00:00"/>
    <x v="4"/>
    <s v="10131010/170723/3252027"/>
    <s v="10131010"/>
    <s v="3252027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38181.98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702.199999999997"/>
    <n v="4220229"/>
    <n v="51467.3"/>
    <n v="101.199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E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721.939999999999"/>
    <s v="ОООО-ОО"/>
    <n v="4000000"/>
    <n v="16613.939999999999"/>
    <n v="0"/>
    <s v=""/>
    <s v=""/>
    <n v="41702.199999999997"/>
    <n v="4220229"/>
    <n v="0"/>
    <n v="1"/>
    <n v="4638181.9800000004"/>
    <n v="51467.3"/>
    <s v="10"/>
    <n v="51503.214"/>
    <n v="3.1"/>
    <n v="45"/>
    <s v="2022/09 БР"/>
    <s v="БЛАГОНРАВОВА ДАРЬЯ ДМИТРИЕВНА"/>
    <n v="248"/>
    <m/>
  </r>
  <r>
    <s v="1"/>
    <d v="2023-08-12T00:00:00"/>
    <x v="8"/>
    <s v="10131010/170423/3134212"/>
    <s v="10131010"/>
    <s v="3134212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29263.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447.4"/>
    <n v="3737051"/>
    <n v="50663.01"/>
    <n v="90.1637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82.32"/>
    <s v="ОООО-ОО"/>
    <n v="4000000"/>
    <n v="16817.52"/>
    <n v="0"/>
    <s v=""/>
    <s v=""/>
    <n v="41447.4"/>
    <n v="3737051"/>
    <n v="0"/>
    <n v="1"/>
    <n v="4129263.04"/>
    <n v="50663.01"/>
    <s v="10"/>
    <n v="50662.779000000002"/>
    <n v="3.0125000000000002"/>
    <n v="45"/>
    <s v="2022/09 БР"/>
    <s v="ЧУДИНА ЭЛЬВИРА РАИСОВНА"/>
    <n v="174"/>
    <m/>
  </r>
  <r>
    <s v="1"/>
    <d v="2023-05-02T00:00:00"/>
    <x v="9"/>
    <s v="10131010/170423/3134187"/>
    <s v="10131010"/>
    <s v="3134187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10344.3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128.480000000003"/>
    <n v="3618132"/>
    <n v="49203.96"/>
    <n v="90.1637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562.48"/>
    <s v="ОООО-ОО"/>
    <n v="4000000"/>
    <n v="16497.68"/>
    <n v="0"/>
    <s v=""/>
    <s v=""/>
    <n v="40128.480000000003"/>
    <n v="3618132"/>
    <n v="0"/>
    <n v="1"/>
    <n v="4010344.33"/>
    <n v="49203.96"/>
    <s v="10"/>
    <n v="49204.330600000001"/>
    <n v="2.9824999999999999"/>
    <n v="45"/>
    <s v="2022/09 БР"/>
    <s v="БЛАГОНРАВОВА ДАРЬЯ ДМИТРИЕВНА"/>
    <n v="210"/>
    <m/>
  </r>
  <r>
    <s v="1"/>
    <d v="2023-11-22T00:00:00"/>
    <x v="7"/>
    <s v="10131010/170423/3133841"/>
    <s v="10131010"/>
    <s v="3133841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66076.9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7401.17"/>
    <n v="4273865"/>
    <n v="57249.32"/>
    <n v="90.1637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133.81"/>
    <s v="ОООО-ОО"/>
    <n v="4000000"/>
    <n v="16133.81"/>
    <n v="0"/>
    <s v=""/>
    <s v=""/>
    <n v="47401.17"/>
    <n v="4273865"/>
    <n v="0"/>
    <n v="1"/>
    <n v="4666076.97"/>
    <n v="57249.32"/>
    <s v="10"/>
    <n v="57249.211404000001"/>
    <n v="3.5484"/>
    <n v="45"/>
    <s v="2022/09 БР"/>
    <s v="БЛАГОНРАВОВА ДАРЬЯ ДМИТРИЕВНА"/>
    <n v="278"/>
    <m/>
  </r>
  <r>
    <s v="1"/>
    <d v="2023-03-14T00:00:00"/>
    <x v="2"/>
    <s v="10131010/170423/3133800"/>
    <s v="10131010"/>
    <s v="3133800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98319.98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322.400000000001"/>
    <n v="3906108"/>
    <n v="52737.21"/>
    <n v="90.1637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727.34"/>
    <s v="ОООО-ОО"/>
    <n v="4000000"/>
    <n v="16619.34"/>
    <n v="0"/>
    <s v=""/>
    <s v=""/>
    <n v="43322.400000000001"/>
    <n v="3906108"/>
    <n v="0"/>
    <n v="1"/>
    <n v="4298319.9800000004"/>
    <n v="52737.21"/>
    <s v="10"/>
    <n v="52736.489688000001"/>
    <n v="3.1732"/>
    <n v="45"/>
    <s v="2022/09 БР"/>
    <s v="ЧУДИНА ЭЛЬВИРА РАИСОВНА"/>
    <n v="9"/>
    <m/>
  </r>
  <r>
    <s v="1"/>
    <d v="2023-10-10T00:00:00"/>
    <x v="1"/>
    <s v="10131010/170423/3133724"/>
    <s v="10131010"/>
    <s v="3133724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70942.3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627.85"/>
    <n v="3933648"/>
    <n v="53628.23"/>
    <n v="90.16370000000000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"/>
    <n v="33"/>
    <n v="0"/>
    <n v="0"/>
    <m/>
    <n v="0"/>
    <m/>
    <s v="1"/>
    <s v="2309101100"/>
    <s v=""/>
    <s v=""/>
    <s v="BE"/>
    <n v="17258.490000000002"/>
    <s v="ОООО-ОО"/>
    <n v="4000000"/>
    <n v="17258.490000000002"/>
    <n v="0"/>
    <s v=""/>
    <s v=""/>
    <n v="43627.85"/>
    <n v="3933648"/>
    <n v="0"/>
    <n v="1"/>
    <n v="4370942.33"/>
    <n v="53628.23"/>
    <s v="10"/>
    <n v="53629.031826000006"/>
    <n v="3.1074000000000002"/>
    <n v="45"/>
    <s v="2022/09 БР"/>
    <s v="БЛАГОНРАВОВА ДАРЬЯ ДМИТРИЕВНА"/>
    <n v="366"/>
    <m/>
  </r>
  <r>
    <s v="1"/>
    <d v="2023-01-13T00:00:00"/>
    <x v="5"/>
    <s v="10131010/170323/3093155"/>
    <s v="10131010"/>
    <s v="3093155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60428.3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296.68"/>
    <n v="3107462"/>
    <n v="45287.93"/>
    <n v="81.14180000000000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MЕНТЕ:"/>
    <x v="1"/>
    <m/>
    <s v="UNITED PETFOOD PRODUCERS NV"/>
    <n v="33"/>
    <n v="0"/>
    <n v="0"/>
    <m/>
    <n v="0"/>
    <m/>
    <s v="1"/>
    <s v="2309101100"/>
    <s v=""/>
    <s v=""/>
    <s v="BE"/>
    <n v="14942.44"/>
    <s v="ОООО-ОО"/>
    <n v="4000000"/>
    <n v="14784.04"/>
    <n v="0"/>
    <s v=""/>
    <s v=""/>
    <n v="38296.68"/>
    <n v="3107462"/>
    <n v="0"/>
    <n v="1"/>
    <n v="3460428.38"/>
    <n v="45287.93"/>
    <s v="10"/>
    <n v="45287.949732000001"/>
    <n v="3.0632999999999999"/>
    <n v="45"/>
    <s v="2022/09 БР"/>
    <s v="ЯШИНА АННА СЕРГЕЕВНА"/>
    <n v="568"/>
    <m/>
  </r>
  <r>
    <s v="1"/>
    <d v="2023-03-28T00:00:00"/>
    <x v="2"/>
    <s v="10131010/170323/3093116"/>
    <s v="10131010"/>
    <s v="3093116"/>
    <x v="0"/>
    <s v="40"/>
    <s v=""/>
    <s v=""/>
    <s v=""/>
    <s v="UNITED PETFOOD PRODUCERS NV"/>
    <s v="9400, , ERPE-MERE, EVENBROEKVELD 1,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39100.9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963.48"/>
    <n v="3486134"/>
    <n v="50243.76"/>
    <n v="81.14180000000000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BАННЫЙ ДЛЯ РОЗНИЧНОЙ ПРОДАЖИ, БЕЗ СОДЕРЖАНИЯ КРАХМАЛА, БЕЗ СОДЕРЖАНИЯ МОЛОЧНЫХ ПРОДУКТОВ, В АССОРТИМЕНТЕ"/>
    <x v="1"/>
    <m/>
    <s v="UNITED PETFOOD PRODUCERS NV"/>
    <n v="38"/>
    <n v="0"/>
    <n v="0"/>
    <m/>
    <n v="0"/>
    <m/>
    <s v="1"/>
    <s v="2309101100"/>
    <s v=""/>
    <s v=""/>
    <s v="BE"/>
    <n v="17669.099999999999"/>
    <s v="ОООО-ОО"/>
    <n v="4000000"/>
    <n v="17424.3"/>
    <n v="0"/>
    <s v=""/>
    <s v=""/>
    <n v="42963.48"/>
    <n v="3486134"/>
    <n v="0"/>
    <n v="1"/>
    <n v="3839100.93"/>
    <n v="50243.76"/>
    <s v="10"/>
    <n v="50242.96905"/>
    <n v="2.8835000000000002"/>
    <n v="45"/>
    <s v="2022/09 БР"/>
    <s v="БЛАГОНРАВОВА ДАРЬЯ ДМИТРИЕВНА"/>
    <n v="94"/>
    <m/>
  </r>
  <r>
    <s v="1"/>
    <d v="2023-12-03T00:00:00"/>
    <x v="10"/>
    <s v="10131010/170323/3092766"/>
    <s v="10131010"/>
    <s v="3092766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90420.6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828.36"/>
    <n v="3637454"/>
    <n v="52224.14"/>
    <n v="81.141800000000003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CОРТИМЕНТЕ:"/>
    <x v="1"/>
    <m/>
    <s v="UNITED PETFOOD PRODUCERS NV"/>
    <n v="33"/>
    <n v="0"/>
    <n v="0"/>
    <m/>
    <n v="0"/>
    <m/>
    <s v="1"/>
    <s v="2309101100"/>
    <s v=""/>
    <s v=""/>
    <s v="BE"/>
    <n v="16965.25"/>
    <s v="ОООО-ОО"/>
    <n v="4000000"/>
    <n v="16965.25"/>
    <n v="0"/>
    <s v=""/>
    <s v=""/>
    <n v="44828.36"/>
    <n v="3637454"/>
    <n v="0"/>
    <n v="1"/>
    <n v="3990420.65"/>
    <n v="52224.14"/>
    <s v="10"/>
    <n v="52224.129074999997"/>
    <n v="3.0783"/>
    <n v="45"/>
    <s v="2022/09 БР"/>
    <s v="ДРУЗЯГИНА ИРИНА НИКОЛАЕВНА"/>
    <n v="68"/>
    <m/>
  </r>
  <r>
    <s v="1"/>
    <d v="2023-10-16T00:00:00"/>
    <x v="1"/>
    <s v="10131010/170223/3057721"/>
    <s v="10131010"/>
    <s v="3057721"/>
    <x v="0"/>
    <s v="40"/>
    <s v=""/>
    <s v=""/>
    <s v=""/>
    <s v="UNITED PETFOOD PRODUCERS NV"/>
    <s v="9400, , ERPE-MERE, EVENBROEKVELD 1,"/>
    <s v=""/>
    <s v=""/>
    <n v="1"/>
    <n v="0"/>
    <n v="1"/>
    <n v="32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82350.1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192.959999999999"/>
    <n v="3294465"/>
    <n v="49253.120000000003"/>
    <n v="79.9763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2"/>
    <n v="0"/>
    <n v="0"/>
    <m/>
    <n v="0"/>
    <m/>
    <s v="1"/>
    <s v="2309101100"/>
    <s v=""/>
    <s v=""/>
    <s v="BE"/>
    <n v="16508.810000000001"/>
    <s v="ОООО-ОО"/>
    <n v="4000000"/>
    <n v="16465.61"/>
    <n v="0"/>
    <s v=""/>
    <s v=""/>
    <n v="41192.959999999999"/>
    <n v="3294465"/>
    <n v="0"/>
    <n v="1"/>
    <n v="3682350.19"/>
    <n v="49253.120000000003"/>
    <s v="10"/>
    <n v="49253.579192999998"/>
    <n v="2.9912999999999998"/>
    <n v="45"/>
    <s v="2022/09 БР"/>
    <s v="ЧУДИНА ЭЛЬВИРА РАИСОВНА"/>
    <n v="150"/>
    <m/>
  </r>
  <r>
    <s v="1"/>
    <d v="2023-11-11T00:00:00"/>
    <x v="7"/>
    <s v="10131010/170223/3057234"/>
    <s v="10131010"/>
    <s v="305723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30385.4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792.839999999997"/>
    <n v="3182488"/>
    <n v="47220.52"/>
    <n v="79.9763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61.57"/>
    <s v="ОООО-ОО"/>
    <n v="4000000"/>
    <n v="16796.77"/>
    <n v="0"/>
    <s v=""/>
    <s v=""/>
    <n v="39792.839999999997"/>
    <n v="3182488"/>
    <n v="0"/>
    <n v="1"/>
    <n v="3530385.43"/>
    <n v="47220.52"/>
    <s v="10"/>
    <n v="47220.759501"/>
    <n v="2.8113000000000001"/>
    <n v="45"/>
    <s v="2022/09 БР"/>
    <s v="ДРУЗЯГИНА ИРИНА НИКОЛАЕВНА"/>
    <n v="93"/>
    <m/>
  </r>
  <r>
    <s v="1"/>
    <d v="2022-04-13T00:00:00"/>
    <x v="6"/>
    <s v="10131010/170123/3015160"/>
    <s v="10131010"/>
    <s v="3015160"/>
    <x v="0"/>
    <s v="40"/>
    <s v=""/>
    <s v=""/>
    <s v=""/>
    <s v="WELLPET BELGIUM BVBA"/>
    <s v="1831, ., DIEGEM, LEONARDO DA VINCILAAN, 19"/>
    <s v=""/>
    <s v=""/>
    <n v="1"/>
    <n v="0"/>
    <n v="1"/>
    <n v="33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n v="3665296.67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5985.22"/>
    <n v="3395080"/>
    <n v="53673.15"/>
    <n v="73.829800000000006"/>
    <s v="010"/>
    <s v="31"/>
    <s v="18090220/1481/1948/2/1"/>
    <s v="-"/>
    <s v="99"/>
    <s v=""/>
    <s v="."/>
    <s v=""/>
    <s v="СМОЛЕНСКАЯ ОБЛАСТЬ,СМОЛЕНСКИЙ Р-Н"/>
    <s v="СЕЛЬСКОЕ ПОСЕЛЕНИЕ СТАБНИНСКОЕ"/>
    <s v="СЕВЕРО-ВОСТОЧНЕЕ Д. СТАБНА,НА РАССТОЯНИИ 700 МЕТРО"/>
    <s v="10113100 т/п Стабнинский"/>
    <n v="1"/>
    <s v="СУХОЙ КОРМ ДЛЯ КОШЕК И СОБАК Т.М. &quot;WELLNESS CORE&quot;, РАСФАСОВАННЫЙ ДЛЯ РОЗНИЧНОЙ ПРОДАЖИ В ИНДИВИДУАЛЬНУЮ УПАКОВКУ, СОДЕРЖИТ 10 МАС.% ИЛИ МЕНЕЕ КРАХМАЛА, НЕ СОДЕРЖИТ ГЛЮКОЗУ, МОЛОЧНЫЕ ПРОДУКТЫ И МАЛЬТОДЕКСТРИН"/>
    <x v="1"/>
    <m/>
    <s v="UNITED PETFOOD FRANCE-UPF"/>
    <n v="33"/>
    <n v="0"/>
    <n v="0"/>
    <m/>
    <n v="0"/>
    <m/>
    <s v="1"/>
    <s v="2309101100"/>
    <s v=""/>
    <s v=""/>
    <s v="FR"/>
    <n v="15521.2"/>
    <s v="ОООО-ОО"/>
    <n v="4000000"/>
    <n v="15467.44"/>
    <n v="0"/>
    <s v=""/>
    <s v=""/>
    <n v="45985.22"/>
    <n v="3395080"/>
    <n v="0"/>
    <n v="1"/>
    <n v="3665296.67"/>
    <n v="53673.15"/>
    <s v="10"/>
    <n v="53673.563544000004"/>
    <n v="3.4701"/>
    <n v="941"/>
    <s v="0770/СПБ/161"/>
    <s v="ДАШКИН АЛЕКСЕЙ ХАЛИМОВИЧ"/>
    <n v="205"/>
    <m/>
  </r>
  <r>
    <s v="1"/>
    <d v="2022-01-13T00:00:00"/>
    <x v="6"/>
    <s v="10131010/170123/3014827"/>
    <s v="10131010"/>
    <s v="3014827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687965.93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6468.2"/>
    <n v="3430738"/>
    <n v="54005.11"/>
    <n v="73.829800000000006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575.919999999998"/>
    <s v="ОООО-ОО"/>
    <n v="4000000"/>
    <n v="17575.919999999998"/>
    <n v="0"/>
    <s v=""/>
    <s v=""/>
    <n v="46468.2"/>
    <n v="3430738"/>
    <n v="0"/>
    <n v="1"/>
    <n v="3687965.93"/>
    <n v="54005.11"/>
    <s v="10"/>
    <n v="54005.529384000001"/>
    <n v="3.0727000000000002"/>
    <n v="941"/>
    <s v="0770/СПБ/329"/>
    <s v="ДАШКИН АЛЕКСЕЙ ХАЛИМОВИЧ"/>
    <n v="571"/>
    <m/>
  </r>
  <r>
    <s v="1"/>
    <d v="2023-12-11T00:00:00"/>
    <x v="10"/>
    <s v="10131010/161222/3542462"/>
    <s v="10131010"/>
    <s v="3542462"/>
    <x v="0"/>
    <s v="40"/>
    <s v=""/>
    <s v=""/>
    <s v=""/>
    <s v="BDR THERMEA FRANCE S.A.S."/>
    <s v="67580, MERTZWILLER, B.P.30, 57 RUE DE LA GARE,"/>
    <s v=""/>
    <s v=""/>
    <n v="15"/>
    <n v="0"/>
    <n v="42"/>
    <n v="39"/>
    <s v="1087746423005"/>
    <s v="7717615508"/>
    <s v="ООО БДР ТЕРМИЯ РУС"/>
    <s v="129164, ГОРОД, МОСКВА, ЗУБАРЕВ ПЕРЕУЛОК, ДОМ 15, КОРПУС 1, ЭТ.3, ПОМ.1, КОМ.67Г"/>
    <s v="45000"/>
    <s v="771701001"/>
    <s v="1087746423005"/>
    <s v="7717615508"/>
    <s v="ООО БДР ТЕРМИЯ РУС"/>
    <s v="129164, ГОРОД, МОСКВА, ЗУБАРЕВ ПЕРЕУЛОК, ДОМ 15, КОРПУС 1, ЭТ.3, ПОМ.1, КОМ.67Г"/>
    <s v="45000"/>
    <s v="771701001"/>
    <s v="FR"/>
    <s v="ФРАНЦИЯ"/>
    <n v="6436794.2199999904"/>
    <s v="1087746423005"/>
    <s v="7717615508"/>
    <s v="ООО БДР ТЕРМИЯ РУС"/>
    <s v="129164, ГОРОД, МОСКВА, ЗУБАРЕВ ПЕРЕУЛОК, ДОМ 15, КОРПУС 1, ЭТ.3, ПОМ.1, КОМ.67Г"/>
    <s v="45000"/>
    <s v="771701001"/>
    <s v="FR"/>
    <s v="ФРАНЦИЯ"/>
    <x v="6"/>
    <s v="RU"/>
    <s v="РОССИЯ"/>
    <n v="2"/>
    <s v="0"/>
    <s v="FCA"/>
    <s v="MERTZWILLER"/>
    <n v="1"/>
    <s v="EUR"/>
    <n v="89240.56"/>
    <n v="6108249"/>
    <n v="100103.33"/>
    <n v="68.447000000000003"/>
    <s v="010"/>
    <s v=""/>
    <s v="16120140/0001/0000/2/1"/>
    <s v="-"/>
    <s v="99"/>
    <s v=""/>
    <s v=""/>
    <s v=""/>
    <s v="СМОЛЕНСКАЯ ОБЛ."/>
    <s v="Г. РОСЛАВЛЬ"/>
    <s v="УЛ. КАРЛА МАРКСА, Д. 166"/>
    <s v="10113050 т/п Рославльский"/>
    <n v="1"/>
    <s v="КОТЛЫ ЦЕНТРАЛЬНОГО ОТОПЛЕНИЯ НЕ ИЗ ЧУГУННОГО ЛИТЬЯ, НЕВОЕННОГО НАЗНАЧЕНИЯ, АССОРТИМЕНТ"/>
    <x v="0"/>
    <m/>
    <s v="BDR THERMEA FRANCE S.A.S"/>
    <n v="34"/>
    <n v="0"/>
    <n v="33"/>
    <s v="ШТ"/>
    <n v="0"/>
    <m/>
    <s v="1"/>
    <s v="8403109000"/>
    <s v=""/>
    <s v=""/>
    <s v="FR"/>
    <n v="5060.5"/>
    <s v="ОООО-ОО"/>
    <n v="4000000"/>
    <n v="4582.5"/>
    <n v="0"/>
    <s v=""/>
    <s v=""/>
    <n v="72719.460000000006"/>
    <n v="4977429"/>
    <n v="0"/>
    <n v="1"/>
    <n v="5202689.33"/>
    <n v="80910.850000000006"/>
    <s v="10"/>
    <n v="17.656500000000001"/>
    <n v="1053"/>
    <s v="0719/00-16-055"/>
    <m/>
    <s v="БЫКОВА ЛЮБОВЬ АЛЕКСАНДРОВНА"/>
    <n v="365"/>
    <m/>
  </r>
  <r>
    <s v="1"/>
    <d v="2023-09-20T00:00:00"/>
    <x v="4"/>
    <s v="10131010/161222/3542403"/>
    <s v="10131010"/>
    <s v="3542403"/>
    <x v="0"/>
    <s v="40"/>
    <s v=""/>
    <s v=""/>
    <s v=""/>
    <s v="BAXI S.P.A."/>
    <s v="36061, VICENZA, BASSANO DEL GRAPPA, VIA TROZZETTI 20,"/>
    <s v=""/>
    <s v=""/>
    <n v="2"/>
    <n v="0"/>
    <n v="2"/>
    <n v="127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10374270.17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44843.47"/>
    <n v="9914101"/>
    <n v="161337.92000000001"/>
    <n v="68.447000000000003"/>
    <s v="010"/>
    <s v="31"/>
    <s v="14100003/0001/0000/2/1"/>
    <s v="-"/>
    <s v="99"/>
    <s v=""/>
    <s v="10113/301110/10022/4"/>
    <s v=""/>
    <s v="СМОЛЕНСКАЯ ОБЛ."/>
    <s v="Г. ЯРЦЕВО"/>
    <s v="УЛ. 2-Я МАШИНОСТРОИТЕЛЬНАЯ, СТР. 5/3"/>
    <s v="10113070 т/п Ярцевский"/>
    <n v="1"/>
    <s v="КОТЛЫ ЦЕНТРАЛЬНОГО ОТОПЛЕНИЯ, СТАЛЬНЫЕ, ВЕС БРУТТО С ПОДДОНАМИ 17270.0 КГ., АССОРТИМЕНТ"/>
    <x v="0"/>
    <m/>
    <s v="BAXI S.P.A."/>
    <n v="96"/>
    <n v="0"/>
    <n v="416"/>
    <s v="ШТ"/>
    <n v="0"/>
    <m/>
    <s v="1"/>
    <s v="8403109000"/>
    <s v=""/>
    <s v=""/>
    <s v="IT"/>
    <n v="16118"/>
    <s v="ОООО-ОО"/>
    <n v="4000000"/>
    <n v="16062"/>
    <n v="0"/>
    <s v=""/>
    <s v=""/>
    <n v="143725.92000000001"/>
    <n v="9837608"/>
    <n v="0"/>
    <n v="1"/>
    <n v="10294875.08"/>
    <n v="160103.19"/>
    <s v="10"/>
    <n v="9.9678000000000004"/>
    <n v="1053"/>
    <s v="0719/00-16-055"/>
    <m/>
    <s v="БЫКОВА ЛЮБОВЬ АЛЕКСАНДРОВНА"/>
    <n v="0"/>
    <m/>
  </r>
  <r>
    <s v="1"/>
    <d v="2023-11-05T00:00:00"/>
    <x v="7"/>
    <s v="10131010/161123/3379384"/>
    <s v="10131010"/>
    <s v="337938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262376.7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9656.800000000003"/>
    <m/>
    <m/>
    <n v="97.1333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57.66"/>
    <s v="ОООО-ОО"/>
    <n v="4000000"/>
    <n v="16539.66"/>
    <n v="0"/>
    <s v=""/>
    <s v=""/>
    <n v="49656.800000000003"/>
    <m/>
    <n v="0"/>
    <n v="1"/>
    <n v="5262376.79"/>
    <n v="58826.1"/>
    <s v="10"/>
    <n v="58881.189599999998"/>
    <n v="3.56"/>
    <n v="45"/>
    <m/>
    <s v="БЛАГОНРАВОВА"/>
    <n v="330"/>
    <m/>
  </r>
  <r>
    <s v="1"/>
    <d v="2023-07-21T00:00:00"/>
    <x v="0"/>
    <s v="10131010/161123/3379371"/>
    <s v="10131010"/>
    <s v="337937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87776.7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212.2"/>
    <m/>
    <m/>
    <n v="97.1333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464.45"/>
    <s v="ОООО-ОО"/>
    <n v="4000000"/>
    <n v="16425.45"/>
    <n v="0"/>
    <s v=""/>
    <s v=""/>
    <n v="42212.2"/>
    <m/>
    <n v="0"/>
    <n v="1"/>
    <n v="4487776.78"/>
    <n v="50167.14"/>
    <s v="10"/>
    <n v="50097.622499999998"/>
    <n v="3.05"/>
    <n v="45"/>
    <m/>
    <s v="БЛАГОНРАВОВА"/>
    <n v="112"/>
    <m/>
  </r>
  <r>
    <s v="1"/>
    <d v="2023-01-14T00:00:00"/>
    <x v="5"/>
    <s v="10131010/161123/3379353"/>
    <s v="10131010"/>
    <s v="337935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55895.26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943"/>
    <m/>
    <m/>
    <n v="97.1333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205.54"/>
    <s v="ОООО-ОО"/>
    <n v="4000000"/>
    <n v="17205.54"/>
    <n v="0"/>
    <s v=""/>
    <s v=""/>
    <n v="43943"/>
    <m/>
    <n v="0"/>
    <n v="1"/>
    <n v="4655895.2699999996"/>
    <n v="52046.47"/>
    <s v="10"/>
    <n v="51960.730800000005"/>
    <n v="3.02"/>
    <n v="45"/>
    <m/>
    <s v="ЯШИНА"/>
    <n v="353"/>
    <m/>
  </r>
  <r>
    <s v="1"/>
    <d v="2023-03-15T00:00:00"/>
    <x v="2"/>
    <s v="10131010/161123/3379318"/>
    <s v="10131010"/>
    <s v="337931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201784.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9563"/>
    <m/>
    <m/>
    <n v="97.1333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730.900000000001"/>
    <s v="ОООО-ОО"/>
    <n v="4000000"/>
    <n v="17676.900000000001"/>
    <n v="0"/>
    <s v=""/>
    <s v=""/>
    <n v="49563"/>
    <m/>
    <n v="0"/>
    <n v="1"/>
    <n v="5201784.97"/>
    <n v="58148.76"/>
    <s v="10"/>
    <n v="58157.001000000004"/>
    <n v="3.29"/>
    <n v="45"/>
    <m/>
    <s v="ЧУДИНА"/>
    <n v="300"/>
    <m/>
  </r>
  <r>
    <s v="1"/>
    <d v="2023-12-12T00:00:00"/>
    <x v="10"/>
    <s v="10131010/161123/3379064"/>
    <s v="10131010"/>
    <s v="337906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10439.9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297.96"/>
    <m/>
    <m/>
    <n v="97.1333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931.58"/>
    <s v="ОООО-ОО"/>
    <n v="4000000"/>
    <n v="15650.78"/>
    <n v="0"/>
    <s v=""/>
    <s v=""/>
    <n v="37297.96"/>
    <m/>
    <n v="0"/>
    <n v="1"/>
    <n v="4010439.94"/>
    <n v="44831.17"/>
    <s v="10"/>
    <n v="44761.230799999998"/>
    <n v="2.86"/>
    <n v="45"/>
    <m/>
    <s v="ЯШИНА"/>
    <n v="36"/>
    <m/>
  </r>
  <r>
    <s v="1"/>
    <d v="2023-02-02T00:00:00"/>
    <x v="12"/>
    <s v="10131010/161023/5034363"/>
    <s v="10131010"/>
    <s v="503436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48004.11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753.48"/>
    <m/>
    <m/>
    <n v="102.552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96.02"/>
    <s v="ОООО-ОО"/>
    <n v="4000000"/>
    <n v="16500.02"/>
    <n v="0"/>
    <s v=""/>
    <s v=""/>
    <n v="42753.48"/>
    <m/>
    <n v="0"/>
    <n v="1"/>
    <n v="4848004.1100000003"/>
    <n v="49821.48"/>
    <s v="10"/>
    <n v="49830.060400000002"/>
    <n v="3.02"/>
    <n v="45"/>
    <m/>
    <s v="БЛАГОНРАВОВА"/>
    <m/>
    <m/>
  </r>
  <r>
    <s v="1"/>
    <d v="2023-04-22T00:00:00"/>
    <x v="3"/>
    <s v="10131010/161023/5034363"/>
    <s v="10131010"/>
    <s v="503436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48004.11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753.48"/>
    <m/>
    <m/>
    <n v="102.552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96.02"/>
    <s v="ОООО-ОО"/>
    <n v="4000000"/>
    <n v="16500.02"/>
    <n v="0"/>
    <s v=""/>
    <s v=""/>
    <n v="42753.48"/>
    <m/>
    <n v="0"/>
    <n v="1"/>
    <n v="4848004.1100000003"/>
    <n v="49821.48"/>
    <s v="10"/>
    <n v="49830.060400000002"/>
    <n v="3.02"/>
    <n v="45"/>
    <m/>
    <s v="БЛАГОНРАВОВА"/>
    <m/>
    <m/>
  </r>
  <r>
    <s v="1"/>
    <d v="2023-01-19T00:00:00"/>
    <x v="5"/>
    <s v="10131010/161023/3346336"/>
    <s v="10131010"/>
    <s v="334633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204775.34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232.4"/>
    <m/>
    <m/>
    <n v="102.552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281.47"/>
    <s v="ОООО-ОО"/>
    <n v="4000000"/>
    <n v="16216.67"/>
    <n v="0"/>
    <s v=""/>
    <s v=""/>
    <n v="46232.4"/>
    <m/>
    <n v="0"/>
    <n v="1"/>
    <n v="5204775.3499999996"/>
    <n v="53487.92"/>
    <s v="10"/>
    <n v="53515.010999999999"/>
    <n v="3.3"/>
    <n v="45"/>
    <m/>
    <s v="ДРУЗЯГИНА"/>
    <n v="599"/>
    <m/>
  </r>
  <r>
    <s v="1"/>
    <d v="2023-12-15T00:00:00"/>
    <x v="10"/>
    <s v="10131010/161023/3346336"/>
    <s v="10131010"/>
    <s v="334633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204775.34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232.4"/>
    <m/>
    <m/>
    <n v="102.552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281.47"/>
    <s v="ОООО-ОО"/>
    <n v="4000000"/>
    <n v="16216.67"/>
    <n v="0"/>
    <s v=""/>
    <s v=""/>
    <n v="46232.4"/>
    <m/>
    <n v="0"/>
    <n v="1"/>
    <n v="5204775.3499999996"/>
    <n v="53487.92"/>
    <s v="10"/>
    <n v="53515.010999999999"/>
    <n v="3.3"/>
    <n v="45"/>
    <m/>
    <s v="ДРУЗЯГИНА"/>
    <n v="599"/>
    <m/>
  </r>
  <r>
    <s v="1"/>
    <d v="2023-11-06T00:00:00"/>
    <x v="7"/>
    <s v="10131010/161023/3346280"/>
    <s v="10131010"/>
    <s v="334628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11700.13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879.7"/>
    <m/>
    <m/>
    <n v="102.552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73.22"/>
    <s v="ОООО-ОО"/>
    <n v="4000000"/>
    <n v="16565.22"/>
    <n v="0"/>
    <s v=""/>
    <s v=""/>
    <n v="44879.7"/>
    <m/>
    <n v="0"/>
    <n v="1"/>
    <n v="5011700.1399999997"/>
    <n v="51503.74"/>
    <s v="10"/>
    <n v="51517.834200000005"/>
    <n v="3.11"/>
    <n v="45"/>
    <m/>
    <s v="ДРУЗЯГИНА"/>
    <n v="134"/>
    <m/>
  </r>
  <r>
    <s v="1"/>
    <d v="2022-07-20T00:00:00"/>
    <x v="6"/>
    <s v="10131010/161023/3346280"/>
    <s v="10131010"/>
    <s v="334628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11700.13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879.7"/>
    <m/>
    <m/>
    <n v="102.552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73.22"/>
    <s v="ОООО-ОО"/>
    <n v="4000000"/>
    <n v="16565.22"/>
    <n v="0"/>
    <s v=""/>
    <s v=""/>
    <n v="44879.7"/>
    <m/>
    <n v="0"/>
    <n v="1"/>
    <n v="5011700.1399999997"/>
    <n v="51503.74"/>
    <s v="10"/>
    <n v="51517.834200000005"/>
    <n v="3.11"/>
    <n v="45"/>
    <m/>
    <s v="ДРУЗЯГИНА"/>
    <n v="134"/>
    <m/>
  </r>
  <r>
    <s v="1"/>
    <d v="2023-06-14T00:00:00"/>
    <x v="11"/>
    <s v="10131010/161023/3344985"/>
    <s v="10131010"/>
    <s v="334498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82949.8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624.24"/>
    <m/>
    <m/>
    <n v="102.552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449.919999999998"/>
    <s v="ОООО-ОО"/>
    <n v="4000000"/>
    <n v="17449.919999999998"/>
    <n v="0"/>
    <s v=""/>
    <s v=""/>
    <n v="43624.24"/>
    <m/>
    <n v="0"/>
    <n v="1"/>
    <n v="4882949.83"/>
    <n v="50180.61"/>
    <s v="10"/>
    <n v="50255.769599999992"/>
    <n v="2.88"/>
    <n v="45"/>
    <m/>
    <s v="ЯШИНА"/>
    <n v="189"/>
    <m/>
  </r>
  <r>
    <s v="1"/>
    <d v="2023-04-02T00:00:00"/>
    <x v="3"/>
    <s v="10131010/161023/3344985"/>
    <s v="10131010"/>
    <s v="334498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82949.8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624.24"/>
    <m/>
    <m/>
    <n v="102.552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449.919999999998"/>
    <s v="ОООО-ОО"/>
    <n v="4000000"/>
    <n v="17449.919999999998"/>
    <n v="0"/>
    <s v=""/>
    <s v=""/>
    <n v="43624.24"/>
    <m/>
    <n v="0"/>
    <n v="1"/>
    <n v="4882949.83"/>
    <n v="50180.61"/>
    <s v="10"/>
    <n v="50255.769599999992"/>
    <n v="2.88"/>
    <n v="45"/>
    <m/>
    <s v="ЯШИНА"/>
    <n v="189"/>
    <m/>
  </r>
  <r>
    <s v="1"/>
    <d v="2023-04-23T00:00:00"/>
    <x v="3"/>
    <s v="10131010/161023/3344976"/>
    <s v="10131010"/>
    <s v="334497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57348.6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374.6"/>
    <m/>
    <m/>
    <n v="102.552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84.74"/>
    <s v="ОООО-ОО"/>
    <n v="4000000"/>
    <n v="15514.74"/>
    <n v="0"/>
    <s v=""/>
    <s v=""/>
    <n v="43374.6"/>
    <m/>
    <n v="0"/>
    <n v="1"/>
    <n v="4857348.67"/>
    <n v="49917.52"/>
    <s v="10"/>
    <n v="49957.462800000001"/>
    <n v="3.22"/>
    <n v="45"/>
    <m/>
    <s v="ДРУЗЯГИНА"/>
    <n v="246"/>
    <m/>
  </r>
  <r>
    <s v="1"/>
    <d v="2023-06-07T00:00:00"/>
    <x v="11"/>
    <s v="10131010/161023/3344976"/>
    <s v="10131010"/>
    <s v="334497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57348.6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374.6"/>
    <m/>
    <m/>
    <n v="102.552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84.74"/>
    <s v="ОООО-ОО"/>
    <n v="4000000"/>
    <n v="15514.74"/>
    <n v="0"/>
    <s v=""/>
    <s v=""/>
    <n v="43374.6"/>
    <m/>
    <n v="0"/>
    <n v="1"/>
    <n v="4857348.67"/>
    <n v="49917.52"/>
    <s v="10"/>
    <n v="49957.462800000001"/>
    <n v="3.22"/>
    <n v="45"/>
    <m/>
    <s v="ДРУЗЯГИНА"/>
    <n v="246"/>
    <m/>
  </r>
  <r>
    <s v="1"/>
    <d v="2023-03-26T00:00:00"/>
    <x v="2"/>
    <s v="10131010/160823/3283843"/>
    <s v="10131010"/>
    <s v="3283843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70392.2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1569.800000000003"/>
    <m/>
    <m/>
    <n v="106.5736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591.47"/>
    <s v="ОООО-ОО"/>
    <n v="4000000"/>
    <n v="16501.47"/>
    <n v="0"/>
    <s v=""/>
    <s v=""/>
    <n v="41569.800000000003"/>
    <m/>
    <n v="0"/>
    <n v="1"/>
    <n v="4870392.21"/>
    <n v="49992.89"/>
    <s v="10"/>
    <n v="49999.454100000003"/>
    <n v="3.03"/>
    <m/>
    <m/>
    <m/>
    <n v="124"/>
    <m/>
  </r>
  <r>
    <s v="1"/>
    <d v="2023-10-20T00:00:00"/>
    <x v="1"/>
    <s v="10131010/160823/3283466"/>
    <s v="10131010"/>
    <s v="3283466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50838.0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1386.32"/>
    <m/>
    <m/>
    <n v="106.5736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&quot;:"/>
    <x v="1"/>
    <m/>
    <s v="UNITED PETFOOD PRODUCERS NV"/>
    <n v="33"/>
    <n v="0"/>
    <n v="0"/>
    <m/>
    <m/>
    <m/>
    <s v="1"/>
    <s v="2309101100"/>
    <s v=""/>
    <s v=""/>
    <s v="BE"/>
    <n v="16362.01"/>
    <s v="ОООО-ОО"/>
    <n v="4000000"/>
    <n v="16254.01"/>
    <n v="0"/>
    <s v=""/>
    <s v=""/>
    <n v="41386.32"/>
    <m/>
    <n v="0"/>
    <n v="1"/>
    <n v="4850838.08"/>
    <n v="49792.17"/>
    <s v="10"/>
    <n v="49737.270600000003"/>
    <n v="3.06"/>
    <m/>
    <m/>
    <m/>
    <n v="556"/>
    <m/>
  </r>
  <r>
    <s v="1"/>
    <d v="2023-11-15T00:00:00"/>
    <x v="7"/>
    <s v="10131010/160523/3173726"/>
    <s v="10131010"/>
    <s v="3173726"/>
    <x v="0"/>
    <s v="40"/>
    <s v=""/>
    <s v=""/>
    <s v=""/>
    <s v="UNITED PETFOOD PRODUCERS NV"/>
    <s v="9400, , ERPE-MERE, EVENBROEKVELD 1, ,,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87167.9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132.5"/>
    <n v="3971372"/>
    <n v="55463.28"/>
    <n v="86.08620000000000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690.34"/>
    <s v="ОООО-ОО"/>
    <n v="4000000"/>
    <n v="16690.34"/>
    <n v="0"/>
    <s v=""/>
    <s v=""/>
    <n v="46132.5"/>
    <n v="3971372"/>
    <n v="0"/>
    <n v="1"/>
    <n v="4387167.97"/>
    <n v="55463.28"/>
    <s v="10"/>
    <n v="55463.668854000003"/>
    <n v="3.3231000000000002"/>
    <n v="45"/>
    <s v="2022/09 БР"/>
    <s v="ДРУЗЯГИНА ИРИНА НИКОЛАЕВНА"/>
    <n v="547"/>
    <m/>
  </r>
  <r>
    <s v="1"/>
    <d v="2023-12-09T00:00:00"/>
    <x v="10"/>
    <s v="10131010/160523/3173014"/>
    <s v="10131010"/>
    <s v="3173014"/>
    <x v="0"/>
    <s v="40"/>
    <s v=""/>
    <s v=""/>
    <s v=""/>
    <s v="UNITED PETFOOD PRODUCERS NV"/>
    <s v="9400, , ERPE-MERE, EVENBROEKVELD 1, ,,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9796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634.68"/>
    <n v="3842430"/>
    <n v="53071.360000000001"/>
    <n v="86.08620000000000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449.86"/>
    <s v="ОООО-ОО"/>
    <n v="4000000"/>
    <n v="16449.86"/>
    <n v="0"/>
    <s v=""/>
    <s v=""/>
    <n v="44634.68"/>
    <n v="3842430"/>
    <n v="0"/>
    <n v="1"/>
    <n v="4197966"/>
    <n v="53071.360000000001"/>
    <s v="10"/>
    <n v="53070.538332000004"/>
    <n v="3.2262"/>
    <n v="45"/>
    <s v="2022/09 БР"/>
    <s v="ЧУДИНА ЭЛЬВИРА РАИСОВНА"/>
    <n v="325"/>
    <m/>
  </r>
  <r>
    <s v="1"/>
    <d v="2023-05-28T00:00:00"/>
    <x v="9"/>
    <s v="10131010/160323/3092152"/>
    <s v="10131010"/>
    <s v="3092152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04333.8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688.92"/>
    <n v="3452522"/>
    <n v="50225.08"/>
    <n v="80.8763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РАСФАСОВАННЫЙ ДЛЯ РОЗНИЧНОЙ ПРОДАЖИ,БЕЗ СОДЕРЖАНИЯ КРАХМАЛА,БЕЗ СОДЕРЖАНИЯ МОЛОЧНЫХ ПРОДУКТОВ,БЕЗ СОДЕРЖАНИЯ ГМО,В АССОРТИМЕНТЕ"/>
    <x v="1"/>
    <m/>
    <s v="UNITED PETFOOD PRODUCERS NV"/>
    <n v="33"/>
    <n v="0"/>
    <n v="0"/>
    <m/>
    <n v="0"/>
    <m/>
    <s v="1"/>
    <s v="2309101100"/>
    <s v=""/>
    <s v=""/>
    <s v="BE"/>
    <n v="15055.06"/>
    <s v="ОООО-ОО"/>
    <n v="4000000"/>
    <n v="14871.46"/>
    <n v="0"/>
    <s v=""/>
    <s v=""/>
    <n v="42688.92"/>
    <n v="3452522"/>
    <n v="0"/>
    <n v="1"/>
    <n v="3804333.81"/>
    <n v="50225.08"/>
    <s v="10"/>
    <n v="50225.381857999993"/>
    <n v="3.3773"/>
    <n v="45"/>
    <s v="2022/09 БР"/>
    <s v="БЛАГОНРАВОВА ДАРЬЯ ДМИТРИЕВНА"/>
    <n v="24"/>
    <m/>
  </r>
  <r>
    <s v="1"/>
    <d v="2023-08-19T00:00:00"/>
    <x v="8"/>
    <s v="10131010/160323/3091539"/>
    <s v="10131010"/>
    <s v="3091539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02713.5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932.43"/>
    <n v="3310463"/>
    <n v="48883.48"/>
    <n v="80.8763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X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37.03"/>
    <s v="ОООО-ОО"/>
    <n v="4000000"/>
    <n v="16772.23"/>
    <n v="0"/>
    <s v=""/>
    <s v=""/>
    <n v="40932.43"/>
    <n v="3310463"/>
    <n v="0"/>
    <n v="1"/>
    <n v="3702713.55"/>
    <n v="48883.48"/>
    <s v="10"/>
    <n v="48882.664334999994"/>
    <n v="2.9144999999999999"/>
    <n v="45"/>
    <s v="2022/09 БР"/>
    <s v="ОСИПОВА ТАТЬЯНА ВЛАДИМИРОВНА"/>
    <n v="78"/>
    <m/>
  </r>
  <r>
    <s v="1"/>
    <d v="2023-07-28T00:00:00"/>
    <x v="0"/>
    <s v="10131010/160323/3091107"/>
    <s v="10131010"/>
    <s v="3091107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36908.2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382.32"/>
    <n v="3185096"/>
    <n v="46694.51"/>
    <n v="80.8763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773.8"/>
    <s v="ОООО-ОО"/>
    <n v="4000000"/>
    <n v="15514.6"/>
    <n v="0"/>
    <s v=""/>
    <s v=""/>
    <n v="39382.32"/>
    <n v="3185096"/>
    <n v="0"/>
    <n v="1"/>
    <n v="3536908.24"/>
    <n v="46694.51"/>
    <s v="10"/>
    <n v="46694.291620000004"/>
    <n v="3.0097"/>
    <n v="45"/>
    <s v="2022/09 БР"/>
    <s v="ЯШИНА АННА СЕРГЕЕВНА"/>
    <n v="246"/>
    <m/>
  </r>
  <r>
    <s v="1"/>
    <d v="2023-01-28T00:00:00"/>
    <x v="5"/>
    <s v="10131010/160223/3056614"/>
    <s v="10131010"/>
    <s v="305661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78592.2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154.05"/>
    <n v="3592700"/>
    <n v="53614.28"/>
    <n v="79.5653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876.03"/>
    <s v="ОООО-ОО"/>
    <n v="4000000"/>
    <n v="16818.43"/>
    <n v="0"/>
    <s v=""/>
    <s v=""/>
    <n v="45154.05"/>
    <n v="3592700"/>
    <n v="0"/>
    <n v="1"/>
    <n v="3978592.24"/>
    <n v="53614.28"/>
    <s v="10"/>
    <n v="53613.791154000006"/>
    <n v="3.1878000000000002"/>
    <n v="45"/>
    <s v="2022/09 БР"/>
    <s v="ОСИПОВА ТАТЬЯНА ВЛАДИМИРОВНА"/>
    <n v="9"/>
    <m/>
  </r>
  <r>
    <s v="1"/>
    <d v="2022-11-01T00:00:00"/>
    <x v="6"/>
    <s v="10131010/160223/3055831"/>
    <s v="10131010"/>
    <s v="3055831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88569.3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265.79"/>
    <n v="3442460"/>
    <n v="51053.59"/>
    <n v="79.5653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409.03"/>
    <s v="ОООО-ОО"/>
    <n v="4000000"/>
    <n v="16355.03"/>
    <n v="0"/>
    <s v=""/>
    <s v=""/>
    <n v="43265.79"/>
    <n v="3442460"/>
    <n v="0"/>
    <n v="1"/>
    <n v="3788569.38"/>
    <n v="51053.59"/>
    <s v="10"/>
    <n v="51053.861647999998"/>
    <n v="3.1215999999999999"/>
    <n v="45"/>
    <s v="2022/09 БР"/>
    <s v="ОСИПОВА ТАТЬЯНА ВЛАДИМИРОВНА"/>
    <n v="326"/>
    <m/>
  </r>
  <r>
    <s v="1"/>
    <d v="2023-04-13T00:00:00"/>
    <x v="3"/>
    <s v="10131010/160223/3055811"/>
    <s v="10131010"/>
    <s v="3055811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18639.7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873.24"/>
    <n v="3172530"/>
    <n v="47416.1"/>
    <n v="79.5653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799.71"/>
    <s v="ОООО-ОО"/>
    <n v="4000000"/>
    <n v="16734.91"/>
    <n v="0"/>
    <s v=""/>
    <s v=""/>
    <n v="39873.24"/>
    <n v="3172530"/>
    <n v="0"/>
    <n v="1"/>
    <n v="3518639.78"/>
    <n v="47416.1"/>
    <s v="10"/>
    <n v="47416.693994000001"/>
    <n v="2.8334000000000001"/>
    <n v="45"/>
    <s v="2022/09 БР"/>
    <s v="ЯШИНА АННА СЕРГЕЕВНА"/>
    <n v="65"/>
    <m/>
  </r>
  <r>
    <s v="1"/>
    <d v="2023-02-24T00:00:00"/>
    <x v="12"/>
    <s v="10131010/160223/3055806"/>
    <s v="10131010"/>
    <s v="3055806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80927.9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669.75"/>
    <n v="3395036"/>
    <n v="50950.61"/>
    <n v="79.5653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871.419999999998"/>
    <s v="ОООО-ОО"/>
    <n v="4000000"/>
    <n v="16817.419999999998"/>
    <n v="0"/>
    <s v=""/>
    <s v=""/>
    <n v="42669.75"/>
    <n v="3395036"/>
    <n v="0"/>
    <n v="1"/>
    <n v="3780927.92"/>
    <n v="50950.61"/>
    <s v="10"/>
    <n v="50950.055631999989"/>
    <n v="3.0295999999999998"/>
    <n v="45"/>
    <s v="2022/09 БР"/>
    <s v="ЧУДИНА ЭЛЬВИРА РАИСОВНА"/>
    <n v="80"/>
    <m/>
  </r>
  <r>
    <s v="1"/>
    <d v="2023-08-28T00:00:00"/>
    <x v="8"/>
    <s v="10131010/151223/3411324"/>
    <s v="10131010"/>
    <s v="341132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24113.2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182.58"/>
    <m/>
    <m/>
    <n v="97.737700000000004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4683.28"/>
    <s v="ОООО-ОО"/>
    <n v="4000000"/>
    <n v="14272.88"/>
    <n v="0"/>
    <s v=""/>
    <s v=""/>
    <n v="37182.58"/>
    <m/>
    <n v="0"/>
    <n v="1"/>
    <n v="4024113.27"/>
    <n v="44874.87"/>
    <s v="10"/>
    <n v="44816.843199999996"/>
    <n v="3.14"/>
    <n v="45"/>
    <m/>
    <s v="ДРУЗЯГИНА"/>
    <n v="46"/>
    <m/>
  </r>
  <r>
    <s v="1"/>
    <d v="2023-11-22T00:00:00"/>
    <x v="7"/>
    <s v="10131010/151223/3411231"/>
    <s v="10131010"/>
    <s v="341123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84380.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868.639999999999"/>
    <m/>
    <m/>
    <n v="97.737700000000004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954.12"/>
    <s v="ОООО-ОО"/>
    <n v="4000000"/>
    <n v="16954.12"/>
    <n v="0"/>
    <s v=""/>
    <s v=""/>
    <n v="40868.639999999999"/>
    <m/>
    <n v="0"/>
    <n v="1"/>
    <n v="4384380.3"/>
    <n v="48892.38"/>
    <s v="10"/>
    <n v="48827.865599999997"/>
    <n v="2.88"/>
    <n v="45"/>
    <m/>
    <s v="ЧУДИНА"/>
    <n v="596"/>
    <m/>
  </r>
  <r>
    <s v="1"/>
    <d v="2023-04-01T00:00:00"/>
    <x v="3"/>
    <s v="10131010/151223/3411227"/>
    <s v="10131010"/>
    <s v="341122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00472.48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480.14"/>
    <m/>
    <m/>
    <n v="97.737700000000004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624.240000000002"/>
    <s v="ОООО-ОО"/>
    <n v="4000000"/>
    <n v="16516.240000000002"/>
    <n v="0"/>
    <s v=""/>
    <s v=""/>
    <n v="39480.14"/>
    <m/>
    <n v="0"/>
    <n v="1"/>
    <n v="4300472.4800000004"/>
    <n v="47956.68"/>
    <s v="10"/>
    <n v="47897.096000000005"/>
    <n v="2.9"/>
    <n v="45"/>
    <m/>
    <s v="ДРУЗЯГИНА"/>
    <n v="89"/>
    <m/>
  </r>
  <r>
    <s v="1"/>
    <d v="2022-10-18T00:00:00"/>
    <x v="6"/>
    <s v="10131010/151223/3410761"/>
    <s v="10131010"/>
    <s v="341076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163123.6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074.86"/>
    <m/>
    <m/>
    <n v="97.737700000000004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84.439999999999"/>
    <s v="ОООО-ОО"/>
    <n v="4000000"/>
    <n v="16576.439999999999"/>
    <n v="0"/>
    <s v=""/>
    <s v=""/>
    <n v="38074.86"/>
    <m/>
    <n v="0"/>
    <n v="1"/>
    <n v="4163123.64"/>
    <n v="46425.04"/>
    <s v="10"/>
    <n v="46414.031999999992"/>
    <n v="2.8"/>
    <n v="45"/>
    <m/>
    <s v="ЧУДИНА"/>
    <n v="146"/>
    <m/>
  </r>
  <r>
    <s v="1"/>
    <d v="2022-06-12T00:00:00"/>
    <x v="6"/>
    <s v="10131010/151223/3410757"/>
    <s v="10131010"/>
    <s v="341075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02458.5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030.46"/>
    <m/>
    <m/>
    <n v="97.737700000000004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82.72"/>
    <s v="ОООО-ОО"/>
    <n v="4000000"/>
    <n v="16215.32"/>
    <n v="0"/>
    <s v=""/>
    <s v=""/>
    <n v="40030.46"/>
    <m/>
    <n v="0"/>
    <n v="1"/>
    <n v="4302458.51"/>
    <n v="47978.83"/>
    <s v="10"/>
    <n v="47997.347199999997"/>
    <n v="2.96"/>
    <n v="45"/>
    <m/>
    <s v="ДРУЗЯГИНА"/>
    <n v="544"/>
    <m/>
  </r>
  <r>
    <s v="1"/>
    <d v="2023-01-18T00:00:00"/>
    <x v="5"/>
    <s v="10131010/151123/3377872"/>
    <s v="10131010"/>
    <s v="337787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99670.7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567.38"/>
    <m/>
    <m/>
    <n v="97.7780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480.830000000002"/>
    <s v="ОООО-ОО"/>
    <n v="4000000"/>
    <n v="16426.830000000002"/>
    <n v="0"/>
    <s v=""/>
    <s v=""/>
    <n v="44567.38"/>
    <m/>
    <n v="0"/>
    <n v="1"/>
    <n v="4799670.75"/>
    <n v="52595.1"/>
    <s v="10"/>
    <n v="52565.856000000007"/>
    <n v="3.2"/>
    <n v="45"/>
    <m/>
    <s v="ЧУДИНА"/>
    <n v="45"/>
    <m/>
  </r>
  <r>
    <s v="1"/>
    <d v="2023-07-20T00:00:00"/>
    <x v="0"/>
    <s v="10131010/151123/3377867"/>
    <s v="10131010"/>
    <s v="337786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49234.0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627"/>
    <m/>
    <m/>
    <n v="97.7780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757.52"/>
    <s v="ОООО-ОО"/>
    <n v="4000000"/>
    <n v="16685.52"/>
    <n v="0"/>
    <s v=""/>
    <s v=""/>
    <n v="46627"/>
    <m/>
    <n v="0"/>
    <n v="1"/>
    <n v="4949234.09"/>
    <n v="54234.02"/>
    <s v="10"/>
    <n v="54227.94"/>
    <n v="3.25"/>
    <n v="45"/>
    <m/>
    <s v="ОСИПОВА"/>
    <n v="317"/>
    <m/>
  </r>
  <r>
    <s v="1"/>
    <d v="2023-10-20T00:00:00"/>
    <x v="1"/>
    <s v="10131010/151123/3377623"/>
    <s v="10131010"/>
    <s v="337762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51275.30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7670.6"/>
    <m/>
    <m/>
    <n v="97.7780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164.72"/>
    <s v="ОООО-ОО"/>
    <n v="4000000"/>
    <n v="16164.72"/>
    <n v="0"/>
    <s v=""/>
    <s v=""/>
    <n v="47670.6"/>
    <m/>
    <n v="0"/>
    <n v="1"/>
    <n v="5051275.3099999996"/>
    <n v="55352.2"/>
    <s v="10"/>
    <n v="55283.342399999994"/>
    <n v="3.42"/>
    <n v="45"/>
    <m/>
    <s v="ЯШИНА"/>
    <n v="317"/>
    <m/>
  </r>
  <r>
    <s v="1"/>
    <d v="2022-03-07T00:00:00"/>
    <x v="6"/>
    <s v="10131010/151123/3377359"/>
    <s v="10131010"/>
    <s v="3377359"/>
    <x v="0"/>
    <s v="40"/>
    <s v=""/>
    <s v=""/>
    <s v=""/>
    <s v="UNITED PETFOOD PRODUCERS"/>
    <s v="9042, , GHENT, TERDONKKAAI 16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74638.7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773.199999999997"/>
    <m/>
    <m/>
    <n v="97.778099999999995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56.759999999998"/>
    <s v="ОООО-ОО"/>
    <n v="4000000"/>
    <n v="16791.96"/>
    <n v="0"/>
    <s v=""/>
    <s v=""/>
    <n v="41773.199999999997"/>
    <m/>
    <n v="0"/>
    <n v="1"/>
    <n v="4474638.75"/>
    <n v="49033.38"/>
    <s v="10"/>
    <n v="49032.523199999996"/>
    <n v="2.92"/>
    <n v="45"/>
    <m/>
    <s v="ОСИПОВА"/>
    <n v="597"/>
    <m/>
  </r>
  <r>
    <s v="1"/>
    <d v="2023-10-21T00:00:00"/>
    <x v="1"/>
    <s v="10131010/151123/3377357"/>
    <s v="10131010"/>
    <s v="337735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94822.9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047.8"/>
    <m/>
    <m/>
    <n v="97.778099999999995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143.68"/>
    <s v="ОООО-ОО"/>
    <n v="4000000"/>
    <n v="17143.68"/>
    <n v="0"/>
    <s v=""/>
    <s v=""/>
    <n v="45047.8"/>
    <m/>
    <n v="0"/>
    <n v="1"/>
    <n v="4794822.91"/>
    <n v="52541.97"/>
    <s v="10"/>
    <n v="52459.660800000005"/>
    <n v="3.06"/>
    <n v="45"/>
    <m/>
    <s v="ЧУДИНА"/>
    <n v="579"/>
    <m/>
  </r>
  <r>
    <s v="1"/>
    <d v="2023-10-14T00:00:00"/>
    <x v="1"/>
    <s v="10131010/150923/3313868"/>
    <s v="10131010"/>
    <s v="331386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79598.2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170.97"/>
    <m/>
    <m/>
    <n v="103.228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255.35"/>
    <s v="ОООО-ОО"/>
    <n v="4000000"/>
    <n v="16084.47"/>
    <n v="0"/>
    <s v=""/>
    <s v=""/>
    <n v="42170.97"/>
    <m/>
    <n v="0"/>
    <n v="1"/>
    <n v="4779598.21"/>
    <n v="49704.18"/>
    <s v="10"/>
    <n v="49701.012299999995"/>
    <n v="3.09"/>
    <n v="45"/>
    <m/>
    <s v="ЯШИНА"/>
    <n v="42"/>
    <m/>
  </r>
  <r>
    <s v="1"/>
    <d v="2022-12-04T00:00:00"/>
    <x v="6"/>
    <s v="10131010/150923/3313868"/>
    <s v="10131010"/>
    <s v="331386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79598.2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170.97"/>
    <m/>
    <m/>
    <n v="103.228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255.35"/>
    <s v="ОООО-ОО"/>
    <n v="4000000"/>
    <n v="16084.47"/>
    <n v="0"/>
    <s v=""/>
    <s v=""/>
    <n v="42170.97"/>
    <m/>
    <n v="0"/>
    <n v="1"/>
    <n v="4779598.21"/>
    <n v="49704.18"/>
    <s v="10"/>
    <n v="49701.012299999995"/>
    <n v="3.09"/>
    <n v="45"/>
    <m/>
    <s v="ЯШИНА"/>
    <n v="42"/>
    <m/>
  </r>
  <r>
    <s v="1"/>
    <d v="2023-05-06T00:00:00"/>
    <x v="9"/>
    <s v="10131010/150923/3313866"/>
    <s v="10131010"/>
    <s v="331386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11416.7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573.040000000001"/>
    <m/>
    <m/>
    <n v="103.228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388.650000000001"/>
    <s v="ОООО-ОО"/>
    <n v="4000000"/>
    <n v="16268.65"/>
    <n v="0"/>
    <s v=""/>
    <s v=""/>
    <n v="39573.040000000001"/>
    <m/>
    <n v="0"/>
    <n v="1"/>
    <n v="4511416.75"/>
    <n v="46915.29"/>
    <s v="10"/>
    <n v="46853.712"/>
    <n v="2.88"/>
    <n v="45"/>
    <m/>
    <s v="БЛАГОНРАВОВА"/>
    <n v="322"/>
    <m/>
  </r>
  <r>
    <s v="1"/>
    <d v="2023-10-11T00:00:00"/>
    <x v="1"/>
    <s v="10131010/150923/3313857"/>
    <s v="10131010"/>
    <s v="331385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92790.23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423.879999999997"/>
    <m/>
    <m/>
    <n v="103.228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119.759999999998"/>
    <s v="ОООО-ОО"/>
    <n v="4000000"/>
    <n v="17086.28"/>
    <n v="0"/>
    <s v=""/>
    <s v=""/>
    <n v="38423.879999999997"/>
    <m/>
    <n v="0"/>
    <n v="1"/>
    <n v="4392790.2300000004"/>
    <n v="45681.67"/>
    <s v="10"/>
    <n v="45620.367599999998"/>
    <n v="2.67"/>
    <n v="45"/>
    <m/>
    <s v="ЧУДИНА"/>
    <n v="321"/>
    <m/>
  </r>
  <r>
    <s v="1"/>
    <d v="2023-11-28T00:00:00"/>
    <x v="7"/>
    <s v="10131010/150923/3313175"/>
    <s v="10131010"/>
    <s v="331317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313397.94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7342"/>
    <m/>
    <m/>
    <n v="103.228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557.58"/>
    <s v="ОООО-ОО"/>
    <n v="4000000"/>
    <n v="15341.58"/>
    <n v="0"/>
    <s v=""/>
    <s v=""/>
    <n v="47342"/>
    <m/>
    <n v="0"/>
    <n v="1"/>
    <n v="5313397.9400000004"/>
    <n v="55255.29"/>
    <s v="10"/>
    <n v="55229.688000000002"/>
    <n v="3.6"/>
    <n v="45"/>
    <m/>
    <s v="ЧУДИНА"/>
    <n v="368"/>
    <m/>
  </r>
  <r>
    <s v="1"/>
    <d v="2022-01-28T00:00:00"/>
    <x v="6"/>
    <s v="10131010/150823/3282829"/>
    <s v="10131010"/>
    <s v="3282829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418462.120000000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4824.03"/>
    <m/>
    <m/>
    <n v="110.6847000000000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6577.439999999999"/>
    <s v="ОООО-ОО"/>
    <n v="4000000"/>
    <n v="16433.439999999999"/>
    <n v="0"/>
    <s v=""/>
    <s v=""/>
    <n v="44824.03"/>
    <m/>
    <n v="0"/>
    <n v="1"/>
    <n v="5418462.1200000001"/>
    <n v="53626.95"/>
    <s v="10"/>
    <n v="53573.014399999993"/>
    <n v="3.26"/>
    <m/>
    <m/>
    <m/>
    <n v="13"/>
    <m/>
  </r>
  <r>
    <s v="1"/>
    <d v="2022-12-14T00:00:00"/>
    <x v="6"/>
    <s v="10131010/150823/3282817"/>
    <s v="10131010"/>
    <s v="3282817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160939.7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1977.4"/>
    <m/>
    <m/>
    <n v="110.6847000000000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7104.5"/>
    <s v="ОООО-ОО"/>
    <n v="4000000"/>
    <n v="17082.900000000001"/>
    <n v="0"/>
    <s v=""/>
    <s v=""/>
    <n v="41977.4"/>
    <m/>
    <n v="0"/>
    <n v="1"/>
    <n v="5160939.79"/>
    <n v="51078.239999999998"/>
    <s v="10"/>
    <n v="51077.871000000006"/>
    <n v="2.99"/>
    <m/>
    <m/>
    <m/>
    <n v="330"/>
    <m/>
  </r>
  <r>
    <s v="1"/>
    <d v="2022-08-11T00:00:00"/>
    <x v="6"/>
    <s v="10131010/150823/3282397"/>
    <s v="10131010"/>
    <s v="3282397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283268.5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3602.6"/>
    <m/>
    <m/>
    <n v="110.68470000000001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6531.86"/>
    <s v="ОООО-ОО"/>
    <n v="4000000"/>
    <n v="16441.86"/>
    <n v="0"/>
    <s v=""/>
    <s v=""/>
    <n v="43602.6"/>
    <m/>
    <n v="0"/>
    <n v="1"/>
    <n v="5283268.51"/>
    <n v="52288.93"/>
    <s v="10"/>
    <n v="52285.114800000003"/>
    <n v="3.18"/>
    <m/>
    <m/>
    <m/>
    <n v="370"/>
    <m/>
  </r>
  <r>
    <s v="1"/>
    <d v="2022-10-16T00:00:00"/>
    <x v="6"/>
    <s v="10131010/150823/3281876"/>
    <s v="10131010"/>
    <s v="3281876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037576.15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862.85"/>
    <m/>
    <m/>
    <n v="110.68470000000001"/>
    <s v=""/>
    <s v=""/>
    <s v=""/>
    <s v="-"/>
    <s v="11"/>
    <s v=""/>
    <s v=""/>
    <s v=""/>
    <s v=""/>
    <s v=""/>
    <s v="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666.28"/>
    <s v="ОООО-ОО"/>
    <n v="4000000"/>
    <n v="16515.080000000002"/>
    <n v="0"/>
    <s v=""/>
    <s v=""/>
    <n v="40862.85"/>
    <m/>
    <n v="0"/>
    <n v="1"/>
    <n v="5037576.1500000004"/>
    <n v="49857.3"/>
    <s v="10"/>
    <n v="49875.541600000004"/>
    <n v="3.02"/>
    <m/>
    <m/>
    <m/>
    <n v="243"/>
    <m/>
  </r>
  <r>
    <s v="1"/>
    <d v="2023-03-31T00:00:00"/>
    <x v="2"/>
    <s v="10131010/150623/3214240"/>
    <s v="10131010"/>
    <s v="3214240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48018.9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291.57"/>
    <n v="4124558"/>
    <n v="53934.47"/>
    <n v="91.066800000000001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143.87"/>
    <s v="ОООО-ОО"/>
    <n v="4000000"/>
    <n v="15971.07"/>
    <n v="0"/>
    <s v=""/>
    <s v=""/>
    <n v="45291.57"/>
    <n v="4124558"/>
    <n v="0"/>
    <n v="1"/>
    <n v="4548018.97"/>
    <n v="53934.47"/>
    <s v="10"/>
    <n v="53982.2166"/>
    <n v="3.38"/>
    <n v="45"/>
    <s v="2022/09 БР"/>
    <s v="БЛАГОНРАВОВА ДАРЬЯ ДМИТРИЕВНА"/>
    <n v="343"/>
    <m/>
  </r>
  <r>
    <s v="1"/>
    <d v="2023-10-01T00:00:00"/>
    <x v="1"/>
    <s v="10131010/150623/3214215"/>
    <s v="10131010"/>
    <s v="3214215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77438.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742.239999999998"/>
    <n v="3801332"/>
    <n v="49539.79"/>
    <n v="91.0668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92.03"/>
    <s v="ОООО-ОО"/>
    <n v="4000000"/>
    <n v="17092.03"/>
    <n v="0"/>
    <s v=""/>
    <s v=""/>
    <n v="41742.239999999998"/>
    <n v="3801332"/>
    <n v="0"/>
    <n v="1"/>
    <n v="4177438.1"/>
    <n v="49539.79"/>
    <s v="10"/>
    <n v="49566.886999999995"/>
    <n v="2.9"/>
    <n v="45"/>
    <s v="2022/09 БР"/>
    <s v="ЧУДИНА ЭЛЬВИРА РАИСОВНА"/>
    <n v="93"/>
    <m/>
  </r>
  <r>
    <s v="1"/>
    <d v="2023-01-03T00:00:00"/>
    <x v="5"/>
    <s v="10131010/150623/3214062"/>
    <s v="10131010"/>
    <s v="3214062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23827.5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251.64"/>
    <n v="3847722"/>
    <n v="50089.919999999998"/>
    <n v="91.066800000000001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137.55"/>
    <s v="ОООО-ОО"/>
    <n v="4000000"/>
    <n v="17137.55"/>
    <n v="0"/>
    <s v=""/>
    <s v=""/>
    <n v="42251.64"/>
    <n v="3847722"/>
    <n v="0"/>
    <n v="1"/>
    <n v="4223827.53"/>
    <n v="50089.919999999998"/>
    <s v="10"/>
    <n v="50041.645999999993"/>
    <n v="2.92"/>
    <n v="45"/>
    <s v="2022/09 БР"/>
    <s v="ОСИПОВА ТАТЬЯНА ВЛАДИМИРОВНА"/>
    <n v="150"/>
    <m/>
  </r>
  <r>
    <s v="1"/>
    <d v="2023-03-03T00:00:00"/>
    <x v="2"/>
    <s v="10131010/150523/3170532"/>
    <s v="10131010"/>
    <s v="3170532"/>
    <x v="0"/>
    <s v="40"/>
    <s v=""/>
    <s v=""/>
    <s v=""/>
    <s v="UNITED PETFOOD PRODUCERS NV"/>
    <s v="9400, , ERPE-MERE, EVENBROEKVELD 1, ,,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44745.5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7439.68"/>
    <n v="3996793"/>
    <n v="56276.1"/>
    <n v="84.25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961.75"/>
    <s v="ОООО-ОО"/>
    <n v="4000000"/>
    <n v="16961.75"/>
    <n v="0"/>
    <s v=""/>
    <s v=""/>
    <n v="47439.68"/>
    <n v="3996793"/>
    <n v="0"/>
    <n v="1"/>
    <n v="4344745.54"/>
    <n v="56276.1"/>
    <s v="10"/>
    <n v="56275.694150000003"/>
    <n v="3.3178000000000001"/>
    <n v="45"/>
    <s v="2022/09 БР"/>
    <s v="ОСИПОВА ТАТЬЯНА ВЛАДИМИРОВНА"/>
    <n v="174"/>
    <m/>
  </r>
  <r>
    <s v="1"/>
    <d v="2023-01-21T00:00:00"/>
    <x v="5"/>
    <s v="10131010/150523/3170531"/>
    <s v="10131010"/>
    <s v="3170531"/>
    <x v="0"/>
    <s v="40"/>
    <s v=""/>
    <s v=""/>
    <s v=""/>
    <s v="UNITED PETFOOD PRODUCERS NV"/>
    <s v="9400, , ERPE-MERE, EVENBROEKVELD 1, ,,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55505.9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7567.4"/>
    <n v="4007553"/>
    <n v="56415.47"/>
    <n v="84.25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68.900000000001"/>
    <s v="ОООО-ОО"/>
    <n v="4000000"/>
    <n v="16968.900000000001"/>
    <n v="0"/>
    <s v=""/>
    <s v=""/>
    <n v="47567.4"/>
    <n v="4007553"/>
    <n v="0"/>
    <n v="1"/>
    <n v="4355505.95"/>
    <n v="56415.47"/>
    <s v="10"/>
    <n v="56414.804940000009"/>
    <n v="3.3246000000000002"/>
    <n v="45"/>
    <s v="2022/09 БР"/>
    <s v="ЯШИНА АННА СЕРГЕЕВНА"/>
    <n v="21"/>
    <m/>
  </r>
  <r>
    <s v="1"/>
    <d v="2023-12-13T00:00:00"/>
    <x v="10"/>
    <s v="10131010/150323/3090643"/>
    <s v="10131010"/>
    <s v="309064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64629.2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162.49"/>
    <n v="3314371"/>
    <n v="48736.5"/>
    <n v="80.5191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77.310000000001"/>
    <s v="ОООО-ОО"/>
    <n v="4000000"/>
    <n v="16469.310000000001"/>
    <n v="0"/>
    <s v=""/>
    <s v=""/>
    <n v="41162.49"/>
    <n v="3314371"/>
    <n v="0"/>
    <n v="1"/>
    <n v="3664629.28"/>
    <n v="48736.5"/>
    <s v="10"/>
    <n v="48735.982152000004"/>
    <n v="2.9592000000000001"/>
    <n v="45"/>
    <s v="2022/09 БР"/>
    <s v="ОСИПОВА ТАТЬЯНА ВЛАДИМИРОВНА"/>
    <n v="1"/>
    <m/>
  </r>
  <r>
    <s v="1"/>
    <d v="2023-07-22T00:00:00"/>
    <x v="0"/>
    <s v="10131010/150323/3089718"/>
    <s v="10131010"/>
    <s v="308971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69512.7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981.199999999997"/>
    <n v="3219254"/>
    <n v="47471.53"/>
    <n v="80.5191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O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036.89"/>
    <s v="ОООО-ОО"/>
    <n v="4000000"/>
    <n v="15856.89"/>
    <n v="0"/>
    <s v=""/>
    <s v=""/>
    <n v="39981.199999999997"/>
    <n v="3219254"/>
    <n v="0"/>
    <n v="1"/>
    <n v="3569512.76"/>
    <n v="47471.53"/>
    <s v="10"/>
    <n v="47470.771592999998"/>
    <n v="2.9937"/>
    <n v="45"/>
    <s v="2022/09 БР"/>
    <s v="ОСИПОВА ТАТЬЯНА ВЛАДИМИРОВНА"/>
    <n v="325"/>
    <m/>
  </r>
  <r>
    <s v="1"/>
    <d v="2023-01-09T00:00:00"/>
    <x v="5"/>
    <s v="10131010/150323/3089659"/>
    <s v="10131010"/>
    <s v="3089659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332475.5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6337.339999999997"/>
    <n v="2925854"/>
    <n v="44319.14"/>
    <n v="80.5191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C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069.84"/>
    <s v="ОООО-ОО"/>
    <n v="4000000"/>
    <n v="16000.24"/>
    <n v="0"/>
    <s v=""/>
    <s v=""/>
    <n v="36337.339999999997"/>
    <n v="2925854"/>
    <n v="0"/>
    <n v="1"/>
    <n v="3332475.51"/>
    <n v="44319.14"/>
    <s v="10"/>
    <n v="44319.064775999999"/>
    <n v="2.7698999999999998"/>
    <n v="45"/>
    <s v="2022/09 БР"/>
    <s v="БЛАГОНРАВОВА ДАРЬЯ ДМИТРИЕВНА"/>
    <n v="153"/>
    <m/>
  </r>
  <r>
    <s v="1"/>
    <d v="2022-03-29T00:00:00"/>
    <x v="6"/>
    <s v="10131010/150223/3054529"/>
    <s v="10131010"/>
    <s v="3054529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07381.2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859.480000000003"/>
    <n v="3162272"/>
    <n v="47483.99"/>
    <n v="79.3354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TИМЕНТЕ:"/>
    <x v="1"/>
    <m/>
    <s v="UNITED PETFOOD PRODUCERS NV"/>
    <n v="33"/>
    <n v="0"/>
    <n v="0"/>
    <m/>
    <n v="0"/>
    <m/>
    <s v="1"/>
    <s v="2309101100"/>
    <s v=""/>
    <s v=""/>
    <s v="BE"/>
    <n v="16871.78"/>
    <s v="ОООО-ОО"/>
    <n v="4000000"/>
    <n v="16806.98"/>
    <n v="0"/>
    <s v=""/>
    <s v=""/>
    <n v="39859.480000000003"/>
    <n v="3162272"/>
    <n v="0"/>
    <n v="1"/>
    <n v="3507381.21"/>
    <n v="47483.99"/>
    <s v="10"/>
    <n v="47484.760593999999"/>
    <n v="2.8252999999999999"/>
    <n v="45"/>
    <s v="2022/09 БР"/>
    <s v="ЯШИНА АННА СЕРГЕЕВНА"/>
    <n v="182"/>
    <m/>
  </r>
  <r>
    <s v="1"/>
    <d v="2022-08-24T00:00:00"/>
    <x v="6"/>
    <s v="10131010/150223/3054524"/>
    <s v="10131010"/>
    <s v="305452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33954.6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975.839999999997"/>
    <n v="3488845"/>
    <n v="51905.24"/>
    <n v="79.3354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PТИМЕНТЕ"/>
    <x v="1"/>
    <m/>
    <s v="UNITED PETFOOD PRODUCERS NV"/>
    <n v="33"/>
    <n v="0"/>
    <n v="0"/>
    <m/>
    <n v="0"/>
    <m/>
    <s v="1"/>
    <s v="2309101100"/>
    <s v=""/>
    <s v=""/>
    <s v="BE"/>
    <n v="16799.71"/>
    <s v="ОООО-ОО"/>
    <n v="4000000"/>
    <n v="16734.91"/>
    <n v="0"/>
    <s v=""/>
    <s v=""/>
    <n v="43975.839999999997"/>
    <n v="3488845"/>
    <n v="0"/>
    <n v="1"/>
    <n v="3833954.68"/>
    <n v="51905.24"/>
    <s v="10"/>
    <n v="51904.996855999998"/>
    <n v="3.1015999999999999"/>
    <n v="45"/>
    <s v="2022/09 БР"/>
    <s v="ОСИПОВА ТАТЬЯНА ВЛАДИМИРОВНА"/>
    <n v="152"/>
    <m/>
  </r>
  <r>
    <s v="1"/>
    <d v="2023-12-23T00:00:00"/>
    <x v="10"/>
    <s v="10131010/141223/3410155"/>
    <s v="10131010"/>
    <s v="341015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79206.2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148.28"/>
    <m/>
    <m/>
    <n v="96.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36.88"/>
    <s v="ОООО-ОО"/>
    <n v="4000000"/>
    <n v="16800.88"/>
    <n v="0"/>
    <s v=""/>
    <s v=""/>
    <n v="40148.28"/>
    <m/>
    <n v="0"/>
    <n v="1"/>
    <n v="4279206.25"/>
    <n v="47603.54"/>
    <s v="10"/>
    <n v="47546.490400000002"/>
    <n v="2.83"/>
    <n v="45"/>
    <m/>
    <s v="ЧУДИНА"/>
    <n v="314"/>
    <m/>
  </r>
  <r>
    <s v="1"/>
    <d v="2023-10-24T00:00:00"/>
    <x v="1"/>
    <s v="10131010/141223/3410154"/>
    <s v="10131010"/>
    <s v="341015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3807959.4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287.56"/>
    <m/>
    <m/>
    <n v="96.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353.91"/>
    <s v="ОООО-ОО"/>
    <n v="4000000"/>
    <n v="17353.91"/>
    <n v="0"/>
    <s v=""/>
    <s v=""/>
    <n v="35287.56"/>
    <m/>
    <n v="0"/>
    <n v="1"/>
    <n v="3807959.44"/>
    <n v="42361.21"/>
    <s v="10"/>
    <n v="42343.540399999998"/>
    <n v="2.44"/>
    <n v="45"/>
    <m/>
    <s v="ДРУЗЯГИНА"/>
    <n v="317"/>
    <m/>
  </r>
  <r>
    <s v="1"/>
    <d v="2023-02-09T00:00:00"/>
    <x v="12"/>
    <s v="10131010/141223/3409763"/>
    <s v="10131010"/>
    <s v="340976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35782.3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700.379999999997"/>
    <m/>
    <m/>
    <n v="96.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СЬ.ДОПОЛНЕНИЕ"/>
    <x v="1"/>
    <m/>
    <s v="UNITED PETFOOD PRODUCERS NV"/>
    <n v="33"/>
    <n v="0"/>
    <n v="0"/>
    <m/>
    <n v="0"/>
    <m/>
    <s v="1"/>
    <s v="2309101100"/>
    <s v=""/>
    <s v=""/>
    <s v="BE"/>
    <n v="16483.36"/>
    <s v="ОООО-ОО"/>
    <n v="4000000"/>
    <n v="16405.96"/>
    <n v="0"/>
    <s v=""/>
    <s v=""/>
    <n v="39700.379999999997"/>
    <m/>
    <n v="0"/>
    <n v="1"/>
    <n v="4235782.34"/>
    <n v="47120.480000000003"/>
    <s v="10"/>
    <n v="47085.105199999998"/>
    <n v="2.87"/>
    <n v="45"/>
    <m/>
    <s v="ДРУЗЯГИНА"/>
    <n v="108"/>
    <m/>
  </r>
  <r>
    <s v="1"/>
    <d v="2023-08-03T00:00:00"/>
    <x v="8"/>
    <s v="10131010/141223/3409758"/>
    <s v="10131010"/>
    <s v="340975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14265.2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948.44"/>
    <m/>
    <m/>
    <n v="96.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475.22"/>
    <s v="ОООО-ОО"/>
    <n v="4000000"/>
    <n v="16367.22"/>
    <n v="0"/>
    <s v=""/>
    <s v=""/>
    <n v="38948.44"/>
    <m/>
    <n v="0"/>
    <n v="1"/>
    <n v="4214265.26"/>
    <n v="46881.11"/>
    <s v="10"/>
    <n v="46810.249199999998"/>
    <n v="2.86"/>
    <n v="45"/>
    <m/>
    <s v="ЧУДИНА"/>
    <n v="42"/>
    <m/>
  </r>
  <r>
    <s v="1"/>
    <d v="2023-09-26T00:00:00"/>
    <x v="4"/>
    <s v="10131010/141123/3376317"/>
    <s v="10131010"/>
    <s v="337631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58095.5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285.24"/>
    <m/>
    <m/>
    <n v="98.53140000000000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39.64"/>
    <s v="ОООО-ОО"/>
    <n v="4000000"/>
    <n v="16467.64"/>
    <n v="0"/>
    <s v=""/>
    <s v=""/>
    <n v="43285.24"/>
    <m/>
    <n v="0"/>
    <n v="1"/>
    <n v="4658095.59"/>
    <n v="50566.34"/>
    <s v="10"/>
    <n v="50555.654799999997"/>
    <n v="3.07"/>
    <n v="45"/>
    <m/>
    <s v="БЛАГОНРАВОВА"/>
    <n v="544"/>
    <m/>
  </r>
  <r>
    <s v="1"/>
    <d v="2023-05-14T00:00:00"/>
    <x v="9"/>
    <s v="10131010/141123/3376312"/>
    <s v="10131010"/>
    <s v="337631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14516.6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828.050000000003"/>
    <m/>
    <m/>
    <n v="98.53140000000000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4751.7"/>
    <s v="ОООО-ОО"/>
    <n v="4000000"/>
    <n v="14557.3"/>
    <n v="0"/>
    <s v=""/>
    <s v=""/>
    <n v="41828.050000000003"/>
    <m/>
    <m/>
    <n v="1"/>
    <n v="4514516.62"/>
    <n v="49007.71"/>
    <s v="10"/>
    <n v="49058.101000000002"/>
    <n v="3.37"/>
    <n v="45"/>
    <m/>
    <s v="ЯШИНА"/>
    <n v="152"/>
    <m/>
  </r>
  <r>
    <s v="1"/>
    <d v="2023-01-25T00:00:00"/>
    <x v="5"/>
    <s v="10131010/141123/3375669"/>
    <s v="10131010"/>
    <s v="337566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90404.5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598.239999999998"/>
    <m/>
    <m/>
    <n v="98.531400000000005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4869.76"/>
    <s v="ОООО-ОО"/>
    <n v="4000000"/>
    <n v="14563.76"/>
    <n v="0"/>
    <s v=""/>
    <s v=""/>
    <n v="42598.239999999998"/>
    <m/>
    <n v="0"/>
    <n v="1"/>
    <n v="4590404.51"/>
    <n v="49831.519999999997"/>
    <s v="10"/>
    <n v="49808.059200000003"/>
    <n v="3.42"/>
    <n v="45"/>
    <m/>
    <s v="ЧУДИНА"/>
    <n v="288"/>
    <m/>
  </r>
  <r>
    <s v="1"/>
    <d v="2022-03-03T00:00:00"/>
    <x v="6"/>
    <s v="10131010/141123/3375605"/>
    <s v="10131010"/>
    <s v="337560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33264.6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6943.800000000003"/>
    <m/>
    <m/>
    <n v="98.53140000000000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4767.2"/>
    <s v="ОООО-ОО"/>
    <n v="4000000"/>
    <n v="14320.8"/>
    <n v="0"/>
    <s v=""/>
    <s v=""/>
    <n v="36943.800000000003"/>
    <m/>
    <n v="0"/>
    <n v="1"/>
    <n v="4033264.63"/>
    <n v="43783.44"/>
    <s v="10"/>
    <n v="43821.648000000001"/>
    <n v="3.06"/>
    <n v="45"/>
    <m/>
    <s v="ОСИПОВА"/>
    <n v="4"/>
    <m/>
  </r>
  <r>
    <s v="1"/>
    <d v="2023-10-08T00:00:00"/>
    <x v="1"/>
    <s v="10131010/140923/5025278"/>
    <s v="10131010"/>
    <s v="502527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92717.5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564.04"/>
    <m/>
    <m/>
    <n v="103.1066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m/>
    <m/>
    <m/>
    <m/>
    <m/>
    <s v="1"/>
    <s v="2309101100"/>
    <s v=""/>
    <s v=""/>
    <s v="BE"/>
    <n v="16563.849999999999"/>
    <s v="ОООО-ОО"/>
    <n v="4000000"/>
    <n v="16434.25"/>
    <m/>
    <s v=""/>
    <s v=""/>
    <n v="35564.04"/>
    <m/>
    <n v="0"/>
    <n v="1"/>
    <n v="4092717.51"/>
    <n v="42641.62"/>
    <s v="10"/>
    <n v="42564.707499999997"/>
    <n v="2.59"/>
    <n v="45"/>
    <m/>
    <s v="БЛАГОНРАВОВА"/>
    <n v="288"/>
    <m/>
  </r>
  <r>
    <s v="1"/>
    <d v="2023-08-29T00:00:00"/>
    <x v="8"/>
    <s v="10131010/140923/5025244"/>
    <s v="10131010"/>
    <s v="502524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86521.80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172.52"/>
    <m/>
    <m/>
    <n v="103.1066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6913.98"/>
    <s v="ОООО-ОО"/>
    <n v="4000000"/>
    <n v="16877.98"/>
    <m/>
    <s v=""/>
    <s v=""/>
    <n v="46172.52"/>
    <m/>
    <n v="0"/>
    <n v="1"/>
    <n v="5186521.8099999996"/>
    <n v="54037.86"/>
    <s v="10"/>
    <n v="54009.536"/>
    <n v="3.2"/>
    <n v="45"/>
    <m/>
    <s v="ДРУЗЯГИНА"/>
    <n v="131"/>
    <m/>
  </r>
  <r>
    <s v="1"/>
    <d v="2022-05-11T00:00:00"/>
    <x v="6"/>
    <s v="10131010/140823/3281437"/>
    <s v="10131010"/>
    <s v="3281437"/>
    <x v="0"/>
    <s v="40"/>
    <s v=""/>
    <s v=""/>
    <s v=""/>
    <s v="UNITED PETFOOD PRODUCERS NV"/>
    <s v="9400, , ERPE-MERE, EVENBROEKVELD 1,"/>
    <s v=""/>
    <s v=""/>
    <m/>
    <m/>
    <n v="1"/>
    <n v="33"/>
    <s v=""/>
    <s v="7,7010044847"/>
    <s v="ИП ЭСТРИН КИРИЛЛ ВАДИМОВИЧ"/>
    <s v="129085, РОССИЯ, МОСКВА, ПРОСПЕКТ МИРА, Д.81, КВ.101"/>
    <s v="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13711.7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452.839999999997"/>
    <m/>
    <m/>
    <n v="107.9723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BE"/>
    <n v="16456.330000000002"/>
    <s v="ОООО-ОО"/>
    <n v="4000000"/>
    <n v="16326.73"/>
    <n v="0"/>
    <s v=""/>
    <s v=""/>
    <n v="40452.839999999997"/>
    <m/>
    <n v="0"/>
    <n v="1"/>
    <n v="4813711.78"/>
    <n v="49016.17"/>
    <s v="10"/>
    <n v="48980.19"/>
    <n v="3"/>
    <m/>
    <m/>
    <m/>
    <n v="314"/>
    <m/>
  </r>
  <r>
    <s v="1"/>
    <d v="2022-03-14T00:00:00"/>
    <x v="6"/>
    <s v="10131010/140823/3280785"/>
    <s v="10131010"/>
    <s v="3280785"/>
    <x v="0"/>
    <s v="40"/>
    <s v=""/>
    <s v=""/>
    <s v=""/>
    <s v="UNITED PETFOOD PRODUCERS NV"/>
    <s v="9400, , ERPE-MERE, EVENBROEKVELD 1,"/>
    <s v=""/>
    <s v=""/>
    <m/>
    <m/>
    <n v="1"/>
    <n v="33"/>
    <s v=""/>
    <s v="7,7010044847"/>
    <s v="ИП ЭСТРИН КИРИЛЛ ВАДИМОВИЧ"/>
    <s v="129085, РОССИЯ, МОСКВА, ПРОСПЕКТ МИРА, Д.81, КВ.101"/>
    <s v="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137430.0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3451"/>
    <m/>
    <m/>
    <n v="107.9723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608.900000000001"/>
    <s v="ОООО-ОО"/>
    <n v="4000000"/>
    <n v="16518.91"/>
    <n v="0"/>
    <s v=""/>
    <s v=""/>
    <n v="43451"/>
    <m/>
    <n v="0"/>
    <n v="1"/>
    <n v="5137430.01"/>
    <n v="52312.47"/>
    <s v="10"/>
    <n v="52364.9447"/>
    <n v="3.17"/>
    <m/>
    <m/>
    <m/>
    <n v="70"/>
    <m/>
  </r>
  <r>
    <s v="1"/>
    <d v="2022-04-11T00:00:00"/>
    <x v="6"/>
    <s v="10131010/140823/3280778"/>
    <s v="10131010"/>
    <s v="3280778"/>
    <x v="0"/>
    <s v="40"/>
    <s v=""/>
    <s v=""/>
    <s v=""/>
    <s v="UNITED PETFOOD PRODUCERS NV"/>
    <s v="9400, , ERPE-MERE, EVENBROEKVELD 1,"/>
    <s v=""/>
    <s v=""/>
    <m/>
    <m/>
    <n v="1"/>
    <n v="33"/>
    <s v=""/>
    <s v="7,7010044847"/>
    <s v="ИП ЭСТРИН КИРИЛЛ ВАДИМОВИЧ"/>
    <s v="129085, РОССИЯ, МОСКВА, ПРОСПЕКТ МИРА, Д.81, КВ.101"/>
    <s v="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86379.6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199.699999999997"/>
    <m/>
    <m/>
    <n v="107.9723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BE"/>
    <n v="16436.060000000001"/>
    <s v="ОООО-ОО"/>
    <n v="4000000"/>
    <n v="16328.06"/>
    <n v="0"/>
    <s v=""/>
    <s v=""/>
    <n v="40199.699999999997"/>
    <m/>
    <n v="0"/>
    <n v="1"/>
    <n v="4786379.67"/>
    <n v="48737.86"/>
    <s v="10"/>
    <n v="48657.618799999997"/>
    <n v="2.98"/>
    <m/>
    <m/>
    <m/>
    <n v="229"/>
    <m/>
  </r>
  <r>
    <s v="1"/>
    <d v="2022-11-19T00:00:00"/>
    <x v="6"/>
    <s v="10131010/140823/3280767"/>
    <s v="10131010"/>
    <s v="3280767"/>
    <x v="0"/>
    <s v="40"/>
    <s v=""/>
    <s v=""/>
    <s v=""/>
    <s v="UNITED PETFOOD PRODUCERS NV"/>
    <s v="9400, , ERPE-MERE, EVENBROEKVELD 1,"/>
    <s v=""/>
    <s v=""/>
    <m/>
    <m/>
    <n v="1"/>
    <n v="33"/>
    <s v=""/>
    <s v="7,7010044847"/>
    <s v="ИП ЭСТРИН КИРИЛЛ ВАДИМОВИЧ"/>
    <s v="129085, РОССИЯ, МОСКВА, ПРОСПЕКТ МИРА, Д.81, КВ.101"/>
    <s v="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595451.7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7173.03"/>
    <m/>
    <m/>
    <n v="107.9723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286.36"/>
    <s v="ОООО-ОО"/>
    <n v="4000000"/>
    <n v="16243.16"/>
    <n v="0"/>
    <s v=""/>
    <s v=""/>
    <n v="47173.03"/>
    <m/>
    <n v="0"/>
    <n v="1"/>
    <n v="5595451.75"/>
    <n v="56976.33"/>
    <s v="10"/>
    <n v="57013.491599999994"/>
    <n v="3.51"/>
    <m/>
    <m/>
    <m/>
    <n v="243"/>
    <m/>
  </r>
  <r>
    <s v="1"/>
    <d v="2022-07-10T00:00:00"/>
    <x v="6"/>
    <s v="10131010/140823/3280759"/>
    <s v="10131010"/>
    <s v="3280759"/>
    <x v="0"/>
    <s v="40"/>
    <s v=""/>
    <s v=""/>
    <s v=""/>
    <s v="UNITED PETFOOD PRODUCERS NV"/>
    <s v="9400, , ERPE-MERE, EVENBROEKVELD 1,"/>
    <s v=""/>
    <s v=""/>
    <m/>
    <m/>
    <n v="1"/>
    <n v="33"/>
    <s v=""/>
    <s v="7,7010044847"/>
    <s v="ИП ЭСТРИН КИРИЛЛ ВАДИМОВИЧ"/>
    <s v="129085, РОССИЯ, МОСКВА, ПРОСПЕКТ МИРА, Д.81, КВ.101"/>
    <s v="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128114.1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3364.72"/>
    <m/>
    <m/>
    <n v="107.9723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6244.42"/>
    <s v="ОООО-ОО"/>
    <n v="4000000"/>
    <n v="16181.46"/>
    <n v="0"/>
    <s v=""/>
    <s v=""/>
    <n v="43364.72"/>
    <m/>
    <n v="0"/>
    <n v="1"/>
    <n v="5128114.16"/>
    <n v="52217.61"/>
    <s v="10"/>
    <n v="52266.1158"/>
    <n v="3.23"/>
    <m/>
    <m/>
    <m/>
    <n v="211"/>
    <m/>
  </r>
  <r>
    <s v="1"/>
    <d v="2022-11-14T00:00:00"/>
    <x v="6"/>
    <s v="10131010/140823/3280755"/>
    <s v="10131010"/>
    <s v="3280755"/>
    <x v="0"/>
    <s v="40"/>
    <s v=""/>
    <s v=""/>
    <s v=""/>
    <s v="UNITED PETFOOD PRODUCERS NV"/>
    <s v="9400, , ERPE-MERE, EVENBROEKVELD 1,"/>
    <s v=""/>
    <s v=""/>
    <m/>
    <m/>
    <n v="1"/>
    <n v="33"/>
    <s v=""/>
    <s v="7,7010044847"/>
    <s v="ИП ЭСТРИН КИРИЛЛ ВАДИМОВИЧ"/>
    <s v="129085, РОССИЯ, МОСКВА, ПРОСПЕКТ МИРА, Д.81, КВ.101"/>
    <s v="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27907.30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36879.660000000003"/>
    <m/>
    <m/>
    <n v="107.9723"/>
    <s v=""/>
    <s v=""/>
    <s v=""/>
    <s v="-"/>
    <s v="11"/>
    <s v=""/>
    <s v=""/>
    <s v=""/>
    <s v=""/>
    <s v=""/>
    <s v="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5028.89"/>
    <s v="ОООО-ОО"/>
    <n v="4000000"/>
    <n v="14640.09"/>
    <n v="0"/>
    <s v=""/>
    <s v=""/>
    <n v="36879.660000000003"/>
    <m/>
    <n v="0"/>
    <n v="1"/>
    <n v="4427907.3099999996"/>
    <n v="45087.68"/>
    <s v="10"/>
    <n v="45091.477200000001"/>
    <n v="3.08"/>
    <m/>
    <m/>
    <m/>
    <n v="571"/>
    <m/>
  </r>
  <r>
    <s v="1"/>
    <d v="2023-11-17T00:00:00"/>
    <x v="7"/>
    <s v="10131010/140823/3280750"/>
    <s v="10131010"/>
    <s v="3280750"/>
    <x v="0"/>
    <s v="40"/>
    <s v=""/>
    <s v=""/>
    <s v=""/>
    <s v="UNITED PETFOOD PRODUCERS NV"/>
    <s v="9400, , ERPE-MERE, EVENBROEKVELD 1,"/>
    <s v=""/>
    <s v=""/>
    <m/>
    <m/>
    <n v="1"/>
    <n v="33"/>
    <s v=""/>
    <s v="7,7010044847"/>
    <s v="ИП ЭСТРИН КИРИЛЛ ВАДИМОВИЧ"/>
    <s v="129085, РОССИЯ, МОСКВА, ПРОСПЕКТ МИРА, Д.81, КВ.101"/>
    <s v="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095934.0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3066.68"/>
    <m/>
    <m/>
    <n v="107.9723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BE"/>
    <n v="16049.48"/>
    <s v="ОООО-ОО"/>
    <n v="4000000"/>
    <n v="15923.48"/>
    <n v="0"/>
    <s v=""/>
    <s v=""/>
    <n v="43066.68"/>
    <m/>
    <n v="0"/>
    <n v="1"/>
    <n v="5095934.09"/>
    <n v="51889.93"/>
    <s v="10"/>
    <n v="51910.544799999996"/>
    <n v="3.26"/>
    <m/>
    <m/>
    <m/>
    <n v="42"/>
    <m/>
  </r>
  <r>
    <s v="1"/>
    <d v="2023-11-19T00:00:00"/>
    <x v="7"/>
    <s v="10131010/140823/3280729"/>
    <s v="10131010"/>
    <s v="3280729"/>
    <x v="0"/>
    <s v="40"/>
    <s v=""/>
    <s v=""/>
    <s v=""/>
    <s v="UNITED PETFOOD PRODUCERS NV"/>
    <s v="9400, , ERPE-MERE, EVENBROEKVELD 1,"/>
    <s v=""/>
    <s v=""/>
    <m/>
    <m/>
    <n v="1"/>
    <n v="33"/>
    <s v=""/>
    <s v="7,7010044847"/>
    <s v="ИП ЭСТРИН КИРИЛЛ ВАДИМОВИЧ"/>
    <s v="129085, РОССИЯ, МОСКВА, ПРОСПЕКТ МИРА, Д.81, КВ.101"/>
    <s v="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49242.2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781.910000000003"/>
    <m/>
    <m/>
    <n v="107.9723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BE"/>
    <n v="16610.77"/>
    <s v="ОООО-ОО"/>
    <n v="4000000"/>
    <n v="16502.77"/>
    <n v="0"/>
    <s v=""/>
    <s v=""/>
    <n v="40781.910000000003"/>
    <m/>
    <n v="0"/>
    <n v="1"/>
    <n v="4849242.22"/>
    <n v="49377.97"/>
    <s v="10"/>
    <n v="49343.282300000006"/>
    <n v="2.99"/>
    <m/>
    <m/>
    <m/>
    <n v="36"/>
    <m/>
  </r>
  <r>
    <s v="1"/>
    <d v="2023-02-08T00:00:00"/>
    <x v="12"/>
    <s v="10131010/140723/3250549"/>
    <s v="10131010"/>
    <s v="3250549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64162.8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197.16"/>
    <n v="4248359"/>
    <n v="51723.06"/>
    <n v="100.678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KТОВ, В АССОРТИМЕНТЕ:"/>
    <x v="1"/>
    <m/>
    <s v="UNITED PETFOOD PRODUCERS NV"/>
    <n v="33"/>
    <n v="0"/>
    <n v="0"/>
    <m/>
    <n v="0"/>
    <m/>
    <s v="1"/>
    <s v="2309101100"/>
    <s v=""/>
    <s v=""/>
    <s v="BE"/>
    <n v="17221.55"/>
    <s v="ОООО-ОО"/>
    <n v="4000000"/>
    <n v="17221.55"/>
    <n v="0"/>
    <s v=""/>
    <s v=""/>
    <n v="42197.16"/>
    <n v="4248359"/>
    <n v="0"/>
    <n v="1"/>
    <n v="4664162.87"/>
    <n v="51723.06"/>
    <s v="10"/>
    <n v="51664.649999999994"/>
    <n v="3"/>
    <n v="45"/>
    <s v="2022/09 БР"/>
    <s v="ЯШИНА АННА СЕРГЕЕВНА"/>
    <n v="80"/>
    <m/>
  </r>
  <r>
    <s v="1"/>
    <d v="2023-11-27T00:00:00"/>
    <x v="7"/>
    <s v="10131010/140723/3250535"/>
    <s v="10131010"/>
    <s v="3250535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31924.1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156.72"/>
    <n v="4445646"/>
    <n v="54692.39"/>
    <n v="100.678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X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099.11"/>
    <s v="ОООО-ОО"/>
    <n v="4000000"/>
    <n v="17063.11"/>
    <n v="0"/>
    <s v=""/>
    <s v=""/>
    <n v="44156.72"/>
    <n v="4445646"/>
    <n v="0"/>
    <n v="1"/>
    <n v="4931924.18"/>
    <n v="54692.39"/>
    <s v="10"/>
    <n v="54772.583100000003"/>
    <n v="3.21"/>
    <n v="45"/>
    <s v="2022/09 БР"/>
    <s v="ЧУДИНА ЭЛЬВИРА РАИСОВНА"/>
    <n v="544"/>
    <m/>
  </r>
  <r>
    <s v="1"/>
    <d v="2023-07-11T00:00:00"/>
    <x v="0"/>
    <s v="10131010/140723/3250532"/>
    <s v="10131010"/>
    <s v="3250532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49486.5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031.16"/>
    <n v="4533683"/>
    <n v="54887.14"/>
    <n v="100.678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HИЯ МОЛОЧНЫХ ПРОДУКТОВ, В АССОРТИМЕНТЕ,В АССОРТИМЕНТЕ"/>
    <x v="1"/>
    <m/>
    <s v="UNITED PETFOOD PRODUCERS NV"/>
    <n v="33"/>
    <n v="0"/>
    <n v="0"/>
    <m/>
    <n v="0"/>
    <m/>
    <s v="1"/>
    <s v="2309101100"/>
    <s v=""/>
    <s v=""/>
    <s v="BE"/>
    <n v="16989.57"/>
    <s v="ОООО-ОО"/>
    <n v="4000000"/>
    <n v="16989.57"/>
    <n v="0"/>
    <s v=""/>
    <s v=""/>
    <n v="45031.16"/>
    <n v="4533683"/>
    <n v="0"/>
    <n v="1"/>
    <n v="4949486.59"/>
    <n v="54887.14"/>
    <s v="10"/>
    <n v="54876.311099999999"/>
    <n v="3.23"/>
    <n v="45"/>
    <s v="2022/09 БР"/>
    <s v="ОСИПОВА ТАТЬЯНА ВЛАДИМИРОВНА"/>
    <n v="144"/>
    <m/>
  </r>
  <r>
    <s v="1"/>
    <d v="2023-04-28T00:00:00"/>
    <x v="3"/>
    <s v="10131010/140623/3213549"/>
    <s v="10131010"/>
    <s v="3213549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24046.2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388.76"/>
    <n v="3650736"/>
    <n v="48111.22"/>
    <n v="90.3898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895.79"/>
    <s v="ОООО-ОО"/>
    <n v="4000000"/>
    <n v="15730.79"/>
    <n v="0"/>
    <s v=""/>
    <s v=""/>
    <n v="40388.76"/>
    <n v="3650736"/>
    <n v="0"/>
    <n v="1"/>
    <n v="4024046.27"/>
    <n v="48111.22"/>
    <s v="10"/>
    <n v="48136.217400000001"/>
    <n v="3.06"/>
    <n v="45"/>
    <s v="2022/09 БР"/>
    <s v="ДРУЗЯГИНА ИРИНА НИКОЛАЕВНА"/>
    <n v="579"/>
    <m/>
  </r>
  <r>
    <s v="1"/>
    <d v="2023-07-27T00:00:00"/>
    <x v="0"/>
    <s v="10131010/140623/3213310"/>
    <s v="10131010"/>
    <s v="3213310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54041.8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145.88"/>
    <n v="4080732"/>
    <n v="53252.21"/>
    <n v="90.3898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7029.580000000002"/>
    <s v="ОООО-ОО"/>
    <n v="4000000"/>
    <n v="17029.580000000002"/>
    <n v="0"/>
    <s v=""/>
    <s v=""/>
    <n v="45145.88"/>
    <n v="4080732"/>
    <n v="0"/>
    <n v="1"/>
    <n v="4454041.87"/>
    <n v="53252.21"/>
    <s v="10"/>
    <n v="53302.585400000004"/>
    <n v="3.13"/>
    <n v="45"/>
    <s v="2022/09 БР"/>
    <s v="БЛАГОНРАВОВА ДАРЬЯ ДМИТРИЕВНА"/>
    <n v="42"/>
    <m/>
  </r>
  <r>
    <s v="1"/>
    <d v="2023-06-04T00:00:00"/>
    <x v="11"/>
    <s v="10131010/140623/3213242"/>
    <s v="10131010"/>
    <s v="3213242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91810.23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457.4"/>
    <n v="4018500"/>
    <n v="52508.18"/>
    <n v="90.3898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85.439999999999"/>
    <s v="ОООО-ОО"/>
    <n v="4000000"/>
    <n v="16885.439999999999"/>
    <n v="0"/>
    <s v=""/>
    <s v=""/>
    <n v="44457.4"/>
    <n v="4018500"/>
    <n v="0"/>
    <n v="1"/>
    <n v="4391810.2300000004"/>
    <n v="52508.18"/>
    <s v="10"/>
    <n v="52513.718399999991"/>
    <n v="3.11"/>
    <n v="45"/>
    <s v="2022/09 БР"/>
    <s v="ЧУДИНА ЭЛЬВИРА РАИСОВНА"/>
    <n v="343"/>
    <m/>
  </r>
  <r>
    <s v="1"/>
    <d v="2023-11-19T00:00:00"/>
    <x v="7"/>
    <s v="10131010/140423/3130978"/>
    <s v="10131010"/>
    <s v="3130978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3527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006.77"/>
    <n v="3780756"/>
    <n v="51854.7"/>
    <n v="90.003500000000003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801.9"/>
    <s v="ОООО-ОО"/>
    <n v="4000000"/>
    <n v="15654.3"/>
    <n v="0"/>
    <s v=""/>
    <s v=""/>
    <n v="42006.77"/>
    <n v="3780756"/>
    <n v="0"/>
    <n v="1"/>
    <n v="4235274"/>
    <n v="51854.7"/>
    <s v="10"/>
    <n v="51854.868749999994"/>
    <n v="3.3125"/>
    <n v="45"/>
    <s v="2022/09 БР"/>
    <s v="ДРУЗЯГИНА ИРИНА НИКОЛАЕВНА"/>
    <n v="229"/>
    <m/>
  </r>
  <r>
    <s v="1"/>
    <d v="2023-06-08T00:00:00"/>
    <x v="11"/>
    <s v="10131010/140323/3088938"/>
    <s v="10131010"/>
    <s v="308893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37318.1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493.919999999998"/>
    <n v="3586664"/>
    <n v="52176.93"/>
    <n v="80.6102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CСОРТИМЕНТЕ:"/>
    <x v="1"/>
    <m/>
    <s v="UNITED PETFOOD PRODUCERS NV"/>
    <n v="33"/>
    <n v="0"/>
    <n v="0"/>
    <m/>
    <n v="0"/>
    <m/>
    <s v="1"/>
    <s v="2309101100"/>
    <s v=""/>
    <s v=""/>
    <s v="BE"/>
    <n v="15313.3"/>
    <s v="ОООО-ОО"/>
    <n v="4000000"/>
    <n v="15129.7"/>
    <n v="0"/>
    <s v=""/>
    <s v=""/>
    <n v="44493.919999999998"/>
    <n v="3586664"/>
    <n v="0"/>
    <n v="1"/>
    <n v="3937318.16"/>
    <n v="52176.93"/>
    <s v="10"/>
    <n v="52176.28342"/>
    <n v="3.4485999999999999"/>
    <n v="45"/>
    <s v="2022/09 БР"/>
    <s v="ДРУЗЯГИНА ИРИНА НИКОЛАЕВНА"/>
    <n v="546"/>
    <m/>
  </r>
  <r>
    <s v="1"/>
    <d v="2023-12-30T00:00:00"/>
    <x v="10"/>
    <s v="10131010/140323/3088580"/>
    <s v="10131010"/>
    <s v="308858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33444.9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483.72"/>
    <n v="3182791"/>
    <n v="46824.84"/>
    <n v="80.6102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055.92"/>
    <s v="ОООО-ОО"/>
    <n v="4000000"/>
    <n v="15836.32"/>
    <n v="0"/>
    <s v=""/>
    <s v=""/>
    <n v="39483.72"/>
    <n v="3182791"/>
    <n v="0"/>
    <n v="1"/>
    <n v="3533444.94"/>
    <n v="46824.84"/>
    <s v="10"/>
    <n v="46824.830975999997"/>
    <n v="2.9567999999999999"/>
    <n v="45"/>
    <s v="2022/09 БР"/>
    <s v="БЛАГОНРАВОВА ДАРЬЯ ДМИТРИЕВНА"/>
    <n v="140"/>
    <m/>
  </r>
  <r>
    <s v="1"/>
    <d v="2023-09-10T00:00:00"/>
    <x v="4"/>
    <s v="10131010/140323/3087737"/>
    <s v="10131010"/>
    <s v="3087737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51343.4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465.22"/>
    <n v="3100689"/>
    <n v="45736.84"/>
    <n v="80.6102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X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490.05"/>
    <s v="ОООО-ОО"/>
    <n v="4000000"/>
    <n v="16446.849999999999"/>
    <n v="0"/>
    <s v=""/>
    <s v=""/>
    <n v="38465.22"/>
    <n v="3100689"/>
    <n v="0"/>
    <n v="1"/>
    <n v="3451343.45"/>
    <n v="45736.84"/>
    <s v="10"/>
    <n v="45737.045164999996"/>
    <n v="2.7808999999999999"/>
    <n v="45"/>
    <s v="2022/09 БР"/>
    <s v="ЯШИНА АННА СЕРГЕЕВНА"/>
    <n v="163"/>
    <m/>
  </r>
  <r>
    <s v="1"/>
    <d v="2022-08-27T00:00:00"/>
    <x v="6"/>
    <s v="10131010/140223/3053017"/>
    <s v="10131010"/>
    <s v="3053017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85884.2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501.88"/>
    <n v="3343665"/>
    <n v="50059.07"/>
    <n v="78.6710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P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869.98"/>
    <s v="ОООО-ОО"/>
    <n v="4000000"/>
    <n v="16812.38"/>
    <n v="0"/>
    <s v=""/>
    <s v=""/>
    <n v="42501.88"/>
    <n v="3343665"/>
    <n v="0"/>
    <n v="1"/>
    <n v="3685884.25"/>
    <n v="50059.07"/>
    <s v="10"/>
    <n v="50058.861450000004"/>
    <n v="2.9775"/>
    <n v="45"/>
    <s v="2022/09 БР"/>
    <s v="ДРУЗЯГИНА ИРИНА НИКОЛАЕВНА"/>
    <n v="568"/>
    <m/>
  </r>
  <r>
    <s v="1"/>
    <d v="2022-02-08T00:00:00"/>
    <x v="6"/>
    <s v="10131010/140223/3052398"/>
    <s v="10131010"/>
    <s v="305239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26311.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015.76"/>
    <n v="3384093"/>
    <n v="50608.13"/>
    <n v="78.6710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E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833.05"/>
    <s v="ОООО-ОО"/>
    <n v="4000000"/>
    <n v="16779.05"/>
    <n v="0"/>
    <s v=""/>
    <s v=""/>
    <n v="43015.76"/>
    <n v="3384093"/>
    <n v="0"/>
    <n v="1"/>
    <n v="3726311.7"/>
    <n v="50608.13"/>
    <s v="10"/>
    <n v="50607.292704999993"/>
    <n v="3.0160999999999998"/>
    <n v="45"/>
    <s v="2022/09 БР"/>
    <s v="ЯШИНА АННА СЕРГЕЕВНА"/>
    <n v="68"/>
    <m/>
  </r>
  <r>
    <s v="1"/>
    <d v="2022-03-14T00:00:00"/>
    <x v="6"/>
    <s v="10131010/140223/3052310"/>
    <s v="10131010"/>
    <s v="3052310"/>
    <x v="0"/>
    <s v="40"/>
    <s v=""/>
    <s v=""/>
    <s v=""/>
    <s v="UNITED PETFOOD PRODUCERS NV"/>
    <s v="9400, , ERPE-MERE, EVENBROEKVELD 1,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01225.9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510.239999999998"/>
    <n v="3659007"/>
    <n v="54341.82"/>
    <n v="78.6710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,В АССОРТИМЕНТЕ"/>
    <x v="1"/>
    <m/>
    <s v="UNITED PETFOOD PRODUCERS NV"/>
    <n v="38"/>
    <n v="0"/>
    <n v="0"/>
    <m/>
    <n v="0"/>
    <m/>
    <s v="1"/>
    <s v="2309101100"/>
    <s v=""/>
    <s v=""/>
    <s v="BE"/>
    <n v="19681.93"/>
    <s v="ОООО-ОО"/>
    <n v="4000000"/>
    <n v="19617.13"/>
    <n v="0"/>
    <s v=""/>
    <s v=""/>
    <n v="46510.239999999998"/>
    <n v="3659007"/>
    <n v="0"/>
    <n v="1"/>
    <n v="4001225.94"/>
    <n v="54341.82"/>
    <s v="10"/>
    <n v="54341.411812999999"/>
    <n v="2.7700999999999998"/>
    <n v="45"/>
    <s v="2022/09 БР"/>
    <s v="ЧУДИНА ЭЛЬВИРА РАИСОВНА"/>
    <n v="282"/>
    <m/>
  </r>
  <r>
    <s v="1"/>
    <d v="2022-04-25T00:00:00"/>
    <x v="6"/>
    <s v="10131010/140123/5000189"/>
    <s v="10131010"/>
    <s v="5000189"/>
    <x v="0"/>
    <s v="40"/>
    <s v=""/>
    <s v=""/>
    <s v=""/>
    <s v="UNITED PETFOOD PRODUCERS"/>
    <s v="9042, TERDONKKAAI, 16, GENT, BE"/>
    <s v=""/>
    <s v=""/>
    <n v="1"/>
    <m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182376.41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0008.54"/>
    <n v="2925148"/>
    <n v="47094.41"/>
    <n v="73.1131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m/>
    <m/>
    <m/>
    <m/>
    <s v="1"/>
    <s v="2309101100"/>
    <s v=""/>
    <s v=""/>
    <s v="BE"/>
    <n v="17072.66"/>
    <s v="ОООО-ОО"/>
    <n v="4000000"/>
    <n v="16982.66"/>
    <m/>
    <s v=""/>
    <s v=""/>
    <n v="40008.54"/>
    <n v="2925148"/>
    <n v="0"/>
    <n v="1"/>
    <n v="3182376.41"/>
    <n v="47094.41"/>
    <s v="10"/>
    <n v="47094.614446"/>
    <n v="2.7730999999999999"/>
    <n v="941"/>
    <s v="0770/СПБ/329"/>
    <s v="ДАШКИН АЛЕКСЕЙ ХАЛИМОВИЧ"/>
    <n v="560"/>
    <m/>
  </r>
  <r>
    <s v="1"/>
    <d v="2022-07-22T00:00:00"/>
    <x v="6"/>
    <s v="10131010/140123/5000187"/>
    <s v="10131010"/>
    <s v="5000187"/>
    <x v="1"/>
    <s v="40"/>
    <s v=""/>
    <s v=""/>
    <s v=""/>
    <s v="UNITED PETFOOD PRODUCERS"/>
    <s v="9042, TERDONKKAAI, 16, GENT, BE"/>
    <s v=""/>
    <s v=""/>
    <n v="1"/>
    <m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279996.29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1343.730000000003"/>
    <n v="3022768"/>
    <n v="48539.040000000001"/>
    <n v="73.1131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m/>
    <m/>
    <m/>
    <m/>
    <s v="1"/>
    <s v="2309101100"/>
    <s v=""/>
    <s v=""/>
    <s v="BE"/>
    <n v="17243.75"/>
    <s v="ОООО-ОО"/>
    <n v="4000000"/>
    <n v="17243.75"/>
    <m/>
    <s v=""/>
    <s v=""/>
    <n v="41343.730000000003"/>
    <n v="3022768"/>
    <n v="0"/>
    <n v="1"/>
    <n v="3279996.29"/>
    <n v="48539.040000000001"/>
    <s v="10"/>
    <n v="48539.431875000002"/>
    <n v="2.8149000000000002"/>
    <n v="941"/>
    <s v="0770/СПБ/329"/>
    <s v="ДАШКИН АЛЕКСЕЙ ХАЛИМОВИЧ"/>
    <n v="560"/>
    <m/>
  </r>
  <r>
    <s v="1"/>
    <d v="2022-03-05T00:00:00"/>
    <x v="6"/>
    <s v="10131010/140123/3011540"/>
    <s v="10131010"/>
    <s v="3011540"/>
    <x v="1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718204.77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7337.3"/>
    <n v="3460977"/>
    <n v="55023.87"/>
    <n v="73.1131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646.240000000002"/>
    <s v="ОООО-ОО"/>
    <n v="4000000"/>
    <n v="16484.240000000002"/>
    <n v="0"/>
    <s v=""/>
    <s v=""/>
    <n v="47337.3"/>
    <n v="3460977"/>
    <n v="0"/>
    <n v="1"/>
    <n v="3718204.77"/>
    <n v="55023.87"/>
    <s v="10"/>
    <n v="55024.393120000008"/>
    <n v="3.3380000000000001"/>
    <n v="941"/>
    <s v="0770/СПБ/329"/>
    <s v="ДАШКИН АЛЕКСЕЙ ХАЛИМОВИЧ"/>
    <n v="1"/>
    <m/>
  </r>
  <r>
    <s v="1"/>
    <d v="2022-01-25T00:00:00"/>
    <x v="6"/>
    <s v="10131010/140123/3011515"/>
    <s v="10131010"/>
    <s v="3011515"/>
    <x v="1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2984409.53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7300.86"/>
    <n v="2727182"/>
    <n v="44164.800000000003"/>
    <n v="73.1131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КОШЕК И СОБАК Т.М. &quot;PREMIER&quot;,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5075.84"/>
    <s v="ОООО-ОО"/>
    <n v="4000000"/>
    <n v="14804.65"/>
    <n v="0"/>
    <s v=""/>
    <s v=""/>
    <n v="37300.86"/>
    <n v="2727182"/>
    <n v="0"/>
    <n v="1"/>
    <n v="2984409.53"/>
    <n v="44164.800000000003"/>
    <s v="10"/>
    <n v="44165.231879999999"/>
    <n v="2.9832000000000001"/>
    <n v="941"/>
    <s v="0770/СПБ/329"/>
    <s v="ДАШКИН АЛЕКСЕЙ ХАЛИМОВИЧ"/>
    <n v="564"/>
    <m/>
  </r>
  <r>
    <s v="1"/>
    <d v="2022-12-25T00:00:00"/>
    <x v="6"/>
    <s v="10131010/140123/3011420"/>
    <s v="10131010"/>
    <s v="3011420"/>
    <x v="1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611028.28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5871.4"/>
    <n v="3353800"/>
    <n v="53437.81"/>
    <n v="73.1131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475.37"/>
    <s v="ОООО-ОО"/>
    <n v="4000000"/>
    <n v="16274.37"/>
    <n v="0"/>
    <s v=""/>
    <s v=""/>
    <n v="45871.4"/>
    <n v="3353800"/>
    <n v="0"/>
    <n v="1"/>
    <n v="3611028.28"/>
    <n v="53437.81"/>
    <s v="10"/>
    <n v="53438.521331999997"/>
    <n v="3.2835999999999999"/>
    <n v="941"/>
    <s v="0770/СПБ/329"/>
    <s v="ДАШКИН АЛЕКСЕЙ ХАЛИМОВИЧ"/>
    <n v="46"/>
    <m/>
  </r>
  <r>
    <s v="1"/>
    <d v="2022-04-25T00:00:00"/>
    <x v="6"/>
    <s v="10131010/140123/3011417"/>
    <s v="10131010"/>
    <s v="3011417"/>
    <x v="1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329381.99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2019.199999999997"/>
    <n v="3072154"/>
    <n v="49269.87"/>
    <n v="73.113100000000003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053.52"/>
    <s v="ОООО-ОО"/>
    <n v="4000000"/>
    <n v="17053.52"/>
    <n v="0"/>
    <s v=""/>
    <s v=""/>
    <n v="42019.199999999997"/>
    <n v="3072154"/>
    <n v="0"/>
    <n v="1"/>
    <n v="3329381.99"/>
    <n v="49269.87"/>
    <s v="10"/>
    <n v="49269.324632000003"/>
    <n v="2.8891"/>
    <n v="941"/>
    <s v="0770/СПБ/329"/>
    <s v="ДАШКИН АЛЕКСЕЙ ХАЛИМОВИЧ"/>
    <n v="210"/>
    <m/>
  </r>
  <r>
    <s v="1"/>
    <d v="2023-11-05T00:00:00"/>
    <x v="7"/>
    <s v="10131010/131223/3408436"/>
    <s v="10131010"/>
    <s v="3408436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3977677.4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6847.32"/>
    <m/>
    <m/>
    <n v="97.403000000000006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718.8"/>
    <s v="ОООО-ОО"/>
    <n v="4000000"/>
    <n v="16589.2"/>
    <n v="0"/>
    <s v=""/>
    <s v=""/>
    <n v="36847.32"/>
    <m/>
    <n v="0"/>
    <n v="1"/>
    <n v="3977677.48"/>
    <n v="44090.7"/>
    <s v="10"/>
    <n v="44127.272000000004"/>
    <n v="2.66"/>
    <n v="45"/>
    <m/>
    <s v="ОСИПОВА"/>
    <n v="286"/>
    <m/>
  </r>
  <r>
    <s v="1"/>
    <d v="2023-07-24T00:00:00"/>
    <x v="0"/>
    <s v="10131010/131123/3374669"/>
    <s v="10131010"/>
    <s v="3374669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09430.51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859.800000000003"/>
    <m/>
    <m/>
    <n v="98.315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974.78"/>
    <s v="ОООО-ОО"/>
    <n v="4000000"/>
    <n v="16866.78"/>
    <n v="0"/>
    <s v=""/>
    <s v=""/>
    <n v="40859.800000000003"/>
    <m/>
    <n v="0"/>
    <n v="1"/>
    <n v="4409430.5199999996"/>
    <n v="47900.74"/>
    <s v="10"/>
    <n v="47901.655199999994"/>
    <n v="2.84"/>
    <n v="45"/>
    <m/>
    <s v="ЯШИНА"/>
    <n v="15"/>
    <m/>
  </r>
  <r>
    <s v="1"/>
    <d v="2022-06-19T00:00:00"/>
    <x v="6"/>
    <s v="10131010/131123/3374529"/>
    <s v="10131010"/>
    <s v="3374529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63985.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466.1"/>
    <m/>
    <m/>
    <n v="98.315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043.330000000002"/>
    <s v="ОООО-ОО"/>
    <n v="4000000"/>
    <n v="16986.330000000002"/>
    <n v="0"/>
    <s v=""/>
    <s v=""/>
    <n v="44466.1"/>
    <m/>
    <n v="0"/>
    <n v="1"/>
    <n v="4763985.7"/>
    <n v="51752.36"/>
    <s v="10"/>
    <n v="51808.306499999999"/>
    <n v="3.05"/>
    <n v="45"/>
    <m/>
    <s v="БЛАГОНРАВОВА"/>
    <n v="180"/>
    <m/>
  </r>
  <r>
    <s v="1"/>
    <d v="2022-02-16T00:00:00"/>
    <x v="6"/>
    <s v="10131010/131123/3374215"/>
    <s v="10131010"/>
    <s v="3374215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91720.4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7799.6"/>
    <m/>
    <m/>
    <n v="98.315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412.16"/>
    <s v="ОООО-ОО"/>
    <n v="4000000"/>
    <n v="16412.16"/>
    <n v="0"/>
    <s v=""/>
    <s v=""/>
    <n v="47799.6"/>
    <m/>
    <n v="0"/>
    <n v="1"/>
    <n v="5091720.42"/>
    <n v="55312.62"/>
    <s v="10"/>
    <n v="55308.979200000002"/>
    <n v="3.37"/>
    <n v="45"/>
    <m/>
    <s v="ДРУЗЯГИНА"/>
    <n v="152"/>
    <m/>
  </r>
  <r>
    <s v="1"/>
    <d v="2023-06-29T00:00:00"/>
    <x v="11"/>
    <s v="10131010/131023/3344230"/>
    <s v="10131010"/>
    <s v="3344230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500152.549999999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9391.4"/>
    <m/>
    <m/>
    <n v="103.03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52.560000000001"/>
    <s v="ОООО-ОО"/>
    <n v="4000000"/>
    <n v="16444.560000000001"/>
    <n v="0"/>
    <s v=""/>
    <s v=""/>
    <n v="49391.4"/>
    <m/>
    <n v="0"/>
    <n v="1"/>
    <n v="5500152.5499999998"/>
    <n v="56705.64"/>
    <s v="10"/>
    <n v="56733.732000000011"/>
    <n v="3.45"/>
    <n v="45"/>
    <m/>
    <s v="ОСИПОВА"/>
    <n v="597"/>
    <m/>
  </r>
  <r>
    <s v="1"/>
    <d v="2022-09-15T00:00:00"/>
    <x v="6"/>
    <s v="10131010/131023/3344230"/>
    <s v="10131010"/>
    <s v="3344230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500152.549999999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9391.4"/>
    <m/>
    <m/>
    <n v="103.03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52.560000000001"/>
    <s v="ОООО-ОО"/>
    <n v="4000000"/>
    <n v="16444.560000000001"/>
    <n v="0"/>
    <s v=""/>
    <s v=""/>
    <n v="49391.4"/>
    <m/>
    <n v="0"/>
    <n v="1"/>
    <n v="5500152.5499999998"/>
    <n v="56705.64"/>
    <s v="10"/>
    <n v="56733.732000000011"/>
    <n v="3.45"/>
    <n v="45"/>
    <m/>
    <s v="ОСИПОВА"/>
    <n v="597"/>
    <m/>
  </r>
  <r>
    <s v="1"/>
    <d v="2023-11-07T00:00:00"/>
    <x v="7"/>
    <s v="10131010/130923/5025050"/>
    <s v="10131010"/>
    <s v="5025050"/>
    <x v="1"/>
    <s v="40"/>
    <s v=""/>
    <s v=""/>
    <s v=""/>
    <s v="UNITED PETFOOD PRODUCERS NV"/>
    <s v="9400, , ERPE-MERE, EVENBROEKVELD 1,"/>
    <s v=""/>
    <s v=""/>
    <n v="1"/>
    <m/>
    <n v="1"/>
    <n v="33"/>
    <s v=""/>
    <s v="7,7010044847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07995.5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524.69"/>
    <m/>
    <m/>
    <n v="101.5646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6417.71"/>
    <s v="ОООО-ОО"/>
    <n v="4000000"/>
    <n v="16252.11"/>
    <m/>
    <s v=""/>
    <s v=""/>
    <n v="41524.69"/>
    <m/>
    <n v="0"/>
    <n v="1"/>
    <n v="4707995.55"/>
    <n v="49713"/>
    <s v="10"/>
    <n v="49731.456600000005"/>
    <n v="3.06"/>
    <n v="45"/>
    <m/>
    <s v="ДРУЗЯГИНА"/>
    <m/>
    <m/>
  </r>
  <r>
    <s v="1"/>
    <d v="2023-08-10T00:00:00"/>
    <x v="8"/>
    <s v="10131010/130923/5024964"/>
    <s v="10131010"/>
    <s v="5024964"/>
    <x v="1"/>
    <s v="40"/>
    <s v=""/>
    <s v=""/>
    <s v=""/>
    <s v="UNITED PETFOOD PRODUCERS NV"/>
    <s v="9400, , ERPE-MERE, EVENBROEKVELD 1,"/>
    <s v=""/>
    <s v=""/>
    <n v="1"/>
    <m/>
    <n v="1"/>
    <n v="33"/>
    <s v=""/>
    <s v="7,7010044847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31509.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564.04"/>
    <m/>
    <m/>
    <n v="101.5646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6563.849999999999"/>
    <s v="ОООО-ОО"/>
    <n v="4000000"/>
    <n v="16434.25"/>
    <m/>
    <s v=""/>
    <s v=""/>
    <n v="35564.04"/>
    <m/>
    <n v="0"/>
    <n v="1"/>
    <n v="4031509.3"/>
    <n v="42569.8"/>
    <s v="10"/>
    <n v="42564.707499999997"/>
    <n v="2.59"/>
    <n v="45"/>
    <m/>
    <s v="ЯШИНА"/>
    <n v="134"/>
    <m/>
  </r>
  <r>
    <s v="1"/>
    <d v="2023-07-02T00:00:00"/>
    <x v="0"/>
    <s v="10131010/130923/5024964"/>
    <s v="10131010"/>
    <s v="5024964"/>
    <x v="1"/>
    <s v="40"/>
    <s v=""/>
    <s v=""/>
    <s v=""/>
    <s v="UNITED PETFOOD PRODUCERS NV"/>
    <s v="9400, , ERPE-MERE, EVENBROEKVELD 1,"/>
    <s v=""/>
    <s v=""/>
    <n v="1"/>
    <m/>
    <n v="1"/>
    <n v="33"/>
    <s v=""/>
    <s v="7,7010044847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31509.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564.04"/>
    <m/>
    <m/>
    <n v="101.5646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6563.849999999999"/>
    <s v="ОООО-ОО"/>
    <n v="4000000"/>
    <n v="16434.25"/>
    <m/>
    <s v=""/>
    <s v=""/>
    <n v="35564.04"/>
    <m/>
    <n v="0"/>
    <n v="1"/>
    <n v="4031509.3"/>
    <n v="42569.8"/>
    <s v="10"/>
    <n v="42564.707499999997"/>
    <n v="2.59"/>
    <n v="45"/>
    <m/>
    <s v="ЯШИНА"/>
    <n v="134"/>
    <m/>
  </r>
  <r>
    <s v="1"/>
    <d v="2023-02-25T00:00:00"/>
    <x v="12"/>
    <s v="10131010/130923/5024962"/>
    <s v="10131010"/>
    <s v="5024962"/>
    <x v="1"/>
    <s v="40"/>
    <s v=""/>
    <s v=""/>
    <s v=""/>
    <s v="UNITED PETFOOD PRODUCERS NV"/>
    <s v="9400, , ERPE-MERE, EVENBROEKVELD 1,"/>
    <s v=""/>
    <s v=""/>
    <n v="1"/>
    <m/>
    <n v="1"/>
    <n v="33"/>
    <s v=""/>
    <s v="7,7010044847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85600.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927.16"/>
    <m/>
    <m/>
    <n v="101.5646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m/>
    <m/>
    <m/>
    <m/>
    <m/>
    <s v="1"/>
    <s v="2309101100"/>
    <s v=""/>
    <s v=""/>
    <s v="BE"/>
    <n v="16189.49"/>
    <s v="ОООО-ОО"/>
    <n v="4000000"/>
    <n v="16081.49"/>
    <m/>
    <s v=""/>
    <s v=""/>
    <n v="46927.16"/>
    <m/>
    <n v="0"/>
    <n v="1"/>
    <n v="5185600.03"/>
    <n v="54756.160000000003"/>
    <s v="10"/>
    <n v="54677.065999999999"/>
    <n v="3.4"/>
    <n v="45"/>
    <m/>
    <s v="ЧУДИНА"/>
    <n v="365"/>
    <m/>
  </r>
  <r>
    <s v="1"/>
    <d v="2023-12-19T00:00:00"/>
    <x v="10"/>
    <s v="10131010/130923/5024962"/>
    <s v="10131010"/>
    <s v="5024962"/>
    <x v="1"/>
    <s v="40"/>
    <s v=""/>
    <s v=""/>
    <s v=""/>
    <s v="UNITED PETFOOD PRODUCERS NV"/>
    <s v="9400, , ERPE-MERE, EVENBROEKVELD 1,"/>
    <s v=""/>
    <s v=""/>
    <n v="1"/>
    <m/>
    <n v="1"/>
    <n v="33"/>
    <s v=""/>
    <s v="7,7010044847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85600.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927.16"/>
    <m/>
    <m/>
    <n v="101.5646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m/>
    <m/>
    <m/>
    <m/>
    <m/>
    <s v="1"/>
    <s v="2309101100"/>
    <s v=""/>
    <s v=""/>
    <s v="BE"/>
    <n v="16189.49"/>
    <s v="ОООО-ОО"/>
    <n v="4000000"/>
    <n v="16081.49"/>
    <m/>
    <s v=""/>
    <s v=""/>
    <n v="46927.16"/>
    <m/>
    <n v="0"/>
    <n v="1"/>
    <n v="5185600.03"/>
    <n v="54756.160000000003"/>
    <s v="10"/>
    <n v="54677.065999999999"/>
    <n v="3.4"/>
    <n v="45"/>
    <m/>
    <s v="ЧУДИНА"/>
    <n v="365"/>
    <m/>
  </r>
  <r>
    <s v="1"/>
    <d v="2023-10-07T00:00:00"/>
    <x v="1"/>
    <s v="10131010/130923/3311371"/>
    <s v="10131010"/>
    <s v="3311371"/>
    <x v="1"/>
    <s v="40"/>
    <s v=""/>
    <s v=""/>
    <s v=""/>
    <s v="UNITED PETFOOD PRODUCERS NV"/>
    <s v="9400, , ERPE-MERE, EVENBROEKVELD 1,"/>
    <s v=""/>
    <s v=""/>
    <n v="1"/>
    <m/>
    <n v="1"/>
    <n v="33"/>
    <s v=""/>
    <s v="7,7010044847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92002.1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428.839999999997"/>
    <m/>
    <m/>
    <n v="101.5646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64.89"/>
    <s v="ОООО-ОО"/>
    <n v="4000000"/>
    <n v="16556.89"/>
    <n v="0"/>
    <s v=""/>
    <s v=""/>
    <n v="37428.839999999997"/>
    <m/>
    <n v="0"/>
    <n v="1"/>
    <n v="4292002.18"/>
    <n v="45320.42"/>
    <s v="10"/>
    <n v="45365.878600000004"/>
    <n v="2.74"/>
    <n v="45"/>
    <m/>
    <s v="ЧУДИНА"/>
    <n v="121"/>
    <m/>
  </r>
  <r>
    <s v="1"/>
    <d v="2023-05-05T00:00:00"/>
    <x v="9"/>
    <s v="10131010/130923/3311369"/>
    <s v="10131010"/>
    <s v="3311369"/>
    <x v="1"/>
    <s v="40"/>
    <s v=""/>
    <s v=""/>
    <s v=""/>
    <s v="UNITED PETFOOD PRODUCERS NV"/>
    <s v="9400, , ERPE-MERE, EVENBROEKVELD 1,"/>
    <s v=""/>
    <s v=""/>
    <n v="1"/>
    <m/>
    <n v="1"/>
    <n v="33"/>
    <s v=""/>
    <s v="7,7010044847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98585.5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612.04"/>
    <m/>
    <m/>
    <n v="101.5646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84.439999999999"/>
    <s v="ОООО-ОО"/>
    <n v="4000000"/>
    <n v="16630.439999999999"/>
    <n v="0"/>
    <s v=""/>
    <s v=""/>
    <n v="41612.04"/>
    <m/>
    <n v="0"/>
    <n v="1"/>
    <n v="4698585.59"/>
    <n v="49613.64"/>
    <s v="10"/>
    <n v="49558.711199999998"/>
    <n v="2.98"/>
    <n v="45"/>
    <m/>
    <s v="ЯШИНА"/>
    <n v="246"/>
    <m/>
  </r>
  <r>
    <s v="1"/>
    <d v="2022-03-16T00:00:00"/>
    <x v="6"/>
    <s v="10131010/130923/3311369"/>
    <s v="10131010"/>
    <s v="3311369"/>
    <x v="1"/>
    <s v="40"/>
    <s v=""/>
    <s v=""/>
    <s v=""/>
    <s v="UNITED PETFOOD PRODUCERS NV"/>
    <s v="9400, , ERPE-MERE, EVENBROEKVELD 1,"/>
    <s v=""/>
    <s v=""/>
    <n v="1"/>
    <m/>
    <n v="1"/>
    <n v="33"/>
    <s v=""/>
    <s v="7,7010044847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98585.5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612.04"/>
    <m/>
    <m/>
    <n v="101.5646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84.439999999999"/>
    <s v="ОООО-ОО"/>
    <n v="4000000"/>
    <n v="16630.439999999999"/>
    <n v="0"/>
    <s v=""/>
    <s v=""/>
    <n v="41612.04"/>
    <m/>
    <n v="0"/>
    <n v="1"/>
    <n v="4698585.59"/>
    <n v="49613.64"/>
    <s v="10"/>
    <n v="49558.711199999998"/>
    <n v="2.98"/>
    <n v="45"/>
    <m/>
    <s v="ЯШИНА"/>
    <n v="246"/>
    <m/>
  </r>
  <r>
    <s v="1"/>
    <d v="2023-03-11T00:00:00"/>
    <x v="2"/>
    <s v="10131010/130723/5007641"/>
    <s v="10131010"/>
    <s v="5007641"/>
    <x v="1"/>
    <s v="40"/>
    <s v=""/>
    <s v=""/>
    <s v=""/>
    <s v="UNITED PETFOOD PRODUCERS NV"/>
    <s v="9400, , ERPE-MERE, EVENBROEKVELD 1, ,,"/>
    <s v=""/>
    <s v=""/>
    <n v="1"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20072.26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119.839999999997"/>
    <n v="4007531"/>
    <n v="48773.05"/>
    <n v="99.88899999999999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B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6056.65"/>
    <s v="ОООО-ОО"/>
    <n v="4000000"/>
    <n v="15905.44"/>
    <m/>
    <s v=""/>
    <s v=""/>
    <n v="40119.839999999997"/>
    <n v="4007531"/>
    <n v="0"/>
    <n v="1"/>
    <n v="4420072.2699999996"/>
    <n v="48773.05"/>
    <s v="10"/>
    <n v="48829.700799999999"/>
    <n v="3.07"/>
    <n v="45"/>
    <s v="2022/09 БР"/>
    <s v="ОСИПОВА ТАТЬЯНА ВЛАДИМИРОВНА"/>
    <n v="140"/>
    <m/>
  </r>
  <r>
    <s v="1"/>
    <d v="2023-03-02T00:00:00"/>
    <x v="2"/>
    <s v="10131010/130723/3250136"/>
    <s v="10131010"/>
    <s v="3250136"/>
    <x v="1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01720.6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936.120000000003"/>
    <n v="3989179"/>
    <n v="48570.55"/>
    <n v="99.8889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780.740000000002"/>
    <s v="ОООО-ОО"/>
    <n v="4000000"/>
    <n v="16672.740000000002"/>
    <n v="0"/>
    <s v=""/>
    <s v=""/>
    <n v="39936.120000000003"/>
    <n v="3989179"/>
    <n v="0"/>
    <n v="1"/>
    <n v="4401720.66"/>
    <n v="48570.55"/>
    <s v="10"/>
    <n v="48517.673400000007"/>
    <n v="2.91"/>
    <n v="45"/>
    <s v="2022/09 БР"/>
    <s v="ЯШИНА АННА СЕРГЕЕВНА"/>
    <n v="108"/>
    <m/>
  </r>
  <r>
    <s v="1"/>
    <d v="2023-07-25T00:00:00"/>
    <x v="0"/>
    <s v="10131010/130723/3250132"/>
    <s v="10131010"/>
    <s v="3250132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42611.84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348.82"/>
    <n v="4330070"/>
    <n v="52332.1"/>
    <n v="99.8889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930.75"/>
    <s v="ОООО-ОО"/>
    <n v="4000000"/>
    <n v="16930.75"/>
    <n v="0"/>
    <s v=""/>
    <s v=""/>
    <n v="43348.82"/>
    <n v="4330070"/>
    <n v="0"/>
    <n v="1"/>
    <n v="4742611.8499999996"/>
    <n v="52332.1"/>
    <s v="10"/>
    <n v="52316.017499999994"/>
    <n v="3.09"/>
    <n v="45"/>
    <s v="2022/09 БР"/>
    <s v="ОСИПОВА ТАТЬЯНА ВЛАДИМИРОВНА"/>
    <n v="368"/>
    <m/>
  </r>
  <r>
    <s v="1"/>
    <d v="2023-04-25T00:00:00"/>
    <x v="3"/>
    <s v="10131010/130723/3249921"/>
    <s v="10131010"/>
    <s v="3249921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107883.9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7005.599999999999"/>
    <n v="4695342"/>
    <n v="56362.67"/>
    <n v="99.8889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РАСФАСОВАННЫЙ ДЛЯ РОЗНИЧНОЙ ПРОДАЖИ,БЕЗ СОДЕРЖАНИЯ КРАХМАЛА,БЕЗ СОДЕРЖАНИЯ МОЛОЧНЫХ ПРОДУКТОВ,В АССОРТИМЕНТЕ:"/>
    <x v="1"/>
    <m/>
    <s v="UNITED PETFOOD PRODUCERS NV"/>
    <n v="33"/>
    <n v="0"/>
    <n v="0"/>
    <m/>
    <n v="0"/>
    <m/>
    <s v="1"/>
    <s v="2309101100"/>
    <s v=""/>
    <s v=""/>
    <s v="BE"/>
    <n v="17081.82"/>
    <s v="ОООО-ОО"/>
    <n v="4000000"/>
    <n v="17081.82"/>
    <n v="0"/>
    <s v=""/>
    <s v=""/>
    <n v="47005.599999999999"/>
    <n v="4695342"/>
    <n v="0"/>
    <n v="1"/>
    <n v="5107883.95"/>
    <n v="56362.67"/>
    <s v="10"/>
    <n v="56370.005999999994"/>
    <n v="3.3"/>
    <n v="45"/>
    <s v="2022/09 БР"/>
    <s v="ЧУДИНА ЭЛЬВИРА РАИСОВНА"/>
    <n v="150"/>
    <m/>
  </r>
  <r>
    <s v="1"/>
    <d v="2023-11-08T00:00:00"/>
    <x v="7"/>
    <s v="10131010/130723/3249277"/>
    <s v="10131010"/>
    <s v="3249277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94053.1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859.360000000001"/>
    <n v="3981512"/>
    <n v="48485.94"/>
    <n v="99.8889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639.61"/>
    <s v="ОООО-ОО"/>
    <n v="4000000"/>
    <n v="16586.810000000001"/>
    <n v="0"/>
    <s v=""/>
    <s v=""/>
    <n v="39859.360000000001"/>
    <n v="3981512"/>
    <n v="0"/>
    <n v="1"/>
    <n v="4394053.18"/>
    <n v="48485.94"/>
    <s v="10"/>
    <n v="48433.485200000003"/>
    <n v="2.92"/>
    <n v="45"/>
    <s v="2022/09 БР"/>
    <s v="ЯШИНА АННА СЕРГЕЕВНА"/>
    <n v="571"/>
    <m/>
  </r>
  <r>
    <s v="1"/>
    <d v="2023-03-09T00:00:00"/>
    <x v="2"/>
    <s v="10131010/130623/3211532"/>
    <s v="10131010"/>
    <s v="3211532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36539.9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345"/>
    <n v="3768946"/>
    <n v="50053.91"/>
    <n v="89.0057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85.439999999999"/>
    <s v="ОООО-ОО"/>
    <n v="4000000"/>
    <n v="16885.439999999999"/>
    <n v="0"/>
    <s v=""/>
    <s v=""/>
    <n v="42345"/>
    <n v="3768946"/>
    <n v="0"/>
    <n v="1"/>
    <n v="4136539.91"/>
    <n v="50053.91"/>
    <s v="10"/>
    <n v="49980.902399999999"/>
    <n v="2.96"/>
    <n v="45"/>
    <s v="2022/09 БР"/>
    <s v="ДРУЗЯГИНА ИРИНА НИКОЛАЕВНА"/>
    <n v="340"/>
    <m/>
  </r>
  <r>
    <s v="1"/>
    <d v="2023-03-26T00:00:00"/>
    <x v="2"/>
    <s v="10131010/130623/3211158"/>
    <s v="10131010"/>
    <s v="3211158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57559.4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581.16"/>
    <n v="3789966"/>
    <n v="50308.25"/>
    <n v="89.0057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942.490000000002"/>
    <s v="ОООО-ОО"/>
    <n v="4000000"/>
    <n v="16942.490000000002"/>
    <n v="0"/>
    <s v=""/>
    <s v=""/>
    <n v="42581.16"/>
    <n v="3789966"/>
    <n v="0"/>
    <n v="1"/>
    <n v="4157559.49"/>
    <n v="50308.25"/>
    <s v="10"/>
    <n v="50319.195300000007"/>
    <n v="2.97"/>
    <n v="45"/>
    <s v="2022/09 БР"/>
    <s v="БЛАГОНРАВОВА ДАРЬЯ ДМИТРИЕВНА"/>
    <n v="144"/>
    <m/>
  </r>
  <r>
    <s v="1"/>
    <d v="2023-09-15T00:00:00"/>
    <x v="4"/>
    <s v="10131010/130623/3211001"/>
    <s v="10131010"/>
    <s v="3211001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31198.94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012.04"/>
    <n v="3917322"/>
    <n v="52409.36"/>
    <n v="89.0057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13.37"/>
    <s v="ОООО-ОО"/>
    <n v="4000000"/>
    <n v="16677.37"/>
    <n v="0"/>
    <s v=""/>
    <s v=""/>
    <n v="44012.04"/>
    <n v="3917322"/>
    <n v="0"/>
    <n v="1"/>
    <n v="4331198.9400000004"/>
    <n v="52409.36"/>
    <s v="10"/>
    <n v="52366.941800000001"/>
    <n v="3.14"/>
    <n v="45"/>
    <s v="2022/09 БР"/>
    <s v="ЧУДИНА ЭЛЬВИРА РАИСОВНА"/>
    <n v="169"/>
    <m/>
  </r>
  <r>
    <s v="1"/>
    <d v="2023-08-11T00:00:00"/>
    <x v="8"/>
    <s v="10131010/130623/3210794"/>
    <s v="10131010"/>
    <s v="3210794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89932.3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068.4"/>
    <n v="3922339"/>
    <n v="51910.02"/>
    <n v="89.0057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856.759999999998"/>
    <s v="ОООО-ОО"/>
    <n v="4000000"/>
    <n v="16791.96"/>
    <n v="0"/>
    <s v=""/>
    <s v=""/>
    <n v="44068.4"/>
    <n v="3922339"/>
    <n v="0"/>
    <n v="1"/>
    <n v="4289932.33"/>
    <n v="51910.02"/>
    <s v="10"/>
    <n v="51887.156399999993"/>
    <n v="3.09"/>
    <n v="45"/>
    <s v="2022/09 БР"/>
    <s v="ЯШИНА АННА СЕРГЕЕВНА"/>
    <n v="80"/>
    <m/>
  </r>
  <r>
    <s v="1"/>
    <d v="2023-05-01T00:00:00"/>
    <x v="9"/>
    <s v="10131010/130623/3210748"/>
    <s v="10131010"/>
    <s v="3210748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49306.5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091.96"/>
    <n v="3835430"/>
    <n v="51418.43"/>
    <n v="89.00570000000000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43.55"/>
    <s v="ОООО-ОО"/>
    <n v="4000000"/>
    <n v="16489.55"/>
    <n v="0"/>
    <s v=""/>
    <s v=""/>
    <n v="43091.96"/>
    <n v="3835430"/>
    <n v="0"/>
    <n v="1"/>
    <n v="4249306.57"/>
    <n v="51418.43"/>
    <s v="10"/>
    <n v="51447.396000000001"/>
    <n v="3.12"/>
    <n v="45"/>
    <s v="2022/09 БР"/>
    <s v="БЛАГОНРАВОВА ДАРЬЯ ДМИТРИЕВНА"/>
    <n v="238"/>
    <m/>
  </r>
  <r>
    <s v="1"/>
    <d v="2023-03-07T00:00:00"/>
    <x v="2"/>
    <s v="10131010/130623/3210274"/>
    <s v="10131010"/>
    <s v="3210274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70290.8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724.2"/>
    <n v="3802697"/>
    <n v="50462.31"/>
    <n v="89.00570000000000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143.68"/>
    <s v="ОООО-ОО"/>
    <n v="4000000"/>
    <n v="17143.68"/>
    <n v="0"/>
    <s v=""/>
    <s v=""/>
    <n v="42724.2"/>
    <n v="3802697"/>
    <n v="0"/>
    <n v="1"/>
    <n v="4170290.87"/>
    <n v="50462.31"/>
    <s v="10"/>
    <n v="50402.419199999997"/>
    <n v="2.94"/>
    <n v="45"/>
    <s v="2022/09 БР"/>
    <s v="ЯШИНА АННА СЕРГЕЕВНА"/>
    <n v="127"/>
    <m/>
  </r>
  <r>
    <s v="1"/>
    <d v="2023-07-11T00:00:00"/>
    <x v="0"/>
    <s v="10131010/130623/3210242"/>
    <s v="10131010"/>
    <s v="3210242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75291.5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656.86"/>
    <n v="3707698"/>
    <n v="49312.77"/>
    <n v="89.00570000000000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656.29"/>
    <s v="ОООО-ОО"/>
    <n v="4000000"/>
    <n v="16548.29"/>
    <n v="0"/>
    <s v=""/>
    <s v=""/>
    <n v="41656.86"/>
    <n v="3707698"/>
    <n v="0"/>
    <n v="1"/>
    <n v="4075291.52"/>
    <n v="49312.77"/>
    <s v="10"/>
    <n v="49313.904200000004"/>
    <n v="2.98"/>
    <n v="45"/>
    <s v="2022/09 БР"/>
    <s v="ЧУДИНА ЭЛЬВИРА РАИСОВНА"/>
    <n v="555"/>
    <m/>
  </r>
  <r>
    <s v="1"/>
    <d v="2023-02-03T00:00:00"/>
    <x v="12"/>
    <s v="10131010/130623/3210236"/>
    <s v="10131010"/>
    <s v="3210236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81914.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278.32"/>
    <n v="3852017"/>
    <n v="51813"/>
    <n v="89.00570000000000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875.13"/>
    <s v="ОООО-ОО"/>
    <n v="4000000"/>
    <n v="16831.93"/>
    <n v="0"/>
    <s v=""/>
    <s v=""/>
    <n v="43278.32"/>
    <n v="3852017"/>
    <n v="0"/>
    <n v="1"/>
    <n v="4281914.7"/>
    <n v="51813"/>
    <s v="10"/>
    <n v="51842.344400000002"/>
    <n v="3.08"/>
    <n v="45"/>
    <s v="2022/09 БР"/>
    <s v="ДРУЗЯГИНА ИРИНА НИКОЛАЕВНА"/>
    <n v="220"/>
    <m/>
  </r>
  <r>
    <s v="1"/>
    <d v="2023-07-07T00:00:00"/>
    <x v="0"/>
    <s v="10131010/130423/3129967"/>
    <s v="10131010"/>
    <s v="3129967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50631.8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119.66"/>
    <n v="3960176"/>
    <n v="52996.12"/>
    <n v="89.75990000000000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22.98"/>
    <s v="ОООО-ОО"/>
    <n v="4000000"/>
    <n v="16822.98"/>
    <n v="0"/>
    <s v=""/>
    <s v=""/>
    <n v="44119.66"/>
    <n v="3960176"/>
    <n v="0"/>
    <n v="1"/>
    <n v="4350631.84"/>
    <n v="52996.12"/>
    <s v="10"/>
    <n v="52995.751595999995"/>
    <n v="3.1501999999999999"/>
    <n v="45"/>
    <s v="2022/09 БР"/>
    <s v="ОСИПОВА ТАТЬЯНА ВЛАДИМИРОВНА"/>
    <n v="182"/>
    <m/>
  </r>
  <r>
    <s v="1"/>
    <d v="2023-03-22T00:00:00"/>
    <x v="2"/>
    <s v="10131010/130423/3129934"/>
    <s v="10131010"/>
    <s v="3129934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78520.8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202.2"/>
    <n v="3788065"/>
    <n v="50899.6"/>
    <n v="89.75990000000000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852.69"/>
    <s v="ОООО-ОО"/>
    <n v="4000000"/>
    <n v="15728.49"/>
    <n v="0"/>
    <s v=""/>
    <s v=""/>
    <n v="42202.2"/>
    <n v="3788065"/>
    <n v="0"/>
    <n v="1"/>
    <n v="4178520.82"/>
    <n v="50899.6"/>
    <s v="10"/>
    <n v="50898.966488999999"/>
    <n v="3.2361"/>
    <n v="45"/>
    <s v="2022/09 БР"/>
    <s v="ОСИПОВА ТАТЬЯНА ВЛАДИМИРОВНА"/>
    <n v="178"/>
    <m/>
  </r>
  <r>
    <s v="1"/>
    <d v="2023-08-16T00:00:00"/>
    <x v="8"/>
    <s v="10131010/130423/3129768"/>
    <s v="10131010"/>
    <s v="3129768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88725.0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201.800000000003"/>
    <n v="3698269"/>
    <n v="49805.77"/>
    <n v="89.75990000000000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90.84"/>
    <s v="ОООО-ОО"/>
    <n v="4000000"/>
    <n v="16533.240000000002"/>
    <n v="0"/>
    <s v=""/>
    <s v=""/>
    <n v="41201.800000000003"/>
    <n v="3698269"/>
    <n v="0"/>
    <n v="1"/>
    <n v="4088725.02"/>
    <n v="49805.77"/>
    <s v="10"/>
    <n v="49806.385500000011"/>
    <n v="3.0125000000000002"/>
    <n v="45"/>
    <s v="2022/09 БР"/>
    <s v="ЧУДИНА ЭЛЬВИРА РАИСОВНА"/>
    <n v="169"/>
    <m/>
  </r>
  <r>
    <s v="1"/>
    <d v="2023-11-22T00:00:00"/>
    <x v="7"/>
    <s v="10131010/130423/3129766"/>
    <s v="10131010"/>
    <s v="3129766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34499.2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439.93"/>
    <n v="3899164"/>
    <n v="52799.61"/>
    <n v="89.75990000000000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604.02"/>
    <s v="ОООО-ОО"/>
    <n v="4000000"/>
    <n v="16539.22"/>
    <n v="0"/>
    <s v=""/>
    <s v=""/>
    <n v="43439.93"/>
    <n v="3899164"/>
    <n v="0"/>
    <n v="1"/>
    <n v="4334499.29"/>
    <n v="52799.61"/>
    <s v="10"/>
    <n v="52799.805928000009"/>
    <n v="3.1924000000000001"/>
    <n v="45"/>
    <s v="2022/09 БР"/>
    <s v="БЛАГОНРАВОВА ДАРЬЯ ДМИТРИЕВНА"/>
    <n v="196"/>
    <m/>
  </r>
  <r>
    <s v="1"/>
    <d v="2023-01-26T00:00:00"/>
    <x v="5"/>
    <s v="10131010/130323/3087103"/>
    <s v="10131010"/>
    <s v="308710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96777.4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641.769999999997"/>
    <n v="3106833"/>
    <n v="46046.22"/>
    <n v="80.40089999999999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54.41"/>
    <s v="ОООО-ОО"/>
    <n v="4000000"/>
    <n v="16742.810000000001"/>
    <n v="0"/>
    <s v=""/>
    <s v=""/>
    <n v="38641.769999999997"/>
    <n v="3106833"/>
    <n v="0"/>
    <n v="1"/>
    <n v="3496777.46"/>
    <n v="46046.22"/>
    <s v="10"/>
    <n v="46046.076062"/>
    <n v="2.7502"/>
    <n v="45"/>
    <s v="2022/09 БР"/>
    <s v="ЧУДИНА ЭЛЬВИРА РАИСОВНА"/>
    <n v="314"/>
    <m/>
  </r>
  <r>
    <s v="1"/>
    <d v="2023-10-20T00:00:00"/>
    <x v="1"/>
    <s v="10131010/130323/3086205"/>
    <s v="10131010"/>
    <s v="3086205"/>
    <x v="0"/>
    <s v="40"/>
    <s v=""/>
    <s v=""/>
    <s v=""/>
    <s v="UNITED PETFOOD PRODUCERS NV"/>
    <s v="9400, , ERPE-MERE, EVENBROEKVELD 1,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40251.9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657.56"/>
    <n v="3590508"/>
    <n v="51885.97"/>
    <n v="80.40089999999999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8"/>
    <n v="0"/>
    <n v="0"/>
    <m/>
    <n v="0"/>
    <m/>
    <s v="1"/>
    <s v="2309101100"/>
    <s v=""/>
    <s v=""/>
    <s v="BE"/>
    <n v="18847.080000000002"/>
    <s v="ОООО-ОО"/>
    <n v="4000000"/>
    <n v="18609.48"/>
    <n v="0"/>
    <s v=""/>
    <s v=""/>
    <n v="44657.56"/>
    <n v="3590508"/>
    <n v="0"/>
    <n v="1"/>
    <n v="3940251.94"/>
    <n v="51885.97"/>
    <s v="10"/>
    <n v="51885.091187999999"/>
    <n v="2.7881"/>
    <n v="45"/>
    <s v="2022/09 БР"/>
    <s v="БЛАГОНРАВОВА ДАРЬЯ ДМИТРИЕВНА"/>
    <n v="221"/>
    <m/>
  </r>
  <r>
    <s v="1"/>
    <d v="2023-11-25T00:00:00"/>
    <x v="7"/>
    <s v="10131010/130323/3085965"/>
    <s v="10131010"/>
    <s v="3085965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61471.3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921.48"/>
    <n v="3611727"/>
    <n v="52165.39"/>
    <n v="80.40089999999999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98.26"/>
    <s v="ОООО-ОО"/>
    <n v="4000000"/>
    <n v="15578.66"/>
    <n v="0"/>
    <s v=""/>
    <s v=""/>
    <n v="44921.48"/>
    <n v="3611727"/>
    <n v="0"/>
    <n v="1"/>
    <n v="3961471.34"/>
    <n v="52165.39"/>
    <s v="10"/>
    <n v="52165.14301"/>
    <n v="3.3485"/>
    <n v="45"/>
    <s v="2022/09 БР"/>
    <s v="ДРУЗЯГИНА ИРИНА НИКОЛАЕВНА"/>
    <n v="248"/>
    <m/>
  </r>
  <r>
    <s v="1"/>
    <d v="2022-09-06T00:00:00"/>
    <x v="6"/>
    <s v="10131010/130223/3051614"/>
    <s v="10131010"/>
    <s v="3051614"/>
    <x v="0"/>
    <s v="40"/>
    <s v=""/>
    <s v=""/>
    <s v=""/>
    <s v="UNITED PETFOOD PRODUCERS"/>
    <s v="9042, ., GENT, TERDONKKAAI 16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61943.9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846.559999999998"/>
    <n v="3422408"/>
    <n v="51680.52"/>
    <n v="78.0541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122.669999999998"/>
    <s v="ОООО-ОО"/>
    <n v="4000000"/>
    <n v="17122.669999999998"/>
    <n v="0"/>
    <s v=""/>
    <s v=""/>
    <n v="43846.559999999998"/>
    <n v="3422408"/>
    <n v="0"/>
    <n v="1"/>
    <n v="3761943.93"/>
    <n v="51680.52"/>
    <s v="10"/>
    <n v="51681.354860999993"/>
    <n v="3.0183"/>
    <n v="45"/>
    <s v="2022/09 БР"/>
    <s v="ДРУЗЯГИНА ИРИНА НИКОЛАЕВНА"/>
    <n v="568"/>
    <m/>
  </r>
  <r>
    <s v="1"/>
    <d v="2022-03-25T00:00:00"/>
    <x v="6"/>
    <s v="10131010/130223/3051593"/>
    <s v="10131010"/>
    <s v="305159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30547.3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725.48"/>
    <n v="3491012"/>
    <n v="52622.97"/>
    <n v="78.0541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511.68"/>
    <s v="ОООО-ОО"/>
    <n v="4000000"/>
    <n v="16457.68"/>
    <n v="0"/>
    <s v=""/>
    <s v=""/>
    <n v="44725.48"/>
    <n v="3491012"/>
    <n v="0"/>
    <n v="1"/>
    <n v="3830547.33"/>
    <n v="52622.97"/>
    <s v="10"/>
    <n v="52623.431799999998"/>
    <n v="3.1974999999999998"/>
    <n v="45"/>
    <s v="2022/09 БР"/>
    <s v="ДРУЗЯГИНА ИРИНА НИКОЛАЕВНА"/>
    <n v="20"/>
    <m/>
  </r>
  <r>
    <s v="1"/>
    <d v="2022-06-22T00:00:00"/>
    <x v="6"/>
    <s v="10131010/130223/3051571"/>
    <s v="10131010"/>
    <s v="3051571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29219.8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164.99"/>
    <n v="3135046"/>
    <n v="48483.42"/>
    <n v="78.0541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346.46"/>
    <s v="ОООО-ОО"/>
    <n v="4000000"/>
    <n v="16288.86"/>
    <n v="0"/>
    <s v=""/>
    <s v=""/>
    <n v="40164.99"/>
    <n v="3135046"/>
    <n v="0"/>
    <n v="1"/>
    <n v="3529219.87"/>
    <n v="48483.42"/>
    <s v="10"/>
    <n v="48483.791790000003"/>
    <n v="2.9765000000000001"/>
    <n v="45"/>
    <s v="2022/09 БР"/>
    <s v="ЧУДИНА ЭЛЬВИРА РАИСОВНА"/>
    <n v="563"/>
    <m/>
  </r>
  <r>
    <s v="1"/>
    <d v="2022-03-02T00:00:00"/>
    <x v="6"/>
    <s v="10131010/130223/3051367"/>
    <s v="10131010"/>
    <s v="3051367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69840.6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947.73"/>
    <n v="3430305"/>
    <n v="51789"/>
    <n v="78.0541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TИМЕНТЕ:"/>
    <x v="1"/>
    <m/>
    <s v="UNITED PETFOOD PRODUCERS NV"/>
    <n v="33"/>
    <n v="0"/>
    <n v="0"/>
    <m/>
    <n v="0"/>
    <m/>
    <s v="1"/>
    <s v="2309101100"/>
    <s v=""/>
    <s v=""/>
    <s v="BE"/>
    <n v="17076.52"/>
    <s v="ОООО-ОО"/>
    <n v="4000000"/>
    <n v="17076.52"/>
    <n v="0"/>
    <s v=""/>
    <s v=""/>
    <n v="43947.73"/>
    <n v="3430305"/>
    <n v="0"/>
    <n v="1"/>
    <n v="3769840.68"/>
    <n v="51789"/>
    <s v="10"/>
    <n v="51789.669856"/>
    <n v="3.0327999999999999"/>
    <n v="45"/>
    <s v="2022/09 БР"/>
    <s v="ЯШИНА АННА СЕРГЕЕВНА"/>
    <n v="368"/>
    <m/>
  </r>
  <r>
    <s v="1"/>
    <d v="2022-08-26T00:00:00"/>
    <x v="6"/>
    <s v="10131010/130223/3050230"/>
    <s v="10131010"/>
    <s v="305023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21085.5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885.42"/>
    <n v="3581550"/>
    <n v="53866.76"/>
    <n v="78.0541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;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18.09"/>
    <s v="ОООО-ОО"/>
    <n v="4000000"/>
    <n v="16618.09"/>
    <n v="0"/>
    <s v=""/>
    <s v=""/>
    <n v="45885.42"/>
    <n v="3581550"/>
    <n v="0"/>
    <n v="1"/>
    <n v="3921085.52"/>
    <n v="53866.76"/>
    <s v="10"/>
    <n v="53867.538734999995"/>
    <n v="3.2414999999999998"/>
    <n v="45"/>
    <s v="2022/09 БР"/>
    <s v="ДРУЗЯГИНА ИРИНА НИКОЛАЕВНА"/>
    <n v="568"/>
    <m/>
  </r>
  <r>
    <s v="1"/>
    <d v="2022-08-12T00:00:00"/>
    <x v="6"/>
    <s v="10131010/130123/3011166"/>
    <s v="10131010"/>
    <s v="3011166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79788.83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4271.54"/>
    <n v="3222561"/>
    <n v="51341.36"/>
    <n v="72.790800000000004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008.650000000001"/>
    <s v="ОООО-ОО"/>
    <n v="4000000"/>
    <n v="16990.650000000001"/>
    <n v="0"/>
    <s v=""/>
    <s v=""/>
    <n v="44271.54"/>
    <n v="3222561"/>
    <n v="0"/>
    <n v="1"/>
    <n v="3479788.83"/>
    <n v="51341.36"/>
    <s v="10"/>
    <n v="51340.647105000004"/>
    <n v="3.0217000000000001"/>
    <n v="941"/>
    <s v="0770/СПБ/329"/>
    <s v="СУШКОВА ОЛЬГА АЛЕКСАНДРОВНА"/>
    <n v="252"/>
    <m/>
  </r>
  <r>
    <s v="1"/>
    <d v="2023-11-05T00:00:00"/>
    <x v="7"/>
    <s v="10131010/130123/3011121"/>
    <s v="10131010"/>
    <s v="3011121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88493.16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4391.12"/>
    <n v="3231265"/>
    <n v="51469.78"/>
    <n v="72.790800000000004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395.37"/>
    <s v="ОООО-ОО"/>
    <n v="4000000"/>
    <n v="17395.37"/>
    <n v="0"/>
    <s v=""/>
    <s v=""/>
    <n v="44391.12"/>
    <n v="3231265"/>
    <n v="0"/>
    <n v="1"/>
    <n v="3488493.16"/>
    <n v="51469.78"/>
    <s v="10"/>
    <n v="51469.420756"/>
    <n v="2.9588000000000001"/>
    <n v="941"/>
    <s v="0770/СПБ/329"/>
    <s v="ДАШКИН АЛЕКСЕЙ ХАЛИМОВИЧ"/>
    <n v="166"/>
    <m/>
  </r>
  <r>
    <s v="1"/>
    <d v="2023-04-11T00:00:00"/>
    <x v="3"/>
    <s v="10131010/130123/3010913"/>
    <s v="10131010"/>
    <s v="3010913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326408.43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2164.4"/>
    <n v="3069180"/>
    <n v="49078.36"/>
    <n v="72.790800000000004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959.509999999998"/>
    <s v="ОООО-ОО"/>
    <n v="4000000"/>
    <n v="16959.509999999998"/>
    <n v="0"/>
    <s v=""/>
    <s v=""/>
    <n v="42164.4"/>
    <n v="3069180"/>
    <n v="0"/>
    <n v="1"/>
    <n v="3326408.43"/>
    <n v="49078.36"/>
    <s v="10"/>
    <n v="49079.125988999993"/>
    <n v="2.8938999999999999"/>
    <n v="941"/>
    <s v="0770/СПБ/329"/>
    <s v="ДАШКИН АЛЕКСЕЙ ХАЛИМОВИЧ"/>
    <n v="344"/>
    <m/>
  </r>
  <r>
    <s v="1"/>
    <d v="2023-09-20T00:00:00"/>
    <x v="4"/>
    <s v="10131010/130123/3010787"/>
    <s v="10131010"/>
    <s v="3010787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714368.83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7494.2"/>
    <n v="3457141"/>
    <n v="54802.39"/>
    <n v="72.790800000000004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5810.6"/>
    <s v="ОООО-ОО"/>
    <n v="4000000"/>
    <n v="15736.2"/>
    <n v="0"/>
    <s v=""/>
    <s v=""/>
    <n v="47494.2"/>
    <n v="3457141"/>
    <n v="0"/>
    <n v="1"/>
    <n v="3714368.83"/>
    <n v="54802.39"/>
    <s v="10"/>
    <n v="54802.890120000004"/>
    <n v="3.4826000000000001"/>
    <n v="941"/>
    <s v="0770/СПБ/329"/>
    <s v="ДАШКИН АЛЕКСЕЙ ХАЛИМОВИЧ"/>
    <n v="220"/>
    <m/>
  </r>
  <r>
    <s v="1"/>
    <d v="2023-02-10T00:00:00"/>
    <x v="12"/>
    <s v="10131010/130123/3010752"/>
    <s v="10131010"/>
    <s v="3010752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50173.17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3864.68"/>
    <n v="3192945"/>
    <n v="50904.4"/>
    <n v="72.790800000000004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481.84"/>
    <s v="ОООО-ОО"/>
    <n v="4000000"/>
    <n v="17481.84"/>
    <n v="0"/>
    <s v=""/>
    <s v=""/>
    <n v="43864.68"/>
    <n v="3192945"/>
    <n v="0"/>
    <n v="1"/>
    <n v="3450173.17"/>
    <n v="50904.4"/>
    <s v="10"/>
    <n v="50903.621712"/>
    <n v="2.9117999999999999"/>
    <n v="941"/>
    <s v="0770/СПБ/329"/>
    <s v="ДАШКИН АЛЕКСЕЙ ХАЛИМОВИЧ"/>
    <n v="77"/>
    <m/>
  </r>
  <r>
    <s v="1"/>
    <d v="2023-10-30T00:00:00"/>
    <x v="1"/>
    <s v="10131010/130123/3010745"/>
    <s v="10131010"/>
    <s v="3010745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43071.7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3767.12"/>
    <n v="3185844"/>
    <n v="50799.63"/>
    <n v="72.790800000000004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774.84"/>
    <s v="ОООО-ОО"/>
    <n v="4000000"/>
    <n v="16666.84"/>
    <n v="0"/>
    <s v=""/>
    <s v=""/>
    <n v="43767.12"/>
    <n v="3185844"/>
    <n v="0"/>
    <n v="1"/>
    <n v="3443071.7"/>
    <n v="50799.63"/>
    <s v="10"/>
    <n v="50798.861635999994"/>
    <n v="3.0478999999999998"/>
    <n v="941"/>
    <s v="0770/СПБ/329"/>
    <s v="СУШКОВА ОЛЬГА АЛЕКСАНДРОВНА"/>
    <n v="238"/>
    <m/>
  </r>
  <r>
    <s v="1"/>
    <d v="2023-07-13T00:00:00"/>
    <x v="0"/>
    <s v="10131010/130123/3010741"/>
    <s v="10131010"/>
    <s v="3010741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257236.79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1214.120000000003"/>
    <n v="3000009"/>
    <n v="48057.79"/>
    <n v="72.790800000000004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741.03"/>
    <s v="ОООО-ОО"/>
    <n v="4000000"/>
    <n v="16741.03"/>
    <n v="0"/>
    <s v=""/>
    <s v=""/>
    <n v="41214.120000000003"/>
    <n v="3000009"/>
    <n v="0"/>
    <n v="1"/>
    <n v="3257236.79"/>
    <n v="48057.79"/>
    <s v="10"/>
    <n v="48058.474820999996"/>
    <n v="2.8706999999999998"/>
    <n v="941"/>
    <s v="0770/СПБ/329"/>
    <s v="ДАШКИН АЛЕКСЕЙ ХАЛИМОВИЧ"/>
    <n v="4"/>
    <m/>
  </r>
  <r>
    <s v="1"/>
    <d v="2023-12-26T00:00:00"/>
    <x v="10"/>
    <s v="10131010/130123/3010721"/>
    <s v="10131010"/>
    <s v="3010721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511444.1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4706.42"/>
    <n v="3254216"/>
    <n v="51808.4"/>
    <n v="72.790800000000004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281.37"/>
    <s v="ОООО-ОО"/>
    <n v="4000000"/>
    <n v="17281.37"/>
    <n v="0"/>
    <s v=""/>
    <s v=""/>
    <n v="44706.42"/>
    <n v="3254216"/>
    <n v="0"/>
    <n v="1"/>
    <n v="3511444.1"/>
    <n v="51808.4"/>
    <s v="10"/>
    <n v="51807.819122999994"/>
    <n v="2.9979"/>
    <n v="941"/>
    <s v="0770/СПБ/329"/>
    <s v="ДАШКИН АЛЕКСЕЙ ХАЛИМОВИЧ"/>
    <n v="144"/>
    <m/>
  </r>
  <r>
    <s v="1"/>
    <d v="2023-07-29T00:00:00"/>
    <x v="0"/>
    <s v="10131010/130123/3010672"/>
    <s v="10131010"/>
    <s v="3010672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35638.3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3665"/>
    <n v="3178410"/>
    <n v="50689.95"/>
    <n v="72.790800000000004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285.7"/>
    <s v="ОООО-ОО"/>
    <n v="4000000"/>
    <n v="17285.7"/>
    <n v="0"/>
    <s v=""/>
    <s v=""/>
    <n v="43665"/>
    <n v="3178410"/>
    <n v="0"/>
    <n v="1"/>
    <n v="3435638.3"/>
    <n v="50689.95"/>
    <s v="10"/>
    <n v="50690.315250000007"/>
    <n v="2.9325000000000001"/>
    <n v="941"/>
    <s v="0770/СПБ/329"/>
    <s v="ДАШКИН АЛЕКСЕЙ ХАЛИМОВИЧ"/>
    <n v="65"/>
    <m/>
  </r>
  <r>
    <s v="1"/>
    <d v="2022-01-05T00:00:00"/>
    <x v="6"/>
    <s v="10131010/130123/3010661"/>
    <s v="10131010"/>
    <s v="3010661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612097.76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6089.2"/>
    <n v="3354870"/>
    <n v="53293.46"/>
    <n v="72.790800000000004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530.990000000002"/>
    <s v="ОООО-ОО"/>
    <n v="4000000"/>
    <n v="16368.39"/>
    <n v="0"/>
    <s v=""/>
    <s v=""/>
    <n v="46089.2"/>
    <n v="3354870"/>
    <n v="0"/>
    <n v="1"/>
    <n v="3612097.76"/>
    <n v="53293.46"/>
    <s v="10"/>
    <n v="53293.841001000001"/>
    <n v="3.2559"/>
    <n v="941"/>
    <s v="0770/СПБ/329"/>
    <s v="ДАШКИН АЛЕКСЕЙ ХАЛИМОВИЧ"/>
    <n v="325"/>
    <m/>
  </r>
  <r>
    <s v="1"/>
    <d v="2023-02-08T00:00:00"/>
    <x v="12"/>
    <s v="10131010/130123/3010647"/>
    <s v="10131010"/>
    <s v="3010647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196382.22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0378.1"/>
    <n v="2939154"/>
    <n v="47159.93"/>
    <n v="72.790800000000004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331.02"/>
    <s v="ОООО-ОО"/>
    <n v="4000000"/>
    <n v="17331.02"/>
    <n v="0"/>
    <s v=""/>
    <s v=""/>
    <n v="40378.1"/>
    <n v="2939154"/>
    <n v="0"/>
    <n v="1"/>
    <n v="3196382.22"/>
    <n v="47159.93"/>
    <s v="10"/>
    <n v="47159.438521999997"/>
    <n v="2.7210999999999999"/>
    <n v="941"/>
    <s v="0770/СПБ/329"/>
    <s v="СУШКОВА ОЛЬГА АЛЕКСАНДРОВНА"/>
    <n v="233"/>
    <m/>
  </r>
  <r>
    <s v="1"/>
    <d v="2023-08-03T00:00:00"/>
    <x v="8"/>
    <s v="10131010/121223/3407315"/>
    <s v="10131010"/>
    <s v="340731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65462.4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501"/>
    <m/>
    <m/>
    <n v="98.0768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73.740000000002"/>
    <s v="ОООО-ОО"/>
    <n v="4000000"/>
    <n v="16744.14"/>
    <n v="0"/>
    <s v=""/>
    <s v=""/>
    <n v="39501"/>
    <m/>
    <n v="0"/>
    <n v="1"/>
    <n v="4265462.46"/>
    <n v="46881.15"/>
    <s v="10"/>
    <n v="46883.591999999997"/>
    <n v="2.8"/>
    <n v="45"/>
    <m/>
    <s v="ЧУДИНА"/>
    <n v="272"/>
    <m/>
  </r>
  <r>
    <s v="1"/>
    <d v="2023-11-10T00:00:00"/>
    <x v="7"/>
    <s v="10131010/121223/3407255"/>
    <s v="10131010"/>
    <s v="340725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77480.4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584.32"/>
    <m/>
    <m/>
    <n v="98.0768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295.25"/>
    <s v="ОООО-ОО"/>
    <n v="4000000"/>
    <n v="14962.85"/>
    <n v="0"/>
    <s v=""/>
    <s v=""/>
    <n v="37584.32"/>
    <m/>
    <n v="0"/>
    <n v="1"/>
    <n v="4077480.42"/>
    <n v="44815.06"/>
    <s v="10"/>
    <n v="44888.55"/>
    <n v="3"/>
    <n v="45"/>
    <m/>
    <s v="ОСИПОВА"/>
    <n v="146"/>
    <m/>
  </r>
  <r>
    <s v="1"/>
    <d v="2023-12-23T00:00:00"/>
    <x v="10"/>
    <s v="10131010/121023/3342961"/>
    <s v="10131010"/>
    <s v="334296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18762.6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959.589999999997"/>
    <m/>
    <m/>
    <n v="105.954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621.89"/>
    <s v="ОООО-ОО"/>
    <n v="4000000"/>
    <n v="16535.490000000002"/>
    <n v="0"/>
    <s v=""/>
    <s v=""/>
    <n v="40959.589999999997"/>
    <m/>
    <n v="0"/>
    <n v="1"/>
    <n v="4818762.67"/>
    <n v="48196.88"/>
    <s v="10"/>
    <n v="48118.275900000008"/>
    <n v="2.91"/>
    <n v="45"/>
    <m/>
    <s v="БЛАГОНРАВОВА"/>
    <n v="340"/>
    <m/>
  </r>
  <r>
    <s v="1"/>
    <d v="2023-01-20T00:00:00"/>
    <x v="5"/>
    <s v="10131010/121023/3342961"/>
    <s v="10131010"/>
    <s v="334296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18762.6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959.589999999997"/>
    <m/>
    <m/>
    <n v="105.954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621.89"/>
    <s v="ОООО-ОО"/>
    <n v="4000000"/>
    <n v="16535.490000000002"/>
    <n v="0"/>
    <s v=""/>
    <s v=""/>
    <n v="40959.589999999997"/>
    <m/>
    <n v="0"/>
    <n v="1"/>
    <n v="4818762.67"/>
    <n v="48196.88"/>
    <s v="10"/>
    <n v="48118.275900000008"/>
    <n v="2.91"/>
    <n v="45"/>
    <m/>
    <s v="БЛАГОНРАВОВА"/>
    <n v="340"/>
    <m/>
  </r>
  <r>
    <s v="1"/>
    <d v="2023-10-02T00:00:00"/>
    <x v="1"/>
    <s v="10131010/121023/3342944"/>
    <s v="10131010"/>
    <s v="334294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355486.3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555.199999999997"/>
    <m/>
    <m/>
    <n v="105.954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31.099999999999"/>
    <s v="ОООО-ОО"/>
    <n v="4000000"/>
    <n v="16415.099999999999"/>
    <n v="0"/>
    <s v=""/>
    <s v=""/>
    <n v="46555.199999999997"/>
    <m/>
    <n v="0"/>
    <n v="1"/>
    <n v="5355486.34"/>
    <n v="53565.15"/>
    <s v="10"/>
    <n v="53513.225999999995"/>
    <n v="3.26"/>
    <n v="45"/>
    <m/>
    <s v="ДРУЗЯГИНА"/>
    <n v="600"/>
    <m/>
  </r>
  <r>
    <s v="1"/>
    <d v="2023-12-04T00:00:00"/>
    <x v="10"/>
    <s v="10131010/121023/3342944"/>
    <s v="10131010"/>
    <s v="334294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355486.3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555.199999999997"/>
    <m/>
    <m/>
    <n v="105.954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31.099999999999"/>
    <s v="ОООО-ОО"/>
    <n v="4000000"/>
    <n v="16415.099999999999"/>
    <n v="0"/>
    <s v=""/>
    <s v=""/>
    <n v="46555.199999999997"/>
    <m/>
    <n v="0"/>
    <n v="1"/>
    <n v="5355486.34"/>
    <n v="53565.15"/>
    <s v="10"/>
    <n v="53513.225999999995"/>
    <n v="3.26"/>
    <n v="45"/>
    <m/>
    <s v="ДРУЗЯГИНА"/>
    <n v="600"/>
    <m/>
  </r>
  <r>
    <s v="1"/>
    <d v="2023-10-31T00:00:00"/>
    <x v="1"/>
    <s v="10131010/120923/3310011"/>
    <s v="10131010"/>
    <s v="331001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07081.1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436.839999999997"/>
    <m/>
    <m/>
    <n v="103.5331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48.63"/>
    <s v="ОООО-ОО"/>
    <n v="4000000"/>
    <n v="16375.83"/>
    <n v="0"/>
    <s v=""/>
    <s v=""/>
    <n v="38436.839999999997"/>
    <m/>
    <n v="0"/>
    <n v="1"/>
    <n v="4407081.16"/>
    <n v="45665.31"/>
    <s v="10"/>
    <n v="45688.565699999999"/>
    <n v="2.79"/>
    <n v="45"/>
    <m/>
    <s v="ОСИПОВА"/>
    <n v="140"/>
    <m/>
  </r>
  <r>
    <s v="1"/>
    <d v="2022-08-18T00:00:00"/>
    <x v="6"/>
    <s v="10131010/120923/3310011"/>
    <s v="10131010"/>
    <s v="331001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07081.1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436.839999999997"/>
    <m/>
    <m/>
    <n v="103.5331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48.63"/>
    <s v="ОООО-ОО"/>
    <n v="4000000"/>
    <n v="16375.83"/>
    <n v="0"/>
    <s v=""/>
    <s v=""/>
    <n v="38436.839999999997"/>
    <m/>
    <n v="0"/>
    <n v="1"/>
    <n v="4407081.16"/>
    <n v="45665.31"/>
    <s v="10"/>
    <n v="45688.565699999999"/>
    <n v="2.79"/>
    <n v="45"/>
    <m/>
    <s v="ОСИПОВА"/>
    <n v="140"/>
    <m/>
  </r>
  <r>
    <s v="1"/>
    <d v="2023-07-15T00:00:00"/>
    <x v="0"/>
    <s v="10131010/120923/3309700"/>
    <s v="10131010"/>
    <s v="330970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39626.30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914.68"/>
    <m/>
    <m/>
    <n v="103.5331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673.37"/>
    <s v="ОООО-ОО"/>
    <n v="4000000"/>
    <n v="16635.79"/>
    <n v="0"/>
    <s v=""/>
    <s v=""/>
    <n v="41914.68"/>
    <m/>
    <n v="0"/>
    <n v="1"/>
    <n v="4839626.3099999996"/>
    <n v="50147.25"/>
    <s v="10"/>
    <n v="50073.727899999998"/>
    <n v="3.01"/>
    <n v="45"/>
    <m/>
    <s v="ЧУДИНА"/>
    <n v="321"/>
    <m/>
  </r>
  <r>
    <s v="1"/>
    <d v="2023-05-05T00:00:00"/>
    <x v="9"/>
    <s v="10131010/120923/3309657"/>
    <s v="10131010"/>
    <s v="330965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80533.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043.92"/>
    <m/>
    <m/>
    <n v="103.5331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363.65"/>
    <s v="ОООО-ОО"/>
    <n v="4000000"/>
    <n v="16363.65"/>
    <n v="0"/>
    <s v=""/>
    <s v=""/>
    <n v="42043.92"/>
    <m/>
    <n v="0"/>
    <n v="1"/>
    <n v="4780533.7"/>
    <n v="49534.95"/>
    <s v="10"/>
    <n v="49581.859499999999"/>
    <n v="3.03"/>
    <n v="45"/>
    <m/>
    <s v="ЯШИНА"/>
    <n v="557"/>
    <m/>
  </r>
  <r>
    <s v="1"/>
    <d v="2022-02-13T00:00:00"/>
    <x v="6"/>
    <s v="10131010/120923/3309657"/>
    <s v="10131010"/>
    <s v="330965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80533.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043.92"/>
    <m/>
    <m/>
    <n v="103.5331999999999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363.65"/>
    <s v="ОООО-ОО"/>
    <n v="4000000"/>
    <n v="16363.65"/>
    <n v="0"/>
    <s v=""/>
    <s v=""/>
    <n v="42043.92"/>
    <m/>
    <n v="0"/>
    <n v="1"/>
    <n v="4780533.7"/>
    <n v="49534.95"/>
    <s v="10"/>
    <n v="49581.859499999999"/>
    <n v="3.03"/>
    <n v="45"/>
    <m/>
    <s v="ЯШИНА"/>
    <n v="557"/>
    <m/>
  </r>
  <r>
    <s v="1"/>
    <d v="2023-02-15T00:00:00"/>
    <x v="12"/>
    <s v="10131010/120923/3309477"/>
    <s v="10131010"/>
    <s v="330947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73398.19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455"/>
    <m/>
    <m/>
    <n v="103.53319999999999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69.84"/>
    <s v="ОООО-ОО"/>
    <n v="4000000"/>
    <n v="16440.240000000002"/>
    <n v="0"/>
    <s v=""/>
    <s v=""/>
    <n v="41455"/>
    <m/>
    <n v="0"/>
    <n v="1"/>
    <n v="4773398.1900000004"/>
    <n v="49461.01"/>
    <s v="10"/>
    <n v="49485.1224"/>
    <n v="3.01"/>
    <n v="45"/>
    <m/>
    <s v="ОСИПОВА"/>
    <n v="324"/>
    <m/>
  </r>
  <r>
    <s v="1"/>
    <d v="2023-10-25T00:00:00"/>
    <x v="1"/>
    <s v="10131010/120923/3309477"/>
    <s v="10131010"/>
    <s v="330947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73398.19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455"/>
    <m/>
    <m/>
    <n v="103.53319999999999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69.84"/>
    <s v="ОООО-ОО"/>
    <n v="4000000"/>
    <n v="16440.240000000002"/>
    <n v="0"/>
    <s v=""/>
    <s v=""/>
    <n v="41455"/>
    <m/>
    <n v="0"/>
    <n v="1"/>
    <n v="4773398.1900000004"/>
    <n v="49461.01"/>
    <s v="10"/>
    <n v="49485.1224"/>
    <n v="3.01"/>
    <n v="45"/>
    <m/>
    <s v="ОСИПОВА"/>
    <n v="324"/>
    <m/>
  </r>
  <r>
    <s v="1"/>
    <d v="2023-06-27T00:00:00"/>
    <x v="11"/>
    <s v="10131010/120723/3248588"/>
    <s v="10131010"/>
    <s v="3248588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26579.0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285.48"/>
    <n v="4214911"/>
    <n v="51119.88"/>
    <n v="99.6774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095.65"/>
    <s v="ОООО-ОО"/>
    <n v="4000000"/>
    <n v="15965.45"/>
    <n v="0"/>
    <s v=""/>
    <s v=""/>
    <n v="42285.48"/>
    <n v="4214911"/>
    <n v="0"/>
    <n v="1"/>
    <n v="4626579.01"/>
    <n v="51119.88"/>
    <s v="10"/>
    <n v="51089.440000000002"/>
    <n v="3.2"/>
    <n v="45"/>
    <s v="2022/09 БР"/>
    <s v="ДРУЗЯГИНА ИРИНА НИКОЛАЕВНА"/>
    <n v="212"/>
    <m/>
  </r>
  <r>
    <s v="1"/>
    <d v="2023-07-29T00:00:00"/>
    <x v="0"/>
    <s v="10131010/120723/3247837"/>
    <s v="10131010"/>
    <s v="3247837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68694.7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708"/>
    <n v="4257027"/>
    <n v="51585.22"/>
    <n v="99.6774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M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259.34"/>
    <s v="ОООО-ОО"/>
    <n v="4000000"/>
    <n v="16086.6"/>
    <n v="0"/>
    <s v=""/>
    <s v=""/>
    <n v="42708"/>
    <n v="4257027"/>
    <n v="0"/>
    <n v="1"/>
    <n v="4668694.75"/>
    <n v="51585.22"/>
    <s v="10"/>
    <n v="51637.985999999997"/>
    <n v="3.21"/>
    <n v="45"/>
    <s v="2022/09 БР"/>
    <s v="ЯШИНА АННА СЕРГЕЕВНА"/>
    <n v="567"/>
    <m/>
  </r>
  <r>
    <s v="1"/>
    <d v="2023-07-05T00:00:00"/>
    <x v="0"/>
    <s v="10131010/120723/3247832"/>
    <s v="10131010"/>
    <s v="3247832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159726.0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7634.2"/>
    <n v="4748058"/>
    <n v="57010.71"/>
    <n v="99.6774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E:"/>
    <x v="1"/>
    <m/>
    <s v="UNITED PETFOOD PRODUCERS NV"/>
    <n v="33"/>
    <n v="0"/>
    <n v="0"/>
    <m/>
    <n v="0"/>
    <m/>
    <s v="1"/>
    <s v="2309101100"/>
    <s v=""/>
    <s v=""/>
    <s v="BE"/>
    <n v="16840.5"/>
    <s v="ОООО-ОО"/>
    <n v="4000000"/>
    <n v="16840.5"/>
    <n v="0"/>
    <s v=""/>
    <s v=""/>
    <n v="47634.2"/>
    <n v="4748058"/>
    <n v="0"/>
    <n v="1"/>
    <n v="5159726.05"/>
    <n v="57010.71"/>
    <s v="10"/>
    <n v="57089.295000000006"/>
    <n v="3.39"/>
    <n v="45"/>
    <s v="2022/09 БР"/>
    <s v="ЧУДИНА ЭЛЬВИРА РАИСОВНА"/>
    <n v="286"/>
    <m/>
  </r>
  <r>
    <s v="1"/>
    <d v="2023-11-11T00:00:00"/>
    <x v="7"/>
    <s v="10131010/120523/3168401"/>
    <s v="10131010"/>
    <s v="3168401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27549.8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460.44"/>
    <n v="3685224"/>
    <n v="53074.67"/>
    <n v="82.8876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453.28"/>
    <s v="ОООО-ОО"/>
    <n v="4000000"/>
    <n v="17453.28"/>
    <n v="0"/>
    <s v=""/>
    <s v=""/>
    <n v="44460.44"/>
    <n v="3685224"/>
    <n v="0"/>
    <n v="1"/>
    <n v="4027549.81"/>
    <n v="53074.67"/>
    <s v="10"/>
    <n v="53075.424479999994"/>
    <n v="3.0409999999999999"/>
    <n v="45"/>
    <s v="2022/09 БР"/>
    <s v="ДРУЗЯГИНА ИРИНА НИКОЛАЕВНА"/>
    <n v="42"/>
    <m/>
  </r>
  <r>
    <s v="1"/>
    <d v="2023-04-29T00:00:00"/>
    <x v="3"/>
    <s v="10131010/120523/3168395"/>
    <s v="10131010"/>
    <s v="3168395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24858.5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221.52"/>
    <n v="3582532"/>
    <n v="51721.41"/>
    <n v="82.8876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483.62"/>
    <s v="ОООО-ОО"/>
    <n v="4000000"/>
    <n v="17483.62"/>
    <n v="0"/>
    <s v=""/>
    <s v=""/>
    <n v="43221.52"/>
    <n v="3582532"/>
    <n v="0"/>
    <n v="1"/>
    <n v="3924858.58"/>
    <n v="51721.41"/>
    <s v="10"/>
    <n v="51721.793045999999"/>
    <n v="2.9582999999999999"/>
    <n v="45"/>
    <s v="2022/09 БР"/>
    <s v="ЧУДИНА ЭЛЬВИРА РАИСОВНА"/>
    <n v="68"/>
    <m/>
  </r>
  <r>
    <s v="1"/>
    <d v="2023-07-28T00:00:00"/>
    <x v="0"/>
    <s v="10131010/120523/3168008"/>
    <s v="10131010"/>
    <s v="3168008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64047.6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587.22"/>
    <n v="3778620"/>
    <n v="54873.42"/>
    <n v="82.8876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886.23"/>
    <s v="ОООО-ОО"/>
    <n v="4000000"/>
    <n v="16886.23"/>
    <n v="0"/>
    <s v=""/>
    <s v=""/>
    <n v="45587.22"/>
    <n v="3778620"/>
    <n v="0"/>
    <n v="1"/>
    <n v="4164047.63"/>
    <n v="54873.42"/>
    <s v="10"/>
    <n v="54873.493007999998"/>
    <n v="3.2496"/>
    <n v="45"/>
    <s v="2022/09 БР"/>
    <s v="ДРУЗЯГИНА ИРИНА НИКОЛАЕВНА"/>
    <n v="567"/>
    <m/>
  </r>
  <r>
    <s v="1"/>
    <d v="2023-08-01T00:00:00"/>
    <x v="8"/>
    <s v="10131010/120523/3167935"/>
    <s v="10131010"/>
    <s v="3167935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69051.8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50993.4"/>
    <n v="4226726"/>
    <n v="60210.53"/>
    <n v="82.8876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68.900000000001"/>
    <s v="ОООО-ОО"/>
    <n v="4000000"/>
    <n v="16968.900000000001"/>
    <n v="0"/>
    <s v=""/>
    <s v=""/>
    <n v="50993.4"/>
    <n v="4226726"/>
    <n v="0"/>
    <n v="1"/>
    <n v="4569051.84"/>
    <n v="60210.53"/>
    <s v="10"/>
    <n v="60210.747869999999"/>
    <n v="3.5482999999999998"/>
    <n v="45"/>
    <s v="2022/09 БР"/>
    <s v="ЯШИНА АННА СЕРГЕЕВНА"/>
    <n v="257"/>
    <m/>
  </r>
  <r>
    <s v="1"/>
    <d v="2023-02-25T00:00:00"/>
    <x v="12"/>
    <s v="10131010/120423/3127781"/>
    <s v="10131010"/>
    <s v="3127781"/>
    <x v="0"/>
    <s v="40"/>
    <s v=""/>
    <s v=""/>
    <s v=""/>
    <s v="UNITED PETFOOD PRODUCERS NV"/>
    <s v="9400, , ERPE-MERE, EVENBROEKVELD 1, ..,,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77852.4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555.24"/>
    <n v="4087540"/>
    <n v="54488.41"/>
    <n v="89.727099999999993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8"/>
    <n v="0"/>
    <n v="0"/>
    <m/>
    <n v="0"/>
    <m/>
    <s v="1"/>
    <s v="2309101100"/>
    <s v=""/>
    <s v=""/>
    <s v="BE"/>
    <n v="18235.75"/>
    <s v="ОООО-ОО"/>
    <n v="4000000"/>
    <n v="17911.75"/>
    <n v="0"/>
    <s v=""/>
    <s v=""/>
    <n v="45555.24"/>
    <n v="4087540"/>
    <n v="0"/>
    <n v="1"/>
    <n v="4477852.47"/>
    <n v="54488.41"/>
    <s v="10"/>
    <n v="54487.5435"/>
    <n v="3.0419999999999998"/>
    <n v="45"/>
    <s v="2022/09 БР"/>
    <s v="ОСИПОВА ТАТЬЯНА ВЛАДИМИРОВНА"/>
    <n v="340"/>
    <m/>
  </r>
  <r>
    <s v="1"/>
    <d v="2023-06-05T00:00:00"/>
    <x v="11"/>
    <s v="10131010/120423/3126392"/>
    <s v="10131010"/>
    <s v="3126392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00435.1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348.959999999999"/>
    <n v="3710122"/>
    <n v="49895.839999999997"/>
    <n v="89.727099999999993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7191.43"/>
    <s v="ОООО-ОО"/>
    <n v="4000000"/>
    <n v="17141.03"/>
    <n v="0"/>
    <s v=""/>
    <s v=""/>
    <n v="41348.959999999999"/>
    <n v="3710122"/>
    <n v="0"/>
    <n v="1"/>
    <n v="4100435.16"/>
    <n v="49895.839999999997"/>
    <s v="10"/>
    <n v="49895.82422699999"/>
    <n v="2.9108999999999998"/>
    <n v="45"/>
    <s v="2022/09 БР"/>
    <s v="БЛАГОНРАВОВА ДАРЬЯ ДМИТРИЕВНА"/>
    <n v="288"/>
    <m/>
  </r>
  <r>
    <s v="1"/>
    <d v="2023-05-08T00:00:00"/>
    <x v="9"/>
    <s v="10131010/120423/3126391"/>
    <s v="10131010"/>
    <s v="3126391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60629.2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7592.27"/>
    <n v="4270316"/>
    <n v="56712.52"/>
    <n v="89.727099999999993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947.45"/>
    <s v="ОООО-ОО"/>
    <n v="4000000"/>
    <n v="16947.45"/>
    <n v="0"/>
    <s v=""/>
    <s v=""/>
    <n v="47592.27"/>
    <n v="4270316"/>
    <n v="0"/>
    <n v="1"/>
    <n v="4660629.26"/>
    <n v="56712.52"/>
    <s v="10"/>
    <n v="56712.946680000001"/>
    <n v="3.3464"/>
    <n v="45"/>
    <s v="2022/09 БР"/>
    <s v="БЛАГОНРАВОВА ДАРЬЯ ДМИТРИЕВНА"/>
    <n v="555"/>
    <m/>
  </r>
  <r>
    <s v="1"/>
    <d v="2023-11-20T00:00:00"/>
    <x v="7"/>
    <s v="10131010/120123/3009172"/>
    <s v="10131010"/>
    <s v="3009172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071667.16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7963.14"/>
    <n v="2814439"/>
    <n v="44503.89"/>
    <n v="74.136099999999999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Т.М. &quot;PREMIER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5592.69"/>
    <s v="ОООО-ОО"/>
    <n v="4000000"/>
    <n v="15271.69"/>
    <n v="0"/>
    <s v=""/>
    <s v=""/>
    <n v="37963.14"/>
    <n v="2814439"/>
    <n v="0"/>
    <n v="1"/>
    <n v="3071667.16"/>
    <n v="44503.89"/>
    <s v="10"/>
    <n v="44503.231828999997"/>
    <n v="2.9140999999999999"/>
    <n v="941"/>
    <s v="0770/СПБ/329"/>
    <s v="СУШКОВА ОЛЬГА АЛЕКСАНДРОВНА"/>
    <n v="229"/>
    <m/>
  </r>
  <r>
    <s v="1"/>
    <d v="2023-01-28T00:00:00"/>
    <x v="5"/>
    <s v="10131010/111223/3405860"/>
    <s v="10131010"/>
    <s v="340586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13744.2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700.22"/>
    <m/>
    <m/>
    <n v="98.84090000000000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278.11"/>
    <s v="ОООО-ОО"/>
    <n v="4000000"/>
    <n v="17278.11"/>
    <n v="0"/>
    <s v=""/>
    <s v=""/>
    <n v="43700.22"/>
    <m/>
    <n v="0"/>
    <n v="1"/>
    <n v="4713744.26"/>
    <n v="51437.52"/>
    <s v="10"/>
    <n v="51488.767800000001"/>
    <n v="2.98"/>
    <n v="45"/>
    <m/>
    <s v="ДРУЗЯГИНА"/>
    <n v="182"/>
    <m/>
  </r>
  <r>
    <s v="1"/>
    <d v="2023-10-15T00:00:00"/>
    <x v="1"/>
    <s v="10131010/111223/3405854"/>
    <s v="10131010"/>
    <s v="340585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96186.3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452.22"/>
    <m/>
    <m/>
    <n v="98.84090000000000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023.14"/>
    <s v="ОООО-ОО"/>
    <n v="4000000"/>
    <n v="14763.34"/>
    <n v="0"/>
    <s v=""/>
    <s v=""/>
    <n v="37452.22"/>
    <m/>
    <n v="0"/>
    <n v="1"/>
    <n v="4096186.32"/>
    <n v="44698.57"/>
    <s v="10"/>
    <n v="44732.9202"/>
    <n v="3.03"/>
    <n v="45"/>
    <m/>
    <s v="БЛАГОНРАВОВА"/>
    <n v="174"/>
    <m/>
  </r>
  <r>
    <s v="1"/>
    <d v="2023-11-07T00:00:00"/>
    <x v="7"/>
    <s v="10131010/111223/3405852"/>
    <s v="10131010"/>
    <s v="340585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57558.5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108.32"/>
    <m/>
    <m/>
    <n v="98.840900000000005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166.82"/>
    <s v="ОООО-ОО"/>
    <n v="4000000"/>
    <n v="17130.82"/>
    <n v="0"/>
    <s v=""/>
    <s v=""/>
    <n v="41108.32"/>
    <m/>
    <n v="0"/>
    <n v="1"/>
    <n v="4457558.54"/>
    <n v="48641.96"/>
    <s v="10"/>
    <n v="48651.5288"/>
    <n v="2.84"/>
    <n v="45"/>
    <m/>
    <s v="ДРУЗЯГИНА"/>
    <n v="4"/>
    <m/>
  </r>
  <r>
    <s v="1"/>
    <d v="2023-03-12T00:00:00"/>
    <x v="2"/>
    <s v="10131010/111223/3405844"/>
    <s v="10131010"/>
    <s v="340584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47450.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052.959999999999"/>
    <m/>
    <m/>
    <n v="98.84090000000000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861.05"/>
    <s v="ОООО-ОО"/>
    <n v="4000000"/>
    <n v="15771.05"/>
    <n v="0"/>
    <s v=""/>
    <s v=""/>
    <n v="45052.959999999999"/>
    <m/>
    <n v="0"/>
    <n v="1"/>
    <n v="4847450.3"/>
    <n v="52896.55"/>
    <s v="10"/>
    <n v="52833.017500000002"/>
    <n v="3.35"/>
    <n v="45"/>
    <m/>
    <s v="ЧУДИНА"/>
    <n v="310"/>
    <m/>
  </r>
  <r>
    <s v="1"/>
    <d v="2023-08-17T00:00:00"/>
    <x v="8"/>
    <s v="10131010/111223/3405842"/>
    <s v="10131010"/>
    <s v="340584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04511.30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559.9"/>
    <m/>
    <m/>
    <n v="98.840900000000005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81.04"/>
    <s v="ОООО-ОО"/>
    <n v="4000000"/>
    <n v="16271.9"/>
    <n v="0"/>
    <s v=""/>
    <s v=""/>
    <n v="39559.9"/>
    <m/>
    <n v="0"/>
    <n v="1"/>
    <n v="4304511.3099999996"/>
    <n v="46971.87"/>
    <s v="10"/>
    <n v="47025.790999999997"/>
    <n v="2.89"/>
    <n v="45"/>
    <m/>
    <s v="ЧУДИНА"/>
    <n v="15"/>
    <m/>
  </r>
  <r>
    <s v="1"/>
    <d v="2023-06-13T00:00:00"/>
    <x v="11"/>
    <s v="10131010/111223/3405004"/>
    <s v="10131010"/>
    <s v="340500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63468.3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8250.2"/>
    <m/>
    <m/>
    <n v="98.840900000000005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602.419999999998"/>
    <s v="ОООО-ОО"/>
    <n v="4000000"/>
    <n v="16476.419999999998"/>
    <n v="0"/>
    <s v=""/>
    <s v=""/>
    <n v="48250.2"/>
    <m/>
    <n v="0"/>
    <n v="1"/>
    <n v="5163468.38"/>
    <n v="56345.01"/>
    <s v="10"/>
    <n v="56349.35639999999"/>
    <n v="3.42"/>
    <n v="45"/>
    <m/>
    <s v="БЛАГОНРАВОВА"/>
    <n v="174"/>
    <m/>
  </r>
  <r>
    <s v="1"/>
    <d v="2023-06-24T00:00:00"/>
    <x v="11"/>
    <s v="10131010/111223/3404984"/>
    <s v="10131010"/>
    <s v="340498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90967.5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399.42"/>
    <m/>
    <m/>
    <n v="98.840900000000005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917.75"/>
    <s v="ОООО-ОО"/>
    <n v="4000000"/>
    <n v="15680.15"/>
    <n v="0"/>
    <s v=""/>
    <s v=""/>
    <n v="37399.42"/>
    <m/>
    <n v="0"/>
    <n v="1"/>
    <n v="4090967.52"/>
    <n v="44641.63"/>
    <s v="10"/>
    <n v="44688.427499999998"/>
    <n v="2.85"/>
    <n v="45"/>
    <m/>
    <s v="БЛАГОНРАВОВА"/>
    <n v="152"/>
    <m/>
  </r>
  <r>
    <s v="1"/>
    <d v="2023-10-02T00:00:00"/>
    <x v="1"/>
    <s v="10131010/111223/3404678"/>
    <s v="10131010"/>
    <s v="340467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39665.5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974.2"/>
    <m/>
    <m/>
    <n v="98.840900000000005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854.060000000001"/>
    <s v="ОООО-ОО"/>
    <n v="4000000"/>
    <n v="16800.060000000001"/>
    <n v="0"/>
    <s v=""/>
    <s v=""/>
    <n v="44974.2"/>
    <m/>
    <m/>
    <n v="1"/>
    <n v="4839665.59"/>
    <n v="52811.6"/>
    <s v="10"/>
    <n v="52752.188400000006"/>
    <n v="3.14"/>
    <n v="45"/>
    <m/>
    <s v="ДРУЗЯГИНА"/>
    <n v="589"/>
    <m/>
  </r>
  <r>
    <s v="1"/>
    <d v="2023-05-01T00:00:00"/>
    <x v="9"/>
    <s v="10131010/111223/3404642"/>
    <s v="10131010"/>
    <s v="340464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79793.09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345"/>
    <m/>
    <m/>
    <n v="98.840900000000005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85.439999999999"/>
    <s v="ОООО-ОО"/>
    <n v="4000000"/>
    <n v="16885.439999999999"/>
    <n v="0"/>
    <s v=""/>
    <s v=""/>
    <n v="42345"/>
    <m/>
    <n v="0"/>
    <n v="1"/>
    <n v="4579793.0999999996"/>
    <n v="49975.81"/>
    <s v="10"/>
    <n v="49980.902399999999"/>
    <n v="2.96"/>
    <n v="45"/>
    <m/>
    <s v="БЛАГОНРАВОВА"/>
    <n v="604"/>
    <m/>
  </r>
  <r>
    <s v="1"/>
    <d v="2023-10-29T00:00:00"/>
    <x v="1"/>
    <s v="10131010/111223/3404617"/>
    <s v="10131010"/>
    <s v="340461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07829.01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616.92"/>
    <m/>
    <m/>
    <n v="98.840900000000005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87.78"/>
    <s v="ОООО-ОО"/>
    <n v="4000000"/>
    <n v="16962.580000000002"/>
    <n v="0"/>
    <s v=""/>
    <s v=""/>
    <n v="41616.92"/>
    <m/>
    <n v="0"/>
    <n v="1"/>
    <n v="4507829.0199999996"/>
    <n v="49190.52"/>
    <s v="10"/>
    <n v="49191.482000000004"/>
    <n v="2.9"/>
    <n v="45"/>
    <m/>
    <s v="ЧУДИНА"/>
    <n v="180"/>
    <m/>
  </r>
  <r>
    <s v="1"/>
    <d v="2023-09-14T00:00:00"/>
    <x v="4"/>
    <s v="10131010/111223/3404613"/>
    <s v="10131010"/>
    <s v="340461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90425.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429.120000000003"/>
    <m/>
    <m/>
    <n v="98.840900000000005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31.5"/>
    <s v="ОООО-ОО"/>
    <n v="4000000"/>
    <n v="16746.099999999999"/>
    <n v="0"/>
    <s v=""/>
    <s v=""/>
    <n v="40429.120000000003"/>
    <m/>
    <n v="0"/>
    <n v="1"/>
    <n v="4390425.8"/>
    <n v="47909.39"/>
    <s v="10"/>
    <n v="47893.84599999999"/>
    <n v="2.86"/>
    <n v="45"/>
    <m/>
    <s v="ДРУЗЯГИНА"/>
    <n v="590"/>
    <m/>
  </r>
  <r>
    <s v="1"/>
    <d v="2023-01-08T00:00:00"/>
    <x v="5"/>
    <s v="10131010/111023/3341251"/>
    <s v="10131010"/>
    <s v="334125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32175.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040.42"/>
    <m/>
    <m/>
    <n v="105.686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349.83"/>
    <s v="ОООО-ОО"/>
    <n v="4000000"/>
    <n v="15097.23"/>
    <n v="0"/>
    <s v=""/>
    <s v=""/>
    <n v="44040.42"/>
    <m/>
    <n v="0"/>
    <n v="1"/>
    <n v="5132175.97"/>
    <n v="51355.19"/>
    <s v="10"/>
    <n v="51330.581999999995"/>
    <n v="3.4"/>
    <n v="45"/>
    <m/>
    <s v="ЧУДИНА"/>
    <n v="590"/>
    <m/>
  </r>
  <r>
    <s v="1"/>
    <d v="2023-06-01T00:00:00"/>
    <x v="11"/>
    <s v="10131010/111023/3341251"/>
    <s v="10131010"/>
    <s v="334125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32175.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040.42"/>
    <m/>
    <m/>
    <n v="105.686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349.83"/>
    <s v="ОООО-ОО"/>
    <n v="4000000"/>
    <n v="15097.23"/>
    <n v="0"/>
    <s v=""/>
    <s v=""/>
    <n v="44040.42"/>
    <m/>
    <n v="0"/>
    <n v="1"/>
    <n v="5132175.97"/>
    <n v="51355.19"/>
    <s v="10"/>
    <n v="51330.581999999995"/>
    <n v="3.4"/>
    <n v="45"/>
    <m/>
    <s v="ЧУДИНА"/>
    <n v="590"/>
    <m/>
  </r>
  <r>
    <s v="1"/>
    <d v="2023-09-17T00:00:00"/>
    <x v="4"/>
    <s v="10131010/110923/3309079"/>
    <s v="10131010"/>
    <s v="330907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62482.4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229.16"/>
    <m/>
    <m/>
    <n v="104.8872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686.96"/>
    <s v="ОООО-ОО"/>
    <n v="4000000"/>
    <n v="16517.759999999998"/>
    <n v="0"/>
    <s v=""/>
    <s v=""/>
    <n v="42229.16"/>
    <m/>
    <n v="0"/>
    <n v="1"/>
    <n v="4862482.49"/>
    <n v="49655.63"/>
    <s v="10"/>
    <n v="49718.457599999994"/>
    <n v="3.01"/>
    <n v="45"/>
    <m/>
    <s v="ОСИПОВА"/>
    <n v="342"/>
    <m/>
  </r>
  <r>
    <s v="1"/>
    <d v="2023-02-12T00:00:00"/>
    <x v="12"/>
    <s v="10131010/110923/3309079"/>
    <s v="10131010"/>
    <s v="330907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62482.4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229.16"/>
    <m/>
    <m/>
    <n v="104.8872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686.96"/>
    <s v="ОООО-ОО"/>
    <n v="4000000"/>
    <n v="16517.759999999998"/>
    <n v="0"/>
    <s v=""/>
    <s v=""/>
    <n v="42229.16"/>
    <m/>
    <n v="0"/>
    <n v="1"/>
    <n v="4862482.49"/>
    <n v="49655.63"/>
    <s v="10"/>
    <n v="49718.457599999994"/>
    <n v="3.01"/>
    <n v="45"/>
    <m/>
    <s v="ОСИПОВА"/>
    <n v="342"/>
    <m/>
  </r>
  <r>
    <s v="1"/>
    <d v="2023-07-06T00:00:00"/>
    <x v="0"/>
    <s v="10131010/110923/3308948"/>
    <s v="10131010"/>
    <s v="3308948"/>
    <x v="0"/>
    <s v="40"/>
    <s v=""/>
    <s v=""/>
    <s v=""/>
    <s v="UNITED PETFOOD PRODUCERS"/>
    <s v="9042, , GHENT, TERDONKKAAI 16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214752.44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067.72"/>
    <m/>
    <m/>
    <n v="104.8872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76.62"/>
    <s v="ОООО-ОО"/>
    <n v="4000000"/>
    <n v="16243.42"/>
    <n v="0"/>
    <s v=""/>
    <s v=""/>
    <n v="45067.72"/>
    <m/>
    <n v="0"/>
    <n v="1"/>
    <n v="5214752.4400000004"/>
    <n v="53253"/>
    <s v="10"/>
    <n v="53278.417600000001"/>
    <n v="3.28"/>
    <n v="45"/>
    <m/>
    <s v="ОСИПОВА"/>
    <n v="224"/>
    <m/>
  </r>
  <r>
    <s v="1"/>
    <d v="2023-08-18T00:00:00"/>
    <x v="8"/>
    <s v="10131010/110923/3308948"/>
    <s v="10131010"/>
    <s v="3308948"/>
    <x v="0"/>
    <s v="40"/>
    <s v=""/>
    <s v=""/>
    <s v=""/>
    <s v="UNITED PETFOOD PRODUCERS"/>
    <s v="9042, , GHENT, TERDONKKAAI 16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214752.44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067.72"/>
    <m/>
    <m/>
    <n v="104.8872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76.62"/>
    <s v="ОООО-ОО"/>
    <n v="4000000"/>
    <n v="16243.42"/>
    <n v="0"/>
    <s v=""/>
    <s v=""/>
    <n v="45067.72"/>
    <m/>
    <n v="0"/>
    <n v="1"/>
    <n v="5214752.4400000004"/>
    <n v="53253"/>
    <s v="10"/>
    <n v="53278.417600000001"/>
    <n v="3.28"/>
    <n v="45"/>
    <m/>
    <s v="ОСИПОВА"/>
    <n v="224"/>
    <m/>
  </r>
  <r>
    <s v="1"/>
    <d v="2023-12-09T00:00:00"/>
    <x v="10"/>
    <s v="10131010/110923/3308571"/>
    <s v="10131010"/>
    <s v="330857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84088.32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6714.720000000001"/>
    <m/>
    <m/>
    <n v="104.8872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489.1"/>
    <s v="ОООО-ОО"/>
    <n v="4000000"/>
    <n v="15245.5"/>
    <n v="0"/>
    <s v=""/>
    <s v=""/>
    <n v="36714.720000000001"/>
    <m/>
    <n v="0"/>
    <n v="1"/>
    <n v="4284088.3200000003"/>
    <n v="43749.07"/>
    <s v="10"/>
    <n v="43754.584999999999"/>
    <n v="2.87"/>
    <n v="45"/>
    <m/>
    <s v="ЯШИНА"/>
    <n v="205"/>
    <m/>
  </r>
  <r>
    <s v="1"/>
    <d v="2023-10-06T00:00:00"/>
    <x v="1"/>
    <s v="10131010/110923/3308571"/>
    <s v="10131010"/>
    <s v="330857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84088.32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6714.720000000001"/>
    <m/>
    <m/>
    <n v="104.8872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489.1"/>
    <s v="ОООО-ОО"/>
    <n v="4000000"/>
    <n v="15245.5"/>
    <n v="0"/>
    <s v=""/>
    <s v=""/>
    <n v="36714.720000000001"/>
    <m/>
    <n v="0"/>
    <n v="1"/>
    <n v="4284088.3200000003"/>
    <n v="43749.07"/>
    <s v="10"/>
    <n v="43754.584999999999"/>
    <n v="2.87"/>
    <n v="45"/>
    <m/>
    <s v="ЯШИНА"/>
    <n v="205"/>
    <m/>
  </r>
  <r>
    <s v="1"/>
    <d v="2023-10-06T00:00:00"/>
    <x v="1"/>
    <s v="10131010/110923/3308523"/>
    <s v="10131010"/>
    <s v="330852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32039.4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892.32"/>
    <m/>
    <m/>
    <n v="104.8872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030.2"/>
    <s v="ОООО-ОО"/>
    <n v="4000000"/>
    <n v="16958.2"/>
    <n v="0"/>
    <s v=""/>
    <s v=""/>
    <n v="42892.32"/>
    <m/>
    <n v="0"/>
    <n v="1"/>
    <n v="4932039.49"/>
    <n v="50365.94"/>
    <s v="10"/>
    <n v="50365.854000000007"/>
    <n v="2.97"/>
    <n v="45"/>
    <m/>
    <s v="ЯШИНА"/>
    <n v="557"/>
    <m/>
  </r>
  <r>
    <s v="1"/>
    <d v="2023-09-15T00:00:00"/>
    <x v="4"/>
    <s v="10131010/110923/3308523"/>
    <s v="10131010"/>
    <s v="330852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32039.4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892.32"/>
    <m/>
    <m/>
    <n v="104.8872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030.2"/>
    <s v="ОООО-ОО"/>
    <n v="4000000"/>
    <n v="16958.2"/>
    <n v="0"/>
    <s v=""/>
    <s v=""/>
    <n v="42892.32"/>
    <m/>
    <n v="0"/>
    <n v="1"/>
    <n v="4932039.49"/>
    <n v="50365.94"/>
    <s v="10"/>
    <n v="50365.854000000007"/>
    <n v="2.97"/>
    <n v="45"/>
    <m/>
    <s v="ЯШИНА"/>
    <n v="557"/>
    <m/>
  </r>
  <r>
    <s v="1"/>
    <d v="2023-12-28T00:00:00"/>
    <x v="10"/>
    <s v="10131010/110923/3308492"/>
    <s v="10131010"/>
    <s v="330849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56508.1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172.2"/>
    <m/>
    <m/>
    <n v="104.8872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4443.2"/>
    <s v="ОООО-ОО"/>
    <n v="4000000"/>
    <n v="14054.4"/>
    <n v="0"/>
    <s v=""/>
    <s v=""/>
    <n v="42172.2"/>
    <m/>
    <n v="0"/>
    <n v="1"/>
    <n v="4856508.12"/>
    <n v="49594.62"/>
    <s v="10"/>
    <n v="49612.031999999999"/>
    <n v="3.53"/>
    <n v="45"/>
    <m/>
    <s v="ЧУДИНА"/>
    <n v="552"/>
    <m/>
  </r>
  <r>
    <s v="1"/>
    <d v="2023-09-01T00:00:00"/>
    <x v="4"/>
    <s v="10131010/110923/3308492"/>
    <s v="10131010"/>
    <s v="330849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56508.1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172.2"/>
    <m/>
    <m/>
    <n v="104.8872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4443.2"/>
    <s v="ОООО-ОО"/>
    <n v="4000000"/>
    <n v="14054.4"/>
    <n v="0"/>
    <s v=""/>
    <s v=""/>
    <n v="42172.2"/>
    <m/>
    <n v="0"/>
    <n v="1"/>
    <n v="4856508.12"/>
    <n v="49594.62"/>
    <s v="10"/>
    <n v="49612.031999999999"/>
    <n v="3.53"/>
    <n v="45"/>
    <m/>
    <s v="ЧУДИНА"/>
    <n v="552"/>
    <m/>
  </r>
  <r>
    <s v="1"/>
    <d v="2023-09-12T00:00:00"/>
    <x v="4"/>
    <s v="10131010/110923/3308487"/>
    <s v="10131010"/>
    <s v="330848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58474.3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423.919999999998"/>
    <m/>
    <m/>
    <n v="104.8872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773.8"/>
    <s v="ОООО-ОО"/>
    <n v="4000000"/>
    <n v="15514.6"/>
    <n v="0"/>
    <s v=""/>
    <s v=""/>
    <n v="37423.919999999998"/>
    <m/>
    <n v="0"/>
    <n v="1"/>
    <n v="4358474.32"/>
    <n v="44508.7"/>
    <s v="10"/>
    <n v="44526.902000000002"/>
    <n v="2.87"/>
    <n v="45"/>
    <m/>
    <s v="ЧУДИНА"/>
    <n v="256"/>
    <m/>
  </r>
  <r>
    <s v="1"/>
    <d v="2023-12-04T00:00:00"/>
    <x v="10"/>
    <s v="10131010/110923/3308487"/>
    <s v="10131010"/>
    <s v="330848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58474.3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423.919999999998"/>
    <m/>
    <m/>
    <n v="104.8872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773.8"/>
    <s v="ОООО-ОО"/>
    <n v="4000000"/>
    <n v="15514.6"/>
    <n v="0"/>
    <s v=""/>
    <s v=""/>
    <n v="37423.919999999998"/>
    <m/>
    <n v="0"/>
    <n v="1"/>
    <n v="4358474.32"/>
    <n v="44508.7"/>
    <s v="10"/>
    <n v="44526.902000000002"/>
    <n v="2.87"/>
    <n v="45"/>
    <m/>
    <s v="ЧУДИНА"/>
    <n v="256"/>
    <m/>
  </r>
  <r>
    <s v="1"/>
    <d v="2023-06-25T00:00:00"/>
    <x v="11"/>
    <s v="10131010/110923/3308472"/>
    <s v="10131010"/>
    <s v="330847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67218.11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181.120000000003"/>
    <m/>
    <m/>
    <n v="104.8872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844.62"/>
    <s v="ОООО-ОО"/>
    <n v="4000000"/>
    <n v="16772.62"/>
    <n v="0"/>
    <s v=""/>
    <s v=""/>
    <n v="44181.120000000003"/>
    <m/>
    <n v="0"/>
    <n v="1"/>
    <n v="5067218.1100000003"/>
    <n v="51746.38"/>
    <s v="10"/>
    <n v="51827.395799999991"/>
    <n v="3.09"/>
    <n v="45"/>
    <m/>
    <s v="ЯШИНА"/>
    <n v="370"/>
    <m/>
  </r>
  <r>
    <s v="1"/>
    <d v="2022-05-22T00:00:00"/>
    <x v="6"/>
    <s v="10131010/110923/3308472"/>
    <s v="10131010"/>
    <s v="330847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67218.11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181.120000000003"/>
    <m/>
    <m/>
    <n v="104.8872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844.62"/>
    <s v="ОООО-ОО"/>
    <n v="4000000"/>
    <n v="16772.62"/>
    <n v="0"/>
    <s v=""/>
    <s v=""/>
    <n v="44181.120000000003"/>
    <m/>
    <n v="0"/>
    <n v="1"/>
    <n v="5067218.1100000003"/>
    <n v="51746.38"/>
    <s v="10"/>
    <n v="51827.395799999991"/>
    <n v="3.09"/>
    <n v="45"/>
    <m/>
    <s v="ЯШИНА"/>
    <n v="370"/>
    <m/>
  </r>
  <r>
    <s v="1"/>
    <d v="2023-06-19T00:00:00"/>
    <x v="11"/>
    <s v="10131010/110923/3308469"/>
    <s v="10131010"/>
    <s v="330846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44388.8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916.87"/>
    <m/>
    <m/>
    <n v="104.8872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233.17"/>
    <s v="ОООО-ОО"/>
    <n v="4000000"/>
    <n v="16107.17"/>
    <n v="0"/>
    <s v=""/>
    <s v=""/>
    <n v="44916.87"/>
    <m/>
    <n v="0"/>
    <n v="1"/>
    <n v="5144388.87"/>
    <n v="52534.45"/>
    <s v="10"/>
    <n v="52509.374199999998"/>
    <n v="3.26"/>
    <n v="45"/>
    <m/>
    <s v="ЧУДИНА"/>
    <n v="321"/>
    <m/>
  </r>
  <r>
    <s v="1"/>
    <d v="2023-10-29T00:00:00"/>
    <x v="1"/>
    <s v="10131010/110923/3308463"/>
    <s v="10131010"/>
    <s v="330846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58474.3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423.919999999998"/>
    <m/>
    <m/>
    <n v="104.8872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73.8"/>
    <s v="ОООО-ОО"/>
    <n v="4000000"/>
    <n v="15514.6"/>
    <n v="0"/>
    <s v=""/>
    <s v=""/>
    <n v="37423.919999999998"/>
    <m/>
    <n v="0"/>
    <n v="1"/>
    <n v="4358474.32"/>
    <n v="44508.7"/>
    <s v="10"/>
    <n v="44526.902000000002"/>
    <n v="2.87"/>
    <n v="45"/>
    <m/>
    <s v="ОСИПОВА"/>
    <n v="299"/>
    <m/>
  </r>
  <r>
    <s v="1"/>
    <d v="2023-05-07T00:00:00"/>
    <x v="9"/>
    <s v="10131010/110923/3308463"/>
    <s v="10131010"/>
    <s v="330846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58474.3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7423.919999999998"/>
    <m/>
    <m/>
    <n v="104.8872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73.8"/>
    <s v="ОООО-ОО"/>
    <n v="4000000"/>
    <n v="15514.6"/>
    <n v="0"/>
    <s v=""/>
    <s v=""/>
    <n v="37423.919999999998"/>
    <m/>
    <n v="0"/>
    <n v="1"/>
    <n v="4358474.32"/>
    <n v="44508.7"/>
    <s v="10"/>
    <n v="44526.902000000002"/>
    <n v="2.87"/>
    <n v="45"/>
    <m/>
    <s v="ОСИПОВА"/>
    <n v="299"/>
    <m/>
  </r>
  <r>
    <s v="1"/>
    <d v="2023-01-16T00:00:00"/>
    <x v="5"/>
    <s v="10131010/110723/3246439"/>
    <s v="10131010"/>
    <s v="3246439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77221.4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448.68"/>
    <n v="4262505"/>
    <n v="51121.03"/>
    <n v="100.4154999999999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MЕНТЕ:"/>
    <x v="1"/>
    <m/>
    <s v="UNITED PETFOOD PRODUCERS NV"/>
    <n v="33"/>
    <n v="0"/>
    <n v="0"/>
    <m/>
    <n v="0"/>
    <m/>
    <s v="1"/>
    <s v="2309101100"/>
    <s v=""/>
    <s v=""/>
    <s v="BE"/>
    <n v="16728.98"/>
    <s v="ОООО-ОО"/>
    <n v="4000000"/>
    <n v="16692.98"/>
    <n v="0"/>
    <s v=""/>
    <s v=""/>
    <n v="42448.68"/>
    <n v="4262505"/>
    <n v="0"/>
    <n v="1"/>
    <n v="4677221.45"/>
    <n v="51121.03"/>
    <s v="10"/>
    <n v="51080.518799999998"/>
    <n v="3.06"/>
    <n v="45"/>
    <s v="2022/09 БР"/>
    <s v="ДРУЗЯГИНА ИРИНА НИКОЛАЕВНА"/>
    <n v="144"/>
    <m/>
  </r>
  <r>
    <s v="1"/>
    <d v="2023-01-02T00:00:00"/>
    <x v="5"/>
    <s v="10131010/110523/3165947"/>
    <s v="10131010"/>
    <s v="3165947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66133.8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248.400000000001"/>
    <n v="3218595"/>
    <n v="46498.879999999997"/>
    <n v="84.14979999999999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078.64"/>
    <s v="ОООО-ОО"/>
    <n v="4000000"/>
    <n v="17042.64"/>
    <n v="0"/>
    <s v=""/>
    <s v=""/>
    <n v="38248.400000000001"/>
    <n v="3218595"/>
    <n v="0"/>
    <n v="1"/>
    <n v="3566133.88"/>
    <n v="46498.879999999997"/>
    <s v="10"/>
    <n v="46499.138976000002"/>
    <n v="2.7284000000000002"/>
    <n v="45"/>
    <s v="2022/09 БР"/>
    <s v="ЯШИНА АННА СЕРГЕЕВНА"/>
    <n v="270"/>
    <m/>
  </r>
  <r>
    <s v="1"/>
    <d v="2023-01-07T00:00:00"/>
    <x v="5"/>
    <s v="10131010/110523/3165916"/>
    <s v="10131010"/>
    <s v="3165916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98206.9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862.97"/>
    <n v="3606910"/>
    <n v="52132.69"/>
    <n v="84.149799999999999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952.8"/>
    <s v="ОООО-ОО"/>
    <n v="4000000"/>
    <n v="16952.8"/>
    <n v="0"/>
    <s v=""/>
    <s v=""/>
    <n v="42862.97"/>
    <n v="3606910"/>
    <n v="0"/>
    <n v="1"/>
    <n v="3998206.92"/>
    <n v="52132.69"/>
    <s v="10"/>
    <n v="52133.25056"/>
    <n v="3.0752000000000002"/>
    <n v="45"/>
    <s v="2022/09 БР"/>
    <s v="ОСИПОВА ТАТЬЯНА ВЛАДИМИРОВНА"/>
    <n v="174"/>
    <m/>
  </r>
  <r>
    <s v="1"/>
    <d v="2023-10-28T00:00:00"/>
    <x v="1"/>
    <s v="10131010/110423/3125038"/>
    <s v="10131010"/>
    <s v="3125038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22452.55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122.28"/>
    <n v="3934547"/>
    <n v="52877.85"/>
    <n v="89.173699999999997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23.439999999999"/>
    <s v="ОООО-ОО"/>
    <n v="4000000"/>
    <n v="16833.439999999999"/>
    <n v="0"/>
    <s v=""/>
    <s v=""/>
    <n v="44122.28"/>
    <n v="3934547"/>
    <n v="0"/>
    <n v="1"/>
    <n v="4322452.5599999996"/>
    <n v="52877.85"/>
    <s v="10"/>
    <n v="52877.201727999993"/>
    <n v="3.1412"/>
    <n v="45"/>
    <s v="2022/09 БР"/>
    <s v="ДРУЗЯГИНА ИРИНА НИКОЛАЕВНА"/>
    <n v="32"/>
    <m/>
  </r>
  <r>
    <s v="1"/>
    <d v="2022-02-26T00:00:00"/>
    <x v="6"/>
    <s v="10131010/101123/3372204"/>
    <s v="10131010"/>
    <s v="337220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014852.9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6808.199999999997"/>
    <m/>
    <m/>
    <n v="98.407600000000002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3008.6"/>
    <s v="ОООО-ОО"/>
    <n v="4000000"/>
    <n v="12295.8"/>
    <n v="0"/>
    <s v=""/>
    <s v=""/>
    <n v="36808.199999999997"/>
    <m/>
    <n v="0"/>
    <n v="1"/>
    <n v="4014852.94"/>
    <n v="43674.55"/>
    <s v="10"/>
    <n v="43650.09"/>
    <n v="3.55"/>
    <n v="45"/>
    <m/>
    <s v="ОСИПОВА"/>
    <n v="34"/>
    <m/>
  </r>
  <r>
    <s v="1"/>
    <d v="2022-05-16T00:00:00"/>
    <x v="6"/>
    <s v="10131010/101123/3371959"/>
    <s v="10131010"/>
    <s v="337195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21516.44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940.639999999999"/>
    <m/>
    <m/>
    <n v="98.407600000000002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31.1"/>
    <s v="ОООО-ОО"/>
    <n v="4000000"/>
    <n v="15515.1"/>
    <n v="0"/>
    <s v=""/>
    <s v=""/>
    <n v="40940.639999999999"/>
    <m/>
    <n v="0"/>
    <n v="1"/>
    <n v="4421516.4400000004"/>
    <n v="48098.34"/>
    <s v="10"/>
    <n v="48096.810000000005"/>
    <n v="3.1"/>
    <n v="45"/>
    <m/>
    <s v="ЧУДИНА"/>
    <n v="557"/>
    <m/>
  </r>
  <r>
    <s v="1"/>
    <d v="2023-06-14T00:00:00"/>
    <x v="11"/>
    <s v="10131010/101123/3371660"/>
    <s v="10131010"/>
    <s v="337166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99715.05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205.279999999999"/>
    <m/>
    <m/>
    <n v="98.407600000000002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598.88"/>
    <s v="ОООО-ОО"/>
    <n v="4000000"/>
    <n v="15346.88"/>
    <n v="0"/>
    <s v=""/>
    <s v=""/>
    <n v="41205.279999999999"/>
    <m/>
    <n v="0"/>
    <n v="1"/>
    <n v="4499715.0599999996"/>
    <n v="48949"/>
    <s v="10"/>
    <n v="48956.547199999994"/>
    <n v="3.19"/>
    <n v="45"/>
    <m/>
    <s v="ЯШИНА"/>
    <n v="284"/>
    <m/>
  </r>
  <r>
    <s v="1"/>
    <d v="2023-08-24T00:00:00"/>
    <x v="8"/>
    <s v="10131010/101023/3340509"/>
    <s v="10131010"/>
    <s v="334050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01139.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101.26"/>
    <m/>
    <m/>
    <n v="107.0322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275.91"/>
    <s v="ОООО-ОО"/>
    <n v="4000000"/>
    <n v="16175.11"/>
    <n v="0"/>
    <s v=""/>
    <s v=""/>
    <n v="41101.26"/>
    <m/>
    <n v="0"/>
    <n v="1"/>
    <n v="4901139.3"/>
    <n v="48353.88"/>
    <s v="10"/>
    <n v="48363.578900000008"/>
    <n v="2.99"/>
    <n v="45"/>
    <m/>
    <s v="БЛАГОНРАВОВА"/>
    <n v="205"/>
    <m/>
  </r>
  <r>
    <s v="1"/>
    <d v="2023-06-14T00:00:00"/>
    <x v="11"/>
    <s v="10131010/101023/3340509"/>
    <s v="10131010"/>
    <s v="334050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01139.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101.26"/>
    <m/>
    <m/>
    <n v="107.0322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275.91"/>
    <s v="ОООО-ОО"/>
    <n v="4000000"/>
    <n v="16175.11"/>
    <n v="0"/>
    <s v=""/>
    <s v=""/>
    <n v="41101.26"/>
    <m/>
    <n v="0"/>
    <n v="1"/>
    <n v="4901139.3"/>
    <n v="48353.88"/>
    <s v="10"/>
    <n v="48363.578900000008"/>
    <n v="2.99"/>
    <n v="45"/>
    <m/>
    <s v="БЛАГОНРАВОВА"/>
    <n v="205"/>
    <m/>
  </r>
  <r>
    <s v="1"/>
    <d v="2023-09-07T00:00:00"/>
    <x v="4"/>
    <s v="10131010/101023/3340301"/>
    <s v="10131010"/>
    <s v="334030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67117.5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586.29"/>
    <m/>
    <m/>
    <n v="107.0322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098.98"/>
    <s v="ОООО-ОО"/>
    <n v="4000000"/>
    <n v="15930.98"/>
    <n v="0"/>
    <s v=""/>
    <s v=""/>
    <n v="43586.29"/>
    <m/>
    <n v="0"/>
    <n v="1"/>
    <n v="5167117.53"/>
    <n v="50977.98"/>
    <s v="10"/>
    <n v="50979.135999999999"/>
    <n v="3.2"/>
    <n v="45"/>
    <m/>
    <s v="ЯШИНА"/>
    <n v="579"/>
    <m/>
  </r>
  <r>
    <s v="1"/>
    <d v="2023-02-20T00:00:00"/>
    <x v="12"/>
    <s v="10131010/101023/3340301"/>
    <s v="10131010"/>
    <s v="334030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67117.5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586.29"/>
    <m/>
    <m/>
    <n v="107.0322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098.98"/>
    <s v="ОООО-ОО"/>
    <n v="4000000"/>
    <n v="15930.98"/>
    <n v="0"/>
    <s v=""/>
    <s v=""/>
    <n v="43586.29"/>
    <m/>
    <n v="0"/>
    <n v="1"/>
    <n v="5167117.53"/>
    <n v="50977.98"/>
    <s v="10"/>
    <n v="50979.135999999999"/>
    <n v="3.2"/>
    <n v="45"/>
    <m/>
    <s v="ЯШИНА"/>
    <n v="579"/>
    <m/>
  </r>
  <r>
    <s v="1"/>
    <d v="2023-04-06T00:00:00"/>
    <x v="3"/>
    <s v="10131010/100823/3278345"/>
    <s v="10131010"/>
    <s v="3278345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459463.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10"/>
    <s v="RU"/>
    <s v="РОССИЯ"/>
    <m/>
    <s v="0"/>
    <s v="FCA"/>
    <s v="ERPE-MERE"/>
    <m/>
    <s v="EUR"/>
    <n v="46945.67"/>
    <m/>
    <m/>
    <n v="106.8897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m/>
    <m/>
    <s v="1"/>
    <s v="2309101100"/>
    <s v=""/>
    <s v=""/>
    <s v=""/>
    <n v="16630.64"/>
    <s v="ОООО-ОО"/>
    <n v="4000000"/>
    <n v="16540.64"/>
    <n v="0"/>
    <s v=""/>
    <s v=""/>
    <n v="46945.67"/>
    <m/>
    <n v="0"/>
    <n v="1"/>
    <n v="5459463.04"/>
    <n v="56052.04"/>
    <s v="10"/>
    <n v="56072.7696"/>
    <n v="3.39"/>
    <m/>
    <m/>
    <m/>
    <n v="319"/>
    <m/>
  </r>
  <r>
    <s v="1"/>
    <d v="2023-04-01T00:00:00"/>
    <x v="3"/>
    <s v="10131010/100823/3278322"/>
    <s v="10131010"/>
    <s v="3278322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95313.09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10"/>
    <s v="RU"/>
    <s v="РОССИЯ"/>
    <m/>
    <s v="0"/>
    <s v="FCA"/>
    <s v="ERPE-MERE"/>
    <m/>
    <s v="EUR"/>
    <n v="41667.800000000003"/>
    <m/>
    <m/>
    <n v="106.8897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"/>
    <n v="16280.04"/>
    <s v="ОООО-ОО"/>
    <n v="4000000"/>
    <n v="16172.04"/>
    <n v="0"/>
    <s v=""/>
    <s v=""/>
    <n v="41667.800000000003"/>
    <m/>
    <n v="0"/>
    <n v="1"/>
    <n v="4895313.0999999996"/>
    <n v="50259.94"/>
    <s v="10"/>
    <n v="50295.044399999999"/>
    <n v="3.11"/>
    <m/>
    <m/>
    <m/>
    <n v="118"/>
    <m/>
  </r>
  <r>
    <s v="1"/>
    <d v="2023-01-03T00:00:00"/>
    <x v="5"/>
    <s v="10131010/100823/3278314"/>
    <s v="10131010"/>
    <s v="3278314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08854.7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10"/>
    <s v="RU"/>
    <s v="РОССИЯ"/>
    <m/>
    <s v="0"/>
    <s v="FCA"/>
    <s v="ERPE-MERE"/>
    <m/>
    <s v="EUR"/>
    <n v="39923.4"/>
    <m/>
    <m/>
    <n v="106.8897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"/>
    <n v="16345.85"/>
    <s v="ОООО-ОО"/>
    <n v="4000000"/>
    <n v="16249.85"/>
    <n v="0"/>
    <s v=""/>
    <s v=""/>
    <n v="39923.4"/>
    <m/>
    <n v="0"/>
    <n v="1"/>
    <n v="4708854.71"/>
    <n v="48345.58"/>
    <s v="10"/>
    <n v="48424.553"/>
    <n v="2.98"/>
    <m/>
    <m/>
    <m/>
    <n v="319"/>
    <m/>
  </r>
  <r>
    <s v="1"/>
    <d v="2023-11-21T00:00:00"/>
    <x v="7"/>
    <s v="10131010/100823/3278304"/>
    <s v="10131010"/>
    <s v="3278304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09069.80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10"/>
    <s v="RU"/>
    <s v="РОССИЯ"/>
    <m/>
    <s v="0"/>
    <s v="FCA"/>
    <s v="ERPE-MERE"/>
    <m/>
    <s v="EUR"/>
    <n v="41796.5"/>
    <m/>
    <m/>
    <n v="106.8897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"/>
    <n v="16461.11"/>
    <s v="ОООО-ОО"/>
    <n v="4000000"/>
    <n v="16356.11"/>
    <n v="0"/>
    <s v=""/>
    <s v=""/>
    <n v="41796.5"/>
    <m/>
    <n v="0"/>
    <n v="1"/>
    <n v="4909069.8099999996"/>
    <n v="50401.18"/>
    <s v="10"/>
    <n v="50376.818800000001"/>
    <n v="3.08"/>
    <m/>
    <m/>
    <m/>
    <n v="303"/>
    <m/>
  </r>
  <r>
    <s v="1"/>
    <d v="2023-12-27T00:00:00"/>
    <x v="10"/>
    <s v="10131010/100823/3278057"/>
    <s v="10131010"/>
    <s v="3278057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66826.5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10"/>
    <s v="RU"/>
    <s v="РОССИЯ"/>
    <m/>
    <s v="0"/>
    <s v="FCA"/>
    <s v="ERPE-MERE"/>
    <m/>
    <s v="EUR"/>
    <n v="42336.84"/>
    <m/>
    <m/>
    <n v="106.8897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"/>
    <n v="16657.63"/>
    <s v="ОООО-ОО"/>
    <n v="4000000"/>
    <n v="16547.23"/>
    <n v="0"/>
    <s v=""/>
    <s v=""/>
    <n v="42336.84"/>
    <m/>
    <n v="0"/>
    <n v="1"/>
    <n v="4966826.59"/>
    <n v="50994.17"/>
    <s v="10"/>
    <n v="50965.468399999998"/>
    <n v="3.08"/>
    <m/>
    <m/>
    <m/>
    <n v="302"/>
    <m/>
  </r>
  <r>
    <s v="1"/>
    <d v="2023-01-11T00:00:00"/>
    <x v="5"/>
    <s v="10131010/100823/3278049"/>
    <s v="10131010"/>
    <s v="3278049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06170.7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10"/>
    <s v="RU"/>
    <s v="РОССИЯ"/>
    <m/>
    <s v="0"/>
    <s v="FCA"/>
    <s v="ERPE-MERE"/>
    <m/>
    <s v="EUR"/>
    <n v="39898.29"/>
    <m/>
    <m/>
    <n v="106.8897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"/>
    <n v="16261.36"/>
    <s v="ОООО-ОО"/>
    <n v="4000000"/>
    <n v="16153.36"/>
    <n v="0"/>
    <s v=""/>
    <s v=""/>
    <n v="39898.29"/>
    <m/>
    <n v="0"/>
    <n v="1"/>
    <n v="4706170.71"/>
    <n v="48318.02"/>
    <s v="10"/>
    <n v="48298.546400000007"/>
    <n v="2.99"/>
    <m/>
    <m/>
    <m/>
    <n v="159"/>
    <m/>
  </r>
  <r>
    <s v="1"/>
    <d v="2023-03-19T00:00:00"/>
    <x v="2"/>
    <s v="10131010/100823/3278031"/>
    <s v="10131010"/>
    <s v="3278031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290244.90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10"/>
    <s v="RU"/>
    <s v="РОССИЯ"/>
    <m/>
    <s v="0"/>
    <s v="FCA"/>
    <s v="ERPE-MERE"/>
    <m/>
    <s v="EUR"/>
    <n v="44842.559999999998"/>
    <m/>
    <m/>
    <n v="106.8897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"/>
    <n v="16563.830000000002"/>
    <s v="ОООО-ОО"/>
    <n v="4000000"/>
    <n v="16527.830000000002"/>
    <n v="0"/>
    <s v=""/>
    <s v=""/>
    <n v="44842.559999999998"/>
    <m/>
    <n v="0"/>
    <n v="1"/>
    <n v="5290244.9000000004"/>
    <n v="54314.69"/>
    <s v="10"/>
    <n v="54376.560700000009"/>
    <n v="3.29"/>
    <m/>
    <m/>
    <m/>
    <n v="157"/>
    <m/>
  </r>
  <r>
    <s v="1"/>
    <d v="2023-06-03T00:00:00"/>
    <x v="11"/>
    <s v="10131010/100823/3277251"/>
    <s v="10131010"/>
    <s v="3277251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16738.0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10"/>
    <s v="RU"/>
    <s v="РОССИЯ"/>
    <m/>
    <s v="0"/>
    <s v="FCA"/>
    <s v="ERPE-MERE"/>
    <m/>
    <s v="EUR"/>
    <n v="41868.239999999998"/>
    <m/>
    <m/>
    <n v="106.8897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"/>
    <n v="16259.56"/>
    <s v="ОООО-ОО"/>
    <n v="4000000"/>
    <n v="16158.76"/>
    <n v="0"/>
    <s v=""/>
    <s v=""/>
    <n v="41868.239999999998"/>
    <m/>
    <n v="0"/>
    <n v="1"/>
    <n v="4916738.07"/>
    <n v="50479.91"/>
    <s v="10"/>
    <n v="50415.331200000001"/>
    <n v="3.12"/>
    <m/>
    <m/>
    <m/>
    <n v="178"/>
    <m/>
  </r>
  <r>
    <s v="1"/>
    <d v="2023-01-16T00:00:00"/>
    <x v="5"/>
    <s v="10131010/100723/3246009"/>
    <s v="10131010"/>
    <s v="3246009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15293.1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588.480000000003"/>
    <n v="4251135"/>
    <n v="51427.65"/>
    <n v="99.81889999999999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B, В АССОРТИМЕНТЕ:"/>
    <x v="1"/>
    <m/>
    <s v="UNITED PETFOOD PRODUCERS NV"/>
    <n v="33"/>
    <n v="0"/>
    <n v="0"/>
    <m/>
    <n v="0"/>
    <m/>
    <s v="1"/>
    <s v="2309101100"/>
    <s v=""/>
    <s v=""/>
    <s v="BE"/>
    <n v="17040.38"/>
    <s v="ОООО-ОО"/>
    <n v="4000000"/>
    <n v="17040.38"/>
    <n v="0"/>
    <s v=""/>
    <s v=""/>
    <n v="42588.480000000003"/>
    <n v="4251135"/>
    <n v="0"/>
    <n v="1"/>
    <n v="4715293.12"/>
    <n v="51427.65"/>
    <s v="10"/>
    <n v="51461.947600000007"/>
    <n v="3.02"/>
    <n v="45"/>
    <s v="2022/09 БР"/>
    <s v="ОСИПОВА ТАТЬЯНА ВЛАДИМИРОВНА"/>
    <n v="551"/>
    <m/>
  </r>
  <r>
    <s v="1"/>
    <d v="2023-09-16T00:00:00"/>
    <x v="4"/>
    <s v="10131010/100723/3244875"/>
    <s v="10131010"/>
    <s v="3244875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51069.6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465.08"/>
    <n v="4238818"/>
    <n v="50727.19"/>
    <n v="99.818899999999999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A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412.18"/>
    <s v="ОООО-ОО"/>
    <n v="4000000"/>
    <n v="16340.18"/>
    <n v="0"/>
    <s v=""/>
    <s v=""/>
    <n v="42465.08"/>
    <n v="4238818"/>
    <n v="0"/>
    <n v="1"/>
    <n v="4651069.63"/>
    <n v="50727.19"/>
    <s v="10"/>
    <n v="50654.558000000005"/>
    <n v="3.1"/>
    <n v="45"/>
    <s v="2022/09 БР"/>
    <s v="ЯШИНА АННА СЕРГЕЕВНА"/>
    <n v="77"/>
    <m/>
  </r>
  <r>
    <s v="1"/>
    <d v="2023-11-22T00:00:00"/>
    <x v="7"/>
    <s v="10131010/100723/3244858"/>
    <s v="10131010"/>
    <s v="3244858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97716.4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930.58"/>
    <n v="4185464"/>
    <n v="50145.29"/>
    <n v="99.81889999999999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РАСФАСОВАННЫЙ ДЛЯ РОЗНИЧНОЙ ПРОДАЖИ,БЕЗ СОДЕРЖАНИЯ КРАХМАЛА,БЕЗ СОДЕРЖАНИЯ МОЛОЧНЫХ ПРОДУКТОВ,В АССОРТИМЕНТЕ:"/>
    <x v="1"/>
    <m/>
    <s v="UNITED PETFOOD PRODUCERS NV"/>
    <n v="33"/>
    <n v="0"/>
    <n v="0"/>
    <m/>
    <n v="0"/>
    <m/>
    <s v="1"/>
    <s v="2309101100"/>
    <s v=""/>
    <s v=""/>
    <s v="BE"/>
    <n v="15731.14"/>
    <s v="ОООО-ОО"/>
    <n v="4000000"/>
    <n v="15569.14"/>
    <n v="0"/>
    <s v=""/>
    <s v=""/>
    <n v="41930.58"/>
    <n v="4185464"/>
    <n v="0"/>
    <n v="1"/>
    <n v="4597716.43"/>
    <n v="50145.29"/>
    <s v="10"/>
    <n v="50132.630799999999"/>
    <n v="3.22"/>
    <n v="45"/>
    <s v="2022/09 БР"/>
    <s v="ЧУДИНА ЭЛЬВИРА РАИСОВНА"/>
    <n v="80"/>
    <m/>
  </r>
  <r>
    <s v="1"/>
    <d v="2023-04-13T00:00:00"/>
    <x v="3"/>
    <s v="10131010/100723/3244854"/>
    <s v="10131010"/>
    <s v="3244854"/>
    <x v="0"/>
    <s v="40"/>
    <s v=""/>
    <s v=""/>
    <s v=""/>
    <s v="UNITED PETFOOD PRODUCERS NV"/>
    <s v="9400, , ERPE-MERE, EVENBROEKVELD 1, 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53496.9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974.84"/>
    <n v="4489339"/>
    <n v="54025.63"/>
    <n v="99.818899999999999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50.04"/>
    <s v="ОООО-ОО"/>
    <n v="4000000"/>
    <n v="16814.04"/>
    <n v="0"/>
    <s v=""/>
    <s v=""/>
    <n v="44974.84"/>
    <n v="4489339"/>
    <n v="0"/>
    <n v="1"/>
    <n v="4953496.95"/>
    <n v="54025.63"/>
    <s v="10"/>
    <n v="53973.068400000004"/>
    <n v="3.21"/>
    <n v="45"/>
    <s v="2022/09 БР"/>
    <s v="ОСИПОВА ТАТЬЯНА ВЛАДИМИРОВНА"/>
    <n v="174"/>
    <m/>
  </r>
  <r>
    <s v="1"/>
    <d v="2023-04-01T00:00:00"/>
    <x v="3"/>
    <s v="10131010/100523/3164933"/>
    <s v="10131010"/>
    <s v="3164933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89298.1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134.16"/>
    <n v="3577498"/>
    <n v="51929.99"/>
    <n v="84.9073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58.71"/>
    <s v="ОООО-ОО"/>
    <n v="4000000"/>
    <n v="17022.71"/>
    <n v="0"/>
    <s v=""/>
    <s v=""/>
    <n v="42134.16"/>
    <n v="3577498"/>
    <n v="0"/>
    <n v="1"/>
    <n v="3989298.17"/>
    <n v="51929.99"/>
    <s v="10"/>
    <n v="51929.479125999998"/>
    <n v="3.0506000000000002"/>
    <n v="45"/>
    <s v="2022/09 БР"/>
    <s v="ЧУДИНА ЭЛЬВИРА РАИСОВНА"/>
    <n v="116"/>
    <m/>
  </r>
  <r>
    <s v="1"/>
    <d v="2023-07-25T00:00:00"/>
    <x v="0"/>
    <s v="10131010/100523/3164931"/>
    <s v="10131010"/>
    <s v="3164931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55914.73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7829.760000000002"/>
    <n v="4061096"/>
    <n v="58004.09"/>
    <n v="84.9073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964.53"/>
    <s v="ОООО-ОО"/>
    <n v="4000000"/>
    <n v="16964.53"/>
    <n v="0"/>
    <s v=""/>
    <s v=""/>
    <n v="47829.760000000002"/>
    <n v="4061096"/>
    <n v="0"/>
    <n v="1"/>
    <n v="4455914.7300000004"/>
    <n v="58004.09"/>
    <s v="10"/>
    <n v="58003.424522999994"/>
    <n v="3.4190999999999998"/>
    <n v="45"/>
    <s v="2022/09 БР"/>
    <s v="ОСИПОВА ТАТЬЯНА ВЛАДИМИРОВНА"/>
    <n v="116"/>
    <m/>
  </r>
  <r>
    <s v="1"/>
    <d v="2023-12-28T00:00:00"/>
    <x v="10"/>
    <s v="10131010/100523/3164439"/>
    <s v="10131010"/>
    <s v="3164439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23093.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074.43"/>
    <n v="3572426"/>
    <n v="51068.18"/>
    <n v="84.9073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248.72"/>
    <s v="ОООО-ОО"/>
    <n v="4000000"/>
    <n v="17248.72"/>
    <n v="0"/>
    <s v=""/>
    <s v=""/>
    <n v="42074.43"/>
    <n v="3572426"/>
    <n v="0"/>
    <n v="1"/>
    <n v="3923093.4"/>
    <n v="51068.18"/>
    <s v="10"/>
    <n v="51068.285304000005"/>
    <n v="2.9607000000000001"/>
    <n v="45"/>
    <s v="2022/09 БР"/>
    <s v="ЯШИНА АННА СЕРГЕЕВНА"/>
    <n v="326"/>
    <m/>
  </r>
  <r>
    <s v="1"/>
    <d v="2023-01-31T00:00:00"/>
    <x v="5"/>
    <s v="10131010/100523/3163653"/>
    <s v="10131010"/>
    <s v="3163653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23667.3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572.21"/>
    <n v="3954321"/>
    <n v="56282.58"/>
    <n v="84.9073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35.990000000002"/>
    <s v="ОООО-ОО"/>
    <n v="4000000"/>
    <n v="16835.990000000002"/>
    <n v="0"/>
    <s v=""/>
    <s v=""/>
    <n v="46572.21"/>
    <n v="3954321"/>
    <n v="0"/>
    <n v="1"/>
    <n v="4323667.37"/>
    <n v="56282.58"/>
    <s v="10"/>
    <n v="56282.714570000004"/>
    <n v="3.343"/>
    <n v="45"/>
    <s v="2022/09 БР"/>
    <s v="ЯШИНА АННА СЕРГЕЕВНА"/>
    <n v="564"/>
    <m/>
  </r>
  <r>
    <s v="1"/>
    <d v="2023-07-02T00:00:00"/>
    <x v="0"/>
    <s v="10131010/100523/3163542"/>
    <s v="10131010"/>
    <s v="3163542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23654.2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183.279999999999"/>
    <n v="3411854"/>
    <n v="49773.75"/>
    <n v="84.90730000000000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938.439999999999"/>
    <s v="ОООО-ОО"/>
    <n v="4000000"/>
    <n v="16920.439999999999"/>
    <n v="0"/>
    <s v=""/>
    <s v=""/>
    <n v="40183.279999999999"/>
    <n v="3411854"/>
    <n v="0"/>
    <n v="1"/>
    <n v="3823654.22"/>
    <n v="49773.75"/>
    <s v="10"/>
    <n v="49773.166303999998"/>
    <n v="2.9416000000000002"/>
    <n v="45"/>
    <s v="2022/09 БР"/>
    <s v="ОСИПОВА ТАТЬЯНА ВЛАДИМИРОВНА"/>
    <n v="121"/>
    <m/>
  </r>
  <r>
    <s v="1"/>
    <d v="2023-09-26T00:00:00"/>
    <x v="4"/>
    <s v="10131010/100523/3163390"/>
    <s v="10131010"/>
    <s v="3163390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27119.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557.36"/>
    <n v="3698338"/>
    <n v="53724.06"/>
    <n v="84.90730000000000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985.42"/>
    <s v="ОООО-ОО"/>
    <n v="4000000"/>
    <n v="15819.82"/>
    <n v="0"/>
    <s v=""/>
    <s v=""/>
    <n v="43557.36"/>
    <n v="3698338"/>
    <n v="0"/>
    <n v="1"/>
    <n v="4127119.7"/>
    <n v="53724.06"/>
    <s v="10"/>
    <n v="53724.108719999997"/>
    <n v="3.3959999999999999"/>
    <n v="45"/>
    <s v="2022/09 БР"/>
    <s v="ЯШИНА АННА СЕРГЕЕВНА"/>
    <n v="325"/>
    <m/>
  </r>
  <r>
    <s v="1"/>
    <d v="2023-04-16T00:00:00"/>
    <x v="3"/>
    <s v="10131010/100523/3163154"/>
    <s v="10131010"/>
    <s v="3163154"/>
    <x v="0"/>
    <s v="40"/>
    <s v=""/>
    <s v=""/>
    <s v=""/>
    <s v="UNITED PETFOOD PRODUCERS NV"/>
    <s v="9400, , ERPE-MERE, EVENBROEKVELD 1, .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00353.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264.36"/>
    <n v="3588553"/>
    <n v="52073.9"/>
    <n v="84.90730000000000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431.97"/>
    <s v="ОООО-ОО"/>
    <n v="4000000"/>
    <n v="17431.97"/>
    <n v="0"/>
    <s v=""/>
    <s v=""/>
    <n v="42264.36"/>
    <n v="3588553"/>
    <n v="0"/>
    <n v="1"/>
    <n v="4000353.1"/>
    <n v="52073.9"/>
    <s v="10"/>
    <n v="52074.523980999998"/>
    <n v="2.9872999999999998"/>
    <n v="45"/>
    <s v="2022/09 БР"/>
    <s v="ОСИПОВА ТАТЬЯНА ВЛАДИМИРОВНА"/>
    <n v="310"/>
    <m/>
  </r>
  <r>
    <s v="1"/>
    <d v="2023-12-17T00:00:00"/>
    <x v="10"/>
    <s v="10131010/100323/3083923"/>
    <s v="10131010"/>
    <s v="308392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352341.0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7482.519999999997"/>
    <n v="3003744"/>
    <n v="44166.239999999998"/>
    <n v="80.13720000000000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941.42"/>
    <s v="ОООО-ОО"/>
    <n v="4000000"/>
    <n v="15768.62"/>
    <n v="0"/>
    <s v=""/>
    <s v=""/>
    <n v="37482.519999999997"/>
    <n v="3003744"/>
    <n v="0"/>
    <n v="1"/>
    <n v="3352341.02"/>
    <n v="44166.239999999998"/>
    <s v="10"/>
    <n v="44166.327757999999"/>
    <n v="2.8008999999999999"/>
    <n v="45"/>
    <s v="2022/09 БР"/>
    <s v="ЯШИНА АННА СЕРГЕЕВНА"/>
    <n v="326"/>
    <m/>
  </r>
  <r>
    <s v="1"/>
    <d v="2023-10-10T00:00:00"/>
    <x v="1"/>
    <s v="10131010/100323/3083878"/>
    <s v="10131010"/>
    <s v="308387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38015.7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795.199999999997"/>
    <n v="3349350"/>
    <n v="49247.4"/>
    <n v="80.13720000000000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O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760.349999999999"/>
    <s v="ОООО-ОО"/>
    <n v="4000000"/>
    <n v="16760.349999999999"/>
    <n v="0"/>
    <s v=""/>
    <s v=""/>
    <n v="41795.199999999997"/>
    <n v="3349350"/>
    <n v="0"/>
    <n v="1"/>
    <n v="3738015.72"/>
    <n v="49247.4"/>
    <s v="10"/>
    <n v="49246.936404999993"/>
    <n v="2.9382999999999999"/>
    <n v="45"/>
    <s v="2022/09 БР"/>
    <s v="БЛАГОНРАВОВА ДАРЬЯ ДМИТРИЕВНА"/>
    <n v="326"/>
    <m/>
  </r>
  <r>
    <s v="1"/>
    <d v="2023-10-20T00:00:00"/>
    <x v="1"/>
    <s v="10131010/100323/3083523"/>
    <s v="10131010"/>
    <s v="308352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58931.5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556.2"/>
    <n v="3410335"/>
    <n v="49522.96"/>
    <n v="80.13720000000000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322.7"/>
    <s v="ОООО-ОО"/>
    <n v="4000000"/>
    <n v="16236.3"/>
    <n v="0"/>
    <s v=""/>
    <s v=""/>
    <n v="42556.2"/>
    <n v="3410335"/>
    <n v="0"/>
    <n v="1"/>
    <n v="3758931.53"/>
    <n v="49522.96"/>
    <s v="10"/>
    <n v="49522.338629999998"/>
    <n v="3.0501"/>
    <n v="45"/>
    <s v="2022/09 БР"/>
    <s v="ЧУДИНА ЭЛЬВИРА РАИСОВНА"/>
    <n v="551"/>
    <m/>
  </r>
  <r>
    <s v="1"/>
    <d v="2022-09-02T00:00:00"/>
    <x v="6"/>
    <s v="10131010/100223/3048214"/>
    <s v="10131010"/>
    <s v="304821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93695.3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310.2"/>
    <n v="3313832"/>
    <n v="50671.519999999997"/>
    <n v="78.3222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692.66"/>
    <s v="ОООО-ОО"/>
    <n v="4000000"/>
    <n v="16566.66"/>
    <n v="0"/>
    <s v=""/>
    <s v=""/>
    <n v="42310.2"/>
    <n v="3313832"/>
    <n v="0"/>
    <n v="1"/>
    <n v="3693695.34"/>
    <n v="50671.519999999997"/>
    <s v="10"/>
    <n v="50670.786276000006"/>
    <n v="3.0586000000000002"/>
    <n v="45"/>
    <s v="2022/09 БР"/>
    <s v="ЧУДИНА ЭЛЬВИРА РАИСОВНА"/>
    <n v="24"/>
    <m/>
  </r>
  <r>
    <s v="1"/>
    <d v="2022-07-18T00:00:00"/>
    <x v="6"/>
    <s v="10131010/100223/3048061"/>
    <s v="10131010"/>
    <s v="3048061"/>
    <x v="0"/>
    <s v="40"/>
    <s v=""/>
    <s v=""/>
    <s v=""/>
    <s v="UNITED PETFOOD PRODUCERS NV"/>
    <s v="9400, , ERPE-MERE, EVENBROEKVELD 1,"/>
    <s v=""/>
    <s v=""/>
    <n v="1"/>
    <n v="0"/>
    <n v="1"/>
    <n v="35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64609.7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8822.720000000001"/>
    <n v="3823908"/>
    <n v="57131.7"/>
    <n v="78.3222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XМАЛА, БЕЗ СОДЕРЖАНИЯ МОЛОЧНЫХ ПРОДУКТОВ,БЕЗ СОДЕРЖАНИЯ ГМО, В АССОРТИМЕНТЕ"/>
    <x v="1"/>
    <m/>
    <s v="UNITED PETFOOD PRODUCERS NV"/>
    <n v="35"/>
    <n v="0"/>
    <n v="0"/>
    <m/>
    <n v="0"/>
    <m/>
    <s v="1"/>
    <s v="2309101100"/>
    <s v=""/>
    <s v=""/>
    <s v="BE"/>
    <n v="16613.84"/>
    <s v="ОООО-ОО"/>
    <n v="4000000"/>
    <n v="16531.04"/>
    <n v="0"/>
    <s v=""/>
    <s v=""/>
    <n v="48822.720000000001"/>
    <n v="3823908"/>
    <n v="0"/>
    <n v="1"/>
    <n v="4164609.73"/>
    <n v="57131.7"/>
    <s v="10"/>
    <n v="57131.274239999999"/>
    <n v="3.456"/>
    <n v="45"/>
    <s v="2022/09 БР"/>
    <s v="ЯШИНА АННА СЕРГЕЕВНА"/>
    <n v="560"/>
    <m/>
  </r>
  <r>
    <s v="1"/>
    <d v="2023-10-26T00:00:00"/>
    <x v="1"/>
    <s v="10131010/100123/3006562"/>
    <s v="10131010"/>
    <s v="3006562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375628.6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2043.97"/>
    <n v="3156598"/>
    <n v="48017.34"/>
    <n v="75.078500000000005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118.34"/>
    <s v="ОООО-ОО"/>
    <n v="4000000"/>
    <n v="15923.94"/>
    <n v="0"/>
    <s v=""/>
    <s v=""/>
    <n v="42043.97"/>
    <n v="3156598"/>
    <n v="0"/>
    <n v="1"/>
    <n v="3375628.6"/>
    <n v="48017.34"/>
    <s v="10"/>
    <n v="48017.048676000006"/>
    <n v="3.0154000000000001"/>
    <n v="941"/>
    <s v="0770/СПБ/329"/>
    <s v="СУШКОВА ОЛЬГА АЛЕКСАНДРОВНА"/>
    <n v="147"/>
    <m/>
  </r>
  <r>
    <s v="1"/>
    <d v="2023-04-15T00:00:00"/>
    <x v="3"/>
    <s v="10131010/100123/3005664"/>
    <s v="10131010"/>
    <s v="3005664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955549.54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9316.68"/>
    <n v="3702622"/>
    <n v="56266.55"/>
    <n v="75.078500000000005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960.04"/>
    <s v="ОООО-ОО"/>
    <n v="4000000"/>
    <n v="16906.04"/>
    <n v="0"/>
    <s v=""/>
    <s v=""/>
    <n v="49316.68"/>
    <n v="3702622"/>
    <n v="0"/>
    <n v="1"/>
    <n v="3955549.54"/>
    <n v="56266.55"/>
    <s v="10"/>
    <n v="56266.682328000003"/>
    <n v="3.3281999999999998"/>
    <n v="941"/>
    <s v="0770/СПБ/329"/>
    <s v="ДАШКИН АЛЕКСЕЙ ХАЛИМОВИЧ"/>
    <n v="189"/>
    <m/>
  </r>
  <r>
    <s v="1"/>
    <d v="2023-01-09T00:00:00"/>
    <x v="5"/>
    <s v="10131010/091123/3371322"/>
    <s v="10131010"/>
    <s v="337132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13073.90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171.64"/>
    <m/>
    <m/>
    <n v="98.440299999999993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268.65"/>
    <s v="ОООО-ОО"/>
    <n v="4000000"/>
    <n v="16103.05"/>
    <n v="0"/>
    <s v=""/>
    <s v=""/>
    <n v="42171.64"/>
    <m/>
    <n v="0"/>
    <n v="1"/>
    <n v="4613073.9000000004"/>
    <n v="50034.8"/>
    <s v="10"/>
    <n v="50080.485499999995"/>
    <n v="3.11"/>
    <n v="45"/>
    <m/>
    <s v="ЯШИНА"/>
    <n v="124"/>
    <m/>
  </r>
  <r>
    <s v="1"/>
    <d v="2023-03-23T00:00:00"/>
    <x v="2"/>
    <s v="10131010/091023/5032411"/>
    <s v="10131010"/>
    <s v="503241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565796.38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7982.559999999998"/>
    <m/>
    <m/>
    <n v="106.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66.240000000002"/>
    <s v="ОООО-ОО"/>
    <n v="4000000"/>
    <n v="16966.240000000002"/>
    <n v="0"/>
    <s v=""/>
    <s v=""/>
    <n v="47982.559999999998"/>
    <m/>
    <n v="0"/>
    <n v="1"/>
    <n v="5565796.3899999997"/>
    <n v="55385.96"/>
    <s v="10"/>
    <n v="55309.9424"/>
    <n v="3.26"/>
    <n v="45"/>
    <m/>
    <s v="ЯШИНА"/>
    <n v="93"/>
    <m/>
  </r>
  <r>
    <s v="1"/>
    <d v="2023-07-03T00:00:00"/>
    <x v="0"/>
    <s v="10131010/091023/5032411"/>
    <s v="10131010"/>
    <s v="503241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565796.38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7982.559999999998"/>
    <m/>
    <m/>
    <n v="106.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66.240000000002"/>
    <s v="ОООО-ОО"/>
    <n v="4000000"/>
    <n v="16966.240000000002"/>
    <n v="0"/>
    <s v=""/>
    <s v=""/>
    <n v="47982.559999999998"/>
    <m/>
    <n v="0"/>
    <n v="1"/>
    <n v="5565796.3899999997"/>
    <n v="55385.96"/>
    <s v="10"/>
    <n v="55309.9424"/>
    <n v="3.26"/>
    <n v="45"/>
    <m/>
    <s v="ЯШИНА"/>
    <n v="93"/>
    <m/>
  </r>
  <r>
    <s v="1"/>
    <d v="2023-04-03T00:00:00"/>
    <x v="3"/>
    <s v="10131010/091023/5032408"/>
    <s v="10131010"/>
    <s v="503240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87958.61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175.160000000003"/>
    <m/>
    <m/>
    <n v="106.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464.69"/>
    <s v="ОООО-ОО"/>
    <n v="4000000"/>
    <n v="15248.69"/>
    <n v="0"/>
    <s v=""/>
    <s v=""/>
    <n v="41175.160000000003"/>
    <m/>
    <n v="0"/>
    <n v="1"/>
    <n v="4787958.6100000003"/>
    <n v="47645.599999999999"/>
    <s v="10"/>
    <n v="47575.912800000006"/>
    <n v="3.12"/>
    <n v="45"/>
    <m/>
    <s v="ЧУДИНА"/>
    <n v="595"/>
    <m/>
  </r>
  <r>
    <s v="1"/>
    <d v="2023-08-28T00:00:00"/>
    <x v="8"/>
    <s v="10131010/091023/5032408"/>
    <s v="10131010"/>
    <s v="503240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87958.61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175.160000000003"/>
    <m/>
    <m/>
    <n v="106.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464.69"/>
    <s v="ОООО-ОО"/>
    <n v="4000000"/>
    <n v="15248.69"/>
    <n v="0"/>
    <s v=""/>
    <s v=""/>
    <n v="41175.160000000003"/>
    <m/>
    <n v="0"/>
    <n v="1"/>
    <n v="4787958.6100000003"/>
    <n v="47645.599999999999"/>
    <s v="10"/>
    <n v="47575.912800000006"/>
    <n v="3.12"/>
    <n v="45"/>
    <m/>
    <s v="ЧУДИНА"/>
    <n v="595"/>
    <m/>
  </r>
  <r>
    <s v="1"/>
    <d v="2023-10-15T00:00:00"/>
    <x v="1"/>
    <s v="10131010/091023/3339203"/>
    <s v="10131010"/>
    <s v="333920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668630.330000000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9482.6"/>
    <m/>
    <m/>
    <n v="106.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5817.92"/>
    <s v="ОООО-ОО"/>
    <n v="4000000"/>
    <n v="15637.92"/>
    <n v="0"/>
    <s v=""/>
    <s v=""/>
    <n v="49482.6"/>
    <m/>
    <n v="0"/>
    <n v="1"/>
    <n v="5668630.3300000001"/>
    <n v="56409.279999999999"/>
    <s v="10"/>
    <n v="56452.891199999998"/>
    <n v="3.61"/>
    <n v="45"/>
    <m/>
    <s v="БЛАГОНРАВОВА"/>
    <n v="595"/>
    <m/>
  </r>
  <r>
    <s v="1"/>
    <d v="2023-12-06T00:00:00"/>
    <x v="10"/>
    <s v="10131010/091023/3339203"/>
    <s v="10131010"/>
    <s v="333920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668630.330000000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9482.6"/>
    <m/>
    <m/>
    <n v="106.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5817.92"/>
    <s v="ОООО-ОО"/>
    <n v="4000000"/>
    <n v="15637.92"/>
    <n v="0"/>
    <s v=""/>
    <s v=""/>
    <n v="49482.6"/>
    <m/>
    <n v="0"/>
    <n v="1"/>
    <n v="5668630.3300000001"/>
    <n v="56409.279999999999"/>
    <s v="10"/>
    <n v="56452.891199999998"/>
    <n v="3.61"/>
    <n v="45"/>
    <m/>
    <s v="БЛАГОНРАВОВА"/>
    <n v="595"/>
    <m/>
  </r>
  <r>
    <s v="1"/>
    <d v="2023-02-08T00:00:00"/>
    <x v="12"/>
    <s v="10131010/091023/3337926"/>
    <s v="10131010"/>
    <s v="333792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45291.5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602.6"/>
    <m/>
    <m/>
    <n v="106.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7092.62"/>
    <s v="ОООО-ОО"/>
    <n v="4000000"/>
    <n v="17092.62"/>
    <n v="0"/>
    <s v=""/>
    <s v=""/>
    <n v="43602.6"/>
    <m/>
    <n v="0"/>
    <n v="1"/>
    <n v="5045291.53"/>
    <n v="50206.35"/>
    <s v="10"/>
    <n v="50252.302799999998"/>
    <n v="2.94"/>
    <n v="45"/>
    <m/>
    <s v="БЛАГОНРАВОВА"/>
    <n v="342"/>
    <m/>
  </r>
  <r>
    <s v="1"/>
    <d v="2023-12-28T00:00:00"/>
    <x v="10"/>
    <s v="10131010/091023/3337926"/>
    <s v="10131010"/>
    <s v="333792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45291.5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602.6"/>
    <m/>
    <m/>
    <n v="106.0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7092.62"/>
    <s v="ОООО-ОО"/>
    <n v="4000000"/>
    <n v="17092.62"/>
    <n v="0"/>
    <s v=""/>
    <s v=""/>
    <n v="43602.6"/>
    <m/>
    <n v="0"/>
    <n v="1"/>
    <n v="5045291.53"/>
    <n v="50206.35"/>
    <s v="10"/>
    <n v="50252.302799999998"/>
    <n v="2.94"/>
    <n v="45"/>
    <m/>
    <s v="БЛАГОНРАВОВА"/>
    <n v="342"/>
    <m/>
  </r>
  <r>
    <s v="1"/>
    <d v="2023-12-04T00:00:00"/>
    <x v="10"/>
    <s v="10131010/090823/3276368"/>
    <s v="10131010"/>
    <s v="3276368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06591.48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509.660000000003"/>
    <m/>
    <m/>
    <n v="105.43519999999999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595.439999999999"/>
    <s v="ОООО-ОО"/>
    <n v="4000000"/>
    <n v="16487.439999999999"/>
    <n v="0"/>
    <s v=""/>
    <s v=""/>
    <n v="40509.660000000003"/>
    <m/>
    <n v="0"/>
    <n v="1"/>
    <n v="4706591.4800000004"/>
    <n v="48988.47"/>
    <s v="10"/>
    <n v="48967.696799999998"/>
    <n v="2.97"/>
    <m/>
    <m/>
    <m/>
    <n v="576"/>
    <m/>
  </r>
  <r>
    <s v="1"/>
    <d v="2023-05-03T00:00:00"/>
    <x v="9"/>
    <s v="10131010/090323/3081775"/>
    <s v="10131010"/>
    <s v="3081775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66032.1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904.199999999997"/>
    <n v="3375367"/>
    <n v="49909.18"/>
    <n v="80.5495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05.259999999998"/>
    <s v="ОООО-ОО"/>
    <n v="4000000"/>
    <n v="16705.259999999998"/>
    <n v="0"/>
    <s v=""/>
    <s v=""/>
    <n v="41904.199999999997"/>
    <n v="3375367"/>
    <n v="0"/>
    <n v="1"/>
    <n v="3766032.11"/>
    <n v="49909.18"/>
    <s v="10"/>
    <n v="49908.634775999999"/>
    <n v="2.9876"/>
    <n v="45"/>
    <s v="2022/09 БР"/>
    <s v="БЛАГОНРАВОВА ДАРЬЯ ДМИТРИЕВНА"/>
    <n v="248"/>
    <m/>
  </r>
  <r>
    <s v="1"/>
    <d v="2023-04-15T00:00:00"/>
    <x v="3"/>
    <s v="10131010/090323/3081773"/>
    <s v="10131010"/>
    <s v="308177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9313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257.72"/>
    <n v="3242743"/>
    <n v="47617.86"/>
    <n v="80.5495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AССОРТИМЕНТЕ"/>
    <x v="1"/>
    <m/>
    <s v="UNITED PETFOOD PRODUCERS NV"/>
    <n v="33"/>
    <n v="0"/>
    <n v="0"/>
    <m/>
    <n v="0"/>
    <m/>
    <s v="1"/>
    <s v="2309101100"/>
    <s v=""/>
    <s v=""/>
    <s v="BE"/>
    <n v="15893.65"/>
    <s v="ОООО-ОО"/>
    <n v="4000000"/>
    <n v="15710.05"/>
    <n v="0"/>
    <s v=""/>
    <s v=""/>
    <n v="40257.72"/>
    <n v="3242743"/>
    <n v="0"/>
    <n v="1"/>
    <n v="3593134"/>
    <n v="47617.86"/>
    <s v="10"/>
    <n v="47617.161549999997"/>
    <n v="3.0310000000000001"/>
    <n v="45"/>
    <s v="2022/09 БР"/>
    <s v="ЯШИНА АННА СЕРГЕЕВНА"/>
    <n v="567"/>
    <m/>
  </r>
  <r>
    <s v="1"/>
    <d v="2023-03-31T00:00:00"/>
    <x v="2"/>
    <s v="10131010/090323/3081197"/>
    <s v="10131010"/>
    <s v="3081197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83340.6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619.08"/>
    <n v="3432950"/>
    <n v="50138.559999999998"/>
    <n v="80.5495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69.22"/>
    <s v="ОООО-ОО"/>
    <n v="4000000"/>
    <n v="16669.22"/>
    <n v="0"/>
    <s v=""/>
    <s v=""/>
    <n v="42619.08"/>
    <n v="3432950"/>
    <n v="0"/>
    <n v="1"/>
    <n v="3783340.61"/>
    <n v="50138.559999999998"/>
    <s v="10"/>
    <n v="50139.346837999998"/>
    <n v="3.0078999999999998"/>
    <n v="45"/>
    <s v="2022/09 БР"/>
    <s v="ДРУЗЯГИНА ИРИНА НИКОЛАЕВНА"/>
    <n v="274"/>
    <m/>
  </r>
  <r>
    <s v="1"/>
    <d v="2022-04-20T00:00:00"/>
    <x v="6"/>
    <s v="10131010/090223/3046209"/>
    <s v="10131010"/>
    <s v="3046209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25680.0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441.24"/>
    <n v="3491450"/>
    <n v="53448.98"/>
    <n v="76.83440000000000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РАСФАСОВАННЫЙ ДЛЯ РОЗНИЧНОЙ ПРОДАЖИ,БЕЗ СОДЕРЖАНИЯ КРАХМАЛА,БЕЗ СОДЕРЖАНИЯ МОЛОЧНЫХ ПРОДУКТОВ,В АССОРТИМЕНТЕ"/>
    <x v="1"/>
    <m/>
    <s v="UNITED PETFOOD PRODUCERS NV"/>
    <n v="33"/>
    <n v="0"/>
    <n v="0"/>
    <m/>
    <n v="0"/>
    <m/>
    <s v="1"/>
    <s v="2309101100"/>
    <s v=""/>
    <s v=""/>
    <s v="BE"/>
    <n v="17195.21"/>
    <s v="ОООО-ОО"/>
    <n v="4000000"/>
    <n v="17123.21"/>
    <n v="0"/>
    <s v=""/>
    <s v=""/>
    <n v="45441.24"/>
    <n v="3491450"/>
    <n v="0"/>
    <n v="1"/>
    <n v="3825680.05"/>
    <n v="53448.98"/>
    <s v="10"/>
    <n v="53448.387693999997"/>
    <n v="3.1214"/>
    <n v="45"/>
    <s v="2022/09 БР"/>
    <s v="БЛАГОНРАВОВА ДАРЬЯ ДМИТРИЕВНА"/>
    <n v="140"/>
    <m/>
  </r>
  <r>
    <s v="1"/>
    <d v="2022-09-10T00:00:00"/>
    <x v="6"/>
    <s v="10131010/090223/3046168"/>
    <s v="10131010"/>
    <s v="304616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45614.6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7603.69"/>
    <n v="3657601"/>
    <n v="56521.71"/>
    <n v="76.83440000000000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B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649.34"/>
    <s v="ОООО-ОО"/>
    <n v="4000000"/>
    <n v="16595.34"/>
    <n v="0"/>
    <s v=""/>
    <s v=""/>
    <n v="47603.69"/>
    <n v="3657601"/>
    <n v="0"/>
    <n v="1"/>
    <n v="4045614.68"/>
    <n v="56521.71"/>
    <s v="10"/>
    <n v="56522.068505999996"/>
    <n v="3.4058999999999999"/>
    <n v="45"/>
    <s v="2022/09 БР"/>
    <s v="БЛАГОНРАВОВА ДАРЬЯ ДМИТРИЕВНА"/>
    <n v="140"/>
    <m/>
  </r>
  <r>
    <s v="1"/>
    <d v="2022-02-10T00:00:00"/>
    <x v="6"/>
    <s v="10131010/090223/3046160"/>
    <s v="10131010"/>
    <s v="304616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35753.0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873.84"/>
    <n v="3601523"/>
    <n v="54986.82"/>
    <n v="76.83440000000000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;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499.52"/>
    <s v="ОООО-ОО"/>
    <n v="4000000"/>
    <n v="16391.52"/>
    <n v="0"/>
    <s v=""/>
    <s v=""/>
    <n v="46873.84"/>
    <n v="3601523"/>
    <n v="0"/>
    <n v="1"/>
    <n v="3935753.01"/>
    <n v="54986.82"/>
    <s v="10"/>
    <n v="54986.992992"/>
    <n v="3.3546"/>
    <n v="45"/>
    <s v="2022/09 БР"/>
    <s v="ЧУДИНА ЭЛЬВИРА РАИСОВНА"/>
    <n v="60"/>
    <m/>
  </r>
  <r>
    <s v="1"/>
    <d v="2022-03-14T00:00:00"/>
    <x v="6"/>
    <s v="10131010/090223/3046024"/>
    <s v="10131010"/>
    <s v="304602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02013.5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331.72"/>
    <n v="3329367"/>
    <n v="51721.22"/>
    <n v="76.83440000000000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B, В АССОРТИМЕНТЕ:"/>
    <x v="1"/>
    <m/>
    <s v="UNITED PETFOOD PRODUCERS NV"/>
    <n v="33"/>
    <n v="0"/>
    <n v="0"/>
    <m/>
    <n v="0"/>
    <m/>
    <s v="1"/>
    <s v="2309101100"/>
    <s v=""/>
    <s v=""/>
    <s v="BE"/>
    <n v="17168.62"/>
    <s v="ОООО-ОО"/>
    <n v="4000000"/>
    <n v="17125.419999999998"/>
    <n v="0"/>
    <s v=""/>
    <s v=""/>
    <n v="43331.72"/>
    <n v="3329367"/>
    <n v="0"/>
    <n v="1"/>
    <n v="3702013.55"/>
    <n v="51721.22"/>
    <s v="10"/>
    <n v="51720.480941999987"/>
    <n v="3.0200999999999998"/>
    <n v="45"/>
    <s v="2022/09 БР"/>
    <s v="БЛАГОНРАВОВА ДАРЬЯ ДМИТРИЕВНА"/>
    <n v="167"/>
    <m/>
  </r>
  <r>
    <s v="1"/>
    <d v="2023-03-14T00:00:00"/>
    <x v="2"/>
    <s v="10131010/090123/3005289"/>
    <s v="10131010"/>
    <s v="3005289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83341.1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079.4"/>
    <n v="3486151"/>
    <n v="55210.11"/>
    <n v="75.6552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8033.419999999998"/>
    <s v="ОООО-ОО"/>
    <n v="4000000"/>
    <n v="18033.419999999998"/>
    <n v="0"/>
    <s v=""/>
    <s v=""/>
    <n v="46079.4"/>
    <n v="3486151"/>
    <n v="0"/>
    <n v="1"/>
    <n v="3883341.16"/>
    <n v="55210.11"/>
    <s v="10"/>
    <n v="55209.315329999998"/>
    <n v="3.0615000000000001"/>
    <n v="45"/>
    <s v="2022/09 БР"/>
    <s v="ДРУЗЯГИНА ИРИНА НИКОЛАЕВНА"/>
    <n v="278"/>
    <m/>
  </r>
  <r>
    <s v="1"/>
    <d v="2023-07-04T00:00:00"/>
    <x v="0"/>
    <s v="10131010/090123/3005004"/>
    <s v="10131010"/>
    <s v="3005004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349339.73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0927.9"/>
    <n v="3096413"/>
    <n v="47618.12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4843.76"/>
    <s v="ОООО-ОО"/>
    <n v="4000000"/>
    <n v="14586.96"/>
    <n v="0"/>
    <s v=""/>
    <s v=""/>
    <n v="40927.9"/>
    <n v="3096413"/>
    <n v="0"/>
    <n v="1"/>
    <n v="3349339.73"/>
    <n v="47618.12"/>
    <s v="10"/>
    <n v="47617.672224000002"/>
    <n v="3.2644000000000002"/>
    <n v="941"/>
    <s v="0770/СПБ/329"/>
    <s v="ДАШКИН АЛЕКСЕЙ ХАЛИМОВИЧ"/>
    <n v="246"/>
    <m/>
  </r>
  <r>
    <s v="1"/>
    <d v="2023-07-21T00:00:00"/>
    <x v="0"/>
    <s v="10131010/081223/3403534"/>
    <s v="10131010"/>
    <s v="340353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51576.9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620.36"/>
    <m/>
    <m/>
    <n v="99.813100000000006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4801.72"/>
    <s v="ОООО-ОО"/>
    <n v="4000000"/>
    <n v="14425.52"/>
    <n v="0"/>
    <s v=""/>
    <s v=""/>
    <n v="46620.36"/>
    <m/>
    <n v="0"/>
    <n v="1"/>
    <n v="5051576.92"/>
    <n v="54573.06"/>
    <s v="10"/>
    <n v="54528.465599999996"/>
    <n v="3.78"/>
    <n v="45"/>
    <m/>
    <s v="ЧУДИНА"/>
    <n v="314"/>
    <m/>
  </r>
  <r>
    <s v="1"/>
    <d v="2023-08-08T00:00:00"/>
    <x v="8"/>
    <s v="10131010/081223/3403533"/>
    <s v="10131010"/>
    <s v="340353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63025.2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729.440000000002"/>
    <m/>
    <m/>
    <n v="99.813100000000006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49"/>
    <s v="ОООО-ОО"/>
    <n v="4000000"/>
    <n v="16369"/>
    <n v="0"/>
    <s v=""/>
    <s v=""/>
    <n v="43729.440000000002"/>
    <m/>
    <n v="0"/>
    <n v="1"/>
    <n v="4763025.24"/>
    <n v="51455.78"/>
    <s v="10"/>
    <n v="51398.66"/>
    <n v="3.14"/>
    <n v="45"/>
    <m/>
    <s v="ЧУДИНА"/>
    <n v="582"/>
    <m/>
  </r>
  <r>
    <s v="1"/>
    <d v="2023-09-07T00:00:00"/>
    <x v="4"/>
    <s v="10131010/081223/3403531"/>
    <s v="10131010"/>
    <s v="340353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75611.4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857.41"/>
    <m/>
    <m/>
    <n v="99.813100000000006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194.98"/>
    <s v="ОООО-ОО"/>
    <n v="4000000"/>
    <n v="17158.98"/>
    <n v="0"/>
    <s v=""/>
    <s v=""/>
    <n v="44857.41"/>
    <m/>
    <n v="0"/>
    <n v="1"/>
    <n v="4875611.42"/>
    <n v="52672.07"/>
    <s v="10"/>
    <n v="52678.068599999999"/>
    <n v="3.07"/>
    <n v="45"/>
    <m/>
    <s v="ОСИПОВА"/>
    <n v="93"/>
    <m/>
  </r>
  <r>
    <s v="1"/>
    <d v="2023-12-09T00:00:00"/>
    <x v="10"/>
    <s v="10131010/081223/3403523"/>
    <s v="10131010"/>
    <s v="340352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17934.9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283.31"/>
    <m/>
    <m/>
    <n v="99.813100000000006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7150.48"/>
    <s v="ОООО-ОО"/>
    <n v="4000000"/>
    <n v="17150.48"/>
    <n v="0"/>
    <s v=""/>
    <s v=""/>
    <n v="46283.31"/>
    <m/>
    <n v="0"/>
    <n v="1"/>
    <n v="5017934.92"/>
    <n v="54209.62"/>
    <s v="10"/>
    <n v="54195.516799999998"/>
    <n v="3.16"/>
    <n v="45"/>
    <m/>
    <s v="БЛАГОНРАВОВА"/>
    <n v="302"/>
    <m/>
  </r>
  <r>
    <s v="1"/>
    <d v="2023-02-27T00:00:00"/>
    <x v="12"/>
    <s v="10131010/081123/3369377"/>
    <s v="10131010"/>
    <s v="336937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3875260.1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5238.720000000001"/>
    <m/>
    <m/>
    <n v="98.786299999999997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5971.45"/>
    <s v="ОООО-ОО"/>
    <n v="4000000"/>
    <n v="15759.05"/>
    <n v="0"/>
    <s v=""/>
    <s v=""/>
    <n v="35238.720000000001"/>
    <m/>
    <n v="0"/>
    <n v="1"/>
    <n v="3875260.11"/>
    <n v="41933.19"/>
    <s v="10"/>
    <n v="41919.072999999997"/>
    <n v="2.66"/>
    <n v="45"/>
    <m/>
    <s v="БЛАГОНРАВОВА"/>
    <n v="577"/>
    <m/>
  </r>
  <r>
    <s v="1"/>
    <d v="2023-08-14T00:00:00"/>
    <x v="8"/>
    <s v="10131010/081123/3368953"/>
    <s v="10131010"/>
    <s v="336895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77861.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614.199999999997"/>
    <m/>
    <m/>
    <n v="98.786299999999997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293.64"/>
    <s v="ОООО-ОО"/>
    <n v="4000000"/>
    <n v="16128.04"/>
    <n v="0"/>
    <s v=""/>
    <s v=""/>
    <n v="38614.199999999997"/>
    <m/>
    <n v="0"/>
    <n v="1"/>
    <n v="4277861.7"/>
    <n v="46289.64"/>
    <s v="10"/>
    <n v="46287.474800000004"/>
    <n v="2.87"/>
    <n v="45"/>
    <m/>
    <s v="ДРУЗЯГИНА"/>
    <n v="238"/>
    <m/>
  </r>
  <r>
    <s v="1"/>
    <d v="2023-12-13T00:00:00"/>
    <x v="10"/>
    <s v="10131010/081123/3368913"/>
    <s v="10131010"/>
    <s v="336891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68414.5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713.14"/>
    <m/>
    <m/>
    <n v="98.786299999999997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286.1"/>
    <s v="ОООО-ОО"/>
    <n v="4000000"/>
    <n v="16074.3"/>
    <n v="0"/>
    <s v=""/>
    <s v=""/>
    <n v="40713.14"/>
    <m/>
    <n v="0"/>
    <n v="1"/>
    <n v="4468414.54"/>
    <n v="48351.56"/>
    <s v="10"/>
    <n v="48383.642999999996"/>
    <n v="3.01"/>
    <n v="45"/>
    <m/>
    <s v="ЧУДИНА"/>
    <n v="564"/>
    <m/>
  </r>
  <r>
    <s v="1"/>
    <d v="2023-07-21T00:00:00"/>
    <x v="0"/>
    <s v="10131010/080923/3307230"/>
    <s v="10131010"/>
    <s v="330723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77704.9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201.84"/>
    <m/>
    <m/>
    <n v="105.2776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63.63"/>
    <s v="ОООО-ОО"/>
    <n v="4000000"/>
    <n v="16534.03"/>
    <n v="0"/>
    <s v=""/>
    <s v=""/>
    <n v="42201.84"/>
    <m/>
    <n v="0"/>
    <n v="1"/>
    <n v="4877704.92"/>
    <n v="49673.1"/>
    <s v="10"/>
    <n v="49602.09"/>
    <n v="3"/>
    <n v="45"/>
    <m/>
    <s v="ЧУДИНА"/>
    <n v="365"/>
    <m/>
  </r>
  <r>
    <s v="1"/>
    <d v="2023-02-05T00:00:00"/>
    <x v="12"/>
    <s v="10131010/080923/3307207"/>
    <s v="10131010"/>
    <s v="330720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56380.98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249.16"/>
    <m/>
    <m/>
    <n v="105.2776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81.18"/>
    <s v="ОООО-ОО"/>
    <n v="4000000"/>
    <n v="15550.78"/>
    <n v="0"/>
    <s v=""/>
    <s v=""/>
    <n v="42249.16"/>
    <m/>
    <n v="0"/>
    <n v="1"/>
    <n v="4956380.9800000004"/>
    <n v="50474.32"/>
    <s v="10"/>
    <n v="50540.035000000003"/>
    <n v="3.25"/>
    <n v="45"/>
    <m/>
    <s v="ОСИПОВА"/>
    <n v="272"/>
    <m/>
  </r>
  <r>
    <s v="1"/>
    <d v="2023-05-17T00:00:00"/>
    <x v="9"/>
    <s v="10131010/080923/3307206"/>
    <s v="10131010"/>
    <s v="3307206"/>
    <x v="0"/>
    <s v="40"/>
    <s v=""/>
    <s v=""/>
    <s v=""/>
    <s v="UNITED PETFOOD PRODUCERS NV"/>
    <s v="9400, , ERPE-MERE, EVENBROEKVELD 1,"/>
    <s v=""/>
    <s v=""/>
    <n v="1"/>
    <m/>
    <n v="1"/>
    <n v="38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34168.51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637.91"/>
    <m/>
    <m/>
    <n v="105.2776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8"/>
    <n v="0"/>
    <n v="0"/>
    <m/>
    <n v="0"/>
    <m/>
    <s v="1"/>
    <s v="2309101100"/>
    <s v=""/>
    <s v=""/>
    <s v="BE"/>
    <n v="18393.060000000001"/>
    <s v="ОООО-ОО"/>
    <n v="4000000"/>
    <n v="18133.86"/>
    <n v="0"/>
    <s v=""/>
    <s v=""/>
    <n v="44637.91"/>
    <m/>
    <n v="0"/>
    <n v="1"/>
    <n v="5134168.5199999996"/>
    <n v="52284.85"/>
    <s v="10"/>
    <n v="52225.516799999998"/>
    <n v="2.88"/>
    <n v="45"/>
    <m/>
    <s v="ЯШИНА"/>
    <n v="345"/>
    <m/>
  </r>
  <r>
    <s v="1"/>
    <d v="2023-08-18T00:00:00"/>
    <x v="8"/>
    <s v="10131010/080923/3306939"/>
    <s v="10131010"/>
    <s v="330693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20723.38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710.720000000001"/>
    <m/>
    <m/>
    <n v="105.2776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80.02"/>
    <s v="ОООО-ОО"/>
    <n v="4000000"/>
    <n v="16562.02"/>
    <n v="0"/>
    <s v=""/>
    <s v=""/>
    <n v="40710.720000000001"/>
    <m/>
    <n v="0"/>
    <n v="1"/>
    <n v="4720723.3899999997"/>
    <n v="48074.45"/>
    <s v="10"/>
    <n v="48029.858"/>
    <n v="2.9"/>
    <n v="45"/>
    <m/>
    <s v="ЧУДИНА"/>
    <n v="580"/>
    <m/>
  </r>
  <r>
    <s v="1"/>
    <d v="2023-07-22T00:00:00"/>
    <x v="0"/>
    <s v="10131010/080923/3306799"/>
    <s v="10131010"/>
    <s v="330679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68450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063.8"/>
    <m/>
    <m/>
    <n v="105.2776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4920.5"/>
    <s v="ОООО-ОО"/>
    <n v="4000000"/>
    <n v="14643.3"/>
    <n v="0"/>
    <s v=""/>
    <s v=""/>
    <n v="43063.8"/>
    <m/>
    <n v="0"/>
    <n v="1"/>
    <n v="4968450"/>
    <n v="50597.22"/>
    <s v="10"/>
    <n v="50665.817999999999"/>
    <n v="3.46"/>
    <n v="45"/>
    <m/>
    <s v="ЧУДИНА"/>
    <n v="182"/>
    <m/>
  </r>
  <r>
    <s v="1"/>
    <d v="2023-05-23T00:00:00"/>
    <x v="9"/>
    <s v="10131010/080923/3306761"/>
    <s v="10131010"/>
    <s v="330676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00286.90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996.6"/>
    <m/>
    <m/>
    <n v="105.2776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169.62"/>
    <s v="ОООО-ОО"/>
    <n v="4000000"/>
    <n v="14845.62"/>
    <n v="0"/>
    <s v=""/>
    <s v=""/>
    <n v="39996.6"/>
    <m/>
    <n v="0"/>
    <n v="1"/>
    <n v="4700286.9000000004"/>
    <n v="47866.33"/>
    <s v="10"/>
    <n v="47802.896400000005"/>
    <n v="3.22"/>
    <n v="45"/>
    <m/>
    <s v="ЯШИНА"/>
    <n v="564"/>
    <m/>
  </r>
  <r>
    <s v="1"/>
    <d v="2023-06-05T00:00:00"/>
    <x v="11"/>
    <s v="10131010/080923/3306523"/>
    <s v="10131010"/>
    <s v="3306523"/>
    <x v="0"/>
    <s v="40"/>
    <s v=""/>
    <s v=""/>
    <s v=""/>
    <s v="UNITED PETFOOD PRODUCERS"/>
    <s v="9042, , GHENT, TERDONKKAAI 16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96795.86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533.57"/>
    <m/>
    <m/>
    <n v="105.2776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408.86"/>
    <s v="ОООО-ОО"/>
    <n v="4000000"/>
    <n v="15192.86"/>
    <n v="0"/>
    <s v=""/>
    <s v=""/>
    <n v="39533.57"/>
    <m/>
    <n v="0"/>
    <n v="1"/>
    <n v="4596795.8600000003"/>
    <n v="46812.41"/>
    <s v="10"/>
    <n v="46794.008800000003"/>
    <n v="3.08"/>
    <n v="45"/>
    <m/>
    <s v="ОСИПОВА"/>
    <n v="174"/>
    <m/>
  </r>
  <r>
    <s v="1"/>
    <d v="2023-09-08T00:00:00"/>
    <x v="4"/>
    <s v="10131010/080923/3306497"/>
    <s v="10131010"/>
    <s v="330649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03482.0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647.21"/>
    <m/>
    <m/>
    <n v="105.2776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28.64"/>
    <s v="ОООО-ОО"/>
    <n v="4000000"/>
    <n v="16203.24"/>
    <n v="0"/>
    <s v=""/>
    <s v=""/>
    <n v="38647.21"/>
    <m/>
    <n v="0"/>
    <n v="1"/>
    <n v="4503482.01"/>
    <n v="45862.13"/>
    <s v="10"/>
    <n v="45855.169200000004"/>
    <n v="2.83"/>
    <n v="45"/>
    <m/>
    <s v="ЯШИНА"/>
    <n v="189"/>
    <m/>
  </r>
  <r>
    <s v="1"/>
    <d v="2023-11-27T00:00:00"/>
    <x v="7"/>
    <s v="10131010/080923/3306331"/>
    <s v="10131010"/>
    <s v="330633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70428.1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132.72"/>
    <m/>
    <m/>
    <n v="105.2776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765.7"/>
    <s v="ОООО-ОО"/>
    <n v="4000000"/>
    <n v="15538.9"/>
    <n v="0"/>
    <s v=""/>
    <s v=""/>
    <n v="42132.72"/>
    <m/>
    <n v="0"/>
    <n v="1"/>
    <n v="4870428.13"/>
    <n v="49599"/>
    <s v="10"/>
    <n v="49569.091"/>
    <n v="3.19"/>
    <n v="45"/>
    <m/>
    <s v="ОСИПОВА"/>
    <n v="89"/>
    <m/>
  </r>
  <r>
    <s v="1"/>
    <d v="2023-11-18T00:00:00"/>
    <x v="7"/>
    <s v="10131010/080823/3275592"/>
    <s v="10131010"/>
    <s v="3275592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486939.799999999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6907.08"/>
    <m/>
    <m/>
    <n v="106.0543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052.74"/>
    <s v="ОООО-ОО"/>
    <n v="4000000"/>
    <n v="15930.34"/>
    <n v="0"/>
    <s v=""/>
    <s v=""/>
    <n v="46907.08"/>
    <m/>
    <n v="0"/>
    <n v="1"/>
    <n v="5486939.7999999998"/>
    <n v="56820.15"/>
    <s v="10"/>
    <n v="56871.313799999996"/>
    <n v="3.57"/>
    <m/>
    <m/>
    <m/>
    <n v="549"/>
    <m/>
  </r>
  <r>
    <s v="1"/>
    <d v="2023-01-08T00:00:00"/>
    <x v="5"/>
    <s v="10131010/080823/3275231"/>
    <s v="10131010"/>
    <s v="3275231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84281.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39095.800000000003"/>
    <m/>
    <m/>
    <n v="106.0543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765.04"/>
    <s v="ОООО-ОО"/>
    <n v="4000000"/>
    <n v="16657.04"/>
    <n v="0"/>
    <s v=""/>
    <s v=""/>
    <n v="39095.800000000003"/>
    <m/>
    <n v="0"/>
    <n v="1"/>
    <n v="4584281.96"/>
    <n v="47472.65"/>
    <s v="10"/>
    <n v="47472.564000000006"/>
    <n v="2.85"/>
    <m/>
    <m/>
    <m/>
    <n v="166"/>
    <m/>
  </r>
  <r>
    <s v="1"/>
    <d v="2023-06-23T00:00:00"/>
    <x v="11"/>
    <s v="10131010/080823/3275097"/>
    <s v="10131010"/>
    <s v="3275097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127314.98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4216.13"/>
    <m/>
    <m/>
    <n v="106.0543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BE"/>
    <n v="16985.38"/>
    <s v="ОООО-ОО"/>
    <n v="4000000"/>
    <n v="16967.38"/>
    <n v="0"/>
    <s v=""/>
    <s v=""/>
    <n v="44216.13"/>
    <m/>
    <n v="0"/>
    <n v="1"/>
    <n v="5127314.9800000004"/>
    <n v="53096.04"/>
    <s v="10"/>
    <n v="53107.899400000002"/>
    <n v="3.13"/>
    <m/>
    <m/>
    <m/>
    <n v="169"/>
    <m/>
  </r>
  <r>
    <s v="1"/>
    <d v="2023-07-25T00:00:00"/>
    <x v="0"/>
    <s v="10131010/080623/3205862"/>
    <s v="10131010"/>
    <s v="3205862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21703.5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008.92"/>
    <n v="3661712"/>
    <n v="49371.44"/>
    <n v="87.1650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HОЙ ПРОДАЖИ, БЕЗ СОДЕРЖАНИЯ КРАХМАЛА, БЕЗ СОДЕРЖАНИЯ МОЛОЧНЫХ ПРОДУКТОВ, 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12.5"/>
    <s v="ОООО-ОО"/>
    <n v="4000000"/>
    <n v="16912.5"/>
    <n v="0"/>
    <s v=""/>
    <s v=""/>
    <n v="42008.92"/>
    <n v="3661712"/>
    <n v="0"/>
    <n v="1"/>
    <n v="4021703.57"/>
    <n v="49371.44"/>
    <s v="10"/>
    <n v="49384.5"/>
    <n v="2.92"/>
    <n v="45"/>
    <s v="2022/09 БР"/>
    <s v="ОСИПОВА ТАТЬЯНА ВЛАДИМИРОВНА"/>
    <n v="361"/>
    <m/>
  </r>
  <r>
    <s v="1"/>
    <d v="2023-04-27T00:00:00"/>
    <x v="3"/>
    <s v="10131010/080323/3080689"/>
    <s v="10131010"/>
    <s v="3080689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12042.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975.4"/>
    <n v="3461651"/>
    <n v="50518.93"/>
    <n v="80.549599999999998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HТЕ"/>
    <x v="1"/>
    <m/>
    <s v="UNITED PETFOOD PRODUCERS NV"/>
    <n v="33"/>
    <n v="0"/>
    <n v="0"/>
    <m/>
    <n v="0"/>
    <m/>
    <s v="1"/>
    <s v="2309101100"/>
    <s v=""/>
    <s v=""/>
    <s v="BE"/>
    <n v="16705.259999999998"/>
    <s v="ОООО-ОО"/>
    <n v="4000000"/>
    <n v="16705.259999999998"/>
    <n v="0"/>
    <s v=""/>
    <s v=""/>
    <n v="42975.4"/>
    <n v="3461651"/>
    <n v="0"/>
    <n v="1"/>
    <n v="3812042.04"/>
    <n v="50518.93"/>
    <s v="10"/>
    <n v="50518.376765999994"/>
    <n v="3.0240999999999998"/>
    <n v="45"/>
    <s v="2022/09 БР"/>
    <s v="ОСИПОВА ТАТЬЯНА ВЛАДИМИРОВНА"/>
    <n v="13"/>
    <m/>
  </r>
  <r>
    <s v="1"/>
    <d v="2023-12-08T00:00:00"/>
    <x v="10"/>
    <s v="10131010/080323/3080651"/>
    <s v="10131010"/>
    <s v="3080651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41065.1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111.300000000003"/>
    <n v="3150400"/>
    <n v="46927.82"/>
    <n v="80.549599999999998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E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56.849999999999"/>
    <s v="ОООО-ОО"/>
    <n v="4000000"/>
    <n v="16856.849999999999"/>
    <n v="0"/>
    <s v=""/>
    <s v=""/>
    <n v="39111.300000000003"/>
    <n v="3150400"/>
    <n v="0"/>
    <n v="1"/>
    <n v="3541065.13"/>
    <n v="46927.82"/>
    <s v="10"/>
    <n v="46927.784714999994"/>
    <n v="2.7839"/>
    <n v="45"/>
    <s v="2022/09 БР"/>
    <s v="ОСИПОВА ТАТЬЯНА ВЛАДИМИРОВНА"/>
    <n v="20"/>
    <m/>
  </r>
  <r>
    <s v="1"/>
    <d v="2023-07-19T00:00:00"/>
    <x v="0"/>
    <s v="10131010/080323/3080643"/>
    <s v="10131010"/>
    <s v="308064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64915.8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907.4"/>
    <n v="3214525"/>
    <n v="47243.9"/>
    <n v="80.549599999999998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7174.32"/>
    <s v="ОООО-ОО"/>
    <n v="4000000"/>
    <n v="17174.32"/>
    <n v="0"/>
    <s v=""/>
    <s v=""/>
    <n v="39907.4"/>
    <n v="3214525"/>
    <n v="0"/>
    <n v="1"/>
    <n v="3564915.87"/>
    <n v="47243.9"/>
    <s v="10"/>
    <n v="47243.119456"/>
    <n v="2.7507999999999999"/>
    <n v="45"/>
    <s v="2022/09 БР"/>
    <s v="ОСИПОВА ТАТЬЯНА ВЛАДИМИРОВНА"/>
    <n v="140"/>
    <m/>
  </r>
  <r>
    <s v="1"/>
    <d v="2023-12-07T00:00:00"/>
    <x v="10"/>
    <s v="10131010/080323/3080636"/>
    <s v="10131010"/>
    <s v="3080636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18346.0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570.720000000001"/>
    <n v="3267955"/>
    <n v="47951.98"/>
    <n v="80.549599999999998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P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27.310000000001"/>
    <s v="ОООО-ОО"/>
    <n v="4000000"/>
    <n v="16791.310000000001"/>
    <n v="0"/>
    <s v=""/>
    <s v=""/>
    <n v="40570.720000000001"/>
    <n v="3267955"/>
    <n v="0"/>
    <n v="1"/>
    <n v="3618346.03"/>
    <n v="47951.98"/>
    <s v="10"/>
    <n v="47952.623098000004"/>
    <n v="2.8557999999999999"/>
    <n v="45"/>
    <s v="2022/09 БР"/>
    <s v="ОСИПОВА ТАТЬЯНА ВЛАДИМИРОВНА"/>
    <n v="229"/>
    <m/>
  </r>
  <r>
    <s v="1"/>
    <d v="2023-03-21T00:00:00"/>
    <x v="2"/>
    <s v="10131010/080323/3080534"/>
    <s v="10131010"/>
    <s v="308053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59577.7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082.6"/>
    <n v="3309187"/>
    <n v="48498.400000000001"/>
    <n v="80.549599999999998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705.259999999998"/>
    <s v="ОООО-ОО"/>
    <n v="4000000"/>
    <n v="16705.259999999998"/>
    <n v="0"/>
    <s v=""/>
    <s v=""/>
    <n v="41082.6"/>
    <n v="3309187"/>
    <n v="0"/>
    <n v="1"/>
    <n v="3659577.76"/>
    <n v="48498.400000000001"/>
    <s v="10"/>
    <n v="48498.710831999997"/>
    <n v="2.9032"/>
    <n v="45"/>
    <s v="2022/09 БР"/>
    <s v="ОСИПОВА ТАТЬЯНА ВЛАДИМИРОВНА"/>
    <n v="260"/>
    <m/>
  </r>
  <r>
    <s v="1"/>
    <d v="2022-01-30T00:00:00"/>
    <x v="6"/>
    <s v="10131010/080223/3045333"/>
    <s v="10131010"/>
    <s v="304533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64766.0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293.86"/>
    <n v="3134563"/>
    <n v="48873.59"/>
    <n v="75.9086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H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546.740000000002"/>
    <s v="ОООО-ОО"/>
    <n v="4000000"/>
    <n v="16546.740000000002"/>
    <n v="0"/>
    <s v=""/>
    <s v=""/>
    <n v="41293.86"/>
    <n v="3134563"/>
    <n v="0"/>
    <n v="1"/>
    <n v="3464766.08"/>
    <n v="48873.59"/>
    <s v="10"/>
    <n v="48874.105938000008"/>
    <n v="2.9537"/>
    <n v="45"/>
    <s v="2022/09 БР"/>
    <s v="ЧУДИНА ЭЛЬВИРА РАИСОВНА"/>
    <n v="68"/>
    <m/>
  </r>
  <r>
    <s v="1"/>
    <d v="2022-05-24T00:00:00"/>
    <x v="6"/>
    <s v="10131010/080223/3044915"/>
    <s v="10131010"/>
    <s v="3044915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345351.0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720.720000000001"/>
    <n v="3015148"/>
    <n v="47189.14"/>
    <n v="75.9086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17.04"/>
    <s v="ОООО-ОО"/>
    <n v="4000000"/>
    <n v="15414.64"/>
    <n v="0"/>
    <s v=""/>
    <s v=""/>
    <n v="39720.720000000001"/>
    <n v="3015148"/>
    <n v="0"/>
    <n v="1"/>
    <n v="3345351.07"/>
    <n v="47189.14"/>
    <s v="10"/>
    <n v="47188.837432"/>
    <n v="3.0613000000000001"/>
    <n v="45"/>
    <s v="2022/09 БР"/>
    <s v="ЯШИНА АННА СЕРГЕЕВНА"/>
    <n v="140"/>
    <m/>
  </r>
  <r>
    <s v="1"/>
    <d v="2022-08-29T00:00:00"/>
    <x v="6"/>
    <s v="10131010/080223/3044884"/>
    <s v="10131010"/>
    <s v="304488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120369.0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6756.870000000003"/>
    <n v="2790166"/>
    <n v="44015.57"/>
    <n v="75.9086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311.73"/>
    <s v="ОООО-ОО"/>
    <n v="4000000"/>
    <n v="16203.73"/>
    <n v="0"/>
    <s v=""/>
    <s v=""/>
    <n v="36756.870000000003"/>
    <n v="2790166"/>
    <n v="0"/>
    <n v="1"/>
    <n v="3120369.07"/>
    <n v="44015.57"/>
    <s v="10"/>
    <n v="44015.812171999998"/>
    <n v="2.7164000000000001"/>
    <n v="45"/>
    <s v="2022/09 БР"/>
    <s v="ОСИПОВА ТАТЬЯНА ВЛАДИМИРОВНА"/>
    <n v="115"/>
    <m/>
  </r>
  <r>
    <s v="1"/>
    <d v="2023-06-26T00:00:00"/>
    <x v="11"/>
    <s v="10131010/080123/3003620"/>
    <s v="10131010"/>
    <s v="3003620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15488.19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1802.239999999998"/>
    <n v="3162561"/>
    <n v="48558.57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5980.76"/>
    <s v="ОООО-ОО"/>
    <n v="4000000"/>
    <n v="15872.76"/>
    <n v="0"/>
    <s v=""/>
    <s v=""/>
    <n v="41802.239999999998"/>
    <n v="3162561"/>
    <n v="0"/>
    <n v="1"/>
    <n v="3415488.19"/>
    <n v="48558.57"/>
    <s v="10"/>
    <n v="48557.947392000002"/>
    <n v="3.0592000000000001"/>
    <n v="941"/>
    <s v="0770/СПБ/329"/>
    <s v="ДАШКИН АЛЕКСЕЙ ХАЛИМОВИЧ"/>
    <n v="134"/>
    <m/>
  </r>
  <r>
    <s v="1"/>
    <d v="2022-06-22T00:00:00"/>
    <x v="6"/>
    <s v="10131010/080123/3003613"/>
    <s v="10131010"/>
    <s v="3003613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355861.22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1014.1"/>
    <n v="3102934"/>
    <n v="47710.84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E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364.990000000002"/>
    <s v="ОООО-ОО"/>
    <n v="4000000"/>
    <n v="17364.990000000002"/>
    <n v="0"/>
    <s v=""/>
    <s v=""/>
    <n v="41014.1"/>
    <n v="3102934"/>
    <n v="0"/>
    <n v="1"/>
    <n v="3355861.22"/>
    <n v="47710.84"/>
    <s v="10"/>
    <n v="47710.310025000006"/>
    <n v="2.7475000000000001"/>
    <n v="941"/>
    <s v="0770/СПБ/329"/>
    <s v="ДАШКИН АЛЕКСЕЙ ХАЛИМОВИЧ"/>
    <n v="221"/>
    <m/>
  </r>
  <r>
    <s v="1"/>
    <d v="2023-03-18T00:00:00"/>
    <x v="2"/>
    <s v="10131010/080123/3003601"/>
    <s v="10131010"/>
    <s v="3003601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804928.38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6949.8"/>
    <n v="3552001"/>
    <n v="54095.3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A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566.75"/>
    <s v="ОООО-ОО"/>
    <n v="4000000"/>
    <n v="16515.75"/>
    <n v="0"/>
    <s v=""/>
    <s v=""/>
    <n v="46949.8"/>
    <n v="3552001"/>
    <n v="0"/>
    <n v="1"/>
    <n v="3804928.38"/>
    <n v="54095.3"/>
    <s v="10"/>
    <n v="54095.687549999995"/>
    <n v="3.2753999999999999"/>
    <n v="941"/>
    <s v="0770/СПБ/329"/>
    <s v="ДАШКИН АЛЕКСЕЙ ХАЛИМОВИЧ"/>
    <n v="163"/>
    <m/>
  </r>
  <r>
    <s v="1"/>
    <d v="2022-01-10T00:00:00"/>
    <x v="6"/>
    <s v="10131010/080123/3003600"/>
    <s v="10131010"/>
    <s v="3003600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240443.01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9488.519999999997"/>
    <n v="2987516"/>
    <n v="46069.919999999998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TОДЕКСТРИН."/>
    <x v="1"/>
    <m/>
    <s v="UNITED PETFOOD PRODUCERS NV"/>
    <n v="33"/>
    <n v="1"/>
    <n v="0"/>
    <m/>
    <n v="0"/>
    <m/>
    <s v="1"/>
    <s v="2309101100"/>
    <s v=""/>
    <s v=""/>
    <s v="BE"/>
    <n v="16612"/>
    <s v="ОООО-ОО"/>
    <n v="4000000"/>
    <n v="16558"/>
    <n v="0"/>
    <s v=""/>
    <s v=""/>
    <n v="39488.519999999997"/>
    <n v="2987516"/>
    <n v="0"/>
    <n v="1"/>
    <n v="3240443.01"/>
    <n v="46069.919999999998"/>
    <s v="10"/>
    <n v="46069.323400000001"/>
    <n v="2.7823000000000002"/>
    <n v="941"/>
    <s v="0770/СПБ/329"/>
    <s v="ДАШКИН АЛЕКСЕЙ ХАЛИМОВИЧ"/>
    <n v="349"/>
    <m/>
  </r>
  <r>
    <s v="1"/>
    <d v="2022-01-24T00:00:00"/>
    <x v="6"/>
    <s v="10131010/080123/3003600"/>
    <s v="10131010"/>
    <s v="3003600"/>
    <x v="1"/>
    <s v="40"/>
    <s v=""/>
    <s v=""/>
    <s v=""/>
    <m/>
    <m/>
    <s v=""/>
    <s v=""/>
    <n v="1"/>
    <n v="0"/>
    <n v="1"/>
    <n v="33"/>
    <m/>
    <m/>
    <s v="ИП ЭСТРИН КИРИЛЛ ВАДИМОВИЧ"/>
    <m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РОССИЯ"/>
    <n v="3240443.01"/>
    <s v="316774600208441"/>
    <s v="770100448470"/>
    <s v="ИП ЭСТРИН КИРИЛЛ ВАДИМОВИЧ"/>
    <s v="129085, РОССИЯ, Г. МОСКВА, ПР-КТ МИРА, Д.81, КВ. 101"/>
    <s v="45000"/>
    <s v=""/>
    <s v="BE"/>
    <s v="РОССИЯ"/>
    <x v="11"/>
    <s v="RU"/>
    <s v="ИСПАНИЯ"/>
    <n v="2"/>
    <s v="1"/>
    <s v="FCA"/>
    <s v="ERPE-MERE"/>
    <n v="1"/>
    <s v="EUR"/>
    <n v="39488.519999999997"/>
    <n v="2987516"/>
    <n v="460690.92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TОДЕКСТРИН."/>
    <x v="1"/>
    <m/>
    <s v="UNITED PETFOOD PRODUCERS NV"/>
    <n v="33"/>
    <n v="1"/>
    <n v="0"/>
    <m/>
    <n v="0"/>
    <m/>
    <s v="1"/>
    <s v="2309101100"/>
    <s v=""/>
    <s v=""/>
    <s v="BE"/>
    <n v="16612"/>
    <s v="ОООО-ОО"/>
    <n v="4000000"/>
    <n v="165580"/>
    <n v="0"/>
    <s v=""/>
    <s v=""/>
    <n v="39488.519999999997"/>
    <n v="2987516"/>
    <n v="0"/>
    <n v="1"/>
    <n v="3240443.01"/>
    <n v="460690.92"/>
    <s v="10"/>
    <n v="46069.323400000001"/>
    <n v="2.7823000000000002"/>
    <n v="941"/>
    <s v="0770/СПБ/329"/>
    <s v="ДАШКИН АЛЕКСЕЙ ХАЛИМОВИЧ"/>
    <n v="349"/>
    <m/>
  </r>
  <r>
    <s v="1"/>
    <d v="2022-01-18T00:00:00"/>
    <x v="6"/>
    <s v="10131010/080123/3003600"/>
    <s v="10131010"/>
    <s v="3003600"/>
    <x v="1"/>
    <s v="40"/>
    <s v=""/>
    <s v=""/>
    <s v=""/>
    <m/>
    <m/>
    <s v=""/>
    <s v=""/>
    <n v="1"/>
    <n v="0"/>
    <n v="1"/>
    <n v="33"/>
    <m/>
    <m/>
    <s v="ИП ЭСТРИН КИРИЛЛ ВАДИМОВИЧ"/>
    <m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РОССИЯ"/>
    <n v="3240443.01"/>
    <s v="316774600208441"/>
    <s v="770100448470"/>
    <s v="ИП ЭСТРИН КИРИЛЛ ВАДИМОВИЧ"/>
    <s v="129085, РОССИЯ, Г. МОСКВА, ПР-КТ МИРА, Д.81, КВ. 101"/>
    <s v="45000"/>
    <s v=""/>
    <s v="BE"/>
    <s v="РОССИЯ"/>
    <x v="11"/>
    <s v="RU"/>
    <s v="ИСПАНИЯ"/>
    <n v="2"/>
    <s v="1"/>
    <s v="FCA"/>
    <s v="ERPE-MERE"/>
    <n v="1"/>
    <s v="EUR"/>
    <n v="39488.519999999997"/>
    <n v="2987516"/>
    <n v="460690.92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TОДЕКСТРИН."/>
    <x v="1"/>
    <m/>
    <s v="UNITED PETFOOD PRODUCERS NV"/>
    <n v="33"/>
    <n v="1"/>
    <n v="0"/>
    <m/>
    <n v="0"/>
    <m/>
    <s v="1"/>
    <s v="2309101100"/>
    <s v=""/>
    <s v=""/>
    <s v="BE"/>
    <n v="16612"/>
    <s v="ОООО-ОО"/>
    <n v="4000000"/>
    <n v="165580"/>
    <n v="0"/>
    <s v=""/>
    <s v=""/>
    <n v="39488.519999999997"/>
    <n v="2987516"/>
    <n v="0"/>
    <n v="1"/>
    <n v="3240443.01"/>
    <n v="460690.92"/>
    <s v="10"/>
    <n v="46069.323400000001"/>
    <n v="2.7823000000000002"/>
    <n v="941"/>
    <s v="0770/СПБ/329"/>
    <s v="ДАШКИН АЛЕКСЕЙ ХАЛИМОВИЧ"/>
    <n v="349"/>
    <m/>
  </r>
  <r>
    <s v="1"/>
    <d v="2022-12-19T00:00:00"/>
    <x v="6"/>
    <s v="10131010/080123/3003600"/>
    <s v="10131010"/>
    <s v="3003600"/>
    <x v="1"/>
    <s v="40"/>
    <s v=""/>
    <s v=""/>
    <s v=""/>
    <m/>
    <m/>
    <s v=""/>
    <s v=""/>
    <n v="1"/>
    <n v="0"/>
    <n v="1"/>
    <n v="33"/>
    <m/>
    <m/>
    <s v="ИП ЭСТРИН КИРИЛЛ ВАДИМОВИЧ"/>
    <m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РОССИЯ"/>
    <n v="3240443.01"/>
    <s v="316774600208441"/>
    <s v="770100448470"/>
    <s v="ИП ЭСТРИН КИРИЛЛ ВАДИМОВИЧ"/>
    <s v="129085, РОССИЯ, Г. МОСКВА, ПР-КТ МИРА, Д.81, КВ. 101"/>
    <s v="45000"/>
    <s v=""/>
    <s v="BE"/>
    <s v="РОССИЯ"/>
    <x v="11"/>
    <s v="RU"/>
    <s v="ИСПАНИЯ"/>
    <n v="2"/>
    <s v="1"/>
    <s v="FCA"/>
    <s v="ERPE-MERE"/>
    <n v="1"/>
    <s v="EUR"/>
    <n v="39488.519999999997"/>
    <n v="2987516"/>
    <n v="460690.92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TОДЕКСТРИН."/>
    <x v="1"/>
    <m/>
    <s v="UNITED PETFOOD PRODUCERS NV"/>
    <n v="33"/>
    <n v="1"/>
    <n v="0"/>
    <m/>
    <n v="0"/>
    <m/>
    <s v="1"/>
    <s v="2309101100"/>
    <s v=""/>
    <s v=""/>
    <s v="BE"/>
    <n v="16612"/>
    <s v="ОООО-ОО"/>
    <n v="4000000"/>
    <n v="165580"/>
    <n v="0"/>
    <s v=""/>
    <s v=""/>
    <n v="39488.519999999997"/>
    <n v="2987516"/>
    <n v="0"/>
    <n v="1"/>
    <n v="3240443.01"/>
    <n v="460690.92"/>
    <s v="10"/>
    <n v="46069.323400000001"/>
    <n v="2.7823000000000002"/>
    <n v="941"/>
    <s v="0770/СПБ/329"/>
    <s v="ДАШКИН АЛЕКСЕЙ ХАЛИМОВИЧ"/>
    <n v="349"/>
    <m/>
  </r>
  <r>
    <s v="1"/>
    <d v="2022-01-22T00:00:00"/>
    <x v="6"/>
    <s v="10131010/080123/3003600"/>
    <s v="10131010"/>
    <s v="3003600"/>
    <x v="1"/>
    <s v="40"/>
    <s v=""/>
    <s v=""/>
    <s v=""/>
    <m/>
    <m/>
    <s v=""/>
    <s v=""/>
    <n v="1"/>
    <n v="0"/>
    <n v="1"/>
    <n v="33"/>
    <m/>
    <m/>
    <s v="ИП ЭСТРИН КИРИЛЛ ВАДИМОВИЧ"/>
    <m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РОССИЯ"/>
    <n v="3240443.01"/>
    <s v="316774600208441"/>
    <s v="770100448470"/>
    <s v="ИП ЭСТРИН КИРИЛЛ ВАДИМОВИЧ"/>
    <s v="129085, РОССИЯ, Г. МОСКВА, ПР-КТ МИРА, Д.81, КВ. 101"/>
    <s v="45000"/>
    <s v=""/>
    <s v="BE"/>
    <s v="РОССИЯ"/>
    <x v="11"/>
    <s v="RU"/>
    <s v="ИСПАНИЯ"/>
    <n v="2"/>
    <s v="1"/>
    <s v="FCA"/>
    <s v="ERPE-MERE"/>
    <n v="1"/>
    <s v="EUR"/>
    <n v="39488.519999999997"/>
    <n v="2987516"/>
    <n v="460690.92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TОДЕКСТРИН."/>
    <x v="1"/>
    <m/>
    <s v="UNITED PETFOOD PRODUCERS NV"/>
    <n v="33"/>
    <n v="1"/>
    <n v="0"/>
    <m/>
    <n v="0"/>
    <m/>
    <s v="1"/>
    <s v="2309101100"/>
    <s v=""/>
    <s v=""/>
    <s v="BE"/>
    <n v="16612"/>
    <s v="ОООО-ОО"/>
    <n v="4000000"/>
    <n v="165580"/>
    <n v="0"/>
    <s v=""/>
    <s v=""/>
    <n v="39488.519999999997"/>
    <n v="2987516"/>
    <n v="0"/>
    <n v="1"/>
    <n v="3240443.01"/>
    <n v="460690.92"/>
    <s v="10"/>
    <n v="46069.323400000001"/>
    <n v="2.7823000000000002"/>
    <n v="941"/>
    <s v="0770/СПБ/329"/>
    <s v="ДАШКИН АЛЕКСЕЙ ХАЛИМОВИЧ"/>
    <n v="349"/>
    <m/>
  </r>
  <r>
    <s v="1"/>
    <d v="2022-10-04T00:00:00"/>
    <x v="6"/>
    <s v="10131010/080123/3003600"/>
    <s v="10131010"/>
    <s v="3003600"/>
    <x v="1"/>
    <s v="40"/>
    <s v=""/>
    <s v=""/>
    <s v=""/>
    <m/>
    <m/>
    <s v=""/>
    <s v=""/>
    <n v="1"/>
    <n v="0"/>
    <n v="1"/>
    <n v="33"/>
    <m/>
    <m/>
    <s v="ИП ЭСТРИН КИРИЛЛ ВАДИМОВИЧ"/>
    <m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РОССИЯ"/>
    <n v="3240443.01"/>
    <s v="316774600208441"/>
    <s v="770100448470"/>
    <s v="ИП ЭСТРИН КИРИЛЛ ВАДИМОВИЧ"/>
    <s v="129085, РОССИЯ, Г. МОСКВА, ПР-КТ МИРА, Д.81, КВ. 101"/>
    <s v="45000"/>
    <s v=""/>
    <s v="BE"/>
    <s v="РОССИЯ"/>
    <x v="11"/>
    <s v="RU"/>
    <s v="ИСПАНИЯ"/>
    <n v="2"/>
    <s v="1"/>
    <s v="FCA"/>
    <s v="ERPE-MERE"/>
    <n v="1"/>
    <s v="EUR"/>
    <n v="39488.519999999997"/>
    <n v="2987516"/>
    <n v="460690.92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TОДЕКСТРИН."/>
    <x v="1"/>
    <m/>
    <s v="UNITED PETFOOD PRODUCERS NV"/>
    <n v="33"/>
    <n v="1"/>
    <n v="0"/>
    <m/>
    <n v="0"/>
    <m/>
    <s v="1"/>
    <s v="2309101100"/>
    <s v=""/>
    <s v=""/>
    <s v="BE"/>
    <n v="16612"/>
    <s v="ОООО-ОО"/>
    <n v="4000000"/>
    <n v="165580"/>
    <n v="0"/>
    <s v=""/>
    <s v=""/>
    <n v="39488.519999999997"/>
    <n v="2987516"/>
    <n v="0"/>
    <n v="1"/>
    <n v="3240443.01"/>
    <n v="460690.92"/>
    <s v="10"/>
    <n v="46069.323400000001"/>
    <n v="2.7823000000000002"/>
    <n v="941"/>
    <s v="0770/СПБ/329"/>
    <s v="ДАШКИН АЛЕКСЕЙ ХАЛИМОВИЧ"/>
    <n v="349"/>
    <m/>
  </r>
  <r>
    <s v="1"/>
    <d v="2023-05-10T00:00:00"/>
    <x v="9"/>
    <s v="10131010/080123/3003591"/>
    <s v="10131010"/>
    <s v="3003591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54081.47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2312.36"/>
    <n v="3201154"/>
    <n v="49107.25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;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8136.13"/>
    <s v="ОООО-ОО"/>
    <n v="4000000"/>
    <n v="18136.13"/>
    <n v="0"/>
    <s v=""/>
    <s v=""/>
    <n v="42312.36"/>
    <n v="3201154"/>
    <n v="0"/>
    <n v="1"/>
    <n v="3454081.47"/>
    <n v="49107.25"/>
    <s v="10"/>
    <n v="49107.199201000003"/>
    <n v="2.7077"/>
    <n v="941"/>
    <s v="0770/СПБ/329"/>
    <s v="ДАШКИН АЛЕКСЕЙ ХАЛИМОВИЧ"/>
    <n v="212"/>
    <m/>
  </r>
  <r>
    <s v="1"/>
    <d v="2023-07-25T00:00:00"/>
    <x v="0"/>
    <s v="10131010/080123/3003482"/>
    <s v="10131010"/>
    <s v="3003482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352331.9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0967.449999999997"/>
    <n v="3099405"/>
    <n v="47660.66"/>
    <n v="75.655299999999997"/>
    <s v="010"/>
    <s v=""/>
    <s v="22040387/3292/0000/2/2"/>
    <s v="-"/>
    <s v="11"/>
    <s v="10210/101120/10128/2"/>
    <s v=""/>
    <s v=""/>
    <s v="РОССИЯ"/>
    <s v="СПБ, Г.КРОНДШТАДТ"/>
    <s v="КРОНШТАДСКОЕ ШОССЕ,Д.33,ЛИТ.А"/>
    <s v="10210040 т/п Котлинский"/>
    <n v="1"/>
    <s v="СУХОЙ КОРМ ДЛЯ СОБАК И КОШЕК Т.М: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8003.330000000002"/>
    <s v="ОООО-ОО"/>
    <n v="4000000"/>
    <n v="18003.330000000002"/>
    <n v="0"/>
    <s v=""/>
    <s v=""/>
    <n v="40967.449999999997"/>
    <n v="3099405"/>
    <n v="0"/>
    <n v="1"/>
    <n v="3352331.9"/>
    <n v="47660.66"/>
    <s v="10"/>
    <n v="47660.215509000001"/>
    <n v="2.6473"/>
    <n v="941"/>
    <s v="0770/СПБ/329"/>
    <s v="ДАШКИН АЛЕКСЕЙ ХАЛИМОВИЧ"/>
    <n v="219"/>
    <m/>
  </r>
  <r>
    <s v="1"/>
    <d v="2023-08-03T00:00:00"/>
    <x v="8"/>
    <s v="10131010/080123/3003417"/>
    <s v="10131010"/>
    <s v="3003417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189804.65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8819.19"/>
    <n v="2936877"/>
    <n v="45349.99"/>
    <n v="75.655299999999997"/>
    <s v="010"/>
    <s v=""/>
    <s v="22040387/3292/0000/2/2"/>
    <s v="-"/>
    <s v="11"/>
    <s v="10210/101120/10128/2"/>
    <s v=""/>
    <s v=""/>
    <s v="РОССИЯ"/>
    <s v="СПБ, Г.КРОНДШТАДТ"/>
    <s v="КРОНШТАДСКОЕ ШОССЕ,Д.33,ЛИТ.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X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5348.64"/>
    <s v="ОООО-ОО"/>
    <n v="4000000"/>
    <n v="15078.64"/>
    <n v="0"/>
    <s v=""/>
    <s v=""/>
    <n v="38819.19"/>
    <n v="2936877"/>
    <n v="0"/>
    <n v="1"/>
    <n v="3189804.65"/>
    <n v="45349.99"/>
    <s v="10"/>
    <n v="45350.517663999999"/>
    <n v="3.0076000000000001"/>
    <n v="941"/>
    <s v="0770/СПБ/329"/>
    <s v="ДАШКИН АЛЕКСЕЙ ХАЛИМОВИЧ"/>
    <n v="219"/>
    <m/>
  </r>
  <r>
    <s v="1"/>
    <d v="2023-10-26T00:00:00"/>
    <x v="1"/>
    <s v="10131010/071223/5049094"/>
    <s v="10131010"/>
    <s v="504909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53148.2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948.61"/>
    <m/>
    <m/>
    <n v="100.1353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964.52"/>
    <s v="ОООО-ОО"/>
    <n v="4000000"/>
    <n v="16888.919999999998"/>
    <n v="0"/>
    <s v=""/>
    <s v=""/>
    <n v="41948.61"/>
    <m/>
    <n v="0"/>
    <n v="1"/>
    <n v="4653148.21"/>
    <n v="50151.09"/>
    <s v="10"/>
    <n v="50160.092400000001"/>
    <n v="2.97"/>
    <n v="45"/>
    <m/>
    <s v="БЛАГОНРАВОВА"/>
    <n v="246"/>
    <m/>
  </r>
  <r>
    <s v="1"/>
    <d v="2023-11-08T00:00:00"/>
    <x v="7"/>
    <s v="10131010/071123/5040655"/>
    <s v="10131010"/>
    <s v="504065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482771.34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51385.32"/>
    <m/>
    <m/>
    <n v="99.011099999999999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23.86"/>
    <s v="ОООО-ОО"/>
    <n v="4000000"/>
    <n v="15723.86"/>
    <n v="0"/>
    <s v=""/>
    <s v=""/>
    <n v="51385.32"/>
    <m/>
    <n v="0"/>
    <n v="1"/>
    <n v="5482771.3499999996"/>
    <n v="58932.29"/>
    <s v="10"/>
    <n v="58964.475000000006"/>
    <n v="3.75"/>
    <n v="45"/>
    <m/>
    <s v="ЧУДИНА"/>
    <n v="155"/>
    <m/>
  </r>
  <r>
    <s v="1"/>
    <d v="2023-01-30T00:00:00"/>
    <x v="5"/>
    <s v="10131010/071123/5040648"/>
    <s v="10131010"/>
    <s v="504064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43054.2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904.28"/>
    <m/>
    <m/>
    <n v="99.011099999999999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091.87"/>
    <s v="ОООО-ОО"/>
    <n v="4000000"/>
    <n v="15932.27"/>
    <n v="0"/>
    <s v=""/>
    <s v=""/>
    <n v="42904.28"/>
    <m/>
    <n v="0"/>
    <n v="1"/>
    <n v="4643054.25"/>
    <n v="49906.48"/>
    <s v="10"/>
    <n v="49868.005100000002"/>
    <n v="3.13"/>
    <n v="45"/>
    <m/>
    <s v="ОСИПОВА"/>
    <n v="195"/>
    <m/>
  </r>
  <r>
    <s v="1"/>
    <d v="2023-03-16T00:00:00"/>
    <x v="2"/>
    <s v="10131010/071123/3368492"/>
    <s v="10131010"/>
    <s v="336849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04040.2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950.28"/>
    <m/>
    <m/>
    <n v="99.0110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737.43"/>
    <s v="ОООО-ОО"/>
    <n v="4000000"/>
    <n v="16651.03"/>
    <n v="0"/>
    <s v=""/>
    <s v=""/>
    <n v="38950.28"/>
    <m/>
    <n v="0"/>
    <n v="1"/>
    <n v="4304040.24"/>
    <n v="46262.54"/>
    <s v="10"/>
    <n v="46289.863399999995"/>
    <n v="2.78"/>
    <n v="45"/>
    <m/>
    <s v="ЯШИНА"/>
    <n v="146"/>
    <m/>
  </r>
  <r>
    <s v="1"/>
    <d v="2023-03-28T00:00:00"/>
    <x v="2"/>
    <s v="10131010/071123/3368488"/>
    <s v="10131010"/>
    <s v="336848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36102.0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274.1"/>
    <m/>
    <m/>
    <n v="99.0110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09.38"/>
    <s v="ОООО-ОО"/>
    <n v="4000000"/>
    <n v="16773.98"/>
    <n v="0"/>
    <s v=""/>
    <s v=""/>
    <n v="39274.1"/>
    <m/>
    <n v="0"/>
    <n v="1"/>
    <n v="4336102.01"/>
    <n v="46607.16"/>
    <s v="10"/>
    <n v="46631.664399999994"/>
    <n v="2.78"/>
    <n v="45"/>
    <m/>
    <s v="БЛАГОНРАВОВА"/>
    <n v="45"/>
    <m/>
  </r>
  <r>
    <s v="1"/>
    <d v="2023-08-07T00:00:00"/>
    <x v="8"/>
    <s v="10131010/071123/3368101"/>
    <s v="10131010"/>
    <s v="336810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20709.86000000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998.58"/>
    <m/>
    <m/>
    <n v="99.0110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695.650000000001"/>
    <s v="ОООО-ОО"/>
    <n v="4000000"/>
    <n v="16657.849999999999"/>
    <n v="0"/>
    <s v=""/>
    <s v=""/>
    <n v="43998.58"/>
    <m/>
    <n v="0"/>
    <n v="1"/>
    <n v="4820709.8600000003"/>
    <n v="51816.03"/>
    <s v="10"/>
    <n v="51805.913499999995"/>
    <n v="3.11"/>
    <n v="45"/>
    <m/>
    <s v="ОСИПОВА"/>
    <n v="301"/>
    <m/>
  </r>
  <r>
    <s v="1"/>
    <d v="2023-10-31T00:00:00"/>
    <x v="1"/>
    <s v="10131010/071123/3367611"/>
    <s v="10131010"/>
    <s v="336761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570265.48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52269"/>
    <m/>
    <m/>
    <n v="99.0110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392.4"/>
    <s v="ОООО-ОО"/>
    <n v="4000000"/>
    <n v="15248.4"/>
    <n v="0"/>
    <s v=""/>
    <s v=""/>
    <n v="52269"/>
    <m/>
    <n v="0"/>
    <n v="1"/>
    <n v="5570265.4800000004"/>
    <n v="59872.73"/>
    <s v="10"/>
    <n v="59926.212"/>
    <n v="3.93"/>
    <n v="45"/>
    <m/>
    <s v="ЧУДИНА"/>
    <n v="130"/>
    <m/>
  </r>
  <r>
    <s v="1"/>
    <d v="2023-07-15T00:00:00"/>
    <x v="0"/>
    <s v="10131010/071123/3367015"/>
    <s v="10131010"/>
    <s v="336701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71478.34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191.360000000001"/>
    <m/>
    <m/>
    <n v="99.0110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914.560000000001"/>
    <s v="ОООО-ОО"/>
    <n v="4000000"/>
    <n v="16878.560000000001"/>
    <n v="0"/>
    <s v=""/>
    <s v=""/>
    <n v="43191.360000000001"/>
    <m/>
    <n v="0"/>
    <n v="1"/>
    <n v="4671478.3499999996"/>
    <n v="50212"/>
    <s v="10"/>
    <n v="50129.323200000006"/>
    <n v="2.97"/>
    <n v="45"/>
    <m/>
    <s v="БЛАГОНРАВОВА"/>
    <n v="576"/>
    <m/>
  </r>
  <r>
    <s v="1"/>
    <d v="2023-07-27T00:00:00"/>
    <x v="0"/>
    <s v="10131010/071123/3366979"/>
    <s v="10131010"/>
    <s v="336697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77256.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219.760000000002"/>
    <m/>
    <m/>
    <n v="99.0110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353.91"/>
    <s v="ОООО-ОО"/>
    <n v="4000000"/>
    <n v="17353.91"/>
    <n v="0"/>
    <s v=""/>
    <s v=""/>
    <n v="40219.760000000002"/>
    <m/>
    <n v="0"/>
    <n v="1"/>
    <n v="4377256.97"/>
    <n v="47049.52"/>
    <s v="10"/>
    <n v="47029.096100000002"/>
    <n v="2.71"/>
    <n v="45"/>
    <m/>
    <s v="ЯШИНА"/>
    <n v="317"/>
    <m/>
  </r>
  <r>
    <s v="1"/>
    <d v="2023-07-12T00:00:00"/>
    <x v="0"/>
    <s v="10131010/070923/3306004"/>
    <s v="10131010"/>
    <s v="330600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77747.2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241.52"/>
    <m/>
    <m/>
    <n v="105.0789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921.48"/>
    <s v="ОООО-ОО"/>
    <n v="4000000"/>
    <n v="16921.48"/>
    <n v="0"/>
    <s v=""/>
    <s v=""/>
    <n v="43241.52"/>
    <m/>
    <n v="0"/>
    <n v="1"/>
    <n v="4977747.22"/>
    <n v="50874.37"/>
    <s v="10"/>
    <n v="50933.654799999997"/>
    <n v="3.01"/>
    <n v="45"/>
    <m/>
    <s v="ЯШИНА"/>
    <n v="353"/>
    <m/>
  </r>
  <r>
    <s v="1"/>
    <d v="2023-10-23T00:00:00"/>
    <x v="1"/>
    <s v="10131010/070923/3305936"/>
    <s v="10131010"/>
    <s v="330593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32942.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391.800000000003"/>
    <m/>
    <m/>
    <n v="105.078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137.89"/>
    <s v="ОООО-ОО"/>
    <n v="4000000"/>
    <n v="15900.29"/>
    <n v="0"/>
    <s v=""/>
    <s v=""/>
    <n v="40391.800000000003"/>
    <m/>
    <n v="0"/>
    <n v="1"/>
    <n v="4732942.8"/>
    <n v="48372.38"/>
    <s v="10"/>
    <n v="48336.881600000001"/>
    <n v="3.04"/>
    <n v="45"/>
    <m/>
    <s v="ОСИПОВА"/>
    <n v="587"/>
    <m/>
  </r>
  <r>
    <s v="1"/>
    <d v="2023-08-06T00:00:00"/>
    <x v="8"/>
    <s v="10131010/070923/3305773"/>
    <s v="10131010"/>
    <s v="330577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90093.3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310.68"/>
    <m/>
    <m/>
    <n v="105.078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00.7"/>
    <s v="ОООО-ОО"/>
    <n v="4000000"/>
    <n v="16846.7"/>
    <n v="0"/>
    <s v=""/>
    <s v=""/>
    <n v="44310.68"/>
    <m/>
    <n v="0"/>
    <n v="1"/>
    <n v="5090093.37"/>
    <n v="52022.59"/>
    <s v="10"/>
    <n v="52056.303"/>
    <n v="3.09"/>
    <n v="45"/>
    <m/>
    <s v="ЯШИНА"/>
    <n v="68"/>
    <m/>
  </r>
  <r>
    <s v="1"/>
    <d v="2023-11-23T00:00:00"/>
    <x v="7"/>
    <s v="10131010/070923/3305705"/>
    <s v="10131010"/>
    <s v="330570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36694.3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282.5"/>
    <m/>
    <m/>
    <n v="105.0789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367.33"/>
    <s v="ОООО-ОО"/>
    <n v="4000000"/>
    <n v="15148.34"/>
    <n v="0"/>
    <s v=""/>
    <s v=""/>
    <n v="43282.5"/>
    <m/>
    <n v="0"/>
    <n v="1"/>
    <n v="5036694.38"/>
    <n v="51476.84"/>
    <s v="10"/>
    <n v="51504.356"/>
    <n v="3.4"/>
    <n v="45"/>
    <m/>
    <s v="ЧУДИНА"/>
    <n v="205"/>
    <m/>
  </r>
  <r>
    <s v="1"/>
    <d v="2023-04-26T00:00:00"/>
    <x v="3"/>
    <s v="10131010/070923/3305647"/>
    <s v="10131010"/>
    <s v="330564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39323.4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827.519999999997"/>
    <m/>
    <m/>
    <n v="105.0789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29.5"/>
    <s v="ОООО-ОО"/>
    <n v="4000000"/>
    <n v="16593.5"/>
    <n v="0"/>
    <s v=""/>
    <s v=""/>
    <n v="43827.519999999997"/>
    <m/>
    <n v="0"/>
    <n v="1"/>
    <n v="5039323.45"/>
    <n v="51503.71"/>
    <s v="10"/>
    <n v="51439.85"/>
    <n v="3.1"/>
    <n v="45"/>
    <m/>
    <s v="ОСИПОВА"/>
    <n v="342"/>
    <m/>
  </r>
  <r>
    <s v="1"/>
    <d v="2023-08-06T00:00:00"/>
    <x v="8"/>
    <s v="10131010/070923/3305507"/>
    <s v="10131010"/>
    <s v="330550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978400.80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547.74"/>
    <m/>
    <m/>
    <n v="105.0789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4622.97"/>
    <s v="ОООО-ОО"/>
    <n v="4000000"/>
    <n v="14365.57"/>
    <n v="0"/>
    <s v=""/>
    <s v=""/>
    <n v="42547.74"/>
    <m/>
    <n v="0"/>
    <n v="1"/>
    <n v="4978400.8099999996"/>
    <n v="50881.05"/>
    <s v="10"/>
    <n v="50854.1178"/>
    <n v="3.54"/>
    <n v="45"/>
    <m/>
    <s v="ЧУДИНА"/>
    <n v="299"/>
    <m/>
  </r>
  <r>
    <s v="1"/>
    <d v="2023-12-08T00:00:00"/>
    <x v="10"/>
    <s v="10131010/070823/3274378"/>
    <s v="10131010"/>
    <s v="3274378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67899.9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2749.8"/>
    <m/>
    <m/>
    <n v="103.8379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106.4"/>
    <s v="ОООО-ОО"/>
    <n v="4000000"/>
    <n v="15955.2"/>
    <n v="0"/>
    <s v=""/>
    <s v=""/>
    <n v="42749.8"/>
    <m/>
    <n v="0"/>
    <n v="1"/>
    <n v="4867899.99"/>
    <n v="51345.04"/>
    <s v="10"/>
    <n v="51375.744000000006"/>
    <n v="3.22"/>
    <m/>
    <m/>
    <m/>
    <n v="166"/>
    <m/>
  </r>
  <r>
    <s v="1"/>
    <d v="2023-06-10T00:00:00"/>
    <x v="11"/>
    <s v="10131010/070823/3274328"/>
    <s v="10131010"/>
    <s v="3274328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179789.5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5753.42"/>
    <m/>
    <m/>
    <n v="103.8379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125.5"/>
    <s v="ОООО-ОО"/>
    <n v="4000000"/>
    <n v="15992.3"/>
    <n v="0"/>
    <s v=""/>
    <s v=""/>
    <n v="45753.42"/>
    <m/>
    <n v="0"/>
    <n v="1"/>
    <n v="5179789.58"/>
    <n v="54634.75"/>
    <s v="10"/>
    <n v="54693.665999999997"/>
    <n v="3.42"/>
    <m/>
    <m/>
    <m/>
    <n v="80"/>
    <m/>
  </r>
  <r>
    <s v="1"/>
    <d v="2023-07-28T00:00:00"/>
    <x v="0"/>
    <s v="10131010/070823/3274322"/>
    <s v="10131010"/>
    <s v="3274322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021247.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4226.6"/>
    <m/>
    <m/>
    <n v="103.8379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140.1"/>
    <s v="ОООО-ОО"/>
    <n v="4000000"/>
    <n v="15996.1"/>
    <n v="0"/>
    <s v=""/>
    <s v=""/>
    <n v="44226.6"/>
    <m/>
    <n v="0"/>
    <n v="1"/>
    <n v="5021247.8"/>
    <n v="52962.5"/>
    <s v="10"/>
    <n v="52947.091"/>
    <n v="3.31"/>
    <m/>
    <m/>
    <m/>
    <n v="124"/>
    <m/>
  </r>
  <r>
    <s v="1"/>
    <d v="2023-01-06T00:00:00"/>
    <x v="5"/>
    <s v="10131010/070823/3274317"/>
    <s v="10131010"/>
    <s v="3274317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47489.610000000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2033.24"/>
    <m/>
    <m/>
    <n v="103.8379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268.05"/>
    <s v="ОООО-ОО"/>
    <n v="4000000"/>
    <n v="16149.25"/>
    <n v="0"/>
    <s v=""/>
    <s v=""/>
    <n v="42033.24"/>
    <m/>
    <n v="0"/>
    <n v="1"/>
    <n v="4847489.6100000003"/>
    <n v="51129.760000000002"/>
    <s v="10"/>
    <n v="51193.122499999998"/>
    <n v="3.17"/>
    <m/>
    <m/>
    <m/>
    <n v="124"/>
    <m/>
  </r>
  <r>
    <s v="1"/>
    <d v="2023-06-12T00:00:00"/>
    <x v="11"/>
    <s v="10131010/070823/3274312"/>
    <s v="10131010"/>
    <s v="3274312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25369.0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3303.25"/>
    <m/>
    <m/>
    <n v="103.8379"/>
    <s v=""/>
    <s v=""/>
    <s v=""/>
    <s v="-"/>
    <s v="99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BE"/>
    <n v="16580.23"/>
    <s v="ОООО-ОО"/>
    <n v="4000000"/>
    <n v="16490.23"/>
    <n v="0"/>
    <s v=""/>
    <s v=""/>
    <n v="43303.25"/>
    <m/>
    <n v="0"/>
    <n v="1"/>
    <n v="4925369.07"/>
    <n v="51951.21"/>
    <s v="10"/>
    <n v="51944.224499999997"/>
    <n v="3.15"/>
    <m/>
    <m/>
    <m/>
    <n v="4"/>
    <m/>
  </r>
  <r>
    <s v="1"/>
    <d v="2023-06-13T00:00:00"/>
    <x v="11"/>
    <s v="10131010/070823/3274309"/>
    <s v="10131010"/>
    <s v="3274309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82007.0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36144.379999999997"/>
    <m/>
    <m/>
    <n v="103.8379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289.58"/>
    <s v="ОООО-ОО"/>
    <n v="4000000"/>
    <n v="16192.38"/>
    <n v="0"/>
    <s v=""/>
    <s v=""/>
    <n v="36144.379999999997"/>
    <m/>
    <n v="0"/>
    <n v="1"/>
    <n v="4182007.05"/>
    <n v="44110.46"/>
    <s v="10"/>
    <n v="44043.2736"/>
    <n v="2.72"/>
    <m/>
    <m/>
    <m/>
    <n v="556"/>
    <m/>
  </r>
  <r>
    <s v="1"/>
    <d v="2023-06-16T00:00:00"/>
    <x v="11"/>
    <s v="10131010/070823/3274306"/>
    <s v="10131010"/>
    <s v="3274306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44650.73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3488.94"/>
    <m/>
    <m/>
    <n v="103.8379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BE"/>
    <n v="16403.71"/>
    <s v="ОООО-ОО"/>
    <n v="4000000"/>
    <n v="16252.51"/>
    <n v="0"/>
    <s v=""/>
    <s v=""/>
    <n v="43488.94"/>
    <m/>
    <n v="0"/>
    <n v="1"/>
    <n v="4944650.7300000004"/>
    <n v="52154.58"/>
    <s v="10"/>
    <n v="52170.557099999998"/>
    <n v="3.21"/>
    <m/>
    <m/>
    <m/>
    <n v="134"/>
    <m/>
  </r>
  <r>
    <s v="1"/>
    <d v="2023-08-18T00:00:00"/>
    <x v="8"/>
    <s v="10131010/070823/3274301"/>
    <s v="10131010"/>
    <s v="3274301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20321.4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1591.599999999999"/>
    <m/>
    <m/>
    <n v="103.8379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6427.16"/>
    <s v="ОООО-ОО"/>
    <n v="4000000"/>
    <n v="16319.22"/>
    <n v="0"/>
    <s v=""/>
    <s v=""/>
    <n v="41591.599999999999"/>
    <m/>
    <n v="0"/>
    <n v="1"/>
    <n v="4820321.46"/>
    <n v="50843.199999999997"/>
    <s v="10"/>
    <n v="50915.966399999998"/>
    <n v="3.12"/>
    <m/>
    <m/>
    <m/>
    <n v="75"/>
    <m/>
  </r>
  <r>
    <s v="1"/>
    <d v="2023-10-26T00:00:00"/>
    <x v="1"/>
    <s v="10131010/070823/3274298"/>
    <s v="10131010"/>
    <s v="3274298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70188.4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39882.720000000001"/>
    <m/>
    <m/>
    <n v="103.8379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m/>
    <m/>
    <s v="1"/>
    <s v="2309101100"/>
    <s v=""/>
    <s v=""/>
    <s v="BE"/>
    <n v="16471.14"/>
    <s v="ОООО-ОО"/>
    <n v="4000000"/>
    <n v="16319.94"/>
    <n v="0"/>
    <s v=""/>
    <s v=""/>
    <n v="39882.720000000001"/>
    <m/>
    <n v="0"/>
    <n v="1"/>
    <n v="4570188.42"/>
    <n v="48204.87"/>
    <s v="10"/>
    <n v="48143.823000000004"/>
    <n v="2.95"/>
    <m/>
    <m/>
    <m/>
    <n v="21"/>
    <m/>
  </r>
  <r>
    <s v="1"/>
    <d v="2023-10-01T00:00:00"/>
    <x v="1"/>
    <s v="10131010/070823/3274296"/>
    <s v="10131010"/>
    <s v="3274296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85884.4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38107.800000000003"/>
    <m/>
    <m/>
    <n v="103.8379"/>
    <s v=""/>
    <s v=""/>
    <s v=""/>
    <s v="-"/>
    <s v="11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m/>
    <m/>
    <s v="1"/>
    <s v="2309101100"/>
    <s v=""/>
    <s v=""/>
    <s v="BE"/>
    <n v="15835.08"/>
    <s v="ОООО-ОО"/>
    <n v="4000000"/>
    <n v="15705.48"/>
    <n v="0"/>
    <s v=""/>
    <s v=""/>
    <n v="38107.800000000003"/>
    <m/>
    <n v="0"/>
    <n v="1"/>
    <n v="4385884.46"/>
    <n v="46260.9"/>
    <s v="10"/>
    <n v="46331.166000000005"/>
    <n v="2.95"/>
    <m/>
    <m/>
    <m/>
    <n v="9"/>
    <m/>
  </r>
  <r>
    <s v="1"/>
    <d v="2023-06-17T00:00:00"/>
    <x v="11"/>
    <s v="10131010/070723/5006363"/>
    <s v="10131010"/>
    <s v="5006363"/>
    <x v="0"/>
    <s v="40"/>
    <s v=""/>
    <s v=""/>
    <s v=""/>
    <s v="UNITED PETFOOD PRODUCERS NV"/>
    <s v="9400, , ERPE-MERE, EVENBROEKVELD 1, .."/>
    <s v=""/>
    <s v=""/>
    <n v="1"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31755.7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323.92"/>
    <n v="4363425"/>
    <n v="52195.98"/>
    <n v="100.716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HТЕ:"/>
    <x v="1"/>
    <m/>
    <s v="UNITED PETFOOD PRODUCERS NV"/>
    <n v="33"/>
    <m/>
    <m/>
    <m/>
    <m/>
    <m/>
    <s v="1"/>
    <s v="2309101100"/>
    <s v=""/>
    <s v=""/>
    <s v="BE"/>
    <n v="16131.58"/>
    <s v="ОООО-ОО"/>
    <n v="4000000"/>
    <n v="15944.38"/>
    <m/>
    <s v=""/>
    <s v=""/>
    <n v="43323.92"/>
    <n v="4363425"/>
    <n v="0"/>
    <n v="1"/>
    <n v="4831755.72"/>
    <n v="52195.98"/>
    <s v="10"/>
    <n v="52138.122599999995"/>
    <n v="3.27"/>
    <n v="45"/>
    <s v="2022/09 БР"/>
    <s v="ЧУДИНА ЭЛЬВИРА РАИСОВНА"/>
    <n v="368"/>
    <m/>
  </r>
  <r>
    <s v="1"/>
    <d v="2023-03-14T00:00:00"/>
    <x v="2"/>
    <s v="10131010/070623/3204786"/>
    <s v="10131010"/>
    <s v="3204786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02465.1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501.04"/>
    <n v="4043354"/>
    <n v="54184.05"/>
    <n v="86.9518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36.36"/>
    <s v="ОООО-ОО"/>
    <n v="4000000"/>
    <n v="16936.36"/>
    <n v="0"/>
    <s v=""/>
    <s v=""/>
    <n v="46501.04"/>
    <n v="4043354"/>
    <n v="0"/>
    <n v="1"/>
    <n v="4402465.13"/>
    <n v="54184.05"/>
    <s v="10"/>
    <n v="54196.352000000006"/>
    <n v="3.2"/>
    <n v="45"/>
    <s v="2022/09 БР"/>
    <s v="ЯШИНА АННА СЕРГЕЕВНА"/>
    <n v="71"/>
    <m/>
  </r>
  <r>
    <s v="1"/>
    <d v="2023-09-17T00:00:00"/>
    <x v="4"/>
    <s v="10131010/070623/3204782"/>
    <s v="10131010"/>
    <s v="3204782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39920.9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331.56"/>
    <n v="3680810"/>
    <n v="49721.98"/>
    <n v="86.9518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РАСФАСОВАННЫЙ ДЛЯ РОЗНИЧНОЙ ПРОДАЖИ,БЕЗ СОДЕРЖАНИЯ КРАХМАЛА,БЕЗ СОДЕРЖАНИЯ МОЛОЧНЫХ ПРОДУКТОВ,В АССОРТИМЕНТЕ:"/>
    <x v="1"/>
    <m/>
    <s v="UNITED PETFOOD PRODUCERS NV"/>
    <n v="33"/>
    <n v="0"/>
    <n v="0"/>
    <m/>
    <n v="0"/>
    <m/>
    <s v="1"/>
    <s v="2309101100"/>
    <s v=""/>
    <s v=""/>
    <s v="BE"/>
    <n v="17066.21"/>
    <s v="ОООО-ОО"/>
    <n v="4000000"/>
    <n v="17066.21"/>
    <n v="0"/>
    <s v=""/>
    <s v=""/>
    <n v="42331.56"/>
    <n v="3680810"/>
    <n v="0"/>
    <n v="1"/>
    <n v="4039920.92"/>
    <n v="49721.98"/>
    <s v="10"/>
    <n v="49662.6711"/>
    <n v="2.91"/>
    <n v="45"/>
    <s v="2022/09 БР"/>
    <s v="ЧУДИНА ЭЛЬВИРА РАИСОВНА"/>
    <n v="153"/>
    <m/>
  </r>
  <r>
    <s v="1"/>
    <d v="2023-03-23T00:00:00"/>
    <x v="2"/>
    <s v="10131010/070623/3204201"/>
    <s v="10131010"/>
    <s v="3204201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66560.4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967.870000000003"/>
    <n v="3562234"/>
    <n v="48819.09"/>
    <n v="86.9518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O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782.83"/>
    <s v="ОООО-ОО"/>
    <n v="4000000"/>
    <n v="15566.83"/>
    <n v="0"/>
    <s v=""/>
    <s v=""/>
    <n v="40967.870000000003"/>
    <n v="3562234"/>
    <n v="0"/>
    <n v="1"/>
    <n v="3966560.48"/>
    <n v="48819.09"/>
    <s v="10"/>
    <n v="48879.8462"/>
    <n v="3.14"/>
    <n v="45"/>
    <s v="2022/09 БР"/>
    <s v="ЧУДИНА ЭЛЬВИРА РАИСОВНА"/>
    <n v="365"/>
    <m/>
  </r>
  <r>
    <s v="1"/>
    <d v="2023-04-15T00:00:00"/>
    <x v="3"/>
    <s v="10131010/070423/3122721"/>
    <s v="10131010"/>
    <s v="3122721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45038.0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118.239999999998"/>
    <n v="3799985"/>
    <n v="52621.42"/>
    <n v="88.1294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459.93"/>
    <s v="ОООО-ОО"/>
    <n v="4000000"/>
    <n v="16337.53"/>
    <n v="0"/>
    <s v=""/>
    <s v=""/>
    <n v="43118.239999999998"/>
    <n v="3799985"/>
    <n v="0"/>
    <n v="1"/>
    <n v="4245038.09"/>
    <n v="52621.42"/>
    <s v="10"/>
    <n v="52621.550377"/>
    <n v="3.2208999999999999"/>
    <n v="45"/>
    <s v="2022/09 БР"/>
    <s v="ДРУЗЯГИНА ИРИНА НИКОЛАЕВНА"/>
    <n v="213"/>
    <m/>
  </r>
  <r>
    <s v="1"/>
    <d v="2023-05-24T00:00:00"/>
    <x v="9"/>
    <s v="10131010/070423/3122720"/>
    <s v="10131010"/>
    <s v="312272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09932.2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015.81"/>
    <n v="3526569"/>
    <n v="48467.45"/>
    <n v="88.1294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914.919999999998"/>
    <s v="ОООО-ОО"/>
    <n v="4000000"/>
    <n v="16873.52"/>
    <n v="0"/>
    <s v=""/>
    <s v=""/>
    <n v="40015.81"/>
    <n v="3526569"/>
    <n v="0"/>
    <n v="1"/>
    <n v="3909932.22"/>
    <n v="48467.45"/>
    <s v="10"/>
    <n v="48467.498847999996"/>
    <n v="2.8723999999999998"/>
    <n v="45"/>
    <s v="2022/09 БР"/>
    <s v="ЯШИНА АННА СЕРГЕЕВНА"/>
    <n v="320"/>
    <m/>
  </r>
  <r>
    <s v="1"/>
    <d v="2023-09-14T00:00:00"/>
    <x v="4"/>
    <s v="10131010/070423/3122718"/>
    <s v="10131010"/>
    <s v="312271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58761.59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473.96"/>
    <n v="3831334"/>
    <n v="52791.53"/>
    <n v="88.1294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246.57"/>
    <s v="ОООО-ОО"/>
    <n v="4000000"/>
    <n v="16246.57"/>
    <n v="0"/>
    <s v=""/>
    <s v=""/>
    <n v="43473.96"/>
    <n v="3831334"/>
    <n v="0"/>
    <n v="1"/>
    <n v="4258761.5999999996"/>
    <n v="52791.53"/>
    <s v="10"/>
    <n v="52791.604557999999"/>
    <n v="3.2494000000000001"/>
    <n v="45"/>
    <s v="2022/09 БР"/>
    <s v="БЛАГОНРАВОВА ДАРЬЯ ДМИТРИЕВНА"/>
    <n v="365"/>
    <m/>
  </r>
  <r>
    <s v="1"/>
    <d v="2023-06-05T00:00:00"/>
    <x v="11"/>
    <s v="10131010/070323/3079713"/>
    <s v="10131010"/>
    <s v="3079713"/>
    <x v="0"/>
    <s v="40"/>
    <s v=""/>
    <s v=""/>
    <s v=""/>
    <s v="UNITED PETFOOD PRODUCERS NV"/>
    <s v="9400, , ERPE-MERE, EVENBROEKVELD 1,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08430.0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854.77"/>
    <n v="3759407"/>
    <n v="54435.9"/>
    <n v="80.2352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O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8"/>
    <n v="0"/>
    <n v="0"/>
    <m/>
    <n v="0"/>
    <m/>
    <s v="1"/>
    <s v="2309101100"/>
    <s v=""/>
    <s v=""/>
    <s v="BE"/>
    <n v="19595.650000000001"/>
    <s v="ОООО-ОО"/>
    <n v="4000000"/>
    <n v="19595.650000000001"/>
    <n v="0"/>
    <s v=""/>
    <s v=""/>
    <n v="46854.77"/>
    <n v="3759407"/>
    <n v="0"/>
    <n v="1"/>
    <n v="4108430.09"/>
    <n v="54435.9"/>
    <s v="10"/>
    <n v="54436.715700000008"/>
    <n v="2.778"/>
    <n v="45"/>
    <s v="2022/09 БР"/>
    <s v="ЯШИНА АННА СЕРГЕЕВНА"/>
    <n v="252"/>
    <m/>
  </r>
  <r>
    <s v="1"/>
    <d v="2023-04-08T00:00:00"/>
    <x v="3"/>
    <s v="10131010/070323/3079706"/>
    <s v="10131010"/>
    <s v="3079706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20840.2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270.44"/>
    <n v="3471817"/>
    <n v="50625.39"/>
    <n v="80.2352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TИМЕНТЕ:"/>
    <x v="1"/>
    <m/>
    <s v="UNITED PETFOOD PRODUCERS NV"/>
    <n v="33"/>
    <n v="0"/>
    <n v="0"/>
    <m/>
    <n v="0"/>
    <m/>
    <s v="1"/>
    <s v="2309101100"/>
    <s v=""/>
    <s v=""/>
    <s v="BE"/>
    <n v="16199.89"/>
    <s v="ОООО-ОО"/>
    <n v="4000000"/>
    <n v="16084.69"/>
    <n v="0"/>
    <s v=""/>
    <s v=""/>
    <n v="43270.44"/>
    <n v="3471817"/>
    <n v="0"/>
    <n v="1"/>
    <n v="3820840.29"/>
    <n v="50625.39"/>
    <s v="10"/>
    <n v="50624.953306000003"/>
    <n v="3.1474000000000002"/>
    <n v="45"/>
    <s v="2022/09 БР"/>
    <s v="ЧУДИНА ЭЛЬВИРА РАИСОВНА"/>
    <n v="570"/>
    <m/>
  </r>
  <r>
    <s v="1"/>
    <d v="2023-03-01T00:00:00"/>
    <x v="2"/>
    <s v="10131010/070323/3079149"/>
    <s v="10131010"/>
    <s v="3079149"/>
    <x v="0"/>
    <s v="40"/>
    <s v=""/>
    <s v=""/>
    <s v=""/>
    <s v="UNITED PETFOOD PRODUCERS"/>
    <s v="9042, , GHENT, TERDONKKAAI 16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29184.7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674.44"/>
    <n v="3423996"/>
    <n v="50735.96"/>
    <n v="80.2352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777.330000000002"/>
    <s v="ОООО-ОО"/>
    <n v="4000000"/>
    <n v="16777.330000000002"/>
    <n v="0"/>
    <s v=""/>
    <s v=""/>
    <n v="42674.44"/>
    <n v="3423996"/>
    <n v="0"/>
    <n v="1"/>
    <n v="3829184.77"/>
    <n v="50735.96"/>
    <s v="10"/>
    <n v="50736.323652999999"/>
    <n v="3.0240999999999998"/>
    <n v="45"/>
    <s v="2022/09 БР"/>
    <s v="БЛАГОНРАВОВА ДАРЬЯ ДМИТРИЕВНА"/>
    <n v="131"/>
    <m/>
  </r>
  <r>
    <s v="1"/>
    <d v="2023-07-13T00:00:00"/>
    <x v="0"/>
    <s v="10131010/070323/3079128"/>
    <s v="10131010"/>
    <s v="307912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76655.1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966.080000000002"/>
    <n v="3527632"/>
    <n v="51364.93"/>
    <n v="80.235299999999995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39.96"/>
    <s v="ОООО-ОО"/>
    <n v="4000000"/>
    <n v="16685.96"/>
    <n v="0"/>
    <s v=""/>
    <s v=""/>
    <n v="43966.080000000002"/>
    <n v="3527632"/>
    <n v="0"/>
    <n v="1"/>
    <n v="3876655.18"/>
    <n v="51364.93"/>
    <s v="10"/>
    <n v="51364.390668"/>
    <n v="3.0783"/>
    <n v="45"/>
    <s v="2022/09 БР"/>
    <s v="ОСИПОВА ТАТЬЯНА ВЛАДИМИРОВНА"/>
    <n v="166"/>
    <m/>
  </r>
  <r>
    <s v="1"/>
    <d v="2023-02-02T00:00:00"/>
    <x v="12"/>
    <s v="10131010/070223/3044340"/>
    <s v="10131010"/>
    <s v="304434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67841.7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204.24"/>
    <n v="3437091"/>
    <n v="53369.54"/>
    <n v="76.0347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644.009999999998"/>
    <s v="ОООО-ОО"/>
    <n v="4000000"/>
    <n v="16572.009999999998"/>
    <n v="0"/>
    <s v=""/>
    <s v=""/>
    <n v="45204.24"/>
    <n v="3437091"/>
    <n v="0"/>
    <n v="1"/>
    <n v="3767841.78"/>
    <n v="53369.54"/>
    <s v="10"/>
    <n v="53370.158204999992"/>
    <n v="3.2204999999999999"/>
    <n v="45"/>
    <s v="2022/09 БР"/>
    <s v="ЧУДИНА ЭЛЬВИРА РАИСОВНА"/>
    <n v="544"/>
    <m/>
  </r>
  <r>
    <s v="1"/>
    <d v="2023-05-23T00:00:00"/>
    <x v="9"/>
    <s v="10131010/070223/3043893"/>
    <s v="10131010"/>
    <s v="3043893"/>
    <x v="0"/>
    <s v="40"/>
    <s v=""/>
    <s v=""/>
    <s v=""/>
    <s v="UNITED PETFOOD PRODUCERS"/>
    <s v="9042, , GHENT, TERDONKKAAI 16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68495.6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212.84"/>
    <n v="3437745"/>
    <n v="53378.81"/>
    <n v="76.0347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P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574.73"/>
    <s v="ОООО-ОО"/>
    <n v="4000000"/>
    <n v="15268.73"/>
    <n v="0"/>
    <s v=""/>
    <s v=""/>
    <n v="45212.84"/>
    <n v="3437745"/>
    <n v="0"/>
    <n v="1"/>
    <n v="3768495.68"/>
    <n v="53378.81"/>
    <s v="10"/>
    <n v="53379.480080000001"/>
    <n v="3.496"/>
    <n v="45"/>
    <s v="2022/09 БР"/>
    <s v="ЯШИНА АННА СЕРГЕЕВНА"/>
    <n v="189"/>
    <m/>
  </r>
  <r>
    <s v="1"/>
    <d v="2023-04-10T00:00:00"/>
    <x v="3"/>
    <s v="10131010/070223/3043224"/>
    <s v="10131010"/>
    <s v="304322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31466.2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8671.4"/>
    <n v="3700715"/>
    <n v="57103.65"/>
    <n v="76.0347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;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22.68"/>
    <s v="ОООО-ОО"/>
    <n v="4000000"/>
    <n v="16714.68"/>
    <n v="0"/>
    <s v=""/>
    <s v=""/>
    <n v="48671.4"/>
    <n v="3700715"/>
    <n v="0"/>
    <n v="1"/>
    <n v="4031466.25"/>
    <n v="57103.65"/>
    <s v="10"/>
    <n v="57104.032751999999"/>
    <n v="3.4163999999999999"/>
    <n v="45"/>
    <s v="2022/09 БР"/>
    <s v="ОСИПОВА ТАТЬЯНА ВЛАДИМИРОВНА"/>
    <n v="201"/>
    <m/>
  </r>
  <r>
    <s v="1"/>
    <d v="2023-01-26T00:00:00"/>
    <x v="5"/>
    <s v="10131010/061223/3400805"/>
    <s v="10131010"/>
    <s v="340080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05164.4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455.199999999997"/>
    <m/>
    <m/>
    <n v="99.134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227.32"/>
    <s v="ОООО-ОО"/>
    <n v="4000000"/>
    <n v="17209.32"/>
    <n v="0"/>
    <s v=""/>
    <s v=""/>
    <n v="41455.199999999997"/>
    <m/>
    <n v="0"/>
    <n v="1"/>
    <n v="4505164.46"/>
    <n v="49192.52"/>
    <s v="10"/>
    <n v="49218.655199999994"/>
    <n v="2.86"/>
    <n v="45"/>
    <m/>
    <s v="ДРУЗЯГИНА"/>
    <n v="9"/>
    <m/>
  </r>
  <r>
    <s v="1"/>
    <d v="2023-10-04T00:00:00"/>
    <x v="1"/>
    <s v="10131010/061223/3400801"/>
    <s v="10131010"/>
    <s v="340080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02678.1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430.120000000003"/>
    <m/>
    <m/>
    <n v="99.134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50.759999999998"/>
    <s v="ОООО-ОО"/>
    <n v="4000000"/>
    <n v="16950.759999999998"/>
    <n v="0"/>
    <s v=""/>
    <s v=""/>
    <n v="41430.120000000003"/>
    <m/>
    <n v="0"/>
    <n v="1"/>
    <n v="4502678.18"/>
    <n v="49165.38"/>
    <s v="10"/>
    <n v="49157.203999999991"/>
    <n v="2.9"/>
    <n v="45"/>
    <m/>
    <s v="ДРУЗЯГИНА"/>
    <n v="544"/>
    <m/>
  </r>
  <r>
    <s v="1"/>
    <d v="2023-12-11T00:00:00"/>
    <x v="10"/>
    <s v="10131010/061223/3400781"/>
    <s v="10131010"/>
    <s v="340078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74917.5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467.56"/>
    <m/>
    <m/>
    <n v="99.134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508.71"/>
    <s v="ОООО-ОО"/>
    <n v="4000000"/>
    <n v="17508.71"/>
    <n v="0"/>
    <s v=""/>
    <s v=""/>
    <n v="42467.56"/>
    <m/>
    <n v="0"/>
    <n v="1"/>
    <n v="4674917.55"/>
    <n v="51046.080000000002"/>
    <s v="10"/>
    <n v="51125.433199999999"/>
    <n v="2.92"/>
    <n v="45"/>
    <m/>
    <s v="БЛАГОНРАВОВА"/>
    <n v="551"/>
    <m/>
  </r>
  <r>
    <s v="1"/>
    <d v="2023-02-01T00:00:00"/>
    <x v="12"/>
    <s v="10131010/061223/3400780"/>
    <s v="10131010"/>
    <s v="340078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48393.9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343.800000000003"/>
    <m/>
    <m/>
    <n v="99.134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980.78"/>
    <s v="ОООО-ОО"/>
    <n v="4000000"/>
    <n v="16959.18"/>
    <n v="0"/>
    <s v=""/>
    <s v=""/>
    <n v="39343.800000000003"/>
    <m/>
    <n v="0"/>
    <n v="1"/>
    <n v="4348393.95"/>
    <n v="47480.72"/>
    <s v="10"/>
    <n v="47485.703999999998"/>
    <n v="2.8"/>
    <n v="45"/>
    <m/>
    <s v="ЧУДИНА"/>
    <n v="296"/>
    <m/>
  </r>
  <r>
    <s v="1"/>
    <d v="2023-11-11T00:00:00"/>
    <x v="7"/>
    <s v="10131010/061223/3400775"/>
    <s v="10131010"/>
    <s v="340077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22876.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660.07"/>
    <m/>
    <m/>
    <n v="99.134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213.28"/>
    <s v="ОООО-ОО"/>
    <n v="4000000"/>
    <n v="17213.28"/>
    <n v="0"/>
    <s v=""/>
    <s v=""/>
    <n v="44660.07"/>
    <m/>
    <n v="0"/>
    <n v="1"/>
    <n v="4822876.04"/>
    <n v="52661.66"/>
    <s v="10"/>
    <n v="52672.6368"/>
    <n v="3.06"/>
    <n v="45"/>
    <m/>
    <s v="ЧУДИНА"/>
    <n v="88"/>
    <m/>
  </r>
  <r>
    <s v="1"/>
    <d v="2023-10-02T00:00:00"/>
    <x v="1"/>
    <s v="10131010/060923/3304655"/>
    <s v="10131010"/>
    <s v="330465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57989.0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225.519999999997"/>
    <m/>
    <m/>
    <n v="104.9043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21.48"/>
    <s v="ОООО-ОО"/>
    <n v="4000000"/>
    <n v="16921.48"/>
    <n v="0"/>
    <s v=""/>
    <s v=""/>
    <n v="41225.519999999997"/>
    <m/>
    <n v="0"/>
    <n v="1"/>
    <n v="4757989.08"/>
    <n v="48780.73"/>
    <s v="10"/>
    <n v="48733.862399999998"/>
    <n v="2.88"/>
    <n v="45"/>
    <m/>
    <s v="ДРУЗЯГИНА"/>
    <n v="582"/>
    <m/>
  </r>
  <r>
    <s v="1"/>
    <d v="2023-12-09T00:00:00"/>
    <x v="10"/>
    <s v="10131010/060923/3304631"/>
    <s v="10131010"/>
    <s v="330463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90829.3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585.32"/>
    <m/>
    <m/>
    <n v="104.9043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579.46"/>
    <s v="ОООО-ОО"/>
    <n v="4000000"/>
    <n v="15371.86"/>
    <n v="0"/>
    <s v=""/>
    <s v=""/>
    <n v="40585.32"/>
    <m/>
    <n v="0"/>
    <n v="1"/>
    <n v="4690829.34"/>
    <n v="48092.18"/>
    <s v="10"/>
    <n v="48113.921800000004"/>
    <n v="3.13"/>
    <n v="45"/>
    <m/>
    <s v="ДРУЗЯГИНА"/>
    <n v="157"/>
    <m/>
  </r>
  <r>
    <s v="1"/>
    <d v="2023-12-10T00:00:00"/>
    <x v="10"/>
    <s v="10131010/060923/3304555"/>
    <s v="10131010"/>
    <s v="330455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43697.94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136.04"/>
    <m/>
    <m/>
    <n v="104.9043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176.57"/>
    <s v="ОООО-ОО"/>
    <n v="4000000"/>
    <n v="17154.97"/>
    <n v="0"/>
    <s v=""/>
    <s v=""/>
    <n v="40136.04"/>
    <m/>
    <n v="0"/>
    <n v="1"/>
    <n v="4643697.9400000004"/>
    <n v="47608.97"/>
    <s v="10"/>
    <n v="47690.816599999998"/>
    <n v="2.78"/>
    <n v="45"/>
    <m/>
    <s v="ДРУЗЯГИНА"/>
    <n v="557"/>
    <m/>
  </r>
  <r>
    <s v="1"/>
    <d v="2023-03-25T00:00:00"/>
    <x v="2"/>
    <s v="10131010/060923/3304554"/>
    <s v="10131010"/>
    <s v="330455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05395.2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770.92"/>
    <m/>
    <m/>
    <n v="104.9043000000000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59.71"/>
    <s v="ОООО-ОО"/>
    <n v="4000000"/>
    <n v="16694.91"/>
    <n v="0"/>
    <s v=""/>
    <s v=""/>
    <n v="39770.92"/>
    <m/>
    <n v="0"/>
    <n v="1"/>
    <n v="4605395.28"/>
    <n v="47216.28"/>
    <s v="10"/>
    <n v="47246.595300000001"/>
    <n v="2.83"/>
    <n v="45"/>
    <m/>
    <s v="ЧУДИНА"/>
    <n v="299"/>
    <m/>
  </r>
  <r>
    <s v="1"/>
    <d v="2023-04-14T00:00:00"/>
    <x v="3"/>
    <s v="10131010/060723/5006247"/>
    <s v="10131010"/>
    <s v="5006247"/>
    <x v="0"/>
    <s v="40"/>
    <s v=""/>
    <s v=""/>
    <s v=""/>
    <s v="UNITED PETFOOD PRODUCERS NV"/>
    <s v="9400, , ERPE-MERE, EVENBROEKVELD 1, .."/>
    <s v=""/>
    <s v=""/>
    <n v="1"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233012.5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9043.24"/>
    <n v="4826561"/>
    <n v="57927.040000000001"/>
    <n v="98.4144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PТИМЕНТЕ,В АССОРТИМЕНТЕ"/>
    <x v="1"/>
    <m/>
    <s v="UNITED PETFOOD PRODUCERS NV"/>
    <n v="33"/>
    <m/>
    <m/>
    <m/>
    <m/>
    <m/>
    <s v="1"/>
    <s v="2309101100"/>
    <s v=""/>
    <s v=""/>
    <s v="BE"/>
    <n v="16292.48"/>
    <s v="ОООО-ОО"/>
    <n v="4000000"/>
    <n v="16202.49"/>
    <m/>
    <s v=""/>
    <s v=""/>
    <n v="49043.24"/>
    <n v="4826561"/>
    <n v="0"/>
    <n v="1"/>
    <n v="5233012.51"/>
    <n v="57927.040000000001"/>
    <s v="10"/>
    <n v="58004.914199999999"/>
    <n v="3.58"/>
    <n v="45"/>
    <s v="2022/09 БР"/>
    <s v="ОСИПОВА ТАТЬЯНА ВЛАДИМИРОВНА"/>
    <n v="109"/>
    <m/>
  </r>
  <r>
    <s v="1"/>
    <d v="2023-06-28T00:00:00"/>
    <x v="11"/>
    <s v="10131010/060723/3242968"/>
    <s v="10131010"/>
    <s v="3242968"/>
    <x v="0"/>
    <s v="40"/>
    <s v=""/>
    <s v=""/>
    <s v=""/>
    <s v="UNITED PETFOOD PRODUCERS NV"/>
    <s v="9400, , ERPE-MERE, EVENBROEKVELD 1, 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55229.44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472.32"/>
    <n v="4179888"/>
    <n v="51531.24"/>
    <n v="98.4144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AССОРТИМЕНТЕ:"/>
    <x v="1"/>
    <m/>
    <s v="UNITED PETFOOD PRODUCERS NV"/>
    <n v="33"/>
    <n v="0"/>
    <n v="0"/>
    <m/>
    <n v="0"/>
    <m/>
    <s v="1"/>
    <s v="2309101100"/>
    <s v=""/>
    <s v=""/>
    <s v="BE"/>
    <n v="16646.95"/>
    <s v="ОООО-ОО"/>
    <n v="4000000"/>
    <n v="16571.349999999999"/>
    <n v="0"/>
    <s v=""/>
    <s v=""/>
    <n v="42472.32"/>
    <n v="4179888"/>
    <n v="0"/>
    <n v="1"/>
    <n v="4655229.4400000004"/>
    <n v="51531.24"/>
    <s v="10"/>
    <n v="51536.898499999996"/>
    <n v="3.11"/>
    <n v="45"/>
    <s v="2022/09 БР"/>
    <s v="ЧУДИНА ЭЛЬВИРА РАИСОВНА"/>
    <n v="278"/>
    <m/>
  </r>
  <r>
    <s v="1"/>
    <d v="2023-07-04T00:00:00"/>
    <x v="0"/>
    <s v="10131010/060723/3242345"/>
    <s v="10131010"/>
    <s v="3242345"/>
    <x v="0"/>
    <s v="40"/>
    <s v=""/>
    <s v=""/>
    <s v=""/>
    <s v="UNITED PETFOOD PRODUCERS NV"/>
    <s v="9400, , ERPE-MERE, EVENBROEKVELD 1, 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877051.55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426.28"/>
    <n v="4470600"/>
    <n v="53986.71"/>
    <n v="98.4144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РАСФАСОВАННЫЙ ДЛЯ РОЗНИЧНОЙ ПРОДАЖИ,БЕЗ СОДЕРЖАНИЯ КРАХМАЛА,БЕЗ СОДЕРЖАНИЯ МОЛОЧНЫХ ПРОДУКТОВ,В АССОРТИМЕНТЕ:"/>
    <x v="1"/>
    <m/>
    <s v="UNITED PETFOOD PRODUCERS NV"/>
    <n v="33"/>
    <n v="0"/>
    <n v="0"/>
    <m/>
    <n v="0"/>
    <m/>
    <s v="1"/>
    <s v="2309101100"/>
    <s v=""/>
    <s v=""/>
    <s v="BE"/>
    <n v="16250.78"/>
    <s v="ОООО-ОО"/>
    <n v="4000000"/>
    <n v="16106.78"/>
    <n v="0"/>
    <s v=""/>
    <s v=""/>
    <n v="45426.28"/>
    <n v="4470600"/>
    <n v="0"/>
    <n v="1"/>
    <n v="4877051.5599999996"/>
    <n v="53986.71"/>
    <s v="10"/>
    <n v="53957.713000000003"/>
    <n v="3.35"/>
    <n v="45"/>
    <s v="2022/09 БР"/>
    <s v="ЯШИНА АННА СЕРГЕЕВНА"/>
    <n v="236"/>
    <m/>
  </r>
  <r>
    <s v="1"/>
    <d v="2023-01-25T00:00:00"/>
    <x v="5"/>
    <s v="10131010/060623/3203417"/>
    <s v="10131010"/>
    <s v="3203417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86057.3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372"/>
    <n v="3426616"/>
    <n v="46552.14"/>
    <n v="87.0318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497.849999999999"/>
    <s v="ОООО-ОО"/>
    <n v="4000000"/>
    <n v="16411.46"/>
    <n v="0"/>
    <s v=""/>
    <s v=""/>
    <n v="39372"/>
    <n v="3426616"/>
    <n v="0"/>
    <n v="1"/>
    <n v="3786057.36"/>
    <n v="46552.14"/>
    <s v="10"/>
    <n v="46608.546399999992"/>
    <n v="2.84"/>
    <n v="45"/>
    <s v="2022/09 БР"/>
    <s v="ДРУЗЯГИНА ИРИНА НИКОЛАЕВНА"/>
    <n v="34"/>
    <m/>
  </r>
  <r>
    <s v="1"/>
    <d v="2023-04-30T00:00:00"/>
    <x v="3"/>
    <s v="10131010/060623/3203402"/>
    <s v="10131010"/>
    <s v="3203402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63361.5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558.239999999998"/>
    <n v="3703920"/>
    <n v="49961.78"/>
    <n v="87.0318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72.39"/>
    <s v="ОООО-ОО"/>
    <n v="4000000"/>
    <n v="16972.39"/>
    <n v="0"/>
    <s v=""/>
    <s v=""/>
    <n v="42558.239999999998"/>
    <n v="3703920"/>
    <n v="0"/>
    <n v="1"/>
    <n v="4063361.56"/>
    <n v="49961.78"/>
    <s v="10"/>
    <n v="49898.8266"/>
    <n v="2.94"/>
    <n v="45"/>
    <s v="2022/09 БР"/>
    <s v="ДРУЗЯГИНА ИРИНА НИКОЛАЕВНА"/>
    <n v="319"/>
    <m/>
  </r>
  <r>
    <s v="1"/>
    <d v="2023-05-26T00:00:00"/>
    <x v="9"/>
    <s v="10131010/060623/3203228"/>
    <s v="10131010"/>
    <s v="3203228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36238.9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246.6"/>
    <n v="3676798"/>
    <n v="49628.29"/>
    <n v="87.0318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019.96"/>
    <s v="ОООО-ОО"/>
    <n v="4000000"/>
    <n v="17019.96"/>
    <n v="0"/>
    <s v=""/>
    <s v=""/>
    <n v="42246.6"/>
    <n v="3676798"/>
    <n v="0"/>
    <n v="1"/>
    <n v="4036238.97"/>
    <n v="49628.29"/>
    <s v="10"/>
    <n v="49698.283199999998"/>
    <n v="2.92"/>
    <n v="45"/>
    <s v="2022/09 БР"/>
    <s v="ЯШИНА АННА СЕРГЕЕВНА"/>
    <n v="298"/>
    <m/>
  </r>
  <r>
    <s v="1"/>
    <d v="2023-11-01T00:00:00"/>
    <x v="7"/>
    <s v="10131010/060623/3203225"/>
    <s v="10131010"/>
    <s v="3203225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29651.9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319.92"/>
    <n v="3770211"/>
    <n v="50776.86"/>
    <n v="87.0318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;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99.78"/>
    <s v="ОООО-ОО"/>
    <n v="4000000"/>
    <n v="16699.78"/>
    <n v="0"/>
    <s v=""/>
    <s v=""/>
    <n v="43319.92"/>
    <n v="3770211"/>
    <n v="0"/>
    <n v="1"/>
    <n v="4129651.94"/>
    <n v="50776.86"/>
    <s v="10"/>
    <n v="50767.331200000001"/>
    <n v="3.04"/>
    <n v="45"/>
    <s v="2022/09 БР"/>
    <s v="ДРУЗЯГИНА ИРИНА НИКОЛАЕВНА"/>
    <n v="205"/>
    <m/>
  </r>
  <r>
    <s v="1"/>
    <d v="2023-10-01T00:00:00"/>
    <x v="1"/>
    <s v="10131010/060623/3202296"/>
    <s v="10131010"/>
    <s v="3202296"/>
    <x v="0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68075.6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943.4"/>
    <n v="3563378"/>
    <n v="48790.18"/>
    <n v="87.0318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014.560000000001"/>
    <s v="ОООО-ОО"/>
    <n v="4000000"/>
    <n v="17014.560000000001"/>
    <n v="0"/>
    <s v=""/>
    <s v=""/>
    <n v="40943.4"/>
    <n v="3563378"/>
    <n v="0"/>
    <n v="1"/>
    <n v="3968075.67"/>
    <n v="48790.18"/>
    <s v="10"/>
    <n v="48831.787200000006"/>
    <n v="2.87"/>
    <n v="45"/>
    <s v="2022/09 БР"/>
    <s v="ДРУЗЯГИНА ИРИНА НИКОЛАЕВНА"/>
    <n v="546"/>
    <m/>
  </r>
  <r>
    <s v="1"/>
    <d v="2023-10-03T00:00:00"/>
    <x v="1"/>
    <s v="10131010/060623/3202287"/>
    <s v="10131010"/>
    <s v="3202287"/>
    <x v="0"/>
    <s v="40"/>
    <s v=""/>
    <s v=""/>
    <s v=""/>
    <s v="UNITED PETFOOD PRODUCERS"/>
    <s v="9042, , GHENT, TERDONKKAAI 16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27034.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769.85"/>
    <n v="3722337"/>
    <n v="50744.69"/>
    <n v="87.0318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TЕ"/>
    <x v="1"/>
    <m/>
    <s v="UNITED PETFOOD PRODUCERS NV"/>
    <n v="33"/>
    <n v="0"/>
    <n v="0"/>
    <m/>
    <n v="0"/>
    <m/>
    <s v="1"/>
    <s v="2309101100"/>
    <s v=""/>
    <s v=""/>
    <s v="BE"/>
    <n v="16899.89"/>
    <s v="ОООО-ОО"/>
    <n v="4000000"/>
    <n v="16899.89"/>
    <n v="0"/>
    <s v=""/>
    <s v=""/>
    <n v="42769.85"/>
    <n v="3722337"/>
    <n v="0"/>
    <n v="1"/>
    <n v="4127034.9"/>
    <n v="50744.69"/>
    <s v="10"/>
    <n v="50699.67"/>
    <n v="3"/>
    <n v="45"/>
    <s v="2022/09 БР"/>
    <s v="ЧУДИНА ЭЛЬВИРА РАИСОВНА"/>
    <n v="248"/>
    <m/>
  </r>
  <r>
    <s v="1"/>
    <d v="2023-07-20T00:00:00"/>
    <x v="0"/>
    <s v="10131010/060323/3077156"/>
    <s v="10131010"/>
    <s v="3077156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37210.6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589.96"/>
    <n v="3089007"/>
    <n v="45550.58"/>
    <n v="80.04689999999999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007.01"/>
    <s v="ОООО-ОО"/>
    <n v="4000000"/>
    <n v="14596.61"/>
    <n v="0"/>
    <s v=""/>
    <s v=""/>
    <n v="38589.96"/>
    <n v="3089007"/>
    <n v="0"/>
    <n v="1"/>
    <n v="3437210.69"/>
    <n v="45550.58"/>
    <s v="10"/>
    <n v="45550.181166000002"/>
    <n v="3.1206"/>
    <n v="45"/>
    <s v="2022/09 БР"/>
    <s v="ЧУДИНА ЭЛЬВИРА РАИСОВНА"/>
    <n v="88"/>
    <m/>
  </r>
  <r>
    <s v="1"/>
    <d v="2023-03-05T00:00:00"/>
    <x v="2"/>
    <s v="10131010/060323/3077150"/>
    <s v="10131010"/>
    <s v="3077150"/>
    <x v="0"/>
    <s v="40"/>
    <s v=""/>
    <s v=""/>
    <s v=""/>
    <s v="UNITED PETFOOD PRODUCERS NV"/>
    <s v="9400, , ERPE-MERE, EVENBROEKVELD 1,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39773.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51114.65"/>
    <n v="4091569"/>
    <n v="58836.74"/>
    <n v="80.04689999999999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K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8"/>
    <n v="0"/>
    <n v="0"/>
    <m/>
    <n v="0"/>
    <m/>
    <s v="1"/>
    <s v="2309101100"/>
    <s v=""/>
    <s v=""/>
    <s v="BE"/>
    <n v="18734.419999999998"/>
    <s v="ОООО-ОО"/>
    <n v="4000000"/>
    <n v="18554.419999999998"/>
    <n v="0"/>
    <s v=""/>
    <s v=""/>
    <n v="51114.65"/>
    <n v="4091569"/>
    <n v="0"/>
    <n v="1"/>
    <n v="4439773.3"/>
    <n v="58836.74"/>
    <s v="10"/>
    <n v="58836.065819999989"/>
    <n v="3.1709999999999998"/>
    <n v="45"/>
    <s v="2022/09 БР"/>
    <s v="ЯШИНА АННА СЕРГЕЕВНА"/>
    <n v="54"/>
    <m/>
  </r>
  <r>
    <s v="1"/>
    <d v="2023-08-01T00:00:00"/>
    <x v="8"/>
    <s v="10131010/060323/3076903"/>
    <s v="10131010"/>
    <s v="307690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34449.2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801.8"/>
    <n v="3586245"/>
    <n v="52140.09"/>
    <n v="80.04689999999999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O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76.900000000001"/>
    <s v="ОООО-ОО"/>
    <n v="4000000"/>
    <n v="16719.3"/>
    <n v="0"/>
    <s v=""/>
    <s v=""/>
    <n v="44801.8"/>
    <n v="3586245"/>
    <n v="0"/>
    <n v="1"/>
    <n v="3934449.22"/>
    <n v="52140.09"/>
    <s v="10"/>
    <n v="52140.808979999994"/>
    <n v="3.1185999999999998"/>
    <n v="45"/>
    <s v="2022/09 БР"/>
    <s v="ДРУЗЯГИНА ИРИНА НИКОЛАЕВНА"/>
    <n v="144"/>
    <m/>
  </r>
  <r>
    <s v="1"/>
    <d v="2023-04-29T00:00:00"/>
    <x v="3"/>
    <s v="10131010/060323/3076890"/>
    <s v="10131010"/>
    <s v="307689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08664.7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731.879999999997"/>
    <n v="3260461"/>
    <n v="47822.73"/>
    <n v="80.0468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643.419999999998"/>
    <s v="ОООО-ОО"/>
    <n v="4000000"/>
    <n v="16571.419999999998"/>
    <n v="0"/>
    <s v=""/>
    <s v=""/>
    <n v="40731.879999999997"/>
    <n v="3260461"/>
    <n v="0"/>
    <n v="1"/>
    <n v="3608664.75"/>
    <n v="47822.73"/>
    <s v="10"/>
    <n v="47823.460977999996"/>
    <n v="2.8858999999999999"/>
    <n v="45"/>
    <s v="2022/09 БР"/>
    <s v="ДРУЗЯГИНА ИРИНА НИКОЛАЕВНА"/>
    <n v="270"/>
    <m/>
  </r>
  <r>
    <s v="1"/>
    <d v="2023-03-02T00:00:00"/>
    <x v="2"/>
    <s v="10131010/060323/3076888"/>
    <s v="10131010"/>
    <s v="307688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316059.7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7076.46"/>
    <n v="2967856"/>
    <n v="43945.07"/>
    <n v="80.04689999999999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H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334.03"/>
    <s v="ОООО-ОО"/>
    <n v="4000000"/>
    <n v="16279.43"/>
    <n v="0"/>
    <s v=""/>
    <s v=""/>
    <n v="37076.46"/>
    <n v="2967856"/>
    <n v="0"/>
    <n v="1"/>
    <n v="3316059.71"/>
    <n v="43945.07"/>
    <s v="10"/>
    <n v="43944.693341999999"/>
    <n v="2.6993999999999998"/>
    <n v="45"/>
    <s v="2022/09 БР"/>
    <s v="БЛАГОНРАВОВА ДАРЬЯ ДМИТРИЕВНА"/>
    <n v="270"/>
    <m/>
  </r>
  <r>
    <s v="1"/>
    <d v="2023-07-04T00:00:00"/>
    <x v="0"/>
    <s v="10131010/060223/3042376"/>
    <s v="10131010"/>
    <s v="3042376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56186.7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903.69"/>
    <n v="3522392"/>
    <n v="54787.29"/>
    <n v="76.7343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M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918.599999999999"/>
    <s v="ОООО-ОО"/>
    <n v="4000000"/>
    <n v="16882.599999999999"/>
    <n v="0"/>
    <s v=""/>
    <s v=""/>
    <n v="45903.69"/>
    <n v="3522392"/>
    <n v="0"/>
    <n v="1"/>
    <n v="3856186.75"/>
    <n v="54787.29"/>
    <s v="10"/>
    <n v="54787.413519999995"/>
    <n v="3.2452000000000001"/>
    <n v="45"/>
    <s v="2022/09 БР"/>
    <s v="ЧУДИНА ЭЛЬВИРА РАИСОВНА"/>
    <n v="549"/>
    <m/>
  </r>
  <r>
    <s v="1"/>
    <d v="2023-06-09T00:00:00"/>
    <x v="11"/>
    <s v="10131010/060223/3041507"/>
    <s v="10131010"/>
    <s v="3041507"/>
    <x v="0"/>
    <s v="40"/>
    <s v=""/>
    <s v=""/>
    <s v=""/>
    <s v="UNITED PETFOOD PRODUCERS BY ORDER LUXEMBURG"/>
    <s v="9042, , GHENT, TERDONKKAAI 16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270751.6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274.32"/>
    <n v="2936957"/>
    <n v="46469.64"/>
    <n v="76.7343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B АССОРТИМЕНТЕ:"/>
    <x v="1"/>
    <m/>
    <s v="UNITED PETFOOD PRODUCERS NV"/>
    <n v="33"/>
    <n v="0"/>
    <n v="0"/>
    <m/>
    <n v="0"/>
    <m/>
    <s v="1"/>
    <s v="2309101100"/>
    <s v=""/>
    <s v=""/>
    <s v="BE"/>
    <n v="16395.240000000002"/>
    <s v="ОООО-ОО"/>
    <n v="4000000"/>
    <n v="16290.84"/>
    <n v="0"/>
    <s v=""/>
    <s v=""/>
    <n v="38274.32"/>
    <n v="2936957"/>
    <n v="0"/>
    <n v="1"/>
    <n v="3270751.62"/>
    <n v="46469.64"/>
    <s v="10"/>
    <n v="46469.621100000004"/>
    <n v="2.8525"/>
    <n v="45"/>
    <s v="2022/09 БР"/>
    <s v="ЯШИНА АННА СЕРГЕЕВНА"/>
    <n v="152"/>
    <m/>
  </r>
  <r>
    <s v="1"/>
    <d v="2023-03-08T00:00:00"/>
    <x v="2"/>
    <s v="10131010/060223/3041071"/>
    <s v="10131010"/>
    <s v="3041071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29012.2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943.16"/>
    <n v="3295218"/>
    <n v="51559.68"/>
    <n v="76.73439999999999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456.990000000002"/>
    <s v="ОООО-ОО"/>
    <n v="4000000"/>
    <n v="16420.990000000002"/>
    <n v="0"/>
    <s v=""/>
    <s v=""/>
    <n v="42943.16"/>
    <n v="3295218"/>
    <n v="0"/>
    <n v="1"/>
    <n v="3629012.26"/>
    <n v="51559.68"/>
    <s v="10"/>
    <n v="51560.266501000006"/>
    <n v="3.1398999999999999"/>
    <n v="45"/>
    <s v="2022/09 БР"/>
    <s v="БЛАГОНРАВОВА ДАРЬЯ ДМИТРИЕВНА"/>
    <n v="278"/>
    <m/>
  </r>
  <r>
    <s v="1"/>
    <d v="2022-07-26T00:00:00"/>
    <x v="6"/>
    <s v="10131010/060123/3002876"/>
    <s v="10131010"/>
    <s v="3002876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799559.88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6878.84"/>
    <n v="3546633"/>
    <n v="54018.98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КОШЕК Т.М.&quot;PREMIER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4651.32"/>
    <s v="ОООО-ОО"/>
    <n v="4000000"/>
    <n v="14463.52"/>
    <n v="0"/>
    <s v=""/>
    <s v=""/>
    <n v="46878.84"/>
    <n v="3546633"/>
    <n v="0"/>
    <n v="1"/>
    <n v="3799559.88"/>
    <n v="54018.98"/>
    <s v="10"/>
    <n v="54018.354496"/>
    <n v="3.7347999999999999"/>
    <n v="941"/>
    <s v="0770/СПБ/329"/>
    <s v="ДАШКИН АЛЕКСЕЙ ХАЛИМОВИЧ"/>
    <n v="159"/>
    <m/>
  </r>
  <r>
    <s v="1"/>
    <d v="2023-01-22T00:00:00"/>
    <x v="5"/>
    <s v="10131010/051223/5048703"/>
    <s v="10131010"/>
    <s v="504870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322507.91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329.14"/>
    <m/>
    <m/>
    <n v="98.576800000000006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17.36"/>
    <s v="ОООО-ОО"/>
    <n v="4000000"/>
    <n v="16717.36"/>
    <n v="0"/>
    <s v=""/>
    <s v=""/>
    <n v="39329.14"/>
    <m/>
    <n v="0"/>
    <n v="1"/>
    <n v="4322507.91"/>
    <n v="47671.49"/>
    <s v="10"/>
    <n v="47644.476000000002"/>
    <n v="2.85"/>
    <n v="45"/>
    <m/>
    <s v="БЛАГОНРАВОВА"/>
    <n v="301"/>
    <m/>
  </r>
  <r>
    <s v="1"/>
    <d v="2022-11-07T00:00:00"/>
    <x v="6"/>
    <s v="10131010/051023/3335886"/>
    <s v="10131010"/>
    <s v="333588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76141.59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883.79"/>
    <m/>
    <m/>
    <n v="104.302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279.23"/>
    <s v="ОООО-ОО"/>
    <n v="4000000"/>
    <n v="15075.84"/>
    <n v="0"/>
    <s v=""/>
    <s v=""/>
    <n v="39883.79"/>
    <m/>
    <n v="0"/>
    <n v="1"/>
    <n v="4576141.5999999996"/>
    <n v="46011.95"/>
    <s v="10"/>
    <n v="45981.311999999998"/>
    <n v="3.05"/>
    <n v="45"/>
    <m/>
    <s v="ЯШИНА"/>
    <n v="337"/>
    <m/>
  </r>
  <r>
    <s v="1"/>
    <d v="2023-06-03T00:00:00"/>
    <x v="11"/>
    <s v="10131010/051023/3335638"/>
    <s v="10131010"/>
    <s v="333563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21344.3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399.67"/>
    <m/>
    <m/>
    <n v="104.302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4533.5"/>
    <s v="ОООО-ОО"/>
    <n v="4000000"/>
    <n v="14068.5"/>
    <n v="0"/>
    <s v=""/>
    <s v=""/>
    <n v="38399.67"/>
    <m/>
    <n v="0"/>
    <n v="1"/>
    <n v="4421344.32"/>
    <n v="44455.5"/>
    <s v="10"/>
    <n v="44456.46"/>
    <n v="3.16"/>
    <n v="45"/>
    <m/>
    <s v="ЧУДИНА"/>
    <n v="150"/>
    <m/>
  </r>
  <r>
    <s v="1"/>
    <d v="2023-08-19T00:00:00"/>
    <x v="8"/>
    <s v="10131010/051023/3335638"/>
    <s v="10131010"/>
    <s v="333563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21344.3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399.67"/>
    <m/>
    <m/>
    <n v="104.302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4533.5"/>
    <s v="ОООО-ОО"/>
    <n v="4000000"/>
    <n v="14068.5"/>
    <n v="0"/>
    <s v=""/>
    <s v=""/>
    <n v="38399.67"/>
    <m/>
    <n v="0"/>
    <n v="1"/>
    <n v="4421344.32"/>
    <n v="44455.5"/>
    <s v="10"/>
    <n v="44456.46"/>
    <n v="3.16"/>
    <n v="45"/>
    <m/>
    <s v="ЧУДИНА"/>
    <n v="150"/>
    <m/>
  </r>
  <r>
    <s v="1"/>
    <d v="2023-06-24T00:00:00"/>
    <x v="11"/>
    <s v="10131010/051023/3335376"/>
    <s v="10131010"/>
    <s v="333537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23209.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293.800000000003"/>
    <m/>
    <m/>
    <n v="104.302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849.3"/>
    <s v="ОООО-ОО"/>
    <n v="4000000"/>
    <n v="15568.5"/>
    <n v="0"/>
    <s v=""/>
    <s v=""/>
    <n v="41293.800000000003"/>
    <m/>
    <n v="0"/>
    <n v="1"/>
    <n v="4723209.03"/>
    <n v="47490.68"/>
    <s v="10"/>
    <n v="47483.924999999996"/>
    <n v="3.05"/>
    <n v="45"/>
    <m/>
    <s v="БЛАГОНРАВОВА"/>
    <n v="337"/>
    <m/>
  </r>
  <r>
    <s v="1"/>
    <d v="2023-02-13T00:00:00"/>
    <x v="12"/>
    <s v="10131010/051023/3335376"/>
    <s v="10131010"/>
    <s v="333537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23209.0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293.800000000003"/>
    <m/>
    <m/>
    <n v="104.302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849.3"/>
    <s v="ОООО-ОО"/>
    <n v="4000000"/>
    <n v="15568.5"/>
    <n v="0"/>
    <s v=""/>
    <s v=""/>
    <n v="41293.800000000003"/>
    <m/>
    <n v="0"/>
    <n v="1"/>
    <n v="4723209.03"/>
    <n v="47490.68"/>
    <s v="10"/>
    <n v="47483.924999999996"/>
    <n v="3.05"/>
    <n v="45"/>
    <m/>
    <s v="БЛАГОНРАВОВА"/>
    <n v="337"/>
    <m/>
  </r>
  <r>
    <s v="1"/>
    <d v="2023-02-25T00:00:00"/>
    <x v="12"/>
    <s v="10131010/051023/3334907"/>
    <s v="10131010"/>
    <s v="333490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41551.7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022.160000000003"/>
    <m/>
    <m/>
    <n v="104.302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225.67"/>
    <s v="ОООО-ОО"/>
    <n v="4000000"/>
    <n v="16123.67"/>
    <n v="0"/>
    <s v=""/>
    <s v=""/>
    <n v="39022.160000000003"/>
    <m/>
    <n v="0"/>
    <n v="1"/>
    <n v="4541551.79"/>
    <n v="45664.160000000003"/>
    <s v="10"/>
    <n v="45629.986100000002"/>
    <n v="2.83"/>
    <n v="45"/>
    <m/>
    <s v="ЧУДИНА"/>
    <n v="18"/>
    <m/>
  </r>
  <r>
    <s v="1"/>
    <d v="2023-03-17T00:00:00"/>
    <x v="2"/>
    <s v="10131010/051023/3334907"/>
    <s v="10131010"/>
    <s v="3334907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41551.7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022.160000000003"/>
    <m/>
    <m/>
    <n v="104.302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225.67"/>
    <s v="ОООО-ОО"/>
    <n v="4000000"/>
    <n v="16123.67"/>
    <n v="0"/>
    <s v=""/>
    <s v=""/>
    <n v="39022.160000000003"/>
    <m/>
    <n v="0"/>
    <n v="1"/>
    <n v="4541551.79"/>
    <n v="45664.160000000003"/>
    <s v="10"/>
    <n v="45629.986100000002"/>
    <n v="2.83"/>
    <n v="45"/>
    <m/>
    <s v="ЧУДИНА"/>
    <n v="18"/>
    <m/>
  </r>
  <r>
    <s v="1"/>
    <d v="2023-03-02T00:00:00"/>
    <x v="2"/>
    <s v="10131010/051023/3334892"/>
    <s v="10131010"/>
    <s v="333489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43798.3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491.199999999997"/>
    <m/>
    <m/>
    <n v="104.302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5637.65"/>
    <s v="ОООО-ОО"/>
    <n v="4000000"/>
    <n v="15486.45"/>
    <n v="0"/>
    <s v=""/>
    <s v=""/>
    <n v="41491.199999999997"/>
    <m/>
    <n v="0"/>
    <n v="1"/>
    <n v="4743798.32"/>
    <n v="47697.7"/>
    <s v="10"/>
    <n v="47698.266000000003"/>
    <n v="3.08"/>
    <n v="45"/>
    <m/>
    <s v="БЛАГОНРАВОВА"/>
    <n v="257"/>
    <m/>
  </r>
  <r>
    <s v="1"/>
    <d v="2023-12-24T00:00:00"/>
    <x v="10"/>
    <s v="10131010/051023/3334892"/>
    <s v="10131010"/>
    <s v="333489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43798.3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491.199999999997"/>
    <m/>
    <m/>
    <n v="104.3024000000000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5637.65"/>
    <s v="ОООО-ОО"/>
    <n v="4000000"/>
    <n v="15486.45"/>
    <n v="0"/>
    <s v=""/>
    <s v=""/>
    <n v="41491.199999999997"/>
    <m/>
    <n v="0"/>
    <n v="1"/>
    <n v="4743798.32"/>
    <n v="47697.7"/>
    <s v="10"/>
    <n v="47698.266000000003"/>
    <n v="3.08"/>
    <n v="45"/>
    <m/>
    <s v="БЛАГОНРАВОВА"/>
    <n v="257"/>
    <m/>
  </r>
  <r>
    <s v="1"/>
    <d v="2023-10-03T00:00:00"/>
    <x v="1"/>
    <s v="10131010/050923/3303251"/>
    <s v="10131010"/>
    <s v="3303251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15623.7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158.32"/>
    <m/>
    <m/>
    <n v="104.4171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73.8"/>
    <s v="ОООО-ОО"/>
    <n v="4000000"/>
    <n v="15514.6"/>
    <n v="0"/>
    <s v=""/>
    <s v=""/>
    <n v="38158.32"/>
    <m/>
    <n v="0"/>
    <n v="1"/>
    <n v="4415623.74"/>
    <n v="45700.98"/>
    <s v="10"/>
    <n v="45768.070000000007"/>
    <n v="2.95"/>
    <n v="45"/>
    <m/>
    <s v="ДРУЗЯГИНА"/>
    <n v="131"/>
    <m/>
  </r>
  <r>
    <s v="1"/>
    <d v="2023-07-15T00:00:00"/>
    <x v="0"/>
    <s v="10131010/050923/3303192"/>
    <s v="10131010"/>
    <s v="330319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268544.3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326.720000000001"/>
    <m/>
    <m/>
    <n v="104.417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42.24"/>
    <s v="ОООО-ОО"/>
    <n v="4000000"/>
    <n v="16234.24"/>
    <n v="0"/>
    <s v=""/>
    <s v=""/>
    <n v="46326.720000000001"/>
    <m/>
    <n v="0"/>
    <n v="1"/>
    <n v="5268544.37"/>
    <n v="54528.56"/>
    <s v="10"/>
    <n v="54547.046399999999"/>
    <n v="3.36"/>
    <n v="45"/>
    <m/>
    <s v="ЯШИНА"/>
    <n v="182"/>
    <m/>
  </r>
  <r>
    <s v="1"/>
    <d v="2023-12-21T00:00:00"/>
    <x v="10"/>
    <s v="10131010/050723/3241858"/>
    <s v="10131010"/>
    <s v="3241858"/>
    <x v="0"/>
    <s v="40"/>
    <s v=""/>
    <s v=""/>
    <s v=""/>
    <s v="UNITED PETFOOD PRODUCERS NV"/>
    <s v="9400, , ERPE-MERE, EVENBROEKVELD 1, 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146459.6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8525.56"/>
    <n v="4742801"/>
    <n v="57473.45"/>
    <n v="97.7382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34.55"/>
    <s v="ОООО-ОО"/>
    <n v="4000000"/>
    <n v="16480.55"/>
    <n v="0"/>
    <s v=""/>
    <s v=""/>
    <n v="48525.56"/>
    <n v="4742801"/>
    <n v="0"/>
    <n v="1"/>
    <n v="5146459.66"/>
    <n v="57473.45"/>
    <s v="10"/>
    <n v="57517.119500000001"/>
    <n v="3.49"/>
    <n v="45"/>
    <s v="2022/09 БР"/>
    <s v="ЧУДИНА ЭЛЬВИРА РАИСОВНА"/>
    <n v="238"/>
    <m/>
  </r>
  <r>
    <s v="1"/>
    <d v="2023-12-24T00:00:00"/>
    <x v="10"/>
    <s v="10131010/050723/3241282"/>
    <s v="10131010"/>
    <s v="3241282"/>
    <x v="1"/>
    <s v="40"/>
    <s v=""/>
    <s v=""/>
    <s v=""/>
    <s v="UNITED PETFOOD PRODUCERS NV"/>
    <s v="9400, , ERPE-MERE, EVENBROEKVELD 1, 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14703.389999999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061.8"/>
    <n v="4111045"/>
    <n v="50418.26"/>
    <n v="97.7382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EНТЕ:"/>
    <x v="1"/>
    <m/>
    <s v="UNITED PETFOOD PRODUCERS NV"/>
    <n v="33"/>
    <n v="0"/>
    <n v="0"/>
    <m/>
    <n v="0"/>
    <m/>
    <s v="1"/>
    <s v="2309101100"/>
    <s v=""/>
    <s v=""/>
    <s v="BE"/>
    <n v="16324.91"/>
    <s v="ОООО-ОО"/>
    <n v="4000000"/>
    <n v="16242.12"/>
    <n v="0"/>
    <s v=""/>
    <s v=""/>
    <n v="42061.8"/>
    <n v="4111045"/>
    <n v="0"/>
    <n v="1"/>
    <n v="4514703.3899999997"/>
    <n v="50418.26"/>
    <s v="10"/>
    <n v="50350.572000000007"/>
    <n v="3.1"/>
    <n v="45"/>
    <s v="2022/09 БР"/>
    <s v="ЯШИНА АННА СЕРГЕЕВНА"/>
    <n v="238"/>
    <m/>
  </r>
  <r>
    <s v="1"/>
    <d v="2023-01-25T00:00:00"/>
    <x v="5"/>
    <s v="10131010/050623/3201594"/>
    <s v="10131010"/>
    <s v="3201594"/>
    <x v="1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40294.8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556.32"/>
    <n v="3619597"/>
    <n v="49956.91"/>
    <n v="87.10099999999999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521.34"/>
    <s v="ОООО-ОО"/>
    <n v="4000000"/>
    <n v="16413.34"/>
    <n v="0"/>
    <s v=""/>
    <s v=""/>
    <n v="41556.32"/>
    <n v="3619597"/>
    <n v="0"/>
    <n v="1"/>
    <n v="4040294.86"/>
    <n v="49956.91"/>
    <s v="10"/>
    <n v="49896.553599999999"/>
    <n v="3.04"/>
    <n v="45"/>
    <s v="2022/09 БР"/>
    <s v="ЯШИНА АННА СЕРГЕЕВНА"/>
    <n v="42"/>
    <m/>
  </r>
  <r>
    <s v="1"/>
    <d v="2023-02-08T00:00:00"/>
    <x v="12"/>
    <s v="10131010/050623/3201590"/>
    <s v="10131010"/>
    <s v="3201590"/>
    <x v="1"/>
    <s v="40"/>
    <s v=""/>
    <s v=""/>
    <s v=""/>
    <s v="UNITED PETFOOD PRODUCERS NV"/>
    <s v="9400, , ERPE-MERE, EVENBROEKVELD 1, ..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83955.3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089.49"/>
    <n v="3578936"/>
    <n v="49260.29"/>
    <n v="87.100999999999999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РАСФАСОВАННЫЙ ДЛЯ РОЗНИЧНОЙ ПРОДАЖИ,БЕЗ СОДЕРЖАНИЯ КРАХМАЛА,БЕЗ СОДЕРЖАНИЯ МОЛОЧНЫХ ПРОДУКТОВ,БЕЗ СОДЕРЖАНИЯ ГМО,В АССОРТИМЕНТЕ:"/>
    <x v="1"/>
    <m/>
    <s v="UNITED PETFOOD PRODUCERS NV"/>
    <n v="33"/>
    <n v="0"/>
    <n v="0"/>
    <m/>
    <n v="0"/>
    <m/>
    <s v="1"/>
    <s v="2309101100"/>
    <s v=""/>
    <s v=""/>
    <s v="BE"/>
    <n v="17004.45"/>
    <s v="ОООО-ОО"/>
    <n v="4000000"/>
    <n v="17004.45"/>
    <n v="0"/>
    <s v=""/>
    <s v=""/>
    <n v="41089.49"/>
    <n v="3578936"/>
    <n v="0"/>
    <n v="1"/>
    <n v="3983955.32"/>
    <n v="49260.29"/>
    <s v="10"/>
    <n v="49312.904999999999"/>
    <n v="2.9"/>
    <n v="45"/>
    <s v="2022/09 БР"/>
    <s v="ЧУДИНА ЭЛЬВИРА РАИСОВНА"/>
    <n v="68"/>
    <m/>
  </r>
  <r>
    <s v="1"/>
    <d v="2023-01-04T00:00:00"/>
    <x v="5"/>
    <s v="10131010/050523/3160123"/>
    <s v="10131010"/>
    <s v="3160123"/>
    <x v="1"/>
    <s v="40"/>
    <s v=""/>
    <s v=""/>
    <s v=""/>
    <s v="UNITED PETFOOD PRODUCERS NV"/>
    <s v="9400, , ERPE-MERE, EVENBROEKVELD 1, ,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23421.7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7948.639999999999"/>
    <n v="3301479"/>
    <n v="47363.4"/>
    <n v="86.9985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TИМЕНТЕ:"/>
    <x v="1"/>
    <m/>
    <s v="UNITED PETFOOD PRODUCERS NV"/>
    <n v="33"/>
    <n v="0"/>
    <n v="0"/>
    <m/>
    <n v="0"/>
    <m/>
    <s v="1"/>
    <s v="2309101100"/>
    <s v=""/>
    <s v=""/>
    <s v="BE"/>
    <n v="16672.95"/>
    <s v="ОООО-ОО"/>
    <n v="4000000"/>
    <n v="16586.55"/>
    <n v="0"/>
    <s v=""/>
    <s v=""/>
    <n v="37948.639999999999"/>
    <n v="3301479"/>
    <n v="0"/>
    <n v="1"/>
    <n v="3723421.76"/>
    <n v="47363.4"/>
    <s v="10"/>
    <n v="47362.893524999999"/>
    <n v="2.8555000000000001"/>
    <n v="45"/>
    <s v="2022/09 БР"/>
    <s v="ЯШИНА АННА СЕРГЕЕВНА"/>
    <n v="182"/>
    <m/>
  </r>
  <r>
    <s v="1"/>
    <d v="2023-04-05T00:00:00"/>
    <x v="3"/>
    <s v="10131010/050523/3159795"/>
    <s v="10131010"/>
    <s v="3159795"/>
    <x v="1"/>
    <s v="40"/>
    <s v=""/>
    <s v=""/>
    <s v=""/>
    <s v="UNITED PETFOOD PRODUCERS NV"/>
    <s v="9400, , ERPE-MERE, EVENBROEKVELD 1, ,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96132.1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882.18"/>
    <n v="3817688"/>
    <n v="53376.47"/>
    <n v="86.9985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C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105.79"/>
    <s v="ОООО-ОО"/>
    <n v="4000000"/>
    <n v="16015.79"/>
    <n v="0"/>
    <s v=""/>
    <s v=""/>
    <n v="43882.18"/>
    <n v="3817688"/>
    <n v="0"/>
    <n v="1"/>
    <n v="4196132.13"/>
    <n v="53376.47"/>
    <s v="10"/>
    <n v="53375.823333"/>
    <n v="3.3327"/>
    <n v="45"/>
    <s v="2022/09 БР"/>
    <s v="ДРУЗЯГИНА ИРИНА НИКОЛАЕВНА"/>
    <n v="54"/>
    <m/>
  </r>
  <r>
    <s v="1"/>
    <d v="2023-04-12T00:00:00"/>
    <x v="3"/>
    <s v="10131010/050523/3159368"/>
    <s v="10131010"/>
    <s v="3159368"/>
    <x v="1"/>
    <s v="40"/>
    <s v=""/>
    <s v=""/>
    <s v=""/>
    <s v="UNITED PETFOOD PRODUCERS NV"/>
    <s v="9400, , ERPE-MERE, EVENBROEKVELD 1, ,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30768.7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533.089999999997"/>
    <n v="3352325"/>
    <n v="47456.86"/>
    <n v="86.99859999999999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189.26"/>
    <s v="ОООО-ОО"/>
    <n v="4000000"/>
    <n v="16016.46"/>
    <n v="0"/>
    <s v=""/>
    <s v=""/>
    <n v="38533.089999999997"/>
    <n v="3352325"/>
    <n v="0"/>
    <n v="1"/>
    <n v="3730768.79"/>
    <n v="47456.86"/>
    <s v="10"/>
    <n v="47456.770980000001"/>
    <n v="2.9630000000000001"/>
    <n v="45"/>
    <s v="2022/09 БР"/>
    <s v="БЛАГОНРАВОВА ДАРЬЯ ДМИТРИЕВНА"/>
    <n v="75"/>
    <m/>
  </r>
  <r>
    <s v="1"/>
    <d v="2023-08-10T00:00:00"/>
    <x v="8"/>
    <s v="10131010/050423/3119706"/>
    <s v="10131010"/>
    <s v="3119706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12702.0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921.56"/>
    <n v="3635467"/>
    <n v="50565.64"/>
    <n v="86.7206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436.21"/>
    <s v="ОООО-ОО"/>
    <n v="4000000"/>
    <n v="16349.81"/>
    <n v="0"/>
    <s v=""/>
    <s v=""/>
    <n v="41921.56"/>
    <n v="3635467"/>
    <n v="0"/>
    <n v="1"/>
    <n v="4012702.08"/>
    <n v="50565.64"/>
    <s v="10"/>
    <n v="50565.057386999993"/>
    <n v="3.0926999999999998"/>
    <n v="45"/>
    <s v="2022/09 БР"/>
    <s v="ЧУДИНА ЭЛЬВИРА РАИСОВНА"/>
    <n v="159"/>
    <m/>
  </r>
  <r>
    <s v="1"/>
    <d v="2023-01-04T00:00:00"/>
    <x v="5"/>
    <s v="10131010/050423/3118867"/>
    <s v="10131010"/>
    <s v="3118867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65789.0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033.72"/>
    <n v="3645194"/>
    <n v="51234.61"/>
    <n v="86.7206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67.62"/>
    <s v="ОООО-ОО"/>
    <n v="4000000"/>
    <n v="16521.22"/>
    <n v="0"/>
    <s v=""/>
    <s v=""/>
    <n v="42033.72"/>
    <n v="3645194"/>
    <n v="0"/>
    <n v="1"/>
    <n v="4065789.02"/>
    <n v="51234.61"/>
    <s v="10"/>
    <n v="51233.955342000008"/>
    <n v="3.1011000000000002"/>
    <n v="45"/>
    <s v="2022/09 БР"/>
    <s v="ЯШИНА АННА СЕРГЕЕВНА"/>
    <n v="52"/>
    <m/>
  </r>
  <r>
    <s v="1"/>
    <d v="2022-10-16T00:00:00"/>
    <x v="6"/>
    <s v="10131010/050123/3002246"/>
    <s v="10131010"/>
    <s v="3002246"/>
    <x v="1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587749.07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4527.199999999997"/>
    <n v="3368719"/>
    <n v="51007.63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P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631.150000000001"/>
    <s v="ОООО-ОО"/>
    <n v="4000000"/>
    <n v="16631.150000000001"/>
    <n v="0"/>
    <s v=""/>
    <s v=""/>
    <n v="44527.199999999997"/>
    <n v="3368719"/>
    <n v="0"/>
    <n v="1"/>
    <n v="3587749.07"/>
    <n v="51007.63"/>
    <s v="10"/>
    <n v="51007.737050000011"/>
    <n v="3.0670000000000002"/>
    <n v="941"/>
    <s v="0770/СПБ/329"/>
    <s v="ДАШКИН АЛЕКСЕЙ ХАЛИМОВИЧ"/>
    <n v="186"/>
    <m/>
  </r>
  <r>
    <s v="1"/>
    <d v="2022-03-01T00:00:00"/>
    <x v="6"/>
    <s v="10131010/050123/3002183"/>
    <s v="10131010"/>
    <s v="3002183"/>
    <x v="1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593556.55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4155.92"/>
    <n v="3340629"/>
    <n v="51090.19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A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857.52"/>
    <s v="ОООО-ОО"/>
    <n v="4000000"/>
    <n v="16821.52"/>
    <n v="0"/>
    <s v=""/>
    <s v=""/>
    <n v="44155.92"/>
    <n v="3340629"/>
    <n v="0"/>
    <n v="1"/>
    <n v="3593556.55"/>
    <n v="51090.19"/>
    <s v="10"/>
    <n v="51090.320544000002"/>
    <n v="3.0371999999999999"/>
    <n v="941"/>
    <s v="0770/СПБ/329"/>
    <s v="ДАШКИН АЛЕКСЕЙ ХАЛИМОВИЧ"/>
    <n v="233"/>
    <m/>
  </r>
  <r>
    <s v="1"/>
    <d v="2022-11-17T00:00:00"/>
    <x v="6"/>
    <s v="10131010/050123/3002124"/>
    <s v="10131010"/>
    <s v="3002124"/>
    <x v="1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2971795.4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36385.620000000003"/>
    <n v="2752765"/>
    <n v="42250.51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OБАК Т.М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4819.77"/>
    <s v="ОООО-ОО"/>
    <n v="4000000"/>
    <n v="14468.77"/>
    <n v="0"/>
    <s v=""/>
    <s v=""/>
    <n v="36385.620000000003"/>
    <n v="2752765"/>
    <n v="0"/>
    <n v="1"/>
    <n v="2971795.4"/>
    <n v="42250.51"/>
    <s v="10"/>
    <n v="42250.255277000004"/>
    <n v="2.9201000000000001"/>
    <n v="941"/>
    <s v="0770/СПБ/329"/>
    <s v="ДАШКИН АЛЕКСЕЙ ХАЛИМОВИЧ"/>
    <n v="233"/>
    <m/>
  </r>
  <r>
    <s v="1"/>
    <d v="2022-03-07T00:00:00"/>
    <x v="6"/>
    <s v="10131010/050123/3002101"/>
    <s v="10131010"/>
    <s v="3002101"/>
    <x v="1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590320.02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4113.14"/>
    <n v="3337393"/>
    <n v="51044.18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КОШЕК Т.М. &quot;PREMIER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5836.12"/>
    <s v="ОООО-ОО"/>
    <n v="4000000"/>
    <n v="15836.12"/>
    <n v="0"/>
    <s v=""/>
    <s v=""/>
    <n v="44113.14"/>
    <n v="3337393"/>
    <n v="0"/>
    <n v="1"/>
    <n v="3590320.02"/>
    <n v="51044.18"/>
    <s v="10"/>
    <n v="51044.565596"/>
    <n v="3.2233000000000001"/>
    <n v="941"/>
    <s v="0770/СПБ/329"/>
    <s v="ДАШКИН АЛЕКСЕЙ ХАЛИМОВИЧ"/>
    <n v="46"/>
    <m/>
  </r>
  <r>
    <s v="1"/>
    <d v="2022-06-10T00:00:00"/>
    <x v="6"/>
    <s v="10131010/050123/3002040"/>
    <s v="10131010"/>
    <s v="3002040"/>
    <x v="1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506888.69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3458.400000000001"/>
    <n v="3287858"/>
    <n v="49858.02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492.48"/>
    <s v="ОООО-ОО"/>
    <n v="4000000"/>
    <n v="16492.48"/>
    <n v="0"/>
    <s v=""/>
    <s v=""/>
    <n v="43458.400000000001"/>
    <n v="3287858"/>
    <n v="0"/>
    <n v="1"/>
    <n v="3506888.69"/>
    <n v="49858.02"/>
    <s v="10"/>
    <n v="49858.416288"/>
    <n v="3.0230999999999999"/>
    <n v="941"/>
    <s v="0770/СПБ/329"/>
    <s v="ДАШКИН АЛЕКСЕЙ ХАЛИМОВИЧ"/>
    <n v="146"/>
    <m/>
  </r>
  <r>
    <s v="1"/>
    <d v="2022-08-29T00:00:00"/>
    <x v="6"/>
    <s v="10131010/050123/3001818"/>
    <s v="10131010"/>
    <s v="3001818"/>
    <x v="1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680162.96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5300.67"/>
    <n v="3427236"/>
    <n v="52321.49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M. &quot;GRANDORF&quot;, РАСФАСОВ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407.84"/>
    <s v="ОООО-ОО"/>
    <n v="4000000"/>
    <n v="17407.84"/>
    <n v="0"/>
    <s v=""/>
    <s v=""/>
    <n v="45300.67"/>
    <n v="3427236"/>
    <n v="0"/>
    <n v="1"/>
    <n v="3680162.96"/>
    <n v="52321.49"/>
    <s v="10"/>
    <n v="52321.003903999997"/>
    <n v="3.0055999999999998"/>
    <n v="941"/>
    <s v="0770/СПБ/329"/>
    <s v="ДАШКИН АЛЕКСЕЙ ХАЛИМОВИЧ"/>
    <n v="152"/>
    <m/>
  </r>
  <r>
    <s v="1"/>
    <d v="2023-10-23T00:00:00"/>
    <x v="1"/>
    <s v="10131010/041223/3397861"/>
    <s v="10131010"/>
    <s v="3397861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431763.1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742.44"/>
    <m/>
    <m/>
    <n v="97.912599999999998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909.349999999999"/>
    <s v="ОООО-ОО"/>
    <n v="4000000"/>
    <n v="16804.95"/>
    <n v="0"/>
    <s v=""/>
    <s v=""/>
    <n v="40742.44"/>
    <m/>
    <n v="0"/>
    <n v="1"/>
    <n v="4431763.18"/>
    <n v="49372.43"/>
    <s v="10"/>
    <n v="49406.553"/>
    <n v="2.94"/>
    <n v="45"/>
    <m/>
    <s v="БЛАГОНРАВОВА"/>
    <n v="300"/>
    <m/>
  </r>
  <r>
    <s v="1"/>
    <d v="2023-06-22T00:00:00"/>
    <x v="11"/>
    <s v="10131010/041223/3396939"/>
    <s v="10131010"/>
    <s v="339693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52272.0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503.22"/>
    <m/>
    <m/>
    <n v="97.912599999999998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031.83"/>
    <s v="ОООО-ОО"/>
    <n v="4000000"/>
    <n v="15994.03"/>
    <n v="0"/>
    <s v=""/>
    <s v=""/>
    <n v="42503.22"/>
    <m/>
    <n v="0"/>
    <n v="1"/>
    <n v="4552272.05"/>
    <n v="50714.97"/>
    <s v="10"/>
    <n v="50701.075100000002"/>
    <n v="3.17"/>
    <n v="45"/>
    <m/>
    <s v="ОСИПОВА"/>
    <n v="205"/>
    <m/>
  </r>
  <r>
    <s v="1"/>
    <d v="2023-01-15T00:00:00"/>
    <x v="5"/>
    <s v="10131010/041223/3396932"/>
    <s v="10131010"/>
    <s v="339693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230161.13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683.440000000002"/>
    <m/>
    <m/>
    <n v="97.912599999999998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137.689999999999"/>
    <s v="ОООО-ОО"/>
    <n v="4000000"/>
    <n v="17137.689999999999"/>
    <n v="0"/>
    <s v=""/>
    <s v=""/>
    <n v="38683.440000000002"/>
    <m/>
    <n v="0"/>
    <n v="1"/>
    <n v="4230161.1399999997"/>
    <n v="47126.47"/>
    <s v="10"/>
    <n v="47128.647499999999"/>
    <n v="2.75"/>
    <n v="45"/>
    <m/>
    <s v="ЧУДИНА"/>
    <n v="221"/>
    <m/>
  </r>
  <r>
    <s v="1"/>
    <d v="2023-03-06T00:00:00"/>
    <x v="2"/>
    <s v="10131010/041223/3396636"/>
    <s v="10131010"/>
    <s v="339663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19027.09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227.64"/>
    <m/>
    <m/>
    <n v="97.912599999999998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385.48"/>
    <s v="ОООО-ОО"/>
    <n v="4000000"/>
    <n v="16385.48"/>
    <n v="0"/>
    <s v=""/>
    <s v=""/>
    <n v="45227.64"/>
    <m/>
    <m/>
    <n v="1"/>
    <n v="4819027.09"/>
    <n v="53686.78"/>
    <s v="10"/>
    <n v="53744.374399999993"/>
    <n v="3.28"/>
    <n v="45"/>
    <m/>
    <s v="ОСИПОВА"/>
    <n v="219"/>
    <m/>
  </r>
  <r>
    <s v="1"/>
    <d v="2023-01-20T00:00:00"/>
    <x v="5"/>
    <s v="10131010/041023/3334046"/>
    <s v="10131010"/>
    <s v="333404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53114.38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763.82"/>
    <m/>
    <m/>
    <n v="104.062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52.810000000001"/>
    <s v="ОООО-ОО"/>
    <n v="4000000"/>
    <n v="16909.61"/>
    <n v="0"/>
    <s v=""/>
    <s v=""/>
    <n v="39763.82"/>
    <m/>
    <n v="0"/>
    <n v="1"/>
    <n v="4553114.3899999997"/>
    <n v="45867.03"/>
    <s v="10"/>
    <n v="45825.043100000003"/>
    <n v="2.71"/>
    <n v="45"/>
    <m/>
    <s v="ЯШИНА"/>
    <n v="127"/>
    <m/>
  </r>
  <r>
    <s v="1"/>
    <d v="2023-10-24T00:00:00"/>
    <x v="1"/>
    <s v="10131010/041023/3334046"/>
    <s v="10131010"/>
    <s v="3334046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53114.38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763.82"/>
    <m/>
    <m/>
    <n v="104.062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52.810000000001"/>
    <s v="ОООО-ОО"/>
    <n v="4000000"/>
    <n v="16909.61"/>
    <n v="0"/>
    <s v=""/>
    <s v=""/>
    <n v="39763.82"/>
    <m/>
    <n v="0"/>
    <n v="1"/>
    <n v="4553114.3899999997"/>
    <n v="45867.03"/>
    <s v="10"/>
    <n v="45825.043100000003"/>
    <n v="2.71"/>
    <n v="45"/>
    <m/>
    <s v="ЯШИНА"/>
    <n v="127"/>
    <m/>
  </r>
  <r>
    <s v="1"/>
    <d v="2023-10-10T00:00:00"/>
    <x v="1"/>
    <s v="10131010/041023/3333962"/>
    <s v="10131010"/>
    <s v="333396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75265.0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976.68"/>
    <m/>
    <m/>
    <n v="104.062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090.84"/>
    <s v="ОООО-ОО"/>
    <n v="4000000"/>
    <n v="17004.439999999999"/>
    <n v="0"/>
    <s v=""/>
    <s v=""/>
    <n v="39976.68"/>
    <m/>
    <n v="0"/>
    <n v="1"/>
    <n v="4575265.05"/>
    <n v="46090.17"/>
    <s v="10"/>
    <n v="46082.032399999996"/>
    <n v="2.71"/>
    <n v="45"/>
    <m/>
    <s v="ДРУЗЯГИНА"/>
    <n v="243"/>
    <m/>
  </r>
  <r>
    <s v="1"/>
    <d v="2023-11-15T00:00:00"/>
    <x v="7"/>
    <s v="10131010/041023/3333962"/>
    <s v="10131010"/>
    <s v="333396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75265.0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976.68"/>
    <m/>
    <m/>
    <n v="104.062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090.84"/>
    <s v="ОООО-ОО"/>
    <n v="4000000"/>
    <n v="17004.439999999999"/>
    <n v="0"/>
    <s v=""/>
    <s v=""/>
    <n v="39976.68"/>
    <m/>
    <n v="0"/>
    <n v="1"/>
    <n v="4575265.05"/>
    <n v="46090.17"/>
    <s v="10"/>
    <n v="46082.032399999996"/>
    <n v="2.71"/>
    <n v="45"/>
    <m/>
    <s v="ДРУЗЯГИНА"/>
    <n v="243"/>
    <m/>
  </r>
  <r>
    <s v="1"/>
    <d v="2023-03-19T00:00:00"/>
    <x v="2"/>
    <s v="10131010/040923/3301973"/>
    <s v="10131010"/>
    <s v="3301973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16621.05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0001.4"/>
    <m/>
    <m/>
    <n v="104.6108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82.57"/>
    <s v="ОООО-ОО"/>
    <n v="4000000"/>
    <n v="16817.77"/>
    <n v="0"/>
    <s v=""/>
    <s v=""/>
    <n v="40001.4"/>
    <m/>
    <n v="0"/>
    <n v="1"/>
    <n v="4616621.0599999996"/>
    <n v="47919.54"/>
    <s v="10"/>
    <n v="47930.644500000002"/>
    <n v="2.85"/>
    <n v="45"/>
    <m/>
    <s v="ОСИПОВА"/>
    <n v="134"/>
    <m/>
  </r>
  <r>
    <s v="1"/>
    <d v="2023-04-24T00:00:00"/>
    <x v="3"/>
    <s v="10131010/040923/3301972"/>
    <s v="10131010"/>
    <s v="3301972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74616.3899999997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2467.64"/>
    <m/>
    <m/>
    <n v="104.6108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58.87"/>
    <s v="ОООО-ОО"/>
    <n v="4000000"/>
    <n v="16804.87"/>
    <n v="0"/>
    <s v=""/>
    <s v=""/>
    <n v="42467.64"/>
    <m/>
    <n v="0"/>
    <n v="1"/>
    <n v="4874616.3899999997"/>
    <n v="50597.47"/>
    <s v="10"/>
    <n v="50582.658699999993"/>
    <n v="3.01"/>
    <n v="45"/>
    <m/>
    <s v="ЯШИНА"/>
    <n v="134"/>
    <m/>
  </r>
  <r>
    <s v="1"/>
    <d v="2023-06-23T00:00:00"/>
    <x v="11"/>
    <s v="10131010/040923/3301944"/>
    <s v="10131010"/>
    <s v="3301944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29777.34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171.24"/>
    <m/>
    <m/>
    <n v="104.6108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61.57"/>
    <s v="ОООО-ОО"/>
    <n v="4000000"/>
    <n v="16796.77"/>
    <n v="0"/>
    <s v=""/>
    <s v=""/>
    <n v="39171.24"/>
    <m/>
    <n v="0"/>
    <n v="1"/>
    <n v="4529777.3499999996"/>
    <n v="47018.12"/>
    <s v="10"/>
    <n v="47030.955999999998"/>
    <n v="2.8"/>
    <n v="45"/>
    <m/>
    <s v="ОСИПОВА"/>
    <n v="174"/>
    <m/>
  </r>
  <r>
    <s v="1"/>
    <d v="2023-05-23T00:00:00"/>
    <x v="9"/>
    <s v="10131010/040923/3301943"/>
    <s v="10131010"/>
    <s v="3301943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48607.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351.24"/>
    <m/>
    <m/>
    <n v="104.6108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19.07"/>
    <s v="ОООО-ОО"/>
    <n v="4000000"/>
    <n v="16975.87"/>
    <n v="0"/>
    <s v=""/>
    <s v=""/>
    <n v="39351.24"/>
    <m/>
    <n v="0"/>
    <n v="1"/>
    <n v="4548607.3"/>
    <n v="47213.57"/>
    <s v="10"/>
    <n v="47192.918599999997"/>
    <n v="2.78"/>
    <n v="45"/>
    <m/>
    <s v="ЧУДИНА"/>
    <n v="131"/>
    <m/>
  </r>
  <r>
    <s v="1"/>
    <d v="2023-08-30T00:00:00"/>
    <x v="8"/>
    <s v="10131010/040923/3301930"/>
    <s v="10131010"/>
    <s v="3301930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171236.13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303.1"/>
    <m/>
    <m/>
    <n v="104.6108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377.03"/>
    <s v="ОООО-ОО"/>
    <n v="4000000"/>
    <n v="16287.03"/>
    <n v="0"/>
    <s v=""/>
    <s v=""/>
    <n v="45303.1"/>
    <m/>
    <n v="0"/>
    <n v="1"/>
    <n v="5171236.13"/>
    <n v="53676.32"/>
    <s v="10"/>
    <n v="53747.199000000001"/>
    <n v="3.3"/>
    <n v="45"/>
    <m/>
    <s v="ЧУДИНА"/>
    <n v="96"/>
    <m/>
  </r>
  <r>
    <s v="1"/>
    <d v="2023-02-14T00:00:00"/>
    <x v="12"/>
    <s v="10131010/040923/3301929"/>
    <s v="10131010"/>
    <s v="3301929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226378.5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5830.22"/>
    <m/>
    <m/>
    <n v="104.6108"/>
    <s v=""/>
    <s v=""/>
    <s v="22040387/3292/0000/2/2"/>
    <s v="-"/>
    <s v="11"/>
    <s v=""/>
    <s v=""/>
    <s v=""/>
    <s v="КАЛУЖСКАЯ ОБЛ., БОРОВСКИЙ Р-Н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38.650000000001"/>
    <s v="ОООО-ОО"/>
    <n v="4000000"/>
    <n v="16784.650000000001"/>
    <n v="0"/>
    <s v=""/>
    <s v=""/>
    <n v="45830.22"/>
    <m/>
    <n v="0"/>
    <n v="1"/>
    <n v="5226378.58"/>
    <n v="54248.69"/>
    <s v="10"/>
    <n v="54214.419500000004"/>
    <n v="3.23"/>
    <n v="45"/>
    <m/>
    <s v="ЯШИНА"/>
    <n v="313"/>
    <m/>
  </r>
  <r>
    <s v="1"/>
    <d v="2023-02-12T00:00:00"/>
    <x v="12"/>
    <s v="10131010/040823/5013683"/>
    <s v="10131010"/>
    <s v="5013683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58469.76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38378.800000000003"/>
    <m/>
    <m/>
    <n v="102.53100000000001"/>
    <s v=""/>
    <s v=""/>
    <s v=""/>
    <s v="-"/>
    <s v="Ин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m/>
    <n v="0"/>
    <m/>
    <m/>
    <m/>
    <s v="1"/>
    <s v="2309101100"/>
    <s v=""/>
    <s v=""/>
    <s v="BE"/>
    <n v="16299.49"/>
    <s v="ОООО-ОО"/>
    <n v="4000000"/>
    <n v="16194.49"/>
    <n v="0"/>
    <s v=""/>
    <s v=""/>
    <n v="38378.800000000003"/>
    <m/>
    <m/>
    <m/>
    <n v="4358469.7699999996"/>
    <n v="46475.87"/>
    <s v="10"/>
    <n v="46478.186300000001"/>
    <n v="2.87"/>
    <m/>
    <m/>
    <m/>
    <n v="567"/>
    <m/>
  </r>
  <r>
    <s v="1"/>
    <d v="2023-03-30T00:00:00"/>
    <x v="2"/>
    <s v="10131010/040823/3272225"/>
    <s v="10131010"/>
    <s v="3272225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35930.4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2060.23"/>
    <m/>
    <m/>
    <n v="102.53100000000001"/>
    <s v=""/>
    <s v=""/>
    <s v=""/>
    <s v="-"/>
    <s v="Ин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m/>
    <n v="0"/>
    <m/>
    <m/>
    <m/>
    <s v="1"/>
    <s v="2309101100"/>
    <s v=""/>
    <s v=""/>
    <s v="BE"/>
    <n v="16701.599999999999"/>
    <s v="ОООО-ОО"/>
    <n v="4000000"/>
    <n v="16615.2"/>
    <n v="0"/>
    <s v=""/>
    <s v=""/>
    <n v="42060.23"/>
    <m/>
    <m/>
    <m/>
    <n v="4735930.47"/>
    <n v="50500.86"/>
    <s v="10"/>
    <n v="50510.208000000006"/>
    <n v="3.04"/>
    <m/>
    <m/>
    <m/>
    <n v="157"/>
    <m/>
  </r>
  <r>
    <s v="1"/>
    <d v="2023-06-03T00:00:00"/>
    <x v="11"/>
    <s v="10131010/040823/3271894"/>
    <s v="10131010"/>
    <s v="3271894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63711.69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39405.24"/>
    <m/>
    <m/>
    <n v="102.53100000000001"/>
    <s v=""/>
    <s v=""/>
    <s v=""/>
    <s v="-"/>
    <s v="Ин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m/>
    <n v="0"/>
    <m/>
    <m/>
    <m/>
    <s v="1"/>
    <s v="2309101100"/>
    <s v=""/>
    <s v=""/>
    <s v="BE"/>
    <n v="17208.29"/>
    <s v="ОООО-ОО"/>
    <n v="4000000"/>
    <n v="17154.29"/>
    <n v="0"/>
    <s v=""/>
    <s v=""/>
    <n v="39405.24"/>
    <m/>
    <m/>
    <m/>
    <n v="4463711.6900000004"/>
    <n v="47598.1"/>
    <s v="10"/>
    <n v="47517.383300000001"/>
    <n v="2.77"/>
    <m/>
    <m/>
    <m/>
    <n v="93"/>
    <m/>
  </r>
  <r>
    <s v="1"/>
    <d v="2023-09-20T00:00:00"/>
    <x v="4"/>
    <s v="10131010/040823/3271892"/>
    <s v="10131010"/>
    <s v="3271892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70680.23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448.519999999997"/>
    <m/>
    <m/>
    <n v="102.53100000000001"/>
    <s v=""/>
    <s v=""/>
    <s v=""/>
    <s v="-"/>
    <s v="Ин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m/>
    <n v="0"/>
    <m/>
    <m/>
    <m/>
    <s v="1"/>
    <s v="2309101100"/>
    <s v=""/>
    <s v=""/>
    <s v="BE"/>
    <n v="16510.240000000002"/>
    <s v="ОООО-ОО"/>
    <n v="4000000"/>
    <n v="16359.04"/>
    <n v="0"/>
    <s v=""/>
    <s v=""/>
    <n v="40448.519999999997"/>
    <m/>
    <m/>
    <m/>
    <n v="4570680.2300000004"/>
    <n v="48738.74"/>
    <s v="10"/>
    <n v="48749.939200000001"/>
    <n v="2.98"/>
    <m/>
    <m/>
    <m/>
    <n v="20"/>
    <m/>
  </r>
  <r>
    <s v="1"/>
    <d v="2023-01-23T00:00:00"/>
    <x v="5"/>
    <s v="10131010/040523/3158555"/>
    <s v="10131010"/>
    <s v="3158555"/>
    <x v="1"/>
    <s v="40"/>
    <s v=""/>
    <s v=""/>
    <s v=""/>
    <s v="UNITED PETFOOD PRODUCERS NV"/>
    <s v="9400, , ERPE-MERE, EVENBROEKVELD 1, ,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46024.8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134.44"/>
    <n v="3865074"/>
    <n v="53539.03"/>
    <n v="87.575000000000003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P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32.63"/>
    <s v="ОООО-ОО"/>
    <n v="4000000"/>
    <n v="16832.63"/>
    <n v="0"/>
    <s v=""/>
    <s v=""/>
    <n v="44134.44"/>
    <n v="3865074"/>
    <n v="0"/>
    <n v="1"/>
    <n v="4246024.83"/>
    <n v="53539.03"/>
    <s v="10"/>
    <n v="53539.546241000004"/>
    <n v="3.1806999999999999"/>
    <n v="45"/>
    <s v="2022/09 БР"/>
    <s v="ДРУЗЯГИНА ИРИНА НИКОЛАЕВНА"/>
    <n v="91"/>
    <m/>
  </r>
  <r>
    <s v="1"/>
    <d v="2023-01-15T00:00:00"/>
    <x v="5"/>
    <s v="10131010/040423/3118267"/>
    <s v="10131010"/>
    <s v="3118267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31503.40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838.61"/>
    <n v="3963413"/>
    <n v="55567"/>
    <n v="84.6184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18.400000000001"/>
    <s v="ОООО-ОО"/>
    <n v="4000000"/>
    <n v="16718.400000000001"/>
    <n v="0"/>
    <s v=""/>
    <s v=""/>
    <n v="46838.61"/>
    <n v="3963413"/>
    <n v="0"/>
    <n v="1"/>
    <n v="4331503.4000000004"/>
    <n v="55567"/>
    <s v="10"/>
    <n v="55566.946080000009"/>
    <n v="3.3237000000000001"/>
    <n v="45"/>
    <s v="2022/09 БР"/>
    <s v="БЛАГОНРАВОВА ДАРЬЯ ДМИТРИЕВНА"/>
    <n v="570"/>
    <m/>
  </r>
  <r>
    <s v="1"/>
    <d v="2023-03-17T00:00:00"/>
    <x v="2"/>
    <s v="10131010/040423/3117694"/>
    <s v="10131010"/>
    <s v="3117694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92319.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512"/>
    <n v="3681920"/>
    <n v="52498.62"/>
    <n v="84.6184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25.080000000002"/>
    <s v="ОООО-ОО"/>
    <n v="4000000"/>
    <n v="16525.080000000002"/>
    <n v="0"/>
    <s v=""/>
    <s v=""/>
    <n v="43512"/>
    <n v="3681920"/>
    <n v="0"/>
    <n v="1"/>
    <n v="4092319.9"/>
    <n v="52498.62"/>
    <s v="10"/>
    <n v="52498.526652"/>
    <n v="3.1768999999999998"/>
    <n v="45"/>
    <s v="2022/09 БР"/>
    <s v="ОСИПОВА ТАТЬЯНА ВЛАДИМИРОВНА"/>
    <n v="326"/>
    <m/>
  </r>
  <r>
    <s v="1"/>
    <d v="2023-05-14T00:00:00"/>
    <x v="9"/>
    <s v="10131010/040423/3117124"/>
    <s v="10131010"/>
    <s v="3117124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92256.3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647.699999999997"/>
    <n v="3524166"/>
    <n v="49932.09"/>
    <n v="84.61849999999999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784.43"/>
    <s v="ОООО-ОО"/>
    <n v="4000000"/>
    <n v="16683.63"/>
    <n v="0"/>
    <s v=""/>
    <s v=""/>
    <n v="41647.699999999997"/>
    <n v="3524166"/>
    <n v="0"/>
    <n v="1"/>
    <n v="3892256.38"/>
    <n v="49932.09"/>
    <s v="10"/>
    <n v="49932.436227000006"/>
    <n v="2.9929000000000001"/>
    <n v="45"/>
    <s v="2022/09 БР"/>
    <s v="ЧУДИНА ЭЛЬВИРА РАИСОВНА"/>
    <n v="296"/>
    <m/>
  </r>
  <r>
    <s v="1"/>
    <d v="2023-06-30T00:00:00"/>
    <x v="11"/>
    <s v="10131010/031023/3332208"/>
    <s v="10131010"/>
    <s v="3332208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26584.05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590.160000000003"/>
    <m/>
    <m/>
    <n v="103.867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88.59"/>
    <s v="ОООО-ОО"/>
    <n v="4000000"/>
    <n v="17023.79"/>
    <n v="0"/>
    <s v=""/>
    <s v=""/>
    <n v="39590.160000000003"/>
    <m/>
    <n v="0"/>
    <n v="1"/>
    <n v="4526584.0599999996"/>
    <n v="45965.2"/>
    <s v="10"/>
    <n v="45964.233000000007"/>
    <n v="2.7"/>
    <n v="45"/>
    <m/>
    <s v="ЧУДИНА"/>
    <n v="236"/>
    <m/>
  </r>
  <r>
    <s v="1"/>
    <d v="2023-02-11T00:00:00"/>
    <x v="12"/>
    <s v="10131010/031023/3332208"/>
    <s v="10131010"/>
    <s v="3332208"/>
    <x v="1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26584.05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590.160000000003"/>
    <m/>
    <m/>
    <n v="103.86799999999999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088.59"/>
    <s v="ОООО-ОО"/>
    <n v="4000000"/>
    <n v="17023.79"/>
    <n v="0"/>
    <s v=""/>
    <s v=""/>
    <n v="39590.160000000003"/>
    <m/>
    <n v="0"/>
    <n v="1"/>
    <n v="4526584.0599999996"/>
    <n v="45965.2"/>
    <s v="10"/>
    <n v="45964.233000000007"/>
    <n v="2.7"/>
    <n v="45"/>
    <m/>
    <s v="ЧУДИНА"/>
    <n v="236"/>
    <m/>
  </r>
  <r>
    <s v="1"/>
    <d v="2023-05-16T00:00:00"/>
    <x v="9"/>
    <s v="10131010/030823/5013241"/>
    <s v="10131010"/>
    <s v="5013241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981753.889999999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4745.8"/>
    <m/>
    <m/>
    <n v="101.9268"/>
    <s v=""/>
    <s v=""/>
    <s v=""/>
    <s v="-"/>
    <s v="СВ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m/>
    <n v="0"/>
    <m/>
    <m/>
    <m/>
    <s v="1"/>
    <s v="2309101100"/>
    <s v=""/>
    <s v=""/>
    <s v="BE"/>
    <n v="16473.3"/>
    <s v="ОООО-ОО"/>
    <n v="4000000"/>
    <n v="16325.7"/>
    <n v="0"/>
    <s v=""/>
    <s v=""/>
    <n v="44745.8"/>
    <m/>
    <m/>
    <m/>
    <n v="4981753.8899999997"/>
    <n v="53658.99"/>
    <s v="10"/>
    <n v="53711.553"/>
    <n v="3.29"/>
    <m/>
    <m/>
    <m/>
    <n v="340"/>
    <m/>
  </r>
  <r>
    <s v="1"/>
    <d v="2023-10-25T00:00:00"/>
    <x v="1"/>
    <s v="10131010/030823/3270635"/>
    <s v="10131010"/>
    <s v="3270635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21808.82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39252.199999999997"/>
    <m/>
    <m/>
    <n v="101.9268"/>
    <s v=""/>
    <s v=""/>
    <s v=""/>
    <s v="-"/>
    <s v="Ин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m/>
    <n v="0"/>
    <m/>
    <m/>
    <m/>
    <s v="1"/>
    <s v="2309101100"/>
    <s v=""/>
    <s v=""/>
    <s v="BE"/>
    <n v="16400.46"/>
    <s v="ОООО-ОО"/>
    <n v="4000000"/>
    <n v="16226.46"/>
    <n v="0"/>
    <s v=""/>
    <s v=""/>
    <n v="39252.199999999997"/>
    <m/>
    <m/>
    <m/>
    <n v="4421808.82"/>
    <n v="47627.76"/>
    <s v="10"/>
    <n v="47705.792399999998"/>
    <n v="2.94"/>
    <m/>
    <m/>
    <m/>
    <n v="96"/>
    <m/>
  </r>
  <r>
    <s v="1"/>
    <d v="2023-12-01T00:00:00"/>
    <x v="10"/>
    <s v="10131010/030823/3270629"/>
    <s v="10131010"/>
    <s v="3270629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5031367.7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5232.56"/>
    <m/>
    <m/>
    <n v="101.9268"/>
    <s v=""/>
    <s v=""/>
    <s v=""/>
    <s v="-"/>
    <s v="Ин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m/>
    <n v="0"/>
    <m/>
    <m/>
    <m/>
    <s v="1"/>
    <s v="2309101100"/>
    <s v=""/>
    <s v=""/>
    <s v="BE"/>
    <n v="16769.09"/>
    <s v="ОООО-ОО"/>
    <n v="4000000"/>
    <n v="16679.09"/>
    <n v="0"/>
    <s v=""/>
    <s v=""/>
    <n v="45232.56"/>
    <m/>
    <m/>
    <m/>
    <n v="5031367.78"/>
    <n v="54193.38"/>
    <s v="10"/>
    <n v="54207.042500000003"/>
    <n v="3.25"/>
    <m/>
    <m/>
    <m/>
    <n v="1"/>
    <m/>
  </r>
  <r>
    <s v="1"/>
    <d v="2023-07-24T00:00:00"/>
    <x v="0"/>
    <s v="10131010/030723/3239121"/>
    <s v="10131010"/>
    <s v="3239121"/>
    <x v="1"/>
    <s v="40"/>
    <s v=""/>
    <s v=""/>
    <s v=""/>
    <s v="UNITED PETFOOD PRODUCERS NV"/>
    <s v="9400, , ERPE-MERE, EVENBROEKVELD 1, 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47683.7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107.72"/>
    <n v="3851123"/>
    <n v="48059.199999999997"/>
    <n v="96.0194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278.349999999999"/>
    <s v="ОООО-ОО"/>
    <n v="4000000"/>
    <n v="17213.55"/>
    <n v="0"/>
    <s v=""/>
    <s v=""/>
    <n v="40107.72"/>
    <n v="3851123"/>
    <n v="0"/>
    <n v="1"/>
    <n v="4247683.76"/>
    <n v="48059.199999999997"/>
    <s v="10"/>
    <n v="48025.804499999998"/>
    <n v="2.79"/>
    <n v="45"/>
    <s v="2022/09 БР"/>
    <s v="ДРУЗЯГИНА ИРИНА НИКОЛАЕВНА"/>
    <n v="163"/>
    <m/>
  </r>
  <r>
    <s v="1"/>
    <d v="2023-03-18T00:00:00"/>
    <x v="2"/>
    <s v="10131010/030723/3239102"/>
    <s v="10131010"/>
    <s v="3239102"/>
    <x v="1"/>
    <s v="40"/>
    <s v=""/>
    <s v=""/>
    <s v=""/>
    <s v="UNITED PETFOOD PRODUCERS NV"/>
    <s v="9400, , ERPE-MERE, EVENBROEKVELD 1, 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375620.139999999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920.120000000003"/>
    <n v="3929129"/>
    <n v="49506.7"/>
    <n v="96.0194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928.6"/>
    <s v="ОООО-ОО"/>
    <n v="4000000"/>
    <n v="15723.4"/>
    <n v="0"/>
    <s v=""/>
    <s v=""/>
    <n v="40920.120000000003"/>
    <n v="3929129"/>
    <n v="0"/>
    <n v="1"/>
    <n v="4375620.1399999997"/>
    <n v="49506.7"/>
    <s v="10"/>
    <n v="49528.71"/>
    <n v="3.15"/>
    <n v="45"/>
    <s v="2022/09 БР"/>
    <s v="ЯШИНА АННА СЕРГЕЕВНА"/>
    <n v="117"/>
    <m/>
  </r>
  <r>
    <s v="1"/>
    <d v="2023-05-13T00:00:00"/>
    <x v="9"/>
    <s v="10131010/030723/3238631"/>
    <s v="10131010"/>
    <s v="3238631"/>
    <x v="1"/>
    <s v="40"/>
    <s v=""/>
    <s v=""/>
    <s v=""/>
    <s v="UNITED PETFOOD PRODUCERS NV"/>
    <s v="9400, , ERPE-MERE, EVENBROEKVELD 1, 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42170.26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216.12"/>
    <n v="4245610"/>
    <n v="52522.51"/>
    <n v="96.01949999999999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5715.68"/>
    <s v="ОООО-ОО"/>
    <n v="4000000"/>
    <n v="15460.68"/>
    <n v="0"/>
    <s v=""/>
    <s v=""/>
    <n v="44216.12"/>
    <n v="4245610"/>
    <n v="0"/>
    <n v="1"/>
    <n v="4642170.2699999996"/>
    <n v="52522.51"/>
    <s v="10"/>
    <n v="52566.311999999998"/>
    <n v="3.4"/>
    <n v="45"/>
    <s v="2022/09 БР"/>
    <s v="ЧУДИНА ЭЛЬВИРА РАИСОВНА"/>
    <n v="583"/>
    <m/>
  </r>
  <r>
    <s v="1"/>
    <d v="2023-03-06T00:00:00"/>
    <x v="2"/>
    <s v="10131010/030723/3238177"/>
    <s v="10131010"/>
    <s v="3238177"/>
    <x v="1"/>
    <s v="40"/>
    <s v=""/>
    <s v=""/>
    <s v=""/>
    <s v="UNITED PETFOOD PRODUCERS NV"/>
    <s v="9400, , ERPE-MERE, EVENBROEKVELD 1, 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744573.15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282.6"/>
    <n v="4348013"/>
    <n v="53681.120000000003"/>
    <n v="96.01949999999999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164.72"/>
    <s v="ОООО-ОО"/>
    <n v="4000000"/>
    <n v="16164.72"/>
    <n v="0"/>
    <s v=""/>
    <s v=""/>
    <n v="45282.6"/>
    <n v="4348013"/>
    <n v="0"/>
    <n v="1"/>
    <n v="4744573.1500000004"/>
    <n v="53681.120000000003"/>
    <s v="10"/>
    <n v="53666.870399999993"/>
    <n v="3.32"/>
    <n v="45"/>
    <s v="2022/09 БР"/>
    <s v="ДРУЗЯГИНА ИРИНА НИКОЛАЕВНА"/>
    <n v="301"/>
    <m/>
  </r>
  <r>
    <s v="1"/>
    <d v="2023-05-14T00:00:00"/>
    <x v="9"/>
    <s v="10131010/030723/3238165"/>
    <s v="10131010"/>
    <s v="3238165"/>
    <x v="1"/>
    <s v="40"/>
    <s v=""/>
    <s v=""/>
    <s v=""/>
    <s v="UNITED PETFOOD PRODUCERS NV"/>
    <s v="9400, , ERPE-MERE, EVENBROEKVELD 1, 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03524.34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293.64"/>
    <n v="4157034"/>
    <n v="52085.26"/>
    <n v="96.01949999999999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M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694.16"/>
    <s v="ОООО-ОО"/>
    <n v="4000000"/>
    <n v="16650.96"/>
    <n v="0"/>
    <s v=""/>
    <s v=""/>
    <n v="43293.64"/>
    <n v="4157034"/>
    <n v="0"/>
    <n v="1"/>
    <n v="4603524.3499999996"/>
    <n v="52085.26"/>
    <s v="10"/>
    <n v="52117.504799999995"/>
    <n v="3.13"/>
    <n v="45"/>
    <s v="2022/09 БР"/>
    <s v="ЯШИНА АННА СЕРГЕЕВНА"/>
    <n v="301"/>
    <m/>
  </r>
  <r>
    <s v="1"/>
    <d v="2023-03-14T00:00:00"/>
    <x v="2"/>
    <s v="10131010/030523/3156812"/>
    <s v="10131010"/>
    <s v="3156812"/>
    <x v="1"/>
    <s v="40"/>
    <s v=""/>
    <s v=""/>
    <s v=""/>
    <s v="UNITED PETFOOD PRODUCERS NV"/>
    <s v="9400, , ERPE-MERE, EVENBROEKVELD 1, ,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44460.9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790.36"/>
    <n v="3663159"/>
    <n v="50580.480000000003"/>
    <n v="87.65560000000000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A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246.39"/>
    <s v="ОООО-ОО"/>
    <n v="4000000"/>
    <n v="17246.39"/>
    <n v="0"/>
    <s v=""/>
    <s v=""/>
    <n v="41790.36"/>
    <n v="3663159"/>
    <n v="0"/>
    <n v="1"/>
    <n v="4044460.94"/>
    <n v="50580.480000000003"/>
    <s v="10"/>
    <n v="50580.212591999996"/>
    <n v="2.9327999999999999"/>
    <n v="45"/>
    <s v="2022/09 БР"/>
    <s v="ОСИПОВА ТАТЬЯНА ВЛАДИМИРОВНА"/>
    <n v="211"/>
    <m/>
  </r>
  <r>
    <s v="1"/>
    <d v="2023-08-28T00:00:00"/>
    <x v="8"/>
    <s v="10131010/030523/3156701"/>
    <s v="10131010"/>
    <s v="3156701"/>
    <x v="1"/>
    <s v="40"/>
    <s v=""/>
    <s v=""/>
    <s v=""/>
    <s v="UNITED PETFOOD PRODUCERS NV"/>
    <s v="9400, , ERPE-MERE, EVENBROEKVELD 1, ,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05381.5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485.36"/>
    <n v="3724080"/>
    <n v="51342.36"/>
    <n v="87.65560000000000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038.71"/>
    <s v="ОООО-ОО"/>
    <n v="4000000"/>
    <n v="17038.71"/>
    <n v="0"/>
    <s v=""/>
    <s v=""/>
    <n v="42485.36"/>
    <n v="3724080"/>
    <n v="0"/>
    <n v="1"/>
    <n v="4105381.58"/>
    <n v="51342.36"/>
    <s v="10"/>
    <n v="51342.744843"/>
    <n v="3.0133000000000001"/>
    <n v="45"/>
    <s v="2022/09 БР"/>
    <s v="ОСИПОВА ТАТЬЯНА ВЛАДИМИРОВНА"/>
    <n v="300"/>
    <m/>
  </r>
  <r>
    <s v="1"/>
    <d v="2023-11-11T00:00:00"/>
    <x v="7"/>
    <s v="10131010/030423/3116359"/>
    <s v="10131010"/>
    <s v="3116359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17423.48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8168.6"/>
    <n v="4051538"/>
    <n v="57129.27"/>
    <n v="84.1115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783.32"/>
    <s v="ОООО-ОО"/>
    <n v="4000000"/>
    <n v="16783.32"/>
    <n v="0"/>
    <s v=""/>
    <s v=""/>
    <n v="48168.6"/>
    <n v="4051538"/>
    <n v="0"/>
    <n v="1"/>
    <n v="4417423.4800000004"/>
    <n v="57129.27"/>
    <s v="10"/>
    <n v="57128.742947999999"/>
    <n v="3.4039000000000001"/>
    <n v="45"/>
    <s v="2022/09 БР"/>
    <s v="ЯШИНА АННА СЕРГЕЕВНА"/>
    <n v="9"/>
    <m/>
  </r>
  <r>
    <s v="1"/>
    <d v="2023-01-25T00:00:00"/>
    <x v="5"/>
    <s v="10131010/030423/3115983"/>
    <s v="10131010"/>
    <s v="3115983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176167.8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300.32"/>
    <n v="3810282"/>
    <n v="54009.18"/>
    <n v="84.1115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308.86"/>
    <s v="ОООО-ОО"/>
    <n v="4000000"/>
    <n v="16200.86"/>
    <n v="0"/>
    <s v=""/>
    <s v=""/>
    <n v="45300.32"/>
    <n v="3810282"/>
    <n v="0"/>
    <n v="1"/>
    <n v="4176167.86"/>
    <n v="54009.18"/>
    <s v="10"/>
    <n v="54008.806982000002"/>
    <n v="3.3336999999999999"/>
    <n v="45"/>
    <s v="2022/09 БР"/>
    <s v="БЛАГОНРАВОВА ДАРЬЯ ДМИТРИЕВНА"/>
    <n v="96"/>
    <m/>
  </r>
  <r>
    <s v="1"/>
    <d v="2023-03-27T00:00:00"/>
    <x v="2"/>
    <s v="10131010/030423/3115070"/>
    <s v="10131010"/>
    <s v="3115070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88798.3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6639.38"/>
    <n v="3922913"/>
    <n v="55465.8"/>
    <n v="84.1115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СТР.1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411.900000000001"/>
    <s v="ОООО-ОО"/>
    <n v="4000000"/>
    <n v="16411.900000000001"/>
    <n v="0"/>
    <s v=""/>
    <s v=""/>
    <n v="46639.38"/>
    <n v="3922913"/>
    <n v="0"/>
    <n v="1"/>
    <n v="4288798.33"/>
    <n v="55465.8"/>
    <s v="10"/>
    <n v="55465.65724"/>
    <n v="3.3795999999999999"/>
    <n v="45"/>
    <s v="2022/09 БР"/>
    <s v="ДРУЗЯГИНА ИРИНА НИКОЛАЕВНА"/>
    <n v="570"/>
    <m/>
  </r>
  <r>
    <s v="1"/>
    <d v="2023-06-01T00:00:00"/>
    <x v="11"/>
    <s v="10131010/030323/3074925"/>
    <s v="10131010"/>
    <s v="3074925"/>
    <x v="1"/>
    <s v="40"/>
    <s v=""/>
    <s v=""/>
    <s v=""/>
    <s v="UNITED PETFOOD PRODUCERS NV"/>
    <s v="9400, , ERPE-MERE, EVENBROEKVELD 1,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18205.2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51993.96"/>
    <n v="4169380"/>
    <n v="59865.27"/>
    <n v="80.18970000000000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8"/>
    <n v="0"/>
    <n v="0"/>
    <m/>
    <n v="0"/>
    <m/>
    <s v="1"/>
    <s v="2309101100"/>
    <s v=""/>
    <s v=""/>
    <s v="BE"/>
    <n v="19074.169999999998"/>
    <s v="ОООО-ОО"/>
    <n v="4000000"/>
    <n v="18912.169999999998"/>
    <n v="0"/>
    <s v=""/>
    <s v=""/>
    <n v="51993.96"/>
    <n v="4169380"/>
    <n v="0"/>
    <n v="1"/>
    <n v="4518205.25"/>
    <n v="59865.27"/>
    <s v="10"/>
    <n v="59864.582917999993"/>
    <n v="3.1654"/>
    <n v="45"/>
    <s v="2022/09 БР"/>
    <s v="ОСИПОВА ТАТЬЯНА ВЛАДИМИРОВНА"/>
    <n v="286"/>
    <m/>
  </r>
  <r>
    <s v="1"/>
    <d v="2023-08-11T00:00:00"/>
    <x v="8"/>
    <s v="10131010/030323/3074923"/>
    <s v="10131010"/>
    <s v="307492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72074.9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183.48"/>
    <n v="3623250"/>
    <n v="52629.15"/>
    <n v="80.18970000000000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B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22.84"/>
    <s v="ОООО-ОО"/>
    <n v="4000000"/>
    <n v="16522.84"/>
    <n v="0"/>
    <s v=""/>
    <s v=""/>
    <n v="45183.48"/>
    <n v="3623250"/>
    <n v="0"/>
    <n v="1"/>
    <n v="3972074.91"/>
    <n v="52629.15"/>
    <s v="10"/>
    <n v="52628.549967999999"/>
    <n v="3.1852"/>
    <n v="45"/>
    <s v="2022/09 БР"/>
    <s v="ЧУДИНА ЭЛЬВИРА РАИСОВНА"/>
    <n v="302"/>
    <m/>
  </r>
  <r>
    <s v="1"/>
    <d v="2023-03-27T00:00:00"/>
    <x v="2"/>
    <s v="10131010/030323/3074323"/>
    <s v="10131010"/>
    <s v="3074323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62286.5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326.199999999997"/>
    <n v="3073366"/>
    <n v="45874.57"/>
    <n v="80.18970000000000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307.05"/>
    <s v="ОООО-ОО"/>
    <n v="4000000"/>
    <n v="16188.25"/>
    <n v="0"/>
    <s v=""/>
    <s v=""/>
    <n v="38326.199999999997"/>
    <n v="3073366"/>
    <n v="0"/>
    <n v="1"/>
    <n v="3462286.53"/>
    <n v="45874.57"/>
    <s v="10"/>
    <n v="45874.262849999999"/>
    <n v="2.8338000000000001"/>
    <n v="45"/>
    <s v="2022/09 БР"/>
    <s v="БЛАГОНРАВОВА ДАРЬЯ ДМИТРИЕВНА"/>
    <n v="211"/>
    <m/>
  </r>
  <r>
    <s v="1"/>
    <d v="2023-04-15T00:00:00"/>
    <x v="3"/>
    <s v="10131010/030323/3074212"/>
    <s v="10131010"/>
    <s v="3074212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13374.6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204.42"/>
    <n v="3464549"/>
    <n v="50526.41"/>
    <n v="80.18970000000000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P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48.36"/>
    <s v="ОООО-ОО"/>
    <n v="4000000"/>
    <n v="16683.560000000001"/>
    <n v="0"/>
    <s v=""/>
    <s v=""/>
    <n v="43204.42"/>
    <n v="3464549"/>
    <n v="0"/>
    <n v="1"/>
    <n v="3813374.68"/>
    <n v="50526.41"/>
    <s v="10"/>
    <n v="50526.16146000001"/>
    <n v="3.0285000000000002"/>
    <n v="45"/>
    <s v="2022/09 БР"/>
    <s v="ОСИПОВА ТАТЬЯНА ВЛАДИМИРОВНА"/>
    <n v="567"/>
    <m/>
  </r>
  <r>
    <s v="1"/>
    <d v="2023-11-11T00:00:00"/>
    <x v="7"/>
    <s v="10131010/030223/3039504"/>
    <s v="10131010"/>
    <s v="3039504"/>
    <x v="0"/>
    <s v="40"/>
    <s v=""/>
    <s v=""/>
    <s v=""/>
    <s v="WELLPET BELGIUM BVBA"/>
    <s v="1831, ., DIEGEM, LEONARDO DA VINCILAAN, 19"/>
    <s v=""/>
    <s v=""/>
    <n v="1"/>
    <n v="0"/>
    <n v="1"/>
    <n v="33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n v="3928534.95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7934.84"/>
    <n v="3688893"/>
    <n v="56088.76"/>
    <n v="76.956400000000002"/>
    <s v="010"/>
    <s v="31"/>
    <s v="18090220/1481/1948/2/1"/>
    <s v="-"/>
    <s v="99"/>
    <s v=""/>
    <s v="."/>
    <s v=""/>
    <s v="СМОЛЕНСКАЯ ОБЛАСТЬ,СМОЛЕНСКИЙ Р-Н"/>
    <s v="СЕЛЬСКОЕ ПОСЕЛЕНИЕ СТАБНИНСКОЕ"/>
    <s v="СЕВЕРО-ВОСТОЧНЕЕ Д. СТАБНА,НА РАССТОЯНИИ 700 МЕТРО"/>
    <s v="10113100 т/п Стабнинский"/>
    <n v="1"/>
    <s v="СУХОЙ КОРМ ДЛЯ КОШЕК И СОБАК Т.М, &quot;WELLNESS CORE&quot;, РАСФАСОВАННЫЙ ДЛЯ РОЗНИЧНОЙ ПРОДАЖИ В ИНДИВИДУАЛЬНУЮ УПАКОВКУ, СОДЕРЖИТ 10 МАС.% ИЛИ МЕНЕЕ КРАХМАЛА, НЕ СОДЕРЖИТ ГЛЮКОЗУ, МОЛОЧНЫЕ ПРОДУКТЫ И МАЛЬТОДЕКСТРИН"/>
    <x v="1"/>
    <m/>
    <s v="UNITED PETFOOD FRANCE-UPF"/>
    <n v="33"/>
    <n v="0"/>
    <n v="0"/>
    <m/>
    <n v="0"/>
    <m/>
    <s v="1"/>
    <s v="2309101100"/>
    <s v=""/>
    <s v=""/>
    <s v="FR"/>
    <n v="15797.84"/>
    <s v="ОООО-ОО"/>
    <n v="4000000"/>
    <n v="15713.36"/>
    <n v="0"/>
    <s v=""/>
    <s v=""/>
    <n v="47934.84"/>
    <n v="3688893"/>
    <n v="0"/>
    <n v="1"/>
    <n v="3928534.95"/>
    <n v="56088.76"/>
    <s v="10"/>
    <n v="56088.838520000005"/>
    <n v="3.5695000000000001"/>
    <n v="941"/>
    <s v="0770/СПБ/161"/>
    <s v="ДАШКИН АЛЕКСЕЙ ХАЛИМОВИЧ"/>
    <n v="571"/>
    <m/>
  </r>
  <r>
    <s v="1"/>
    <d v="2023-05-26T00:00:00"/>
    <x v="9"/>
    <s v="10131010/030123/3000876"/>
    <s v="10131010"/>
    <s v="3000876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85891.32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3180.86"/>
    <n v="3266861"/>
    <n v="49559.5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ВКУ ДЛЯ РОЗНИЧНОЙ ПРОДАЖИ, СОДЕРЖИТ КРАХМАЛ МЕНЕЕ 10%, НЕ СОДЕРЖИТ МОЛОЧНЫЕ ПРОДУКТЫ, ГЛЮK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6897.400000000001"/>
    <s v="ОООО-ОО"/>
    <n v="4000000"/>
    <n v="16861.400000000001"/>
    <n v="0"/>
    <s v=""/>
    <s v=""/>
    <n v="43180.86"/>
    <n v="3266861"/>
    <n v="0"/>
    <n v="1"/>
    <n v="3485891.32"/>
    <n v="49559.5"/>
    <s v="10"/>
    <n v="49559.026880000005"/>
    <n v="2.9392"/>
    <n v="941"/>
    <s v="0770/СПБ/329"/>
    <s v="СУШКОВА ОЛЬГА АЛЕКСАНДРОВНА"/>
    <n v="284"/>
    <m/>
  </r>
  <r>
    <s v="1"/>
    <d v="2023-12-25T00:00:00"/>
    <x v="10"/>
    <s v="10131010/030123/3000794"/>
    <s v="10131010"/>
    <s v="3000794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412955.07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2216.800000000003"/>
    <n v="3193925"/>
    <n v="48522.55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K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5954.14"/>
    <s v="ОООО-ОО"/>
    <n v="4000000"/>
    <n v="15802.94"/>
    <n v="0"/>
    <s v=""/>
    <s v=""/>
    <n v="42216.800000000003"/>
    <n v="3193925"/>
    <n v="0"/>
    <n v="1"/>
    <n v="3412955.07"/>
    <n v="48522.55"/>
    <s v="10"/>
    <n v="48522.92727"/>
    <n v="3.0705"/>
    <n v="941"/>
    <s v="0770/СПБ/329"/>
    <s v="ДАШКИН АЛЕКСЕЙ ХАЛИМОВИЧ"/>
    <n v="32"/>
    <m/>
  </r>
  <r>
    <s v="1"/>
    <d v="2023-06-24T00:00:00"/>
    <x v="11"/>
    <s v="10131010/030123/3000788"/>
    <s v="10131010"/>
    <s v="3000788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382925.97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1819.879999999997"/>
    <n v="3163896"/>
    <n v="48095.62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BАННЫЙ В ИНДИВИДУАЛЬНУЮ УПАКОВ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5140.42"/>
    <s v="ОООО-ОО"/>
    <n v="4000000"/>
    <n v="15034.02"/>
    <n v="0"/>
    <s v=""/>
    <s v=""/>
    <n v="41819.879999999997"/>
    <n v="3163896"/>
    <n v="0"/>
    <n v="1"/>
    <n v="3382925.97"/>
    <n v="48095.62"/>
    <s v="10"/>
    <n v="48095.333382000004"/>
    <n v="3.1991000000000001"/>
    <n v="941"/>
    <s v="0770/СПБ/329"/>
    <s v="ДАШКИН АЛЕКСЕЙ ХАЛИМОВИЧ"/>
    <n v="300"/>
    <m/>
  </r>
  <r>
    <s v="1"/>
    <d v="2023-06-10T00:00:00"/>
    <x v="11"/>
    <s v="10131010/030123/3000782"/>
    <s v="10131010"/>
    <s v="3000782"/>
    <x v="0"/>
    <s v="40"/>
    <s v=""/>
    <s v=""/>
    <s v=""/>
    <s v="UNITED PETFOOD PRODUCERS"/>
    <s v="9042, TERDONKKAAI, 16, GENT, BE"/>
    <s v=""/>
    <s v=""/>
    <n v="1"/>
    <n v="0"/>
    <n v="1"/>
    <n v="33"/>
    <s v="316774600208441"/>
    <s v="770100448470"/>
    <s v="ИП ЭСТРИН КИРИЛЛ ВАДИМОВИЧ"/>
    <s v="129085, РОССИЯ, Г. МОСКВА, ПР-КТ МИРА, Д.81, КВ. 101"/>
    <s v="45000"/>
    <s v="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n v="3799780.62"/>
    <s v="316774600208441"/>
    <s v="770100448470"/>
    <s v="ИП ЭСТРИН КИРИЛЛ ВАДИМОВИЧ"/>
    <s v="129085, РОССИЯ, Г. МОСКВА, ПР-КТ МИРА, Д.81, КВ. 101"/>
    <s v="45000"/>
    <s v=""/>
    <s v="BE"/>
    <s v="БЕЛЬГИЯ"/>
    <x v="7"/>
    <s v="RU"/>
    <s v="РОССИЯ"/>
    <n v="2"/>
    <s v="1"/>
    <s v="FCA"/>
    <s v="ERPE-MERE"/>
    <n v="1"/>
    <s v="EUR"/>
    <n v="47329.8"/>
    <n v="3580750"/>
    <n v="54022.12"/>
    <n v="75.655299999999997"/>
    <s v="010"/>
    <s v=""/>
    <s v="22040387/3292/0000/2/2"/>
    <s v="-"/>
    <s v="99"/>
    <s v=""/>
    <s v="1237"/>
    <s v=""/>
    <s v="РОССИЯ"/>
    <s v="Г. КРОНШТАДТ"/>
    <s v="КРОНШТАДТСКОЕ ШОССЕ, Д.33, ЛИТ. А"/>
    <s v="10210040 т/п Котлинский"/>
    <n v="1"/>
    <s v="СУХОЙ КОРМ ДЛЯ СОБАК И КОШЕК Т.М. &quot;GRANDORF&quot;, РАСФАСОВАННЫЙ В ИНДИВИДУАЛЬНУЮ УПАКОBКУ ДЛЯ РОЗНИЧНОЙ ПРОДАЖИ, СОДЕРЖИТ КРАХМАЛ МЕНЕЕ 10%, НЕ СОДЕРЖИТ МОЛОЧНЫЕ ПРОДУКТЫ, ГЛЮКОЗУ И МАЛЬТОДЕКСТРИН."/>
    <x v="1"/>
    <m/>
    <s v="UNITED PETFOOD PRODUCERS NV"/>
    <n v="33"/>
    <n v="1"/>
    <n v="0"/>
    <m/>
    <n v="0"/>
    <m/>
    <s v="1"/>
    <s v="2309101100"/>
    <s v=""/>
    <s v=""/>
    <s v="BE"/>
    <n v="17575.919999999998"/>
    <s v="ОООО-ОО"/>
    <n v="4000000"/>
    <n v="17575.919999999998"/>
    <n v="0"/>
    <s v=""/>
    <s v=""/>
    <n v="47329.8"/>
    <n v="3580750"/>
    <n v="0"/>
    <n v="1"/>
    <n v="3799780.62"/>
    <n v="54022.12"/>
    <s v="10"/>
    <n v="54021.347711999995"/>
    <n v="3.0735999999999999"/>
    <n v="941"/>
    <s v="0770/СПБ/329"/>
    <s v="ДАШКИН АЛЕКСЕЙ ХАЛИМОВИЧ"/>
    <n v="546"/>
    <m/>
  </r>
  <r>
    <s v="1"/>
    <d v="2023-11-20T00:00:00"/>
    <x v="7"/>
    <s v="10131010/021123/3364794"/>
    <s v="10131010"/>
    <s v="336479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184611.4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8520.769999999997"/>
    <m/>
    <m/>
    <n v="98.4364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608.84"/>
    <s v="ОООО-ОО"/>
    <n v="4000000"/>
    <n v="16518.84"/>
    <n v="0"/>
    <s v=""/>
    <s v=""/>
    <n v="38520.769999999997"/>
    <m/>
    <n v="0"/>
    <n v="1"/>
    <n v="4184611.42"/>
    <n v="44860.71"/>
    <s v="10"/>
    <n v="44931.2448"/>
    <n v="2.72"/>
    <n v="45"/>
    <m/>
    <s v="ЯШИНА"/>
    <n v="301"/>
    <m/>
  </r>
  <r>
    <s v="1"/>
    <d v="2022-01-31T00:00:00"/>
    <x v="6"/>
    <s v="10131010/021123/3364790"/>
    <s v="10131010"/>
    <s v="3364790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5009020.0599999996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6895.8"/>
    <m/>
    <m/>
    <n v="98.4364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525.080000000002"/>
    <s v="ОООО-ОО"/>
    <n v="4000000"/>
    <n v="16525.080000000002"/>
    <n v="0"/>
    <s v=""/>
    <s v=""/>
    <n v="46895.8"/>
    <m/>
    <n v="0"/>
    <n v="1"/>
    <n v="5009020.0599999996"/>
    <n v="53698.7"/>
    <s v="10"/>
    <n v="53706.510000000009"/>
    <n v="3.25"/>
    <n v="45"/>
    <m/>
    <s v="БЛАГОНРАВОВА"/>
    <n v="219"/>
    <m/>
  </r>
  <r>
    <s v="1"/>
    <d v="2023-04-01T00:00:00"/>
    <x v="3"/>
    <s v="10131010/021123/3364099"/>
    <s v="10131010"/>
    <s v="336409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13722.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381.8"/>
    <m/>
    <m/>
    <n v="98.4364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100.150000000001"/>
    <s v="ОООО-ОО"/>
    <n v="4000000"/>
    <n v="17100.150000000001"/>
    <n v="0"/>
    <s v=""/>
    <s v=""/>
    <n v="44381.8"/>
    <m/>
    <n v="0"/>
    <n v="1"/>
    <n v="4813722.04"/>
    <n v="51605.03"/>
    <s v="10"/>
    <n v="51642.453000000001"/>
    <n v="3.02"/>
    <n v="45"/>
    <m/>
    <s v="ЧУДИНА"/>
    <n v="299"/>
    <m/>
  </r>
  <r>
    <s v="1"/>
    <d v="2023-04-08T00:00:00"/>
    <x v="3"/>
    <s v="10131010/021123/3364089"/>
    <s v="10131010"/>
    <s v="336408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31161.0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388.959999999999"/>
    <m/>
    <m/>
    <n v="98.43649999999999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147.77"/>
    <s v="ОООО-ОО"/>
    <n v="4000000"/>
    <n v="16050.57"/>
    <n v="0"/>
    <s v=""/>
    <s v=""/>
    <n v="44388.959999999999"/>
    <m/>
    <n v="0"/>
    <n v="1"/>
    <n v="4831161.05"/>
    <n v="51791.98"/>
    <s v="10"/>
    <n v="51843.341099999998"/>
    <n v="3.23"/>
    <n v="45"/>
    <m/>
    <s v="ОСИПОВА"/>
    <n v="163"/>
    <m/>
  </r>
  <r>
    <s v="1"/>
    <d v="2023-07-26T00:00:00"/>
    <x v="0"/>
    <s v="10131010/021023/5030315"/>
    <s v="10131010"/>
    <s v="503031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57632.40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158.239999999998"/>
    <m/>
    <m/>
    <n v="103.163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438.5"/>
    <s v="ОООО-ОО"/>
    <n v="4000000"/>
    <n v="17276.099999999999"/>
    <n v="0"/>
    <s v=""/>
    <s v=""/>
    <n v="41158.239999999998"/>
    <m/>
    <n v="0"/>
    <n v="1"/>
    <n v="4657632.4000000004"/>
    <n v="47812.42"/>
    <s v="10"/>
    <n v="47854.796999999999"/>
    <n v="2.77"/>
    <n v="45"/>
    <m/>
    <s v="БЛАГОНРАВОВА"/>
    <n v="180"/>
    <m/>
  </r>
  <r>
    <s v="1"/>
    <d v="2023-01-26T00:00:00"/>
    <x v="5"/>
    <s v="10131010/021023/5030315"/>
    <s v="10131010"/>
    <s v="5030315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657632.400000000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1158.239999999998"/>
    <m/>
    <m/>
    <n v="103.1631"/>
    <s v=""/>
    <s v=""/>
    <s v="22040387/3292/0000/2/2"/>
    <s v="-"/>
    <s v="11"/>
    <s v=""/>
    <s v=""/>
    <s v=""/>
    <s v="&quot;КАЛУЖСКАЯ ОБЛ., БОРОВСКИЙ Р-Н&quot;"/>
    <s v="С. ВОРСИНО"/>
    <s v="СЕВЕРНАЯ ПРОМЗОНА, ВЛ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438.5"/>
    <s v="ОООО-ОО"/>
    <n v="4000000"/>
    <n v="17276.099999999999"/>
    <n v="0"/>
    <s v=""/>
    <s v=""/>
    <n v="41158.239999999998"/>
    <m/>
    <n v="0"/>
    <n v="1"/>
    <n v="4657632.4000000004"/>
    <n v="47812.42"/>
    <s v="10"/>
    <n v="47854.796999999999"/>
    <n v="2.77"/>
    <n v="45"/>
    <m/>
    <s v="БЛАГОНРАВОВА"/>
    <n v="180"/>
    <m/>
  </r>
  <r>
    <s v="1"/>
    <d v="2023-02-24T00:00:00"/>
    <x v="12"/>
    <s v="10131010/021023/3330352"/>
    <s v="10131010"/>
    <s v="333035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887516.9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3386.6"/>
    <m/>
    <m/>
    <n v="103.1631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5065.04"/>
    <s v="ОООО-ОО"/>
    <n v="4000000"/>
    <n v="14745.84"/>
    <n v="0"/>
    <s v=""/>
    <s v=""/>
    <n v="43386.6"/>
    <m/>
    <n v="0"/>
    <n v="1"/>
    <n v="4887516.92"/>
    <n v="50172.27"/>
    <s v="10"/>
    <n v="50135.856"/>
    <n v="3.4"/>
    <n v="45"/>
    <m/>
    <s v="ЯШИНА"/>
    <n v="366"/>
    <m/>
  </r>
  <r>
    <s v="1"/>
    <d v="2023-12-16T00:00:00"/>
    <x v="10"/>
    <s v="10131010/020823/3269706"/>
    <s v="10131010"/>
    <s v="3269706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80846.80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1360.58"/>
    <m/>
    <m/>
    <n v="100.69880000000001"/>
    <s v=""/>
    <s v=""/>
    <s v=""/>
    <s v="-"/>
    <s v="Ин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m/>
    <n v="0"/>
    <m/>
    <m/>
    <m/>
    <s v="1"/>
    <s v="2309101100"/>
    <s v=""/>
    <s v=""/>
    <s v="BE"/>
    <n v="16336.92"/>
    <s v="ОООО-ОО"/>
    <n v="4000000"/>
    <n v="16246.92"/>
    <n v="0"/>
    <s v=""/>
    <s v=""/>
    <n v="41360.58"/>
    <m/>
    <m/>
    <m/>
    <n v="4580846.8099999996"/>
    <n v="49913.61"/>
    <s v="10"/>
    <n v="49878.044399999999"/>
    <n v="3.07"/>
    <m/>
    <m/>
    <m/>
    <n v="556"/>
    <m/>
  </r>
  <r>
    <s v="1"/>
    <d v="2023-01-12T00:00:00"/>
    <x v="5"/>
    <s v="10131010/020823/3269227"/>
    <s v="10131010"/>
    <s v="3269227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58932.7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0442.959999999999"/>
    <m/>
    <m/>
    <n v="100.69880000000001"/>
    <s v=""/>
    <s v=""/>
    <s v=""/>
    <s v="-"/>
    <s v="Ин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m/>
    <n v="0"/>
    <m/>
    <m/>
    <m/>
    <s v="1"/>
    <s v="2309101100"/>
    <s v=""/>
    <s v=""/>
    <s v="BE"/>
    <n v="16797.45"/>
    <s v="ОООО-ОО"/>
    <n v="4000000"/>
    <n v="16711.05"/>
    <n v="0"/>
    <s v=""/>
    <s v=""/>
    <n v="40442.959999999999"/>
    <m/>
    <m/>
    <m/>
    <n v="4558932.74"/>
    <n v="49674.83"/>
    <s v="10"/>
    <n v="49631.818500000001"/>
    <n v="2.97"/>
    <m/>
    <m/>
    <m/>
    <n v="166"/>
    <m/>
  </r>
  <r>
    <s v="1"/>
    <d v="2023-03-28T00:00:00"/>
    <x v="2"/>
    <s v="10131010/020623/3197987"/>
    <s v="10131010"/>
    <s v="3197987"/>
    <x v="0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39480.0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138.080000000002"/>
    <n v="3821316"/>
    <n v="52361.43"/>
    <n v="86.57640000000000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15.78"/>
    <s v="ОООО-ОО"/>
    <n v="4000000"/>
    <n v="16715.78"/>
    <n v="0"/>
    <s v=""/>
    <s v=""/>
    <n v="44138.080000000002"/>
    <n v="3821316"/>
    <n v="0"/>
    <n v="1"/>
    <n v="4239480.08"/>
    <n v="52361.43"/>
    <s v="10"/>
    <n v="52320.391399999993"/>
    <n v="3.13"/>
    <n v="45"/>
    <s v="2022/09 БР"/>
    <s v="ЧУДИНА ЭЛЬВИРА РАИСОВНА"/>
    <n v="146"/>
    <m/>
  </r>
  <r>
    <s v="1"/>
    <d v="2023-11-21T00:00:00"/>
    <x v="7"/>
    <s v="10131010/020523/3154976"/>
    <s v="10131010"/>
    <s v="3154976"/>
    <x v="0"/>
    <s v="40"/>
    <s v=""/>
    <s v=""/>
    <s v=""/>
    <s v="UNITED PETFOOD PRODUCERS NV"/>
    <s v="9400, , ERPE-MERE, EVENBROEKVELD 1, ,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17614.5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412.94"/>
    <n v="3571340"/>
    <n v="49902.49"/>
    <n v="88.37120000000000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89.759999999998"/>
    <s v="ОООО-ОО"/>
    <n v="4000000"/>
    <n v="16789.759999999998"/>
    <n v="0"/>
    <s v=""/>
    <s v=""/>
    <n v="40412.94"/>
    <n v="3571340"/>
    <n v="0"/>
    <n v="1"/>
    <n v="4017614.56"/>
    <n v="49902.49"/>
    <s v="10"/>
    <n v="49902.524671999992"/>
    <n v="2.9722"/>
    <n v="45"/>
    <s v="2022/09 БР"/>
    <s v="ЧУДИНА ЭЛЬВИРА РАИСОВНА"/>
    <n v="271"/>
    <m/>
  </r>
  <r>
    <s v="1"/>
    <d v="2023-10-12T00:00:00"/>
    <x v="1"/>
    <s v="10131010/020523/3154969"/>
    <s v="10131010"/>
    <s v="3154969"/>
    <x v="0"/>
    <s v="40"/>
    <s v=""/>
    <s v=""/>
    <s v=""/>
    <s v="UNITED PETFOOD PRODUCERS NV"/>
    <s v="9400, , ERPE-MERE, EVENBROEKVELD 1, ,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39733.8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363.24"/>
    <n v="3655319"/>
    <n v="50177.23"/>
    <n v="88.37120000000000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7372.349999999999"/>
    <s v="ОООО-ОО"/>
    <n v="4000000"/>
    <n v="17210.349999999999"/>
    <n v="0"/>
    <s v=""/>
    <s v=""/>
    <n v="41363.24"/>
    <n v="3655319"/>
    <n v="0"/>
    <n v="1"/>
    <n v="4039733.87"/>
    <n v="50177.23"/>
    <s v="10"/>
    <n v="50176.775425"/>
    <n v="2.9155000000000002"/>
    <n v="45"/>
    <s v="2022/09 БР"/>
    <s v="ЯШИНА АННА СЕРГЕЕВНА"/>
    <n v="166"/>
    <m/>
  </r>
  <r>
    <s v="1"/>
    <d v="2023-07-23T00:00:00"/>
    <x v="0"/>
    <s v="10131010/020523/3154967"/>
    <s v="10131010"/>
    <s v="3154967"/>
    <x v="0"/>
    <s v="40"/>
    <s v=""/>
    <s v=""/>
    <s v=""/>
    <s v="UNITED PETFOOD PRODUCERS NV"/>
    <s v="9400, , ERPE-MERE, EVENBROEKVELD 1, ,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219552.48000000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898.05"/>
    <n v="3790952"/>
    <n v="52410.75"/>
    <n v="88.371200000000002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7497.47"/>
    <s v="ОООО-ОО"/>
    <n v="4000000"/>
    <n v="17497.47"/>
    <n v="0"/>
    <s v=""/>
    <s v=""/>
    <n v="42898.05"/>
    <n v="3790952"/>
    <n v="0"/>
    <n v="1"/>
    <n v="4219552.4800000004"/>
    <n v="52410.75"/>
    <s v="10"/>
    <n v="52410.171890999998"/>
    <n v="2.9952999999999999"/>
    <n v="45"/>
    <s v="2022/09 БР"/>
    <s v="ОСИПОВА ТАТЬЯНА ВЛАДИМИРОВНА"/>
    <n v="166"/>
    <m/>
  </r>
  <r>
    <s v="1"/>
    <d v="2023-12-21T00:00:00"/>
    <x v="10"/>
    <s v="10131010/020523/3154002"/>
    <s v="10131010"/>
    <s v="3154002"/>
    <x v="0"/>
    <s v="40"/>
    <s v=""/>
    <s v=""/>
    <s v=""/>
    <s v="UNITED PETFOOD PRODUCERS NV"/>
    <s v="9400, , ERPE-MERE, EVENBROEKVELD 1, ,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821054.0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888.68"/>
    <n v="3436639"/>
    <n v="47461.03"/>
    <n v="88.37120000000000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РАСФАСОВАННЫЙ ДЛЯ РОЗНИЧНОЙ ПРОДАЖИ, БЕЗ СОДЕРЖАНИЯ КРАХМАЛА, БЕЗ СОДЕРЖАНИЯ МОЛОЧНЫХ ПРОДУКТОВ, В АCСОРТИМЕНТЕ"/>
    <x v="1"/>
    <m/>
    <s v="UNITED PETFOOD PRODUCERS NV"/>
    <n v="33"/>
    <n v="0"/>
    <n v="0"/>
    <m/>
    <n v="0"/>
    <m/>
    <s v="1"/>
    <s v="2309101100"/>
    <s v=""/>
    <s v=""/>
    <s v="BE"/>
    <n v="16459.64"/>
    <s v="ОООО-ОО"/>
    <n v="4000000"/>
    <n v="16316.84"/>
    <n v="0"/>
    <s v=""/>
    <s v=""/>
    <n v="38888.68"/>
    <n v="3436639"/>
    <n v="0"/>
    <n v="1"/>
    <n v="3821054.04"/>
    <n v="47461.03"/>
    <s v="10"/>
    <n v="47460.792507999999"/>
    <n v="2.9087000000000001"/>
    <n v="45"/>
    <s v="2022/09 БР"/>
    <s v="БЛАГОНРАВОВА ДАРЬЯ ДМИТРИЕВНА"/>
    <n v="564"/>
    <m/>
  </r>
  <r>
    <s v="1"/>
    <d v="2023-08-30T00:00:00"/>
    <x v="8"/>
    <s v="10131010/020523/3153548"/>
    <s v="10131010"/>
    <s v="3153548"/>
    <x v="0"/>
    <s v="40"/>
    <s v=""/>
    <s v=""/>
    <s v=""/>
    <s v="UNITED PETFOOD PRODUCERS NV"/>
    <s v="9400, , ERPE-MERE, EVENBROEKVELD 1, ,,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30100.5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122.639999999999"/>
    <n v="3545686"/>
    <n v="48815.49"/>
    <n v="88.371200000000002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,,,."/>
    <s v="10106050 т/п Обнинский"/>
    <n v="1"/>
    <s v="КОРМ ДЛЯ СОБАК И КОШЕК, РАСФАСОВАННЫЙ ДЛЯ РОЗНИЧНОЙ ПРОДАЖИ, БЕЗ СОДЕРЖАНИЯ КРАХM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72.21"/>
    <s v="ОООО-ОО"/>
    <n v="4000000"/>
    <n v="16872.21"/>
    <n v="0"/>
    <s v=""/>
    <s v=""/>
    <n v="40122.639999999999"/>
    <n v="3545686"/>
    <n v="0"/>
    <n v="1"/>
    <n v="3930100.56"/>
    <n v="48815.49"/>
    <s v="10"/>
    <n v="48814.677971999998"/>
    <n v="2.8932000000000002"/>
    <n v="45"/>
    <s v="2022/09 БР"/>
    <s v="ОСИПОВА ТАТЬЯНА ВЛАДИМИРОВНА"/>
    <n v="146"/>
    <m/>
  </r>
  <r>
    <s v="1"/>
    <d v="2023-06-21T00:00:00"/>
    <x v="11"/>
    <s v="10131010/020323/3072785"/>
    <s v="10131010"/>
    <s v="3072785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394095.1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022.800000000003"/>
    <n v="3045657"/>
    <n v="45103.48"/>
    <n v="80.10080000000000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, РАСФАСОВАННЫЙ ДЛЯ РОЗНИЧНO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744.62"/>
    <s v="ОООО-ОО"/>
    <n v="4000000"/>
    <n v="16615.02"/>
    <n v="0"/>
    <s v=""/>
    <s v=""/>
    <n v="38022.800000000003"/>
    <n v="3045657"/>
    <n v="0"/>
    <n v="1"/>
    <n v="3394095.18"/>
    <n v="45103.48"/>
    <s v="10"/>
    <n v="45103.133291999999"/>
    <n v="2.7145999999999999"/>
    <n v="45"/>
    <s v="2022/09 БР"/>
    <s v="ЯШИНА АННА СЕРГЕЕВНА"/>
    <n v="21"/>
    <m/>
  </r>
  <r>
    <s v="1"/>
    <d v="2023-04-24T00:00:00"/>
    <x v="3"/>
    <s v="10131010/020323/3072764"/>
    <s v="10131010"/>
    <s v="3072764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13401.0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263.82"/>
    <n v="3064963"/>
    <n v="45360.03"/>
    <n v="80.100800000000007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06.13"/>
    <s v="ОООО-ОО"/>
    <n v="4000000"/>
    <n v="16361.53"/>
    <n v="0"/>
    <s v=""/>
    <s v=""/>
    <n v="38263.82"/>
    <n v="3064963"/>
    <n v="0"/>
    <n v="1"/>
    <n v="3413401.07"/>
    <n v="45360.03"/>
    <s v="10"/>
    <n v="45360.705772000008"/>
    <n v="2.7724000000000002"/>
    <n v="45"/>
    <s v="2022/09 БР"/>
    <s v="ДРУЗЯГИНА ИРИНА НИКОЛАЕВНА"/>
    <n v="146"/>
    <m/>
  </r>
  <r>
    <s v="1"/>
    <d v="2022-06-24T00:00:00"/>
    <x v="6"/>
    <s v="10131010/020223/3037780"/>
    <s v="10131010"/>
    <s v="3037780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74547.4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233.08"/>
    <n v="3142971"/>
    <n v="49550.25"/>
    <n v="76.2245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E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379.85"/>
    <s v="ОООО-ОО"/>
    <n v="4000000"/>
    <n v="16153.05"/>
    <n v="0"/>
    <s v=""/>
    <s v=""/>
    <n v="41233.08"/>
    <n v="3142971"/>
    <n v="0"/>
    <n v="1"/>
    <n v="3474547.49"/>
    <n v="49550.25"/>
    <s v="10"/>
    <n v="49549.480874999994"/>
    <n v="3.0674999999999999"/>
    <n v="45"/>
    <s v="2022/09 БР"/>
    <s v="ЧУДИНА ЭЛЬВИРА РАИСОВНА"/>
    <n v="152"/>
    <m/>
  </r>
  <r>
    <s v="1"/>
    <d v="2022-04-26T00:00:00"/>
    <x v="6"/>
    <s v="10131010/020223/3037633"/>
    <s v="10131010"/>
    <s v="3037633"/>
    <x v="0"/>
    <s v="40"/>
    <s v=""/>
    <s v=""/>
    <s v=""/>
    <s v="UNITED PETFOOD PRODUCERS NV"/>
    <s v="9400, , ERPE-MERE, EVENBROEKVELD 1,"/>
    <s v=""/>
    <s v=""/>
    <n v="1"/>
    <n v="0"/>
    <n v="1"/>
    <n v="38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050777.2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8792.72"/>
    <n v="3719201"/>
    <n v="57767.81"/>
    <n v="76.22450000000000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8"/>
    <n v="0"/>
    <n v="0"/>
    <m/>
    <n v="0"/>
    <m/>
    <s v="1"/>
    <s v="2309101100"/>
    <s v=""/>
    <s v=""/>
    <s v="BE"/>
    <n v="18834.060000000001"/>
    <s v="ОООО-ОО"/>
    <n v="4000000"/>
    <n v="18654.060000000001"/>
    <n v="0"/>
    <s v=""/>
    <s v=""/>
    <n v="48792.72"/>
    <n v="3719201"/>
    <n v="0"/>
    <n v="1"/>
    <n v="4050777.27"/>
    <n v="57767.81"/>
    <s v="10"/>
    <n v="57767.893008000006"/>
    <n v="3.0968"/>
    <n v="45"/>
    <s v="2022/09 БР"/>
    <s v="ДРУЗЯГИНА ИРИНА НИКОЛАЕВНА"/>
    <n v="124"/>
    <m/>
  </r>
  <r>
    <s v="1"/>
    <d v="2022-06-21T00:00:00"/>
    <x v="6"/>
    <s v="10131010/020223/3037518"/>
    <s v="10131010"/>
    <s v="303751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161423.34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7125.160000000003"/>
    <n v="2829847"/>
    <n v="45084.81"/>
    <n v="76.22450000000000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5756.48"/>
    <s v="ОООО-ОО"/>
    <n v="4000000"/>
    <n v="15473.28"/>
    <n v="0"/>
    <s v=""/>
    <s v=""/>
    <n v="37125.160000000003"/>
    <n v="2829847"/>
    <n v="0"/>
    <n v="1"/>
    <n v="3161423.34"/>
    <n v="45084.81"/>
    <s v="10"/>
    <n v="45084.495935999999"/>
    <n v="2.9137"/>
    <n v="45"/>
    <s v="2022/09 БР"/>
    <s v="ДРУЗЯГИНА ИРИНА НИКОЛАЕВНА"/>
    <n v="554"/>
    <m/>
  </r>
  <r>
    <s v="1"/>
    <d v="2022-04-04T00:00:00"/>
    <x v="6"/>
    <s v="10131010/020223/3037349"/>
    <s v="10131010"/>
    <s v="3037349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23927.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7128.56"/>
    <n v="3592351"/>
    <n v="55958.82"/>
    <n v="76.22450000000000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TИМЕНТЕ"/>
    <x v="1"/>
    <m/>
    <s v="UNITED PETFOOD PRODUCERS NV"/>
    <n v="33"/>
    <n v="0"/>
    <n v="0"/>
    <m/>
    <n v="0"/>
    <m/>
    <s v="1"/>
    <s v="2309101100"/>
    <s v=""/>
    <s v=""/>
    <s v="BE"/>
    <n v="17636.23"/>
    <s v="ОООО-ОО"/>
    <n v="4000000"/>
    <n v="17636.23"/>
    <n v="0"/>
    <s v=""/>
    <s v=""/>
    <n v="47128.56"/>
    <n v="3592351"/>
    <n v="0"/>
    <n v="1"/>
    <n v="3923927.5"/>
    <n v="55958.82"/>
    <s v="10"/>
    <n v="55957.994166999997"/>
    <n v="3.1728999999999998"/>
    <n v="45"/>
    <s v="2022/09 БР"/>
    <s v="ЯШИНА АННА СЕРГЕЕВНА"/>
    <n v="1"/>
    <m/>
  </r>
  <r>
    <s v="1"/>
    <d v="2022-12-03T00:00:00"/>
    <x v="6"/>
    <s v="10131010/020223/3037348"/>
    <s v="10131010"/>
    <s v="3037348"/>
    <x v="0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383318.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336.239999999998"/>
    <n v="2998385"/>
    <n v="48249.24"/>
    <n v="76.224500000000006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858.849999999999"/>
    <s v="ОООО-ОО"/>
    <n v="4000000"/>
    <n v="16844.45"/>
    <n v="0"/>
    <s v=""/>
    <s v=""/>
    <n v="39336.239999999998"/>
    <n v="2998385"/>
    <n v="0"/>
    <n v="1"/>
    <n v="3383318.96"/>
    <n v="48249.24"/>
    <s v="10"/>
    <n v="48249.242579999998"/>
    <n v="2.8643999999999998"/>
    <n v="45"/>
    <s v="2022/09 БР"/>
    <s v="БЛАГОНРАВОВА ДАРЬЯ ДМИТРИЕВНА"/>
    <n v="78"/>
    <m/>
  </r>
  <r>
    <s v="1"/>
    <d v="2023-04-04T00:00:00"/>
    <x v="3"/>
    <s v="10131010/011123/3363459"/>
    <s v="10131010"/>
    <s v="3363459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72406.95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740.6"/>
    <m/>
    <m/>
    <n v="97.934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5894.06"/>
    <s v="ОООО-ОО"/>
    <n v="4000000"/>
    <n v="15638.46"/>
    <n v="0"/>
    <s v=""/>
    <s v=""/>
    <n v="44740.6"/>
    <m/>
    <n v="0"/>
    <n v="1"/>
    <n v="4772406.95"/>
    <n v="51861.25"/>
    <s v="10"/>
    <n v="51919.687199999993"/>
    <n v="3.32"/>
    <n v="45"/>
    <m/>
    <s v="БЛАГОНРАВОВА"/>
    <n v="140"/>
    <m/>
  </r>
  <r>
    <s v="1"/>
    <d v="2023-01-19T00:00:00"/>
    <x v="5"/>
    <s v="10131010/011123/3363458"/>
    <s v="10131010"/>
    <s v="3363458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704990.8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44052.22"/>
    <m/>
    <m/>
    <n v="97.934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42.82"/>
    <s v="ОООО-ОО"/>
    <n v="4000000"/>
    <n v="16788.830000000002"/>
    <n v="0"/>
    <s v=""/>
    <s v=""/>
    <n v="44052.22"/>
    <m/>
    <n v="0"/>
    <n v="1"/>
    <n v="4704990.8"/>
    <n v="51128.639999999999"/>
    <s v="10"/>
    <n v="51205.931499999999"/>
    <n v="3.05"/>
    <n v="45"/>
    <m/>
    <s v="ДРУЗЯГИНА"/>
    <n v="140"/>
    <m/>
  </r>
  <r>
    <s v="1"/>
    <d v="2023-07-10T00:00:00"/>
    <x v="0"/>
    <s v="10131010/011123/3362602"/>
    <s v="10131010"/>
    <s v="3362602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3995077.32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6803.360000000001"/>
    <m/>
    <m/>
    <n v="97.9345"/>
    <s v=""/>
    <s v=""/>
    <s v="22040387/3292/0000/2/2"/>
    <s v="-"/>
    <s v="99"/>
    <s v=""/>
    <s v=""/>
    <s v=""/>
    <s v="&quot;КАЛУЖСКАЯ ОБЛ., БОРОВСКИЙ Р-Н&quot;"/>
    <s v="С. ВОРСИНО"/>
    <s v="СЕВЕРНАЯ ПРОМЗОНА, ВЛАД. 6"/>
    <s v="10106050 т/п Обнинский"/>
    <m/>
    <s v="КОРМ ДЛЯ СОБА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353.91"/>
    <s v="ОООО-ОО"/>
    <n v="4000000"/>
    <n v="17353.91"/>
    <n v="0"/>
    <s v=""/>
    <s v=""/>
    <n v="36803.360000000001"/>
    <m/>
    <n v="0"/>
    <n v="1"/>
    <n v="3995077.32"/>
    <n v="43414.09"/>
    <s v="10"/>
    <n v="43384.775000000001"/>
    <n v="2.5"/>
    <n v="45"/>
    <m/>
    <s v="ЧУДИНА"/>
    <n v="70"/>
    <m/>
  </r>
  <r>
    <s v="1"/>
    <d v="2023-12-12T00:00:00"/>
    <x v="10"/>
    <s v="10131010/010923/5021604"/>
    <s v="10131010"/>
    <s v="5021604"/>
    <x v="0"/>
    <s v="40"/>
    <s v=""/>
    <s v=""/>
    <s v=""/>
    <s v="UNITED PETFOOD PRODUCERS NV"/>
    <s v="9400, , ERPE-MERE, EVENBROEKVELD 1,"/>
    <s v=""/>
    <s v=""/>
    <n v="1"/>
    <m/>
    <n v="1"/>
    <n v="33"/>
    <s v=""/>
    <s v="770100448470"/>
    <s v="ИП ЭСТРИН КИРИЛЛ ВАДИМОВИЧ"/>
    <s v="129085, РОССИЯ, МОСКВА, ПРОСПЕКТ МИРА, Д.81, КВ.101"/>
    <s v="45000"/>
    <s v="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n v="4550610.74"/>
    <s v="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m/>
    <s v="EUR"/>
    <n v="39233.64"/>
    <m/>
    <m/>
    <n v="104.94070000000001"/>
    <s v="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m/>
    <m/>
    <m/>
    <m/>
    <s v="1"/>
    <s v="2309101100"/>
    <s v=""/>
    <s v=""/>
    <s v="BE"/>
    <n v="16861.57"/>
    <s v="ОООО-ОО"/>
    <n v="4000000"/>
    <n v="16796.77"/>
    <m/>
    <s v=""/>
    <s v=""/>
    <n v="39233.64"/>
    <m/>
    <n v="0"/>
    <n v="1"/>
    <n v="4550610.74"/>
    <n v="47237.65"/>
    <s v="10"/>
    <n v="47198.923699999999"/>
    <n v="2.81"/>
    <n v="45"/>
    <m/>
    <s v="ДРУЗЯГИНА"/>
    <n v="155"/>
    <m/>
  </r>
  <r>
    <s v="1"/>
    <d v="2023-02-09T00:00:00"/>
    <x v="12"/>
    <s v="10131010/010823/3268829"/>
    <s v="10131010"/>
    <s v="3268829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86277.55999999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2295.08"/>
    <m/>
    <m/>
    <n v="100.94280000000001"/>
    <s v=""/>
    <s v=""/>
    <s v=""/>
    <s v="-"/>
    <s v="СВ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m/>
    <n v="0"/>
    <m/>
    <m/>
    <m/>
    <s v="1"/>
    <s v="2309101100"/>
    <s v=""/>
    <s v=""/>
    <s v="BE"/>
    <n v="16553.98"/>
    <s v="ОООО-ОО"/>
    <n v="4000000"/>
    <n v="16438.78"/>
    <n v="0"/>
    <s v=""/>
    <s v=""/>
    <n v="42295.08"/>
    <m/>
    <m/>
    <m/>
    <n v="4686277.5599999996"/>
    <n v="51164.54"/>
    <s v="10"/>
    <n v="51124.605799999998"/>
    <n v="3.11"/>
    <m/>
    <m/>
    <m/>
    <n v="212"/>
    <m/>
  </r>
  <r>
    <s v="1"/>
    <d v="2023-01-18T00:00:00"/>
    <x v="5"/>
    <s v="10131010/010823/3268171"/>
    <s v="10131010"/>
    <s v="3268171"/>
    <x v="0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569981.360000000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1142.980000000003"/>
    <m/>
    <m/>
    <n v="100.94280000000001"/>
    <s v=""/>
    <s v=""/>
    <s v=""/>
    <s v="-"/>
    <s v="Ин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m/>
    <n v="0"/>
    <m/>
    <m/>
    <m/>
    <s v="1"/>
    <s v="2309101100"/>
    <s v=""/>
    <s v=""/>
    <s v="BE"/>
    <n v="16104.12"/>
    <s v="ОООО-ОО"/>
    <n v="4000000"/>
    <n v="15952.92"/>
    <n v="0"/>
    <s v=""/>
    <s v=""/>
    <n v="41142.980000000003"/>
    <m/>
    <m/>
    <m/>
    <n v="4569981.3600000003"/>
    <n v="49894.82"/>
    <s v="10"/>
    <n v="49932.639599999995"/>
    <n v="3.13"/>
    <m/>
    <m/>
    <m/>
    <n v="271"/>
    <m/>
  </r>
  <r>
    <s v="1"/>
    <d v="2023-12-25T00:00:00"/>
    <x v="10"/>
    <s v="10131010/010823/3268150"/>
    <s v="10131010"/>
    <s v="3268150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48668.33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34987.879999999997"/>
    <m/>
    <m/>
    <n v="100.94280000000001"/>
    <s v=""/>
    <s v=""/>
    <s v=""/>
    <s v="-"/>
    <s v="СВ"/>
    <s v=""/>
    <s v=""/>
    <s v=""/>
    <s v=""/>
    <s v=""/>
    <s v=""/>
    <s v="10106050 т/п Обнинский"/>
    <m/>
    <s v="КОРМ ДЛЯ СОБА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m/>
    <n v="0"/>
    <m/>
    <m/>
    <m/>
    <s v="1"/>
    <s v="2309101100"/>
    <s v=""/>
    <s v=""/>
    <s v="BE"/>
    <n v="16303.57"/>
    <s v="ОООО-ОО"/>
    <n v="4000000"/>
    <n v="16204.57"/>
    <n v="0"/>
    <s v=""/>
    <s v=""/>
    <n v="34987.879999999997"/>
    <m/>
    <m/>
    <m/>
    <n v="3948668.33"/>
    <n v="43111.360000000001"/>
    <s v="10"/>
    <n v="43104.156200000005"/>
    <n v="2.66"/>
    <m/>
    <m/>
    <m/>
    <n v="20"/>
    <m/>
  </r>
  <r>
    <s v="1"/>
    <d v="2023-07-03T00:00:00"/>
    <x v="0"/>
    <s v="10131010/010823/3268134"/>
    <s v="10131010"/>
    <s v="3268134"/>
    <x v="1"/>
    <s v="40"/>
    <s v=""/>
    <s v=""/>
    <s v=""/>
    <s v="UNITED PETFOOD PRODUCERS NV"/>
    <s v="9400, , ERPE-MERE, EVENBROEKVELD 1,"/>
    <s v=""/>
    <s v=""/>
    <m/>
    <m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638517.4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m/>
    <s v="0"/>
    <s v="FCA"/>
    <s v="ERPE-MERE"/>
    <m/>
    <s v="EUR"/>
    <n v="41821.94"/>
    <m/>
    <m/>
    <n v="100.94280000000001"/>
    <s v=""/>
    <s v=""/>
    <s v=""/>
    <s v="-"/>
    <s v="Ин"/>
    <s v=""/>
    <s v=""/>
    <s v=""/>
    <s v=""/>
    <s v=""/>
    <s v=""/>
    <s v="10106050 т/п Обнин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m/>
    <n v="0"/>
    <m/>
    <m/>
    <m/>
    <s v="1"/>
    <s v="2309101100"/>
    <s v=""/>
    <s v=""/>
    <s v="BE"/>
    <n v="16370.21"/>
    <s v="ОООО-ОО"/>
    <n v="4000000"/>
    <n v="16247.81"/>
    <n v="0"/>
    <s v=""/>
    <s v=""/>
    <n v="41821.94"/>
    <m/>
    <m/>
    <m/>
    <n v="4638517.49"/>
    <n v="50643.09"/>
    <s v="10"/>
    <n v="50693.167200000004"/>
    <n v="3.12"/>
    <m/>
    <m/>
    <m/>
    <n v="163"/>
    <m/>
  </r>
  <r>
    <s v="1"/>
    <d v="2023-06-14T00:00:00"/>
    <x v="11"/>
    <s v="10131010/010623/3196592"/>
    <s v="10131010"/>
    <s v="3196592"/>
    <x v="1"/>
    <s v="40"/>
    <s v=""/>
    <s v=""/>
    <s v=""/>
    <s v="UNITED PETFOOD PRODUCERS NV"/>
    <s v="9400, , ERPE-MERE, EVENBROEKVELD 1, .,..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4492853.2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7809.96"/>
    <n v="4135605"/>
    <n v="55471.3"/>
    <n v="86.500900000000001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,,,.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389.3"/>
    <s v="ОООО-ОО"/>
    <n v="4000000"/>
    <n v="17112.5"/>
    <n v="0"/>
    <s v=""/>
    <s v=""/>
    <n v="47809.96"/>
    <n v="4135605"/>
    <n v="0"/>
    <n v="1"/>
    <n v="4492853.29"/>
    <n v="55471.3"/>
    <s v="10"/>
    <n v="55444.500000000007"/>
    <n v="3.24"/>
    <n v="45"/>
    <s v="2022/09 БР"/>
    <s v="ДРУЗЯГИНА ИРИНА НИКОЛАЕВНА"/>
    <n v="88"/>
    <m/>
  </r>
  <r>
    <s v="1"/>
    <d v="2023-12-18T00:00:00"/>
    <x v="10"/>
    <s v="10131010/010323/3071812"/>
    <s v="10131010"/>
    <s v="3071812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11901.7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075.07"/>
    <n v="3266018"/>
    <n v="48227.37"/>
    <n v="79.5134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796.66"/>
    <s v="ОООО-ОО"/>
    <n v="4000000"/>
    <n v="16706.66"/>
    <n v="0"/>
    <s v=""/>
    <s v=""/>
    <n v="41075.07"/>
    <n v="3266018"/>
    <n v="0"/>
    <n v="1"/>
    <n v="3611901.76"/>
    <n v="48227.37"/>
    <s v="10"/>
    <n v="48227.115421999995"/>
    <n v="2.8866999999999998"/>
    <n v="45"/>
    <s v="2022/09 БР"/>
    <s v="ДРУЗЯГИНА ИРИНА НИКОЛАЕВНА"/>
    <n v="151"/>
    <m/>
  </r>
  <r>
    <s v="1"/>
    <d v="2023-03-16T00:00:00"/>
    <x v="2"/>
    <s v="10131010/010323/3071313"/>
    <s v="10131010"/>
    <s v="3071313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313833.0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7326.410000000003"/>
    <n v="2967950"/>
    <n v="44247.45"/>
    <n v="79.5134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6141.48"/>
    <s v="ОООО-ОО"/>
    <n v="4000000"/>
    <n v="16088.08"/>
    <n v="0"/>
    <s v=""/>
    <s v=""/>
    <n v="37326.410000000003"/>
    <n v="2967950"/>
    <n v="0"/>
    <n v="1"/>
    <n v="3313833.06"/>
    <n v="44247.45"/>
    <s v="10"/>
    <n v="44247.046424"/>
    <n v="2.7503000000000002"/>
    <n v="45"/>
    <s v="2022/09 БР"/>
    <s v="БЛАГОНРАВОВА ДАРЬЯ ДМИТРИЕВНА"/>
    <n v="153"/>
    <m/>
  </r>
  <r>
    <s v="1"/>
    <d v="2023-03-09T00:00:00"/>
    <x v="2"/>
    <s v="10131010/010323/3070790"/>
    <s v="10131010"/>
    <s v="3070790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12125.9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820.239999999998"/>
    <n v="3166243"/>
    <n v="46895.12"/>
    <n v="79.5134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602.8"/>
    <s v="ОООО-ОО"/>
    <n v="4000000"/>
    <n v="16462.46"/>
    <n v="0"/>
    <s v=""/>
    <s v=""/>
    <n v="39820.239999999998"/>
    <n v="3166243"/>
    <n v="0"/>
    <n v="1"/>
    <n v="3512125.96"/>
    <n v="46895.12"/>
    <s v="10"/>
    <n v="46894.963555999995"/>
    <n v="2.8485999999999998"/>
    <n v="45"/>
    <s v="2022/09 БР"/>
    <s v="ЧУДИНА ЭЛЬВИРА РАИСОВНА"/>
    <n v="551"/>
    <m/>
  </r>
  <r>
    <s v="1"/>
    <d v="2023-07-31T00:00:00"/>
    <x v="0"/>
    <s v="10131010/010323/3070634"/>
    <s v="10131010"/>
    <s v="3070634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87865.7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288.08"/>
    <n v="3441982"/>
    <n v="50576.9"/>
    <n v="79.513400000000004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606.64"/>
    <s v="ОООО-ОО"/>
    <n v="4000000"/>
    <n v="16480.64"/>
    <n v="0"/>
    <s v=""/>
    <s v=""/>
    <n v="43288.08"/>
    <n v="3441982"/>
    <n v="0"/>
    <n v="1"/>
    <n v="3787865.71"/>
    <n v="50576.9"/>
    <s v="10"/>
    <n v="50577.436095999998"/>
    <n v="3.0689000000000002"/>
    <n v="45"/>
    <s v="2022/09 БР"/>
    <s v="ДРУЗЯГИНА ИРИНА НИКОЛАЕВНА"/>
    <n v="236"/>
    <m/>
  </r>
  <r>
    <s v="1"/>
    <d v="2023-06-10T00:00:00"/>
    <x v="11"/>
    <s v="10131010/010323/3070177"/>
    <s v="10131010"/>
    <s v="3070177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633708.31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1349.32"/>
    <n v="3287825"/>
    <n v="48518.53"/>
    <n v="79.51340000000000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XМАЛА, БЕЗ СОДЕРЖАНИЯ МОЛОЧНЫХ ПРОДУКТОВ,БЕЗ СОДЕРЖАНИЯ ГМО, В АССОРТИМЕНТЕ:"/>
    <x v="1"/>
    <m/>
    <s v="UNITED PETFOOD PRODUCERS NV"/>
    <n v="33"/>
    <n v="0"/>
    <n v="0"/>
    <m/>
    <n v="0"/>
    <m/>
    <s v="1"/>
    <s v="2309101100"/>
    <s v=""/>
    <s v=""/>
    <s v="BE"/>
    <n v="16964.77"/>
    <s v="ОООО-ОО"/>
    <n v="4000000"/>
    <n v="16929.38"/>
    <n v="0"/>
    <s v=""/>
    <s v=""/>
    <n v="41349.32"/>
    <n v="3287825"/>
    <n v="0"/>
    <n v="1"/>
    <n v="3633708.31"/>
    <n v="48518.53"/>
    <s v="10"/>
    <n v="48517.910142000001"/>
    <n v="2.8658999999999999"/>
    <n v="45"/>
    <s v="2022/09 БР"/>
    <s v="БЛАГОНРАВОВА ДАРЬЯ ДМИТРИЕВНА"/>
    <n v="238"/>
    <m/>
  </r>
  <r>
    <s v="1"/>
    <d v="2023-06-15T00:00:00"/>
    <x v="11"/>
    <s v="10131010/010323/3070083"/>
    <s v="10131010"/>
    <s v="3070083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16420.4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8616.6"/>
    <n v="3070537"/>
    <n v="45617.23"/>
    <n v="79.51340000000000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885.439999999999"/>
    <s v="ОООО-ОО"/>
    <n v="4000000"/>
    <n v="16885.439999999999"/>
    <n v="0"/>
    <s v=""/>
    <s v=""/>
    <n v="38616.6"/>
    <n v="3070537"/>
    <n v="0"/>
    <n v="1"/>
    <n v="3416420.45"/>
    <n v="45617.23"/>
    <s v="10"/>
    <n v="45617.704703999996"/>
    <n v="2.7016"/>
    <n v="45"/>
    <s v="2022/09 БР"/>
    <s v="ЧУДИНА ЭЛЬВИРА РАИСОВНА"/>
    <n v="69"/>
    <m/>
  </r>
  <r>
    <s v="1"/>
    <d v="2023-09-22T00:00:00"/>
    <x v="4"/>
    <s v="10131010/010323/3069996"/>
    <s v="10131010"/>
    <s v="3069996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925525.67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019.360000000001"/>
    <n v="3579642"/>
    <n v="52414.98"/>
    <n v="79.513400000000004"/>
    <s v="010"/>
    <s v=""/>
    <s v="22040387/3292/0000/2/2"/>
    <s v="-"/>
    <s v="11"/>
    <s v="10106/100913/10053/9"/>
    <s v=""/>
    <s v=""/>
    <s v="КАЛУЖСКАЯ ОБЛ., БОРОВСКИЙ Р-Н"/>
    <s v="С. ВОРСИНО"/>
    <s v="СЕВЕРНАЯ ПРОМЗОНА, ВЛ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3"/>
    <n v="0"/>
    <n v="0"/>
    <m/>
    <n v="0"/>
    <m/>
    <s v="1"/>
    <s v="2309101100"/>
    <s v=""/>
    <s v=""/>
    <s v="BE"/>
    <n v="15687.93"/>
    <s v="ОООО-ОО"/>
    <n v="4000000"/>
    <n v="15525.93"/>
    <n v="0"/>
    <s v=""/>
    <s v=""/>
    <n v="45019.360000000001"/>
    <n v="3579642"/>
    <n v="0"/>
    <n v="1"/>
    <n v="3925525.67"/>
    <n v="52414.98"/>
    <s v="10"/>
    <n v="52415.539680000002"/>
    <n v="3.3759999999999999"/>
    <n v="45"/>
    <s v="2022/09 БР"/>
    <s v="БЛАГОНРАВОВА ДАРЬЯ ДМИТРИЕВНА"/>
    <n v="153"/>
    <m/>
  </r>
  <r>
    <s v="1"/>
    <d v="2022-02-17T00:00:00"/>
    <x v="6"/>
    <s v="10131010/010223/3036882"/>
    <s v="10131010"/>
    <s v="3036882"/>
    <x v="1"/>
    <s v="40"/>
    <s v=""/>
    <s v=""/>
    <s v=""/>
    <s v="WELLPET BELGIUM BVBA"/>
    <s v="B-1831, LEONARDO DA VINCILAAN, 19, DIEGEM, ."/>
    <s v=""/>
    <s v=""/>
    <n v="1"/>
    <n v="0"/>
    <n v="1"/>
    <n v="33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n v="3576822.36"/>
    <s v="1027700221438"/>
    <s v="7718118019"/>
    <s v="АО &quot;ВАЛТА ПЕТ ПРОДАКТС&quot;"/>
    <s v="115230, РОССИЯ, МОСКВА, ВАРШАВСКОЕ ШОССЕ,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3862.16"/>
    <n v="3346700"/>
    <n v="50722.55"/>
    <n v="76.300399999999996"/>
    <s v="010"/>
    <s v="31"/>
    <s v="18090220/1481/1948/2/1"/>
    <s v="-"/>
    <s v="99"/>
    <s v=""/>
    <s v="."/>
    <s v=""/>
    <s v="СМОЛЕНСКАЯ ОБЛАСТЬ,СМОЛЕНСКИЙ Р-Н"/>
    <s v="СЕЛЬСКОЕ ПОСЕЛЕНИЕ СТАБНИНСКОЕ"/>
    <s v="СЕВЕРО-ВОСТОЧНЕЕ Д. СТАБНА,НА РАССТОЯНИИ 700 МЕТРО"/>
    <s v="10113100 т/п Стабнинский"/>
    <n v="1"/>
    <s v="СУХОЙ КОРМ ДЛЯ КОШЕК И СОБАК Т.М. &quot;WELLNESS CORE&quot;, РАСФАСОВАННЫЙ ДЛЯ РОЗНИЧНОЙ ПРОДАЖИ В ИНДИВИДУАЛЬНУЮ УПАКОВКУ, СОДЕРЖИТ 10 МАС.% ИЛИ МЕНЕE КРАХМАЛА, НЕ СОДЕРЖИТ ГЛЮКОЗУ, МОЛОЧНЫЕ ПРОДУКТЫ И МАЛЬТОДЕКСТРИН"/>
    <x v="1"/>
    <m/>
    <s v="UNITED PETFOOD FRANCE-UPF"/>
    <n v="33"/>
    <n v="0"/>
    <n v="0"/>
    <m/>
    <n v="0"/>
    <m/>
    <s v="1"/>
    <s v="2309101100"/>
    <s v=""/>
    <s v=""/>
    <s v="FR"/>
    <n v="15670.8"/>
    <s v="ОООО-ОО"/>
    <n v="4000000"/>
    <n v="15612.24"/>
    <n v="0"/>
    <s v=""/>
    <s v=""/>
    <n v="43862.16"/>
    <n v="3346700"/>
    <n v="0"/>
    <n v="1"/>
    <n v="3576822.36"/>
    <n v="50722.55"/>
    <s v="10"/>
    <n v="50722.606535999999"/>
    <n v="3.2488999999999999"/>
    <n v="941"/>
    <s v="0770/СПБ/161"/>
    <s v="ДАШКИН АЛЕКСЕЙ ХАЛИМОВИЧ"/>
    <n v="547"/>
    <m/>
  </r>
  <r>
    <s v="1"/>
    <d v="2022-03-27T00:00:00"/>
    <x v="6"/>
    <s v="10131010/010223/3036551"/>
    <s v="10131010"/>
    <s v="3036551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549949.3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2175.96"/>
    <n v="3218043"/>
    <n v="50341.47"/>
    <n v="76.3003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PТИМЕНТЕ,В АССОРТИМЕНТЕ:"/>
    <x v="1"/>
    <m/>
    <s v="UNITED PETFOOD PRODUCERS NV"/>
    <n v="33"/>
    <n v="0"/>
    <n v="0"/>
    <m/>
    <n v="0"/>
    <m/>
    <s v="1"/>
    <s v="2309101100"/>
    <s v=""/>
    <s v=""/>
    <s v="BE"/>
    <n v="17117.27"/>
    <s v="ОООО-ОО"/>
    <n v="4000000"/>
    <n v="17117.27"/>
    <n v="0"/>
    <s v=""/>
    <s v=""/>
    <n v="42175.96"/>
    <n v="3218043"/>
    <n v="0"/>
    <n v="1"/>
    <n v="3549949.36"/>
    <n v="50341.47"/>
    <s v="10"/>
    <n v="50341.891069999998"/>
    <n v="2.9409999999999998"/>
    <n v="45"/>
    <s v="2022/09 БР"/>
    <s v="ЯШИНА АННА СЕРГЕЕВНА"/>
    <n v="9"/>
    <m/>
  </r>
  <r>
    <s v="1"/>
    <d v="2022-06-14T00:00:00"/>
    <x v="6"/>
    <s v="10131010/010223/3036543"/>
    <s v="10131010"/>
    <s v="3036543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410679.7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0350.68"/>
    <n v="3078773"/>
    <n v="48366.5"/>
    <n v="76.3003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CОРТИМЕНТЕ"/>
    <x v="1"/>
    <m/>
    <s v="UNITED PETFOOD PRODUCERS NV"/>
    <n v="33"/>
    <n v="0"/>
    <n v="0"/>
    <m/>
    <n v="0"/>
    <m/>
    <s v="1"/>
    <s v="2309101100"/>
    <s v=""/>
    <s v=""/>
    <s v="BE"/>
    <n v="18086.95"/>
    <s v="ОООО-ОО"/>
    <n v="4000000"/>
    <n v="18086.95"/>
    <n v="0"/>
    <s v=""/>
    <s v=""/>
    <n v="40350.68"/>
    <n v="3078773"/>
    <n v="0"/>
    <n v="1"/>
    <n v="3410679.76"/>
    <n v="48366.5"/>
    <s v="10"/>
    <n v="48366.312995000008"/>
    <n v="2.6741000000000001"/>
    <n v="45"/>
    <s v="2022/09 БР"/>
    <s v="БЛАГОНРАВОВА ДАРЬЯ ДМИТРИЕВНА"/>
    <n v="252"/>
    <m/>
  </r>
  <r>
    <s v="1"/>
    <d v="2022-08-30T00:00:00"/>
    <x v="6"/>
    <s v="10131010/010223/3036531"/>
    <s v="10131010"/>
    <s v="3036531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37050.15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4128.12"/>
    <n v="3366993"/>
    <n v="52994.720000000001"/>
    <n v="76.3003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XМАЛА, БЕЗ СОДЕРЖАНИЯ МОЛОЧНЫХ ПРОДУКТОВ,БЕЗ СОДЕРЖАНИЯ ГМО, В АССОРТИМЕНТЕ"/>
    <x v="1"/>
    <m/>
    <s v="UNITED PETFOOD PRODUCERS NV"/>
    <n v="33"/>
    <n v="0"/>
    <n v="0"/>
    <m/>
    <n v="0"/>
    <m/>
    <s v="1"/>
    <s v="2309101100"/>
    <s v=""/>
    <s v=""/>
    <s v="BE"/>
    <n v="16120.37"/>
    <s v="ОООО-ОО"/>
    <n v="4000000"/>
    <n v="16084.37"/>
    <n v="0"/>
    <s v=""/>
    <s v=""/>
    <n v="44128.12"/>
    <n v="3366993"/>
    <n v="0"/>
    <n v="1"/>
    <n v="3737050.15"/>
    <n v="52994.720000000001"/>
    <s v="10"/>
    <n v="52994.782276000005"/>
    <n v="3.2948"/>
    <n v="45"/>
    <s v="2022/09 БР"/>
    <s v="ЧУДИНА ЭЛЬВИРА РАИСОВНА"/>
    <n v="9"/>
    <m/>
  </r>
  <r>
    <s v="1"/>
    <d v="2022-07-04T00:00:00"/>
    <x v="6"/>
    <s v="10131010/010223/3036524"/>
    <s v="10131010"/>
    <s v="3036524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26343.68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3987.8"/>
    <n v="3356287"/>
    <n v="52842.9"/>
    <n v="76.3003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6525.080000000002"/>
    <s v="ОООО-ОО"/>
    <n v="4000000"/>
    <n v="16525.080000000002"/>
    <n v="0"/>
    <s v=""/>
    <s v=""/>
    <n v="43987.8"/>
    <n v="3356287"/>
    <n v="0"/>
    <n v="1"/>
    <n v="3726343.68"/>
    <n v="52842.9"/>
    <s v="10"/>
    <n v="52842.248316000012"/>
    <n v="3.1977000000000002"/>
    <n v="45"/>
    <s v="2022/09 БР"/>
    <s v="ДРУЗЯГИНА ИРИНА НИКОЛАЕВНА"/>
    <n v="4"/>
    <m/>
  </r>
  <r>
    <s v="1"/>
    <d v="2022-03-02T00:00:00"/>
    <x v="6"/>
    <s v="10131010/010223/3036072"/>
    <s v="10131010"/>
    <s v="3036072"/>
    <x v="1"/>
    <s v="40"/>
    <s v=""/>
    <s v=""/>
    <s v=""/>
    <s v="UNITED PETFOOD PRODUCERS NV"/>
    <s v="9400, , ERPE-MERE, EVENBROEKVELD 1,"/>
    <s v=""/>
    <s v=""/>
    <n v="1"/>
    <n v="0"/>
    <n v="1"/>
    <n v="36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788646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45304.34"/>
    <n v="3456739"/>
    <n v="53726.400000000001"/>
    <n v="76.3003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КОШЕК, РАСФАСОВАННЫЙ ДЛЯ РОЗНИЧНОЙ ПРОДАЖИ, БЕЗ СОДЕРЖАНИЯ КРАХМАЛА, БЕЗ СОДЕРЖАНИЯ МОЛОЧНЫХ ПРОДУКТОВ, В АССОРТИМЕНТЕ"/>
    <x v="1"/>
    <m/>
    <s v="UNITED PETFOOD PRODUCERS NV"/>
    <n v="36"/>
    <n v="0"/>
    <n v="0"/>
    <m/>
    <n v="0"/>
    <m/>
    <s v="1"/>
    <s v="2309101100"/>
    <s v=""/>
    <s v=""/>
    <s v="BE"/>
    <n v="18803.25"/>
    <s v="ОООО-ОО"/>
    <n v="4000000"/>
    <n v="18803.25"/>
    <n v="0"/>
    <s v=""/>
    <s v=""/>
    <n v="45304.34"/>
    <n v="3456739"/>
    <n v="0"/>
    <n v="1"/>
    <n v="3788646"/>
    <n v="53726.400000000001"/>
    <s v="10"/>
    <n v="53726.526225000001"/>
    <n v="2.8573"/>
    <n v="45"/>
    <s v="2022/09 БР"/>
    <s v="ДРУЗЯГИНА ИРИНА НИКОЛАЕВНА"/>
    <n v="134"/>
    <m/>
  </r>
  <r>
    <s v="1"/>
    <d v="2022-05-09T00:00:00"/>
    <x v="6"/>
    <s v="10131010/010223/3035828"/>
    <s v="10131010"/>
    <s v="3035828"/>
    <x v="1"/>
    <s v="40"/>
    <s v=""/>
    <s v=""/>
    <s v=""/>
    <s v="UNITED PETFOOD PRODUCERS NV"/>
    <s v="9400, , ERPE-MERE, EVENBROEKVELD 1,"/>
    <s v=""/>
    <s v=""/>
    <n v="1"/>
    <n v="0"/>
    <n v="1"/>
    <n v="33"/>
    <s v="316774600208441"/>
    <s v="770100448470"/>
    <s v="ИП ЭСТРИН КИРИЛЛ ВАДИМОВИЧ"/>
    <s v="129085, РОССИЯ, МОСКВА, ПРОСПЕКТ МИРА, Д.81, КВ.101"/>
    <s v="45000"/>
    <s v="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n v="3322983.9"/>
    <s v="316774600208441"/>
    <s v="770100448470"/>
    <s v="ИП ЭСТРИН КИРИЛЛ ВАДИМОВИЧ"/>
    <s v="129085, РОССИЯ, МОСКВА, ПРОСПЕКТ МИРА, Д.81, КВ.101"/>
    <s v="45000"/>
    <s v=""/>
    <s v="BE"/>
    <s v="БЕЛЬГИЯ"/>
    <x v="7"/>
    <s v="RU"/>
    <s v="РОССИЯ"/>
    <n v="2"/>
    <s v="0"/>
    <s v="FCA"/>
    <s v="ERPE-MERE"/>
    <n v="1"/>
    <s v="EUR"/>
    <n v="39201.33"/>
    <n v="2991077"/>
    <n v="47122.89"/>
    <n v="76.300399999999996"/>
    <s v="010"/>
    <s v=""/>
    <s v="22040387/3292/0000/2/2"/>
    <s v="-"/>
    <s v="99"/>
    <s v=""/>
    <s v=""/>
    <s v=""/>
    <s v="КАЛУЖСКАЯ ОБЛ., БОРОВСКИЙ Р-Н"/>
    <s v="С. ВОРСИНО"/>
    <s v="СЕВЕРНАЯ ПРОМЗОНА, ВЛАД. 6"/>
    <s v="10106050 т/п Обнинский"/>
    <n v="1"/>
    <s v="КОРМ ДЛЯ СОБАК И КОШЕК, РАСФАСОВАННЫЙ ДЛЯ РОЗНИЧНОЙ ПРОДАЖИ, БЕЗ СОДЕРЖАНИЯ КРАХМАЛА, БЕЗ СОДЕРЖАНИЯ МОЛОЧHЫХ ПРОДУКТОВ, В АССОРТИМЕНТЕ:"/>
    <x v="1"/>
    <m/>
    <s v="UNITED PETFOOD PRODUCERS NV"/>
    <n v="33"/>
    <n v="0"/>
    <n v="0"/>
    <m/>
    <n v="0"/>
    <m/>
    <s v="1"/>
    <s v="2309101100"/>
    <s v=""/>
    <s v=""/>
    <s v="BE"/>
    <n v="17763.77"/>
    <s v="ОООО-ОО"/>
    <n v="4000000"/>
    <n v="17763.77"/>
    <n v="0"/>
    <s v=""/>
    <s v=""/>
    <n v="39201.33"/>
    <n v="2991077"/>
    <n v="0"/>
    <n v="1"/>
    <n v="3322983.9"/>
    <n v="47122.89"/>
    <s v="10"/>
    <n v="47123.729056000004"/>
    <n v="2.6528"/>
    <n v="45"/>
    <s v="2022/09 БР"/>
    <s v="ЯШИНА АННА СЕРГЕЕВНА"/>
    <n v="153"/>
    <m/>
  </r>
  <r>
    <s v="1"/>
    <d v="2023-06-27T00:00:00"/>
    <x v="11"/>
    <s v="10013160/310323/3146842"/>
    <s v="10013160"/>
    <s v="3146842"/>
    <x v="1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518050.54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1482.92"/>
    <n v="4312410"/>
    <n v="58610.29"/>
    <n v="83.763900000000007"/>
    <s v="010"/>
    <s v="31"/>
    <s v="18090220/1481/1948/2/1"/>
    <s v="-"/>
    <s v="99"/>
    <s v=""/>
    <s v="10013/200111/10118/9"/>
    <s v=""/>
    <s v="МОСКОВСКАЯ ОБЛ., ОДИНЦОВСКИЙ Р-Н"/>
    <s v="С. АКУЛОВО"/>
    <s v="УЛ. НОВАЯ, Д. 137,,,."/>
    <s v="10013010 т/п Акуловский"/>
    <n v="1"/>
    <s v="КОРМ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:"/>
    <x v="1"/>
    <m/>
    <s v="UNITED PETFOOD FRANCE-UPF"/>
    <n v="33"/>
    <n v="0"/>
    <n v="0"/>
    <m/>
    <n v="0"/>
    <m/>
    <s v="1"/>
    <s v="2309101100"/>
    <s v=""/>
    <s v=""/>
    <s v="FR"/>
    <n v="4245.6000000000004"/>
    <s v="ОООО-ОО"/>
    <n v="4000000"/>
    <n v="3964.4"/>
    <n v="0"/>
    <s v=""/>
    <s v=""/>
    <n v="14753.22"/>
    <n v="1235787"/>
    <n v="0"/>
    <n v="1"/>
    <n v="1294994.92"/>
    <n v="16799.29"/>
    <s v="10"/>
    <n v="16799.145"/>
    <n v="4.2374999999999998"/>
    <n v="952"/>
    <s v="0952-22-875"/>
    <s v="ДИЖЕНИНА ЕКАТЕРИНА ВЛАДИМИРОВНА"/>
    <n v="0"/>
    <m/>
  </r>
  <r>
    <s v="1"/>
    <d v="2023-02-03T00:00:00"/>
    <x v="12"/>
    <s v="10013160/310323/3146842"/>
    <s v="10013160"/>
    <s v="3146842"/>
    <x v="1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518050.54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1482.92"/>
    <n v="4312410"/>
    <n v="58610.29"/>
    <n v="83.763900000000007"/>
    <s v="010"/>
    <s v="31"/>
    <s v="18090220/1481/1948/2/1"/>
    <s v="-"/>
    <s v="99"/>
    <s v=""/>
    <s v="10013/200111/10118/9"/>
    <s v=""/>
    <s v="МОСКОВСКАЯ ОБЛ., ОДИНЦОВСКИЙ Р-Н"/>
    <s v="С. АКУЛОВО"/>
    <s v="УЛ. НОВАЯ, Д. 137,,,."/>
    <s v="10013010 т/п Акуловский"/>
    <n v="2"/>
    <s v="КОРМ ДЛЯ СОБАК ИЛИ КОШЕК, РАСФАСОВАННЫЙ, СОДЕРЖАЩИЙ БОЛЕЕ 10 МАС.%,НО НЕ БОЛЕЕ 30 МАС.% КРАХМАЛА, НЕ СОДЕРЖАЩИЙ МОЛОЧНЫХ ПРОДУКТОВ ИЛИ СОДЕРЖАЩИЙ МЕНЕЕ 10 МАС.% ТАКИХ ПРОДУКТОВ:"/>
    <x v="1"/>
    <m/>
    <s v="UNITED PETFOOD FRANCE-UPF"/>
    <n v="33"/>
    <n v="0"/>
    <n v="0"/>
    <m/>
    <n v="0"/>
    <m/>
    <s v="2"/>
    <s v="2309103100"/>
    <s v=""/>
    <s v=""/>
    <s v="FR"/>
    <n v="10500.32"/>
    <s v="ОООО-ОО"/>
    <n v="4000000"/>
    <n v="9836.4"/>
    <n v="0"/>
    <s v=""/>
    <s v=""/>
    <n v="36729.699999999997"/>
    <n v="3076623"/>
    <n v="0"/>
    <n v="1"/>
    <n v="3223055.62"/>
    <n v="41811"/>
    <s v="10"/>
    <n v="41810.601840000003"/>
    <n v="4.2506000000000004"/>
    <n v="952"/>
    <s v="0952-22-875"/>
    <s v="ДИЖЕНИНА ЕКАТЕРИНА ВЛАДИМИРОВНА"/>
    <n v="0"/>
    <m/>
  </r>
  <r>
    <s v="1"/>
    <d v="2023-01-29T00:00:00"/>
    <x v="5"/>
    <s v="10013160/291222/3636722"/>
    <s v="10013160"/>
    <s v="3636722"/>
    <x v="1"/>
    <s v="40"/>
    <s v=""/>
    <s v=""/>
    <s v=""/>
    <s v="IMMERGAS EUROPE S.R.O"/>
    <s v="05951, , POPRAD, PRIEMYSLENA UL. 4789,"/>
    <s v=""/>
    <s v=""/>
    <n v="1"/>
    <n v="0"/>
    <n v="1"/>
    <n v="30"/>
    <s v="1127746114759"/>
    <s v="7709897295"/>
    <s v="ООО ИММЕРГАЗ"/>
    <s v="129626, , МОСКВА, УЛ. СТАРОАЛЕКСЕЕВСКАЯ, Д. 5, ПОМЕЩЕНИЕ 300,"/>
    <s v="45000"/>
    <s v="771701001"/>
    <s v="1127746114759"/>
    <s v="7709897295"/>
    <s v="ООО ИММЕРГАЗ"/>
    <s v="129626, , МОСКВА, УЛ. СТАРОАЛЕКСЕЕВСКАЯ, Д. 5, ПОМЕЩЕНИЕ 300,"/>
    <s v="45000"/>
    <s v="771701001"/>
    <s v="SK"/>
    <s v="СЛОВАКИЯ"/>
    <n v="10181566.199999901"/>
    <s v="1127746114759"/>
    <s v="7709897295"/>
    <s v="ООО ИММЕРГАЗ"/>
    <s v="129626, , МОСКВА, УЛ. СТАРОАЛЕКСЕЕВСКАЯ, Д. 5, ПОМЕЩЕНИЕ 300,"/>
    <s v="45000"/>
    <s v="771701001"/>
    <s v="SK"/>
    <s v="СЛОВАКИЯ"/>
    <x v="12"/>
    <s v="RU"/>
    <s v="РОССИЯ"/>
    <n v="2"/>
    <s v="0"/>
    <s v="EXW"/>
    <s v="ПОПРАД"/>
    <n v="1"/>
    <s v="EUR"/>
    <n v="132770"/>
    <n v="10045378"/>
    <n v="142746.71"/>
    <n v="75.66"/>
    <s v="010"/>
    <s v="31"/>
    <s v="12040088/1623/0000/2/0"/>
    <s v="-"/>
    <s v="99"/>
    <s v=""/>
    <s v="10013/200111/10089/5"/>
    <s v="119027"/>
    <s v="МОСКОВСКАЯ ОБЛ., ИСТРИНСКИЙ Р-Н"/>
    <s v="П. ПЕРВОМАЙСКИЙ"/>
    <s v="СТР. 35/2 И СТР. 35/3"/>
    <s v="10013050 т/п Истринский"/>
    <n v="1"/>
    <s v="НАСТЕННЫЕ МЕТАЛЛИЧЕСКИЕ КОТЛЫ (БОЙЛЕРЫ) ГОРЯЧЕГО ВОДОСНАБЖЕНИЯ ИЗ УГЛЕРОДИСТОЙ СТАЛИ МАРКИ FE360 СО ВСТРОЕННЫМИ ГАЗОВОЙ ГОРЕЛКОЙ, КАМЕРОЙ СГОРАНИЯ, ТЕПЛООБМЕННИКОМ, ЦИРКУЛЯЦИОННЫМ НАСОСОМ, ДЫМОУДАЛИТЕЛЯМИ,ЭЛЕКТРОННОЙ МИКРОПРОЦЕССОРНОЙ СИСТЕМОЙ"/>
    <x v="0"/>
    <m/>
    <s v="IMMERGAS EUROPE S.R.O"/>
    <n v="30"/>
    <n v="0"/>
    <n v="462"/>
    <s v="ШТ"/>
    <n v="0"/>
    <m/>
    <s v="1"/>
    <s v="8403109000"/>
    <s v=""/>
    <s v=""/>
    <s v="SK"/>
    <n v="15330.6"/>
    <s v="ОООО-ОО"/>
    <n v="4000000"/>
    <n v="13637.2"/>
    <n v="0"/>
    <s v=""/>
    <s v=""/>
    <n v="132770"/>
    <n v="10045378"/>
    <n v="0"/>
    <n v="1"/>
    <n v="10181566.199999901"/>
    <n v="142746.71"/>
    <s v="10"/>
    <n v="10.467499999999999"/>
    <n v="1175"/>
    <n v="220714"/>
    <m/>
    <s v="БЫСТРИЦКАЯ ЕКАТЕРИНА БОРИСОВНА"/>
    <n v="0"/>
    <m/>
  </r>
  <r>
    <s v="1"/>
    <d v="2022-03-18T00:00:00"/>
    <x v="6"/>
    <s v="10013160/271222/3632006"/>
    <s v="10013160"/>
    <s v="3632006"/>
    <x v="1"/>
    <s v="40"/>
    <s v=""/>
    <s v=""/>
    <s v=""/>
    <s v="FONDERIE SIME S.P.A."/>
    <s v="37045, , LEGNAGO (VR), VIA GARBO, 27,"/>
    <s v=""/>
    <s v=""/>
    <n v="1"/>
    <n v="0"/>
    <n v="1"/>
    <n v="40"/>
    <s v="315774600373581"/>
    <s v="504601572998"/>
    <s v="ИП СКОПНЕНКО АЛЕКСЕЙ АНДРЕЕВИЧ"/>
    <s v="108811, Г. МОСКВА, ПОС. МОСКОВСКИЙ, 22Й КМ КИЕВСКОГО Ш., Д. 2, КОРП. В,"/>
    <s v="45000"/>
    <s v=""/>
    <s v="315774600373581"/>
    <s v="504601572998"/>
    <s v="ИП СКОПНЕНКО АЛЕКСЕЙ АНДРЕЕВИЧ"/>
    <s v="108811, Г. МОСКВА, ПОС. МОСКОВСКИЙ, 22Й КМ КИЕВСКОГО Ш., Д. 2, КОРП. В,"/>
    <s v="45000"/>
    <s v=""/>
    <s v="IT"/>
    <s v="ИТАЛИЯ"/>
    <n v="4939503.8499999903"/>
    <s v="315774600373581"/>
    <s v="504601572998"/>
    <s v="ИП СКОПНЕНКО АЛЕКСЕЙ АНДРЕЕВИЧ"/>
    <s v="108811, Г. МОСКВА, ПОС. МОСКОВСКИЙ, 22Й КМ КИЕВСКОГО Ш., Д. 2, КОРП. В,"/>
    <s v="45000"/>
    <s v=""/>
    <s v="IT"/>
    <s v="ИТАЛИЯ"/>
    <x v="0"/>
    <s v="RU"/>
    <s v="РОССИЯ"/>
    <n v="2"/>
    <s v="0"/>
    <s v="EXW"/>
    <s v="LEGNAGO (VR)"/>
    <n v="1"/>
    <s v="EUR"/>
    <n v="61683.86"/>
    <n v="4479642"/>
    <n v="72163.59"/>
    <n v="72.622600000000006"/>
    <s v="010"/>
    <s v="30"/>
    <s v="19110189/1000/0097/2/2"/>
    <s v="-"/>
    <s v="11"/>
    <s v="10013/200111/10118/8"/>
    <s v=""/>
    <s v=""/>
    <s v="МОСКОВСКАЯ ОБЛ., ОДИНЦОВСКИЙ Р-Н"/>
    <s v="С. АКУЛОВО"/>
    <s v="УЛ. НОВАЯ, Д. 137"/>
    <s v="10013010 т/п Акуловский"/>
    <n v="1"/>
    <s v="КОТЛЫ ОТОПИТЕЛЬНЫЕ ВОДОГРЕЙНЫЕ ГАЗОВЫЕ, ИЗ ЧУГУННОГО ЛИТЬЯ, БЫТОВЫЕ, УНИВЕРСАЛЬНЫЕ, ДЛЯ ОБОГРЕВА ЛЮБЫХ ПОМЕЩЕНИЙ, ЧАСТИЧНО В РАЗОБРАННОМ ВИДЕ ДЛЯ УДОБСТВА ТРАНСПОРТИРОВКИ, НЕ ВОЕННОГО НАЗНАЧЕНИЯ:"/>
    <x v="0"/>
    <m/>
    <s v="FONDERIE SIME S.P.A."/>
    <n v="40"/>
    <n v="0"/>
    <n v="38"/>
    <s v="ШТ"/>
    <n v="0"/>
    <m/>
    <s v="1"/>
    <s v="8403101000"/>
    <s v=""/>
    <s v=""/>
    <s v="IT"/>
    <n v="19543.5999999999"/>
    <s v="ОООО-ОО"/>
    <n v="4000000"/>
    <n v="18741.5999999999"/>
    <n v="0"/>
    <s v=""/>
    <s v=""/>
    <n v="61683.86"/>
    <n v="4479642"/>
    <n v="0"/>
    <n v="1"/>
    <n v="4939503.8499999903"/>
    <n v="72163.59"/>
    <s v="10"/>
    <n v="3.8504"/>
    <m/>
    <m/>
    <m/>
    <s v="СКОПНЕНКО АЛЕКСЕЙ АНДРЕЕВИЧ"/>
    <n v="1561"/>
    <m/>
  </r>
  <r>
    <s v="1"/>
    <d v="2022-06-24T00:00:00"/>
    <x v="6"/>
    <s v="10013160/271222/3631837"/>
    <s v="10013160"/>
    <s v="3631837"/>
    <x v="1"/>
    <s v="40"/>
    <s v=""/>
    <s v=""/>
    <s v=""/>
    <s v="FONDERIE SIME S.P.A."/>
    <s v="37045, , LEGNAGO (VR), VIA GARBO, 27,"/>
    <s v=""/>
    <s v=""/>
    <n v="2"/>
    <n v="0"/>
    <n v="2"/>
    <n v="194"/>
    <s v="315774600373581"/>
    <s v="504601572998"/>
    <s v="ИП СКОПНЕНКО АЛЕКСЕЙ АНДРЕЕВИЧ"/>
    <s v="108811, Г. МОСКВА, ПОС. МОСКОВСКИЙ, 22Й КМ КИЕВСКОГО Ш., Д. 2, КОРП. В,"/>
    <s v="45000"/>
    <s v=""/>
    <s v="315774600373581"/>
    <s v="504601572998"/>
    <s v="ИП СКОПНЕНКО АЛЕКСЕЙ АНДРЕЕВИЧ"/>
    <s v="108811, Г. МОСКВА, ПОС. МОСКОВСКИЙ, 22Й КМ КИЕВСКОГО Ш., Д. 2, КОРП. В,"/>
    <s v="45000"/>
    <s v=""/>
    <s v="IT"/>
    <s v="ИТАЛИЯ"/>
    <n v="6984509.7800000003"/>
    <s v="315774600373581"/>
    <s v="504601572998"/>
    <s v="ИП СКОПНЕНКО АЛЕКСЕЙ АНДРЕЕВИЧ"/>
    <s v="108811, Г. МОСКВА, ПОС. МОСКОВСКИЙ, 22Й КМ КИЕВСКОГО Ш., Д. 2, КОРП. В,"/>
    <s v="45000"/>
    <s v=""/>
    <s v="IT"/>
    <s v="ИТАЛИЯ"/>
    <x v="0"/>
    <s v="RU"/>
    <s v="РОССИЯ"/>
    <n v="2"/>
    <s v="0"/>
    <s v="EXW"/>
    <s v="LEGNAGO (VR)"/>
    <n v="1"/>
    <s v="EUR"/>
    <n v="89771"/>
    <n v="6519403"/>
    <n v="102040.07"/>
    <n v="72.622600000000006"/>
    <s v="010"/>
    <s v="30"/>
    <s v="19110189/1000/0097/2/2"/>
    <s v="-"/>
    <s v="11"/>
    <s v="10013/200111/10118/8"/>
    <s v=""/>
    <s v=""/>
    <s v="МОСКОВСКАЯ ОБЛ., ОДИНЦОВСКИЙ Р-Н"/>
    <s v="С. АКУЛОВО"/>
    <s v="УЛ. НОВАЯ, Д. 137"/>
    <s v="10013010 т/п Акуловский"/>
    <n v="1"/>
    <s v="КОТЛЫ ОТОПИТЕЛЬНЫЕ ВОДОГРЕЙНЫЕ ГАЗОВЫЕ, ИЗ ЧУГУННОГО ЛИТЬЯ, БЫТОВЫЕ, УНИВЕРСАЛЬНЫЕ, ДЛЯ ОБОГРЕВА ЛЮБЫХ ПОМЕЩЕНИЙ, ЧАСТИЧНО В РАЗОБРАННОМ ВИДЕ ДЛЯ УДОБСТВА ТРАНСПОРТИРОВКИ, НЕ ВОЕННОГО НАЗНАЧЕНИЯ:"/>
    <x v="0"/>
    <m/>
    <s v="FONDERIE SIME S.P.A."/>
    <n v="192"/>
    <n v="0"/>
    <n v="117"/>
    <s v="ШТ"/>
    <n v="0"/>
    <m/>
    <s v="1"/>
    <s v="8403101000"/>
    <s v=""/>
    <s v=""/>
    <s v="IT"/>
    <n v="19735"/>
    <s v="ОООО-ОО"/>
    <n v="4000000"/>
    <n v="18542.5"/>
    <n v="0"/>
    <s v=""/>
    <s v=""/>
    <n v="87600.89"/>
    <n v="6361804"/>
    <n v="0"/>
    <n v="1"/>
    <n v="6826150.3899999904"/>
    <n v="99726.52"/>
    <s v="10"/>
    <n v="5.3783000000000003"/>
    <m/>
    <m/>
    <m/>
    <s v="СКОПНЕНКО АЛЕКСЕЙ АНДРЕЕВИЧ"/>
    <n v="1045"/>
    <m/>
  </r>
  <r>
    <s v="1"/>
    <d v="2023-06-27T00:00:00"/>
    <x v="11"/>
    <s v="10013160/270223/3089072"/>
    <s v="10013160"/>
    <s v="3089072"/>
    <x v="0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072946.35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8730.93"/>
    <n v="3877598"/>
    <n v="54517.7"/>
    <n v="79.571600000000004"/>
    <s v="010"/>
    <s v="31"/>
    <s v="18090220/1481/1948/2/1"/>
    <s v="-"/>
    <s v="11"/>
    <s v="10013/200111/10118/8"/>
    <s v=""/>
    <s v=""/>
    <s v="МОСКОВСКАЯ ОБЛ., ОДИНЦОВСКИЙ Р-Н"/>
    <s v="С. АКУЛОВО (Г.П. ОДИНЦОВО)"/>
    <s v="УЛ. НОВАЯ, Д. 137"/>
    <s v="10013010 т/п Акуловский"/>
    <n v="1"/>
    <s v="КОРМ СУХОЙ ПОЛНОРАЦИОННЫЙ ДЛЯ СОБАК ИЛИ КОШЕК, РАСФАСОВАННЫЙ, НЕ СОДЕРЖАЩИЙ КРАХМАЛ, ИЛИ СОДЕРЖАЩИЙ 10 МАС.% ИЛИ МЕНЕЕ КРАХМАЛА, НЕ СОДЕРЖАЩИЙ МОЛОЧНЫХ ПРОДУКTОВ ИЛИ СОДЕРЖАЩИЙ МЕНЕЕ 10 МАС.% МОЛОЧНЫХ ПРОДУКТОВ:"/>
    <x v="1"/>
    <m/>
    <s v="UNITED PETFOOD FRANCE-UPF"/>
    <n v="18"/>
    <n v="0"/>
    <n v="0"/>
    <m/>
    <n v="0"/>
    <m/>
    <s v="1"/>
    <s v="2309101100"/>
    <s v=""/>
    <s v=""/>
    <s v="FR"/>
    <n v="7752.72"/>
    <s v="ОООО-ОО"/>
    <n v="4000000"/>
    <n v="7356.2"/>
    <n v="0"/>
    <s v=""/>
    <s v=""/>
    <n v="26506.29"/>
    <n v="2109148"/>
    <n v="0"/>
    <n v="1"/>
    <n v="2212840.0499999998"/>
    <n v="29619.58"/>
    <s v="10"/>
    <n v="29619.739300000001"/>
    <n v="4.0265000000000004"/>
    <n v="952"/>
    <s v="0952-22-875"/>
    <s v="СНОПКОВ ДМИТРИЙ СЕРГЕЕВИЧ"/>
    <n v="0"/>
    <m/>
  </r>
  <r>
    <s v="1"/>
    <d v="2023-10-19T00:00:00"/>
    <x v="1"/>
    <s v="10013160/270223/3089072"/>
    <s v="10013160"/>
    <s v="3089072"/>
    <x v="0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072946.35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8730.93"/>
    <n v="3877598"/>
    <n v="54517.7"/>
    <n v="79.571600000000004"/>
    <s v="010"/>
    <s v="31"/>
    <s v="18090220/1481/1948/2/1"/>
    <s v="-"/>
    <s v="11"/>
    <s v="10013/200111/10118/8"/>
    <s v=""/>
    <s v=""/>
    <s v="МОСКОВСКАЯ ОБЛ., ОДИНЦОВСКИЙ Р-Н"/>
    <s v="С. АКУЛОВО (Г.П. ОДИНЦОВО)"/>
    <s v="УЛ. НОВАЯ, Д. 137"/>
    <s v="10013010 т/п Акуловский"/>
    <n v="2"/>
    <s v="КОРМ СУХОЙ ПОЛНОРАЦИОННЫЙ ДЛЯ СОБАК ИЛИ КОШЕК, РАСФАСОВАННЫЙ, СОДЕРЖАЩИЙ БОЛЕЕ 10 МАС.%,НО НЕ БОЛЕЕ 30 МАС.% КРАХМАЛА, НЕ СОДЕРЖАЩИЙ МОЛОЧНЫХ ПРОДУКТОВ ИЛИ СОДЕРЖАЩИЙ МЕНЕЕ 10 МАС.% ТАКИХ ПРОДУКТОВ:"/>
    <x v="1"/>
    <m/>
    <s v="UNITED PETFOOD FRANCE-UPF"/>
    <n v="15"/>
    <n v="0"/>
    <n v="0"/>
    <m/>
    <n v="0"/>
    <m/>
    <s v="2"/>
    <s v="2309103100"/>
    <s v=""/>
    <s v=""/>
    <s v="FR"/>
    <n v="6852.8"/>
    <s v="ОООО-ОО"/>
    <n v="4000000"/>
    <n v="6492.8"/>
    <n v="0"/>
    <s v=""/>
    <s v=""/>
    <n v="22224.639999999999"/>
    <n v="1768450"/>
    <n v="0"/>
    <n v="1"/>
    <n v="1860106.3"/>
    <n v="24898.12"/>
    <s v="10"/>
    <n v="24897.940160000002"/>
    <n v="3.8347000000000002"/>
    <n v="952"/>
    <s v="0952-22-875"/>
    <s v="СНОПКОВ ДМИТРИЙ СЕРГЕЕВИЧ"/>
    <n v="0"/>
    <m/>
  </r>
  <r>
    <s v="1"/>
    <d v="2023-07-18T00:00:00"/>
    <x v="0"/>
    <s v="10013160/261222/3630065"/>
    <s v="10013160"/>
    <s v="3630065"/>
    <x v="0"/>
    <s v="40"/>
    <s v=""/>
    <s v=""/>
    <s v=""/>
    <s v="UNICAL AG S.P.A."/>
    <s v="46020, , CARBONARA DI PO (MN), VIA RONCADA N. 81,"/>
    <s v=""/>
    <s v=""/>
    <n v="1"/>
    <n v="0"/>
    <n v="1"/>
    <n v="10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IT"/>
    <s v="ИТАЛИЯ"/>
    <n v="2774012.75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IT"/>
    <s v="ИТАЛИЯ"/>
    <x v="0"/>
    <s v="RU"/>
    <s v="РОССИЯ"/>
    <n v="2"/>
    <s v="0"/>
    <s v="FCA"/>
    <s v="CARBONARA"/>
    <n v="1"/>
    <s v="EUR"/>
    <n v="32479"/>
    <n v="2372289"/>
    <n v="40392.75"/>
    <n v="73.040700000000001"/>
    <s v="010"/>
    <s v="31"/>
    <s v="18050061/1000/0081/2/1"/>
    <s v="-"/>
    <s v="99"/>
    <s v=""/>
    <s v=""/>
    <s v=""/>
    <s v="МОСКОВСКАЯ ОБЛ."/>
    <s v="Г. ХИМКИ"/>
    <s v="ВАШУТИНСКОЕ Ш., Д. 20, К. 1"/>
    <s v="10013020 т/п Вашутинский"/>
    <n v="1"/>
    <s v="КОТЛЫ ОТОПИТЕЛЬНЫЕ, РАБОТАЮЩИЕ НА ГАЗОВОМ ТОПЛИВЕ, В ЧАСТИЧНО РАЗОБРАННОМ ВИДЕ:"/>
    <x v="0"/>
    <m/>
    <s v="UNICAL AG S.P.A."/>
    <n v="10"/>
    <n v="0"/>
    <n v="5"/>
    <s v="ШТ"/>
    <n v="0"/>
    <m/>
    <s v="1"/>
    <s v="8403109000"/>
    <s v=""/>
    <s v=""/>
    <s v="IT"/>
    <n v="16262"/>
    <s v="ОООО-ОО"/>
    <n v="4000000"/>
    <n v="16229"/>
    <n v="0"/>
    <s v=""/>
    <s v=""/>
    <n v="32479"/>
    <n v="2372289"/>
    <n v="0"/>
    <n v="1"/>
    <n v="2774012.75"/>
    <n v="40392.75"/>
    <s v="10"/>
    <n v="2.4889000000000001"/>
    <n v="1239"/>
    <s v="КЛ/19/21"/>
    <m/>
    <s v="ДЕМЧУК ЕКАТЕРИНА СЕРГЕЕВНА"/>
    <n v="0"/>
    <m/>
  </r>
  <r>
    <s v="1"/>
    <d v="2023-05-03T00:00:00"/>
    <x v="9"/>
    <s v="10013160/261222/3629152"/>
    <s v="10013160"/>
    <s v="3629152"/>
    <x v="0"/>
    <s v="40"/>
    <s v=""/>
    <s v=""/>
    <s v=""/>
    <s v="UNICAL AG S.P.A."/>
    <s v="46020, , CARBONARA DI PO (MN), VIA RONCADA N. 81,"/>
    <s v=""/>
    <s v=""/>
    <n v="1"/>
    <n v="0"/>
    <n v="1"/>
    <n v="5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IT"/>
    <s v="ИТАЛИЯ"/>
    <n v="2697977.38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IT"/>
    <s v="ИТАЛИЯ"/>
    <x v="0"/>
    <s v="RU"/>
    <s v="РОССИЯ"/>
    <n v="2"/>
    <s v="0"/>
    <s v="FCA"/>
    <s v="CARBONARA"/>
    <n v="1"/>
    <s v="EUR"/>
    <n v="31038"/>
    <n v="2267037"/>
    <n v="39285.589999999902"/>
    <n v="73.040700000000001"/>
    <s v="010"/>
    <s v="31"/>
    <s v="18050061/1000/0081/2/1"/>
    <s v="-"/>
    <s v="99"/>
    <s v=""/>
    <s v=""/>
    <s v=""/>
    <s v="МОСКОВСКАЯ ОБЛ."/>
    <s v="Г. ХИМКИ"/>
    <s v="ВАШУТИНСКОЕ Ш., Д. 20, К. 1"/>
    <s v="10013020 т/п Вашутинский"/>
    <n v="1"/>
    <s v="КОТЛЫ ОТОПИТЕЛЬНЫЕ, РАБОТАЮЩИЕ НА ГАЗОВОМ ТОПЛИВЕ, В ЧАСТИЧНО РАЗОБРАННОМ ВИДЕ:"/>
    <x v="0"/>
    <m/>
    <s v="UNICAL AG S.P.A."/>
    <n v="5"/>
    <n v="0"/>
    <n v="3"/>
    <s v="ШТ"/>
    <n v="0"/>
    <m/>
    <s v="1"/>
    <s v="8403109000"/>
    <s v=""/>
    <s v=""/>
    <s v="IT"/>
    <n v="15297"/>
    <s v="ОООО-ОО"/>
    <n v="4000000"/>
    <n v="15267"/>
    <n v="0"/>
    <s v=""/>
    <s v=""/>
    <n v="31038"/>
    <n v="2267037"/>
    <n v="0"/>
    <n v="1"/>
    <n v="2697977.38"/>
    <n v="39285.589999999902"/>
    <s v="10"/>
    <n v="2.5731999999999999"/>
    <n v="1239"/>
    <s v="КЛ/19/21"/>
    <m/>
    <s v="ДЕМЧУК ЕКАТЕРИНА СЕРГЕЕВНА"/>
    <n v="0"/>
    <m/>
  </r>
  <r>
    <s v="1"/>
    <d v="2023-07-28T00:00:00"/>
    <x v="0"/>
    <s v="10013160/261222/3628678"/>
    <s v="10013160"/>
    <s v="3628678"/>
    <x v="0"/>
    <s v="40"/>
    <s v=""/>
    <s v=""/>
    <s v=""/>
    <s v="WOLF GMBH"/>
    <s v="84048, , MAINBURG, INDUSTRIESTRABE 1,"/>
    <s v=""/>
    <s v=""/>
    <n v="4"/>
    <n v="0"/>
    <n v="9"/>
    <n v="40"/>
    <s v="1117746958152"/>
    <s v="7705970152"/>
    <s v="ООО ВОЛЬФ ЭНЕРГОСБЕРЕГАЮЩИЕ СИСТЕМЫ"/>
    <s v="127238, , МОСКВА, ШОССЕ ДМИТРОВСКОЕ, ДОМ 71Б, ЭТ.5, КОМ.18,"/>
    <s v="45000"/>
    <s v="774301001"/>
    <s v="1117746958152"/>
    <s v="7705970152"/>
    <s v="ООО ВОЛЬФ ЭНЕРГОСБЕРЕГАЮЩИЕ СИСТЕМЫ"/>
    <s v="127238, , МОСКВА, ШОССЕ ДМИТРОВСКОЕ, ДОМ 71Б, ЭТ.5, КОМ.18,"/>
    <s v="45000"/>
    <s v="774301001"/>
    <s v="DE"/>
    <s v="ГЕРМАНИЯ"/>
    <n v="12392108.050000001"/>
    <s v="1117746958152"/>
    <s v="7705970152"/>
    <s v="ООО ВОЛЬФ ЭНЕРГОСБЕРЕГАЮЩИЕ СИСТЕМЫ"/>
    <s v="127238, , МОСКВА, ШОССЕ ДМИТРОВСКОЕ, ДОМ 71Б, ЭТ.5, КОМ.18,"/>
    <s v="45000"/>
    <s v="774301001"/>
    <s v="DE"/>
    <s v="ГЕРМАНИЯ"/>
    <x v="8"/>
    <s v="RU"/>
    <s v="РОССИЯ"/>
    <n v="2"/>
    <s v="0"/>
    <s v="DAP"/>
    <s v="МОСКВА"/>
    <n v="1"/>
    <s v="RUB"/>
    <n v="12392108.050000001"/>
    <n v="12392108"/>
    <n v="180443.06"/>
    <n v="0"/>
    <s v="010"/>
    <s v=""/>
    <s v="13100004/3333/0000/2/1"/>
    <s v="-"/>
    <s v="99"/>
    <s v=""/>
    <s v=""/>
    <s v=""/>
    <s v="МОСКОВСКАЯ ОБЛ. ОДИНЦОВСКИЙ Г.О."/>
    <s v="ТЕРР. ЗВЕНИГОРОДСКОЕ"/>
    <s v="Ш., 33-Й КМ., СТР. 6, 8, 9, 13, 19; ЗЕМ. УЧ. 1/1 И"/>
    <s v="10013210 т/п Кубинка"/>
    <n v="3"/>
    <s v="КОТЛЫ ЦЕНТРАЛЬНОГО ОТОПЛЕНИЯ: ИТОГО-221ШТ."/>
    <x v="0"/>
    <m/>
    <s v="WOLF GMBH"/>
    <n v="40"/>
    <n v="0"/>
    <n v="221"/>
    <s v="ШТ"/>
    <n v="0"/>
    <m/>
    <s v="6"/>
    <s v="8403109000"/>
    <s v=""/>
    <s v=""/>
    <s v="DE"/>
    <n v="9996.384"/>
    <s v="ОООО-ОО"/>
    <n v="4000000"/>
    <n v="8942.384"/>
    <n v="0"/>
    <s v=""/>
    <s v=""/>
    <n v="12220198.1199999"/>
    <n v="12220198"/>
    <n v="0"/>
    <n v="1"/>
    <n v="12220198.1199999"/>
    <n v="177939.86"/>
    <s v="10"/>
    <n v="19.898499999999999"/>
    <n v="966"/>
    <s v="443/01/2022"/>
    <m/>
    <s v="РАССОЛОВ АЛЕКСАНДР НИКОЛАЕВИЧ"/>
    <n v="1366"/>
    <m/>
  </r>
  <r>
    <s v="1"/>
    <d v="2023-07-09T00:00:00"/>
    <x v="0"/>
    <s v="10013160/261222/3628607"/>
    <s v="10013160"/>
    <s v="3628607"/>
    <x v="0"/>
    <s v="40"/>
    <s v=""/>
    <s v=""/>
    <s v=""/>
    <s v="UNICAL AG S.P.A."/>
    <s v="46020, , CARBONARA DI PO (MN), VIA RONCADA N. 81,"/>
    <s v=""/>
    <s v=""/>
    <n v="2"/>
    <n v="0"/>
    <n v="2"/>
    <n v="28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IT"/>
    <s v="ИТАЛИЯ"/>
    <n v="4895764.74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IT"/>
    <s v="ИТАЛИЯ"/>
    <x v="0"/>
    <s v="RU"/>
    <s v="РОССИЯ"/>
    <n v="2"/>
    <s v="0"/>
    <s v=""/>
    <s v="РАЗНЫЕ"/>
    <n v="1"/>
    <s v="EUR"/>
    <n v="61127.9"/>
    <n v="4464825"/>
    <n v="71287.86"/>
    <n v="73.040700000000001"/>
    <s v="010"/>
    <s v=""/>
    <s v="18050061/1000/0081/2/1"/>
    <s v="-"/>
    <s v="99"/>
    <s v=""/>
    <s v=""/>
    <s v=""/>
    <s v="МОСКОВСКАЯ ОБЛ."/>
    <s v="Г. ХИМКИ"/>
    <s v="ВАШУТИНСКОЕ Ш., Д. 20, К. 1"/>
    <s v="10013020 т/п Вашутинский"/>
    <n v="1"/>
    <s v="КОТЛЫ ОТОПИТЕЛЬНЫЕ, РАБОТАЮЩИЕ НА ГАЗОВОМ ТОПЛИВЕ, В ЧАСТИЧНО РАЗОБРАННОМ ВИДЕ:"/>
    <x v="0"/>
    <m/>
    <s v="UNICAL AG S.P.A."/>
    <n v="17"/>
    <n v="0"/>
    <n v="31"/>
    <s v="ШТ"/>
    <n v="0"/>
    <m/>
    <s v="1"/>
    <s v="8403109000"/>
    <s v=""/>
    <s v=""/>
    <s v="IT"/>
    <n v="9958.5"/>
    <s v="ОООО-ОО"/>
    <n v="4000000"/>
    <n v="9623.5"/>
    <n v="0"/>
    <s v=""/>
    <s v=""/>
    <n v="60436"/>
    <n v="4414288"/>
    <n v="0"/>
    <n v="1"/>
    <n v="4845108.82"/>
    <n v="70550.25"/>
    <s v="10"/>
    <n v="7.3310000000000004"/>
    <n v="1239"/>
    <s v="КЛ/19/21"/>
    <m/>
    <s v="ДЕМЧУК ЕКАТЕРИНА СЕРГЕЕВНА"/>
    <n v="1178"/>
    <m/>
  </r>
  <r>
    <s v="1"/>
    <d v="2023-05-22T00:00:00"/>
    <x v="9"/>
    <s v="10013160/251222/3628186"/>
    <s v="10013160"/>
    <s v="3628186"/>
    <x v="0"/>
    <s v="40"/>
    <s v=""/>
    <s v=""/>
    <s v=""/>
    <s v="ELEKS DIS TICARET A.S."/>
    <s v="34394, SISLI, ISTANBUL, ESENTERE MAH.KASAR SK. ELGINKAN HOLDING BLOK NO:15,"/>
    <s v=""/>
    <s v=""/>
    <n v="4"/>
    <n v="0"/>
    <n v="9"/>
    <n v="449"/>
    <s v="1197746381986"/>
    <s v="7720470130"/>
    <s v="ООО ВЕССЕН"/>
    <s v="109518, ЮВАО РАЙОН ТЕКСТИЛЬЩИКИ, Г. МОСКВА, 1-Й ГРАЙВОРОНОВСКИЙ ПРОЕЗД, Д. 20, С"/>
    <s v="45000"/>
    <s v="772201001"/>
    <s v="1197746381986"/>
    <s v="7720470130"/>
    <s v="ООО ВЕССЕН"/>
    <s v="109518, ЮВАО РАЙОН ТЕКСТИЛЬЩИКИ, Г. МОСКВА, 1-Й ГРАЙВОРОНОВСКИЙ ПРОЕЗД, Д. 20, С"/>
    <s v="45000"/>
    <s v="772201001"/>
    <s v="TR"/>
    <s v="ТУРЦИЯ"/>
    <n v="8990505.6600000001"/>
    <s v="1197746381986"/>
    <s v="7720470130"/>
    <s v="ООО ВЕССЕН"/>
    <s v="109518, ЮВАО РАЙОН ТЕКСТИЛЬЩИКИ, Г. МОСКВА, 1-Й ГРАЙВОРОНОВСКИЙ ПРОЕЗД, Д. 20, С"/>
    <s v="45000"/>
    <s v="772201001"/>
    <s v="TR"/>
    <s v="ТУРЦИЯ"/>
    <x v="3"/>
    <s v="RU"/>
    <s v="РОССИЯ"/>
    <n v="2"/>
    <s v="0"/>
    <s v="FCA"/>
    <s v="MANISA (ТУРЦИЯ)"/>
    <n v="1"/>
    <s v="USD"/>
    <n v="129366.92"/>
    <n v="8884403"/>
    <n v="130911.92"/>
    <n v="68.676000000000002"/>
    <s v="010"/>
    <s v=""/>
    <s v="20050760/1326/0000/2/1"/>
    <s v="-"/>
    <s v="11"/>
    <s v="10013/200111/10099/7"/>
    <s v=""/>
    <s v=""/>
    <s v="МОСКОВСКАЯ ОБЛ."/>
    <s v="Г. ДОМОДЕДОВО"/>
    <s v="УЛ. ЛОГИСТИЧЕСКАЯ, Д. 1/6, К. 7Б"/>
    <s v="10013060 т/п Каширский"/>
    <n v="1"/>
    <s v="КОТЛЫ БЫТОВЫЕ, ЦЕНТРАЛЬНОГО ОТОПЛЕНИЯ, ГАЗОВЫЕ, ОДНОКОНТУРНЫЕ, НАСТЕННЫЕ. ТОРГОВАЯ МАРКА Е.С.А., ИЗГОТОВЛЕНЫ ИЗ КОМПОЗИТНЫХ МАТЕРИАЛОВ, ЛАТУННЫХ И МЕТАЛЛИЧЕСКИХ ЧАСТЕЙ, В КОМПЛЕКТЕ С ИНСТРУКЦИЕЙ ПО УСТАНОВКЕ И ЭКСПЛУАТАЦИИ И КРЕПЕЖНОЙ ФУРНИТУРОЙ."/>
    <x v="0"/>
    <m/>
    <s v="EMAS MAKINA SANAYI A.S."/>
    <n v="181"/>
    <n v="0"/>
    <n v="181"/>
    <s v="ШТ"/>
    <n v="0"/>
    <m/>
    <s v="1"/>
    <s v="8403109000"/>
    <s v=""/>
    <s v=""/>
    <s v="TR"/>
    <n v="5948"/>
    <s v="ОООО-ОО"/>
    <n v="4000000"/>
    <n v="5742"/>
    <n v="0"/>
    <s v=""/>
    <s v=""/>
    <n v="75499.64"/>
    <n v="5185013"/>
    <n v="0"/>
    <n v="1"/>
    <n v="5258074.17"/>
    <n v="76563.490000000005"/>
    <s v="10"/>
    <n v="13.3339"/>
    <n v="1405"/>
    <n v="140"/>
    <m/>
    <s v="КОЛЕСНИКОВА ЕКАТЕРИНА ИВАНОВНА"/>
    <n v="1628"/>
    <m/>
  </r>
  <r>
    <s v="1"/>
    <d v="2022-10-21T00:00:00"/>
    <x v="6"/>
    <s v="10013160/251222/3628138"/>
    <s v="10013160"/>
    <s v="3628138"/>
    <x v="0"/>
    <s v="40"/>
    <s v=""/>
    <s v=""/>
    <s v=""/>
    <s v="ICI CALDAIE S.P.A."/>
    <s v="37059, CAMPAGNOLA DI ZEVIO (VR), VERONA, VIA G.PASCOLI, 38,"/>
    <s v=""/>
    <s v=""/>
    <n v="1"/>
    <n v="0"/>
    <n v="1"/>
    <n v="5"/>
    <s v="1044003101658"/>
    <s v="4004400328"/>
    <s v="ООО АЛЬБА"/>
    <s v="141401, МОСКОВСКАЯ ОБЛ., Г.ХИМКИ, УЛ.РАБОЧАЯ, Д.2А, СТРОЕНИЕ 1, ЭТАЖ/ПОМ 1/40,"/>
    <s v="46000"/>
    <s v="504701001"/>
    <s v="1044003101658"/>
    <s v="4004400328"/>
    <s v="ООО АЛЬБА"/>
    <s v="141401, МОСКОВСКАЯ ОБЛ., Г.ХИМКИ, УЛ.РАБОЧАЯ, Д.2А, СТРОЕНИЕ 1, ЭТАЖ/ПОМ 1/40,"/>
    <s v="46000"/>
    <s v="504701001"/>
    <s v="IT"/>
    <s v="ИТАЛИЯ"/>
    <n v="2828208.94"/>
    <s v="1044003101658"/>
    <s v="4004400328"/>
    <s v="ООО АЛЬБА"/>
    <s v="141401, МОСКОВСКАЯ ОБЛ., Г.ХИМКИ, УЛ.РАБОЧАЯ, Д.2А, СТРОЕНИЕ 1, ЭТАЖ/ПОМ 1/40,"/>
    <s v="46000"/>
    <s v="504701001"/>
    <s v="IT"/>
    <s v="ИТАЛИЯ"/>
    <x v="0"/>
    <s v="RU"/>
    <s v="РОССИЯ"/>
    <n v="2"/>
    <s v="0"/>
    <s v="FCA"/>
    <s v="ВЕРОНА"/>
    <n v="1"/>
    <s v="EUR"/>
    <n v="35221"/>
    <n v="2572566"/>
    <n v="41181.910000000003"/>
    <n v="73.040700000000001"/>
    <s v="010"/>
    <s v=""/>
    <s v="09100006/2306/0000/2/0"/>
    <s v="-"/>
    <s v="99"/>
    <s v=""/>
    <s v=""/>
    <s v=""/>
    <s v="БРЯНСКАЯ ОБЛ., БРЯНСКИЙ Р-Н"/>
    <s v="Г.БРЯНСК"/>
    <s v="ПОС.БЕЛЫЕ БЕРЕГА"/>
    <s v="10102030 т/п Брянский"/>
    <n v="1"/>
    <s v="КОТЛЫ ЦЕНТРАЛЬНОГО ОТОПЛЕНИЯ, В ЧАСТИЧНО РАЗОБРАННОМ ВИДЕ ДЛЯ УДОБСТВА ТРАНСПОРТИРОВКИ, :"/>
    <x v="0"/>
    <m/>
    <s v="ICI CALDAIE S.P.A."/>
    <n v="5"/>
    <n v="0"/>
    <n v="7"/>
    <s v="ШТ"/>
    <n v="0"/>
    <m/>
    <s v="1"/>
    <s v="8403109000"/>
    <s v=""/>
    <s v=""/>
    <s v="IT"/>
    <n v="10880"/>
    <s v="ОООО-ОО"/>
    <n v="4000000"/>
    <n v="10835"/>
    <n v="0"/>
    <s v=""/>
    <s v=""/>
    <n v="35221"/>
    <n v="2572566"/>
    <n v="2"/>
    <n v="1"/>
    <n v="2828208.94"/>
    <n v="41181.910000000003"/>
    <s v="12"/>
    <n v="3.8008000000000002"/>
    <m/>
    <m/>
    <m/>
    <s v="МОТОРИНА ИРИНА АЛЕКСАНДРОВНА"/>
    <n v="1615"/>
    <m/>
  </r>
  <r>
    <s v="1"/>
    <d v="2023-10-04T00:00:00"/>
    <x v="1"/>
    <s v="10013160/251222/3627809"/>
    <s v="10013160"/>
    <s v="3627809"/>
    <x v="0"/>
    <s v="40"/>
    <s v=""/>
    <s v=""/>
    <s v=""/>
    <s v="SIA FRIGO TRANS "/>
    <s v="LV-1005, LATVIJA, RIGA, DAMBJA IELA, 3A"/>
    <s v=""/>
    <s v=""/>
    <n v="16"/>
    <n v="0"/>
    <n v="45"/>
    <n v="164"/>
    <s v="1195081081700"/>
    <s v="5029251630"/>
    <s v="ООО ЕВРОПРОМИМПОРТ"/>
    <s v="141006, МО, Г. МЫТИЩИ, РУПАСОВСКИЙ 1-Й ПЕРЕУЛОК,ЛИТЕР 4В,ОФИС 24А, 19"/>
    <s v="46000"/>
    <s v="502901001"/>
    <s v="1195081081700"/>
    <s v="5029251630"/>
    <s v="ООО ЕВРОПРОМИМПОРТ"/>
    <s v="141006, МО, Г. МЫТИЩИ, РУПАСОВСКИЙ 1-Й ПЕРЕУЛОК,ЛИТЕР 4В,ОФИС 24А, 19"/>
    <s v="46000"/>
    <s v="502901001"/>
    <s v="LV"/>
    <s v="ЛАТВИЯ"/>
    <n v="15480139.279999901"/>
    <s v="1195081081700"/>
    <s v="5029251630"/>
    <s v="ООО ЕВРОПРОМИМПОРТ"/>
    <s v="141006, МО, Г. МЫТИЩИ, РУПАСОВСКИЙ 1-Й ПЕРЕУЛОК,ЛИТЕР 4В,ОФИС 24А, 19"/>
    <s v="46000"/>
    <s v="502901001"/>
    <s v="LV"/>
    <s v="ЛАТВИЯ"/>
    <x v="13"/>
    <s v="RU"/>
    <s v="РОССИЯ"/>
    <n v="2"/>
    <s v="0"/>
    <s v="FCA"/>
    <s v="RIGA"/>
    <n v="1"/>
    <s v="EUR"/>
    <n v="211188.58"/>
    <n v="15425362"/>
    <n v="225408.29"/>
    <n v="73.040700000000001"/>
    <s v="010"/>
    <s v=""/>
    <s v="22112925/3292/0000/2/1"/>
    <s v="-"/>
    <s v="99"/>
    <s v=""/>
    <s v=""/>
    <s v=""/>
    <s v="МОСКОВСКАЯ ОБЛ."/>
    <s v="Г. КРАСНОЗНАМЕНСК"/>
    <s v="УЛ. БЕРЕЗОВАЯ АЛЛЕЯ"/>
    <s v="10013070 т/п Красноармейский"/>
    <n v="1"/>
    <s v="КОТЛЫ ЦЕНТРАЛЬНОГО ОТОПЛЕНИЯ, ИЗ ЧУГУННОГО ЛИТЬЯ: :"/>
    <x v="0"/>
    <m/>
    <s v="THERMONA SPOL. S.R.O."/>
    <n v="2"/>
    <n v="0"/>
    <n v="2"/>
    <s v="ШТ"/>
    <n v="0"/>
    <m/>
    <s v="1"/>
    <s v="8403101000"/>
    <s v=""/>
    <s v=""/>
    <s v="CZ"/>
    <n v="322"/>
    <s v="ОООО-ОО"/>
    <n v="4000000"/>
    <n v="300"/>
    <n v="0"/>
    <s v=""/>
    <s v=""/>
    <n v="1192"/>
    <n v="87065"/>
    <n v="0"/>
    <n v="1"/>
    <n v="88631.23"/>
    <n v="1290.57"/>
    <s v="10"/>
    <n v="4.3018999999999998"/>
    <m/>
    <m/>
    <m/>
    <s v="ОСНОВИНА ОЛЬГА НИКОЛАЕВНА"/>
    <n v="1370"/>
    <m/>
  </r>
  <r>
    <s v="1"/>
    <d v="2023-12-12T00:00:00"/>
    <x v="10"/>
    <s v="10013160/251222/3627809"/>
    <s v="10013160"/>
    <s v="3627809"/>
    <x v="0"/>
    <s v="40"/>
    <s v=""/>
    <s v=""/>
    <s v=""/>
    <s v="SIA FRIGO TRANS "/>
    <s v="LV-1005, LATVIJA, RIGA, DAMBJA IELA, 3A"/>
    <s v=""/>
    <s v=""/>
    <n v="16"/>
    <n v="0"/>
    <n v="45"/>
    <n v="164"/>
    <s v="1195081081700"/>
    <s v="5029251630"/>
    <s v="ООО ЕВРОПРОМИМПОРТ"/>
    <s v="141006, МО, Г. МЫТИЩИ, РУПАСОВСКИЙ 1-Й ПЕРЕУЛОК,ЛИТЕР 4В,ОФИС 24А, 19"/>
    <s v="46000"/>
    <s v="502901001"/>
    <s v="1195081081700"/>
    <s v="5029251630"/>
    <s v="ООО ЕВРОПРОМИМПОРТ"/>
    <s v="141006, МО, Г. МЫТИЩИ, РУПАСОВСКИЙ 1-Й ПЕРЕУЛОК,ЛИТЕР 4В,ОФИС 24А, 19"/>
    <s v="46000"/>
    <s v="502901001"/>
    <s v="LV"/>
    <s v="ЛАТВИЯ"/>
    <n v="15480139.279999901"/>
    <s v="1195081081700"/>
    <s v="5029251630"/>
    <s v="ООО ЕВРОПРОМИМПОРТ"/>
    <s v="141006, МО, Г. МЫТИЩИ, РУПАСОВСКИЙ 1-Й ПЕРЕУЛОК,ЛИТЕР 4В,ОФИС 24А, 19"/>
    <s v="46000"/>
    <s v="502901001"/>
    <s v="LV"/>
    <s v="ЛАТВИЯ"/>
    <x v="13"/>
    <s v="RU"/>
    <s v="РОССИЯ"/>
    <n v="2"/>
    <s v="0"/>
    <s v="FCA"/>
    <s v="RIGA"/>
    <n v="1"/>
    <s v="EUR"/>
    <n v="211188.58"/>
    <n v="15425362"/>
    <n v="225408.29"/>
    <n v="73.040700000000001"/>
    <s v="010"/>
    <s v=""/>
    <s v="22112925/3292/0000/2/1"/>
    <s v="-"/>
    <s v="99"/>
    <s v=""/>
    <s v=""/>
    <s v=""/>
    <s v="МОСКОВСКАЯ ОБЛ."/>
    <s v="Г. КРАСНОЗНАМЕНСК"/>
    <s v="УЛ. БЕРЕЗОВАЯ АЛЛЕЯ"/>
    <s v="10013070 т/п Красноармейский"/>
    <n v="2"/>
    <s v="КОТЛЫ ЦЕНТРАЛЬНОГО ОТОПЛЕНИЯ:"/>
    <x v="0"/>
    <m/>
    <s v="THERMONA SPOL. S.R.O."/>
    <n v="159"/>
    <n v="0"/>
    <n v="159"/>
    <s v="ШТ"/>
    <n v="0"/>
    <m/>
    <s v="2"/>
    <s v="8403109000"/>
    <s v=""/>
    <s v=""/>
    <s v="CZ"/>
    <n v="10106"/>
    <s v="ОООО-ОО"/>
    <n v="4000000"/>
    <n v="9152"/>
    <n v="0"/>
    <s v=""/>
    <s v=""/>
    <n v="166661"/>
    <n v="12173036"/>
    <n v="0"/>
    <n v="1"/>
    <n v="12222236.32"/>
    <n v="177969.54"/>
    <s v="10"/>
    <n v="19.446000000000002"/>
    <m/>
    <m/>
    <m/>
    <s v="ОСНОВИНА ОЛЬГА НИКОЛАЕВНА"/>
    <n v="1370"/>
    <m/>
  </r>
  <r>
    <s v="1"/>
    <d v="2023-05-10T00:00:00"/>
    <x v="9"/>
    <s v="10013160/251222/3627558"/>
    <s v="10013160"/>
    <s v="3627558"/>
    <x v="0"/>
    <s v="40"/>
    <s v=""/>
    <s v=""/>
    <s v=""/>
    <s v="BAXI S.P.A."/>
    <s v="36061, VICENZA, BASSANO DEL GRAPPA, VIA TROZZETTI 20,"/>
    <s v=""/>
    <s v=""/>
    <n v="1"/>
    <n v="0"/>
    <n v="1"/>
    <n v="91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10143171.5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33110.13"/>
    <n v="9722457"/>
    <n v="147696.01"/>
    <n v="73.040700000000001"/>
    <s v="010"/>
    <s v="31"/>
    <s v="14100003/0001/0000/2/1"/>
    <s v="-"/>
    <s v="99"/>
    <s v=""/>
    <s v=""/>
    <s v=""/>
    <s v="МОСКОВСКАЯ ОБЛ., ОДИНЦОВСКИЙ Р-Н"/>
    <s v="С. АКУЛОВО"/>
    <s v="УЛ. НОВАЯ, Д. 137"/>
    <s v="10013010 т/п Акуловский"/>
    <n v="1"/>
    <s v="КОТЛЫ ЦЕНТРАЛЬНОГО ОТОПЛЕНИЯ, СТАЛЬНЫЕ, БРУТТО С ПОДДОНАМИ 18383.9 КГ., АССОРТИМЕНТ"/>
    <x v="0"/>
    <m/>
    <s v="BAXI S.P.A."/>
    <n v="91"/>
    <n v="0"/>
    <n v="341"/>
    <s v="ШТ"/>
    <n v="0"/>
    <m/>
    <s v="1"/>
    <s v="8403109000"/>
    <s v=""/>
    <s v=""/>
    <s v="IT"/>
    <n v="17018.900000000001"/>
    <s v="ОООО-ОО"/>
    <n v="4000000"/>
    <n v="16948.28"/>
    <n v="0"/>
    <s v=""/>
    <s v=""/>
    <n v="133110.13"/>
    <n v="9722457"/>
    <n v="0"/>
    <n v="1"/>
    <n v="10143171.5"/>
    <n v="147696.01"/>
    <s v="10"/>
    <n v="8.7144999999999992"/>
    <n v="1053"/>
    <s v="0719/00-16-055"/>
    <m/>
    <s v="БЫКОВА ЛЮБОВЬ АЛЕКСАНДРОВНА"/>
    <n v="1213"/>
    <m/>
  </r>
  <r>
    <s v="1"/>
    <d v="2023-09-30T00:00:00"/>
    <x v="4"/>
    <s v="10013160/241222/3626725"/>
    <s v="10013160"/>
    <s v="3626725"/>
    <x v="0"/>
    <s v="40"/>
    <s v=""/>
    <s v=""/>
    <s v=""/>
    <s v="ООО TECHNO EXPORT"/>
    <s v="., РЕСПУБЛИКА УЗБЕКИСТАН, Г.ТАШКЕНТ, ШАЙХАНТАХУРСКИЙ Р-Н, УЛ. КИЧИК ХАЛКА ЙУЛИ,"/>
    <s v=""/>
    <s v=""/>
    <n v="1"/>
    <n v="0"/>
    <n v="1"/>
    <n v="72"/>
    <s v="1037700024933"/>
    <s v="7716168776"/>
    <s v="ООО ВИССМАНН"/>
    <s v="141014, , Г. МЫТИЩИ, УЛ.ЦЕНТРАЛЬНАЯ, СТРОЕНИЕ 20Б, ОФИС 815,"/>
    <s v="46000"/>
    <s v="502901001"/>
    <s v="1037700024933"/>
    <s v="7716168776"/>
    <s v="ООО ВИССМАНН"/>
    <s v="141014, , Г. МЫТИЩИ, УЛ.ЦЕНТРАЛЬНАЯ, СТРОЕНИЕ 20Б, ОФИС 815,"/>
    <s v="46000"/>
    <s v="502901001"/>
    <s v="UZ"/>
    <s v="УЗБЕКИСТАН"/>
    <n v="14238595.08"/>
    <s v="1037700024933"/>
    <s v="7716168776"/>
    <s v="ООО ВИССМАНН"/>
    <s v="141014, , Г. МЫТИЩИ, УЛ.ЦЕНТРАЛЬНАЯ, СТРОЕНИЕ 20Б, ОФИС 815,"/>
    <s v="46000"/>
    <s v="502901001"/>
    <s v="UZ"/>
    <s v="УЗБЕКИСТАН"/>
    <x v="14"/>
    <s v="RU"/>
    <s v="РОССИЯ"/>
    <n v="2"/>
    <s v="0"/>
    <s v="CPT"/>
    <s v="Г. ПОДОЛЬСК"/>
    <n v="1"/>
    <s v="USD"/>
    <n v="207330"/>
    <n v="14238595"/>
    <n v="207330"/>
    <n v="68.676000000000002"/>
    <s v="010"/>
    <s v="31"/>
    <s v="22070302/0001/0000/2/1"/>
    <s v="-"/>
    <s v="99"/>
    <s v=""/>
    <s v=""/>
    <s v=""/>
    <s v="МОСКОВСКАЯ ОБЛ."/>
    <s v="Г. МОЖАЙСК"/>
    <s v="Д. ОТЯКОВО"/>
    <s v="10013150 т/п Можайский"/>
    <n v="1"/>
    <s v="КОТЛЫ, МАТЕРИАЛ ИЗГ.-СТАЛЬ, ОБЛАСТЬ ПРИМЕНЕНИЯ-ДЛЯ СИСТЕМЫ ЦЕНТРАЛЬНОГО ОТОПЛЕНИЯ И ГОРЯЧЕГО ВОДОСНАБЖЕНИЯ, ПРИНЦИП РАБОТЫ-РАБОТАЮЩИЕ НА ГАЗООБРАЗНОМ ТОПЛИВЕ, ТЕХНИЧЕСКИЕ ХАРАКТЕРИСТИКИ-МОЩНОСТЬ 24/30/34 КВТ, (НЕВОЕННОГО НАЗНАЧЕНИЯ), :"/>
    <x v="0"/>
    <m/>
    <s v="ООО NEXT GENERATION PRODUCT"/>
    <n v="72"/>
    <n v="0"/>
    <n v="432"/>
    <s v="ШТ"/>
    <n v="0"/>
    <m/>
    <s v="1"/>
    <s v="8403109000"/>
    <s v=""/>
    <s v=""/>
    <s v="UZ"/>
    <n v="17016"/>
    <s v="ООЭР-ОО"/>
    <n v="4000000"/>
    <n v="14820"/>
    <n v="0"/>
    <s v=""/>
    <s v=""/>
    <n v="207330"/>
    <n v="14238595"/>
    <n v="0"/>
    <n v="1"/>
    <n v="14238595.08"/>
    <n v="207330"/>
    <s v="10"/>
    <n v="13.9899"/>
    <n v="1085"/>
    <s v="1019/00-19-056"/>
    <m/>
    <s v="СОЛОДАЙ ОЛЕСЯ ЮРЬЕВНА"/>
    <n v="1442"/>
    <m/>
  </r>
  <r>
    <s v="1"/>
    <d v="2023-10-01T00:00:00"/>
    <x v="1"/>
    <s v="10013160/231222/3625264"/>
    <s v="10013160"/>
    <s v="3625264"/>
    <x v="0"/>
    <s v="40"/>
    <s v=""/>
    <s v=""/>
    <s v=""/>
    <s v="IMMERGAS EUROPE S.R.O"/>
    <s v="05951, , POPRAD, PRIEMYSLENA UL. 4789,"/>
    <s v=""/>
    <s v=""/>
    <n v="1"/>
    <n v="0"/>
    <n v="1"/>
    <n v="30"/>
    <s v="1127746114759"/>
    <s v="7709897295"/>
    <s v="ООО ИММЕРГАЗ"/>
    <s v="129626, , МОСКВА, УЛ. СТАРОАЛЕКСЕЕВСКАЯ, Д. 5, ПОМЕЩЕНИЕ 300,"/>
    <s v="45000"/>
    <s v="771701001"/>
    <s v="1127746114759"/>
    <s v="7709897295"/>
    <s v="ООО ИММЕРГАЗ"/>
    <s v="129626, , МОСКВА, УЛ. СТАРОАЛЕКСЕЕВСКАЯ, Д. 5, ПОМЕЩЕНИЕ 300,"/>
    <s v="45000"/>
    <s v="771701001"/>
    <s v="SK"/>
    <s v="СЛОВАКИЯ"/>
    <n v="10130116.779999901"/>
    <s v="1127746114759"/>
    <s v="7709897295"/>
    <s v="ООО ИММЕРГАЗ"/>
    <s v="129626, , МОСКВА, УЛ. СТАРОАЛЕКСЕЕВСКАЯ, Д. 5, ПОМЕЩЕНИЕ 300,"/>
    <s v="45000"/>
    <s v="771701001"/>
    <s v="SK"/>
    <s v="СЛОВАКИЯ"/>
    <x v="12"/>
    <s v="RU"/>
    <s v="РОССИЯ"/>
    <n v="2"/>
    <s v="0"/>
    <s v="EXW"/>
    <s v="ПОПРАД"/>
    <n v="1"/>
    <s v="EUR"/>
    <n v="130320"/>
    <n v="9988324"/>
    <n v="140441.32"/>
    <n v="76.644599999999897"/>
    <s v="010"/>
    <s v="31"/>
    <s v="12040088/1623/0000/2/0"/>
    <s v="-"/>
    <s v="99"/>
    <s v=""/>
    <s v="10013/200111/10089/5"/>
    <s v="119027"/>
    <s v="МОСКОВСКАЯ ОБЛ., ИСТРИНСКИЙ Р-Н"/>
    <s v="П. ПЕРВОМАЙСКИЙ"/>
    <s v="СТР. 35/2 И СТР. 35/3"/>
    <s v="10013050 т/п Истринский"/>
    <n v="1"/>
    <s v="НАСТЕННЫЕ МЕТАЛЛИЧЕСКИЕ КОТЛЫ (БОЙЛЕРЫ) ГОРЯЧЕГО ВОДОСНАБЖЕНИЯ ИЗ УГЛЕРОДИСТОЙ СТАЛИ МАРКИ FE360 СО ВСТРОЕННЫМИ ГАЗОВОЙ ГОРЕЛКОЙ, КАМЕРОЙ СГОРАНИЯ, ТЕПЛООБМЕННИКОМ, ЦИРКУЛЯЦИОННЫМ НАСОСОМ, ДЫМОУДАЛИТЕЛЯМИ,ЭЛЕКТРОННОЙ МИКРОПРОЦЕССОРНОЙ СИСТЕМОЙ"/>
    <x v="0"/>
    <m/>
    <s v="IMMERGAS EUROPE S.R.O"/>
    <n v="30"/>
    <n v="0"/>
    <n v="452"/>
    <s v="ШТ"/>
    <n v="0"/>
    <m/>
    <s v="1"/>
    <s v="8403109000"/>
    <s v=""/>
    <s v=""/>
    <s v="SK"/>
    <n v="15619"/>
    <s v="ОООО-ОО"/>
    <n v="4000000"/>
    <n v="13943"/>
    <n v="0"/>
    <s v=""/>
    <s v=""/>
    <n v="130320"/>
    <n v="9988324"/>
    <n v="0"/>
    <n v="1"/>
    <n v="10130116.779999901"/>
    <n v="140441.32"/>
    <s v="10"/>
    <n v="10.0725"/>
    <n v="1175"/>
    <n v="220714"/>
    <m/>
    <s v="БЫСТРИЦКАЯ ЕКАТЕРИНА БОРИСОВНА"/>
    <n v="0"/>
    <m/>
  </r>
  <r>
    <s v="1"/>
    <d v="2023-04-04T00:00:00"/>
    <x v="3"/>
    <s v="10013160/231222/3624301"/>
    <s v="10013160"/>
    <s v="3624301"/>
    <x v="0"/>
    <s v="40"/>
    <s v=""/>
    <s v=""/>
    <s v=""/>
    <s v="STEELSOFT DOO BEOGRAD"/>
    <s v="11080, , ZEMUN, AUTOPUT ZA NOVI SAD 71,"/>
    <s v=""/>
    <s v=""/>
    <n v="4"/>
    <n v="0"/>
    <n v="9"/>
    <n v="30"/>
    <s v="1027739216350"/>
    <s v="7705238125"/>
    <s v="ООО ФИРМА ВОДОКОМФОРТ"/>
    <s v="115114, ГОРОД, МОСКВА, УЛ. КОЖЕВНИЧЕСКАЯ, 16"/>
    <s v="45000"/>
    <s v="772501001"/>
    <s v="1027739216350"/>
    <s v="7705238125"/>
    <s v="ООО ФИРМА ВОДОКОМФОРТ"/>
    <s v="115114, ГОРОД, МОСКВА, УЛ. КОЖЕВНИЧЕСКАЯ, 16"/>
    <s v="45000"/>
    <s v="772501001"/>
    <s v="RS"/>
    <s v="СЕРБИЯ"/>
    <n v="25184743.399999902"/>
    <s v="1027739216350"/>
    <s v="7705238125"/>
    <s v="ООО ФИРМА ВОДОКОМФОРТ"/>
    <s v="115114, ГОРОД, МОСКВА, УЛ. КОЖЕВНИЧЕСКАЯ, 16"/>
    <s v="45000"/>
    <s v="772501001"/>
    <s v="RS"/>
    <s v="СЕРБИЯ"/>
    <x v="8"/>
    <s v="RU"/>
    <s v="РОССИЯ"/>
    <n v="2"/>
    <s v="0"/>
    <s v="FCA"/>
    <s v="BEOGRAD"/>
    <n v="1"/>
    <s v="EUR"/>
    <n v="321791.23"/>
    <n v="24663560"/>
    <n v="349154.78"/>
    <n v="76.644599999999897"/>
    <s v="010"/>
    <s v="31"/>
    <s v="22090197/1927/0006/2/1"/>
    <s v="-"/>
    <s v="11"/>
    <s v="10013/200111/10101/6"/>
    <s v=""/>
    <s v=""/>
    <s v="МОСКОВСКАЯ ОБЛ. ОДИНЦОВСКИЙ Г.О."/>
    <s v="ТЕР. ЗВЕНИГОРОДСКОЕ"/>
    <s v="Ш., 33-Й КМ., СТР. 6, 8, 9, 13, 19; ЗЕМ. УЧ. 1/1 И"/>
    <s v="10013210 т/п Кубинка"/>
    <n v="3"/>
    <s v="КОТЛЫ ЦЕНТРАЛЬНОГО ОТОПЛЕНИЯ"/>
    <x v="0"/>
    <m/>
    <s v="VAILLANT GMBH"/>
    <n v="2"/>
    <n v="0"/>
    <n v="33"/>
    <s v="ШТ"/>
    <n v="0"/>
    <m/>
    <s v="5"/>
    <s v="8403109000"/>
    <s v=""/>
    <s v=""/>
    <s v="DE"/>
    <n v="1090.8"/>
    <s v="ОООО-ОО"/>
    <n v="4000000"/>
    <n v="1010"/>
    <n v="0"/>
    <s v=""/>
    <s v=""/>
    <n v="26905.13"/>
    <n v="2062133"/>
    <n v="0"/>
    <n v="1"/>
    <n v="2128517.1200000001"/>
    <n v="29509.21"/>
    <s v="10"/>
    <n v="29.216999999999999"/>
    <n v="1150"/>
    <s v="15ТО-19082022-3"/>
    <m/>
    <s v="СЕРГЕЕВА АНАСТАСИЯ НИКОЛАЕВНА"/>
    <n v="1285"/>
    <m/>
  </r>
  <r>
    <s v="1"/>
    <d v="2023-06-28T00:00:00"/>
    <x v="11"/>
    <s v="10013160/221222/3623828"/>
    <s v="10013160"/>
    <s v="3623828"/>
    <x v="0"/>
    <s v="40"/>
    <s v=""/>
    <s v=""/>
    <s v=""/>
    <s v="ООО TECHNO EXPORT"/>
    <s v="., РЕСПУБЛИКА УЗБЕКИСТАН, Г.ТАШКЕНТ, ШАЙХАНТАХУРСКИЙ Р-Н, УЛ. КИЧИК ХАЛКА ЙУЛИ,"/>
    <s v=""/>
    <s v=""/>
    <n v="1"/>
    <n v="0"/>
    <n v="1"/>
    <n v="67"/>
    <s v="1037700024933"/>
    <s v="7716168776"/>
    <s v="ООО ВИССМАНН"/>
    <s v="141014, , Г. МЫТИЩИ, УЛ.ЦЕНТРАЛЬНАЯ, СТРОЕНИЕ 20Б, ОФИС 815,"/>
    <s v="46000"/>
    <s v="502901001"/>
    <s v="1037700024933"/>
    <s v="7716168776"/>
    <s v="ООО ВИССМАНН"/>
    <s v="141014, , Г. МЫТИЩИ, УЛ.ЦЕНТРАЛЬНАЯ, СТРОЕНИЕ 20Б, ОФИС 815,"/>
    <s v="46000"/>
    <s v="502901001"/>
    <s v="UZ"/>
    <s v="УЗБЕКИСТАН"/>
    <n v="13276444.199999901"/>
    <s v="1037700024933"/>
    <s v="7716168776"/>
    <s v="ООО ВИССМАНН"/>
    <s v="141014, , Г. МЫТИЩИ, УЛ.ЦЕНТРАЛЬНАЯ, СТРОЕНИЕ 20Б, ОФИС 815,"/>
    <s v="46000"/>
    <s v="502901001"/>
    <s v="UZ"/>
    <s v="УЗБЕКИСТАН"/>
    <x v="14"/>
    <s v="RU"/>
    <s v="РОССИЯ"/>
    <n v="2"/>
    <s v="0"/>
    <s v="CРТ"/>
    <s v="Г. ПОДОЛЬСК"/>
    <n v="1"/>
    <s v="USD"/>
    <n v="188250"/>
    <n v="13276444"/>
    <n v="188250"/>
    <n v="70.525599999999898"/>
    <s v="010"/>
    <s v="31"/>
    <s v="22070302/0001/0000/2/1"/>
    <s v="-"/>
    <s v="99"/>
    <s v=""/>
    <s v=""/>
    <s v=""/>
    <s v="МОСКОВСКАЯ ОБЛ."/>
    <s v="Г. МОЖАЙСК"/>
    <s v="Д. ОТЯКОВО"/>
    <s v="10013150 т/п Можайский"/>
    <n v="1"/>
    <s v="КОТЛЫ, МАТЕРИАЛ ИЗГ.-СТАЛЬ, ОБЛАСТЬ ПРИМЕНЕНИЯ-ДЛЯ СИСТЕМЫ ЦЕНТРАЛЬНОГО ОТОПЛЕНИЯ И ГОРЯЧЕГО ВОДОСНАБЖЕНИЯ, ПРИНЦИП РАБОТЫ-РАБОТАЮЩИЕ НА ГАЗООБРАЗНОМ ТОПЛИВЕ, ТЕХНИЧЕСКИЕ ХАРАКТЕРИСТИКИ-МОЩНОСТЬ 24/30/34 КВТ, (НЕВОЕННОГО НАЗНАЧЕНИЯ), :"/>
    <x v="0"/>
    <m/>
    <s v="ООО NEXT GENERATION PRODUCT"/>
    <n v="67"/>
    <n v="0"/>
    <n v="402"/>
    <s v="ШТ"/>
    <n v="0"/>
    <m/>
    <s v="1"/>
    <s v="8403109000"/>
    <s v=""/>
    <s v=""/>
    <s v="UZ"/>
    <n v="15360.5"/>
    <s v="ООЭР-ОО"/>
    <n v="4000000"/>
    <n v="13317"/>
    <n v="0"/>
    <s v=""/>
    <s v=""/>
    <n v="188250"/>
    <n v="13276444"/>
    <n v="0"/>
    <n v="1"/>
    <n v="13276444.199999901"/>
    <n v="188250"/>
    <s v="10"/>
    <n v="14.136100000000001"/>
    <n v="1085"/>
    <s v="1019/00-19-056"/>
    <m/>
    <s v="СОЛОДАЙ ОЛЕСЯ ЮРЬЕВНА"/>
    <n v="1629"/>
    <m/>
  </r>
  <r>
    <s v="1"/>
    <d v="2023-09-28T00:00:00"/>
    <x v="4"/>
    <s v="10013160/221222/3623011"/>
    <s v="10013160"/>
    <s v="3623011"/>
    <x v="0"/>
    <s v="40"/>
    <s v=""/>
    <s v=""/>
    <s v=""/>
    <s v="BRANO A.S."/>
    <s v="74741, , HRADEC NAD MORAVICI, OPAVSKA 1000,"/>
    <s v=""/>
    <s v=""/>
    <n v="2"/>
    <n v="0"/>
    <n v="3"/>
    <n v="26"/>
    <s v="1137746059956"/>
    <s v="7720772444"/>
    <s v="ООО ТД МОРА-ТОП"/>
    <s v="143430, МОСКОВСКАЯ ОБЛ., Г. КРАСНОГОРСК, РП НАХАБИНО, УЛ.СОВЕТСКАЯ,Д.86,"/>
    <s v="46000"/>
    <s v="502401001"/>
    <s v="1137746059956"/>
    <s v="7720772444"/>
    <s v="ООО ТД МОРА-ТОП"/>
    <s v="143430, МОСКОВСКАЯ ОБЛ., Г. КРАСНОГОРСК, РП НАХАБИНО, УЛ.СОВЕТСКАЯ,Д.86,"/>
    <s v="46000"/>
    <s v="502401001"/>
    <s v="CZ"/>
    <s v="ЧЕХИЯ"/>
    <n v="3768718.72"/>
    <s v="1137746059956"/>
    <s v="7720772444"/>
    <s v="ООО ТД МОРА-ТОП"/>
    <s v="143430, МОСКОВСКАЯ ОБЛ., Г. КРАСНОГОРСК, РП НАХАБИНО, УЛ.СОВЕТСКАЯ,Д.86,"/>
    <s v="46000"/>
    <s v="502401001"/>
    <s v="CZ"/>
    <s v="ЧЕХИЯ"/>
    <x v="13"/>
    <s v="RU"/>
    <s v="РОССИЯ"/>
    <n v="2"/>
    <s v="0"/>
    <s v="FCA"/>
    <s v="OLOMOUC (ЧЕХИЯ)"/>
    <n v="1"/>
    <s v="EUR"/>
    <n v="49088.42"/>
    <n v="3686118"/>
    <n v="53437.599999999897"/>
    <n v="75.091399999999894"/>
    <s v="010"/>
    <s v=""/>
    <s v=""/>
    <s v="-"/>
    <s v="99"/>
    <s v=""/>
    <s v=""/>
    <s v="143090"/>
    <s v="МОСКОВСКАЯ ОБЛ."/>
    <s v="Г. КРАСНОЗНАМЕНСК"/>
    <s v="УЛ. БЕРЕЗОВАЯ АЛЛЕЯ, Д. 5"/>
    <s v="10013070 т/п Красноармейский"/>
    <n v="1"/>
    <s v="КОТЛЫ ЦЕНТРАЛЬНОГО ОТОПЛЕНИЯ ЧУГУННЫЕ, НАПОЛЬНЫЕ, ПРЕДНАЗНАЧЕНЫ ДЛЯ ОТОПЛЕНИЯ И НАГРЕВА ХОЗЯЙСТВЕННОЙ ВОДЫ В ДОМАШНИХ УСЛОВИЯХ И НА ПРЕДПРИЯТИЯХ"/>
    <x v="0"/>
    <m/>
    <s v="BRANO A.S."/>
    <n v="20"/>
    <n v="0"/>
    <n v="32"/>
    <s v="ШТ"/>
    <n v="0"/>
    <m/>
    <s v="1"/>
    <s v="8403101000"/>
    <s v=""/>
    <s v=""/>
    <s v="CZ"/>
    <n v="4737"/>
    <s v="ОООО-ОО"/>
    <n v="4000000"/>
    <n v="4257"/>
    <n v="0"/>
    <s v=""/>
    <s v=""/>
    <n v="29804.16"/>
    <n v="2238036"/>
    <n v="0"/>
    <n v="1"/>
    <n v="2302264.77999999"/>
    <n v="32644.38"/>
    <s v="10"/>
    <n v="7.6684000000000001"/>
    <m/>
    <m/>
    <m/>
    <s v="МИТИНА СВЕТЛАНА ВИКТОРОВНА"/>
    <n v="1293"/>
    <m/>
  </r>
  <r>
    <s v="1"/>
    <d v="2023-06-14T00:00:00"/>
    <x v="11"/>
    <s v="10013160/221222/3623011"/>
    <s v="10013160"/>
    <s v="3623011"/>
    <x v="0"/>
    <s v="40"/>
    <s v=""/>
    <s v=""/>
    <s v=""/>
    <s v="BRANO A.S."/>
    <s v="74741, , HRADEC NAD MORAVICI, OPAVSKA 1000,"/>
    <s v=""/>
    <s v=""/>
    <n v="2"/>
    <n v="0"/>
    <n v="3"/>
    <n v="26"/>
    <s v="1137746059956"/>
    <s v="7720772444"/>
    <s v="ООО ТД МОРА-ТОП"/>
    <s v="143430, МОСКОВСКАЯ ОБЛ., Г. КРАСНОГОРСК, РП НАХАБИНО, УЛ.СОВЕТСКАЯ,Д.86,"/>
    <s v="46000"/>
    <s v="502401001"/>
    <s v="1137746059956"/>
    <s v="7720772444"/>
    <s v="ООО ТД МОРА-ТОП"/>
    <s v="143430, МОСКОВСКАЯ ОБЛ., Г. КРАСНОГОРСК, РП НАХАБИНО, УЛ.СОВЕТСКАЯ,Д.86,"/>
    <s v="46000"/>
    <s v="502401001"/>
    <s v="CZ"/>
    <s v="ЧЕХИЯ"/>
    <n v="3768718.72"/>
    <s v="1137746059956"/>
    <s v="7720772444"/>
    <s v="ООО ТД МОРА-ТОП"/>
    <s v="143430, МОСКОВСКАЯ ОБЛ., Г. КРАСНОГОРСК, РП НАХАБИНО, УЛ.СОВЕТСКАЯ,Д.86,"/>
    <s v="46000"/>
    <s v="502401001"/>
    <s v="CZ"/>
    <s v="ЧЕХИЯ"/>
    <x v="13"/>
    <s v="RU"/>
    <s v="РОССИЯ"/>
    <n v="2"/>
    <s v="0"/>
    <s v="FCA"/>
    <s v="OLOMOUC (ЧЕХИЯ)"/>
    <n v="1"/>
    <s v="EUR"/>
    <n v="49088.42"/>
    <n v="3686118"/>
    <n v="53437.599999999897"/>
    <n v="75.091399999999894"/>
    <s v="010"/>
    <s v=""/>
    <s v=""/>
    <s v="-"/>
    <s v="99"/>
    <s v=""/>
    <s v=""/>
    <s v="143090"/>
    <s v="МОСКОВСКАЯ ОБЛ."/>
    <s v="Г. КРАСНОЗНАМЕНСК"/>
    <s v="УЛ. БЕРЕЗОВАЯ АЛЛЕЯ, Д. 5"/>
    <s v="10013070 т/п Красноармейский"/>
    <n v="2"/>
    <s v="НАСТЕННЫЕ ЭЛЕКТРИЧЕСКИЕ КОТЛЫ ЦЕНТРАЛЬНОГО ОТОПЛЕНИЯ, ПРЕДНАЗНАЧЕНЫ ДЛЯ ОТОПЛЕНИЯ И НАГРЕВА ХОЗЯЙСТВЕННОЙ ВОДЫ В ДОМАШНИХ УСЛОВИЯХ И НА ПРЕДПРИЯТИЯХ"/>
    <x v="0"/>
    <m/>
    <s v="BRANO A.S."/>
    <n v="2"/>
    <n v="0"/>
    <n v="12"/>
    <s v="ШТ"/>
    <n v="0"/>
    <m/>
    <s v="3"/>
    <s v="8403109000"/>
    <s v=""/>
    <s v=""/>
    <s v="CZ"/>
    <n v="480"/>
    <s v="ОООО-ОО"/>
    <n v="4000000"/>
    <n v="450"/>
    <n v="0"/>
    <s v=""/>
    <s v=""/>
    <n v="6340.56"/>
    <n v="476122"/>
    <n v="0"/>
    <n v="1"/>
    <n v="482629.7"/>
    <n v="6843.33"/>
    <s v="10"/>
    <n v="15.2074"/>
    <m/>
    <m/>
    <m/>
    <s v="МИТИНА СВЕТЛАНА ВИКТОРОВНА"/>
    <n v="1293"/>
    <m/>
  </r>
  <r>
    <s v="1"/>
    <d v="2023-10-11T00:00:00"/>
    <x v="1"/>
    <s v="10013160/221222/3622350"/>
    <s v="10013160"/>
    <s v="3622350"/>
    <x v="0"/>
    <s v="40"/>
    <s v=""/>
    <s v=""/>
    <s v=""/>
    <s v="WOLF GMBH"/>
    <s v="84048, , MAINBURG, INDUSTRIESTRABE 1,"/>
    <s v=""/>
    <s v=""/>
    <n v="7"/>
    <n v="0"/>
    <n v="19"/>
    <n v="29"/>
    <s v="1117746958152"/>
    <s v="7705970152"/>
    <s v="ООО ВОЛЬФ ЭНЕРГОСБЕРЕГАЮЩИЕ СИСТЕМЫ"/>
    <s v="127238, , МОСКВА, ШОССЕ ДМИТРОВСКОЕ, ДОМ 71Б, ЭТ.5, КОМ.18,"/>
    <s v="45000"/>
    <s v="774301001"/>
    <s v="1117746958152"/>
    <s v="7705970152"/>
    <s v="ООО ВОЛЬФ ЭНЕРГОСБЕРЕГАЮЩИЕ СИСТЕМЫ"/>
    <s v="127238, , МОСКВА, ШОССЕ ДМИТРОВСКОЕ, ДОМ 71Б, ЭТ.5, КОМ.18,"/>
    <s v="45000"/>
    <s v="774301001"/>
    <s v="DE"/>
    <s v="ГЕРМАНИЯ"/>
    <n v="8592695.9100000001"/>
    <s v="1117746958152"/>
    <s v="7705970152"/>
    <s v="ООО ВОЛЬФ ЭНЕРГОСБЕРЕГАЮЩИЕ СИСТЕМЫ"/>
    <s v="127238, , МОСКВА, ШОССЕ ДМИТРОВСКОЕ, ДОМ 71Б, ЭТ.5, КОМ.18,"/>
    <s v="45000"/>
    <s v="774301001"/>
    <s v="DE"/>
    <s v="ГЕРМАНИЯ"/>
    <x v="8"/>
    <s v="RU"/>
    <s v="РОССИЯ"/>
    <n v="2"/>
    <s v="0"/>
    <s v="DAP"/>
    <s v="МОСКВА"/>
    <n v="1"/>
    <s v="RUB"/>
    <n v="8592695.9100000001"/>
    <n v="8592696"/>
    <n v="121837.98"/>
    <n v="0"/>
    <s v="010"/>
    <s v=""/>
    <s v="13100004/3333/0000/2/1"/>
    <s v="-"/>
    <s v="99"/>
    <s v=""/>
    <s v=""/>
    <s v=""/>
    <s v="МОСКОВСКАЯ ОБЛ. ОДИНЦОВСКИЙ Г.О."/>
    <s v="ТЕРР. ЗВЕНИГОРОДСКОЕ"/>
    <s v="Ш., 33-Й КМ., СТР. 6, 8, 9, 13, 19; ЗЕМ. УЧ. 1/1 И"/>
    <s v="10013210 т/п Кубинка"/>
    <n v="4"/>
    <s v="КОТЛЫ ЦЕНТРАЛЬНОГО ОТОПЛЕНИЯ: ИТОГО-47ШТ."/>
    <x v="0"/>
    <m/>
    <s v="WOLF GMBH"/>
    <n v="28"/>
    <n v="0"/>
    <n v="47"/>
    <s v="ШТ"/>
    <n v="0"/>
    <m/>
    <s v="8"/>
    <s v="8403109000"/>
    <s v=""/>
    <s v=""/>
    <s v="DE"/>
    <n v="6650.473"/>
    <s v="ОООО-ОО"/>
    <n v="4000000"/>
    <n v="6170.473"/>
    <n v="0"/>
    <s v=""/>
    <s v=""/>
    <n v="8100871.6600000001"/>
    <n v="8100872"/>
    <n v="0"/>
    <n v="1"/>
    <n v="8100871.6600000001"/>
    <n v="114864.27"/>
    <s v="10"/>
    <n v="18.615100000000002"/>
    <n v="966"/>
    <s v="443/01/2022"/>
    <m/>
    <s v="РАССОЛОВ АЛЕКСАНДР НИКОЛАЕВИЧ"/>
    <n v="1434"/>
    <m/>
  </r>
  <r>
    <s v="1"/>
    <d v="2023-03-09T00:00:00"/>
    <x v="2"/>
    <s v="10013160/211222/3620243"/>
    <s v="10013160"/>
    <s v="3620243"/>
    <x v="0"/>
    <s v="40"/>
    <s v=""/>
    <s v=""/>
    <s v=""/>
    <s v="UNICAL AG S.P.A."/>
    <s v="46020, , CARBONARA DI PO (MN), VIA RONCADA N. 81,"/>
    <s v=""/>
    <s v=""/>
    <n v="2"/>
    <n v="0"/>
    <n v="2"/>
    <n v="10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IT"/>
    <s v="ИТАЛИЯ"/>
    <n v="2854276.65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IT"/>
    <s v="ИТАЛИЯ"/>
    <x v="0"/>
    <s v="RU"/>
    <s v="РОССИЯ"/>
    <n v="2"/>
    <s v="0"/>
    <s v="FCA"/>
    <s v="CARBONARA"/>
    <n v="1"/>
    <s v="EUR"/>
    <n v="33019"/>
    <n v="2421577"/>
    <n v="41364.11"/>
    <n v="73.338899999999896"/>
    <s v="010"/>
    <s v="31"/>
    <s v="18050061/1000/0081/2/1"/>
    <s v="-"/>
    <s v="99"/>
    <s v=""/>
    <s v=""/>
    <s v=""/>
    <s v="МОСКОВСКАЯ ОБЛ."/>
    <s v="Г. ХИМКИ"/>
    <s v="ВАШУТИНСКОЕ Ш., Д. 20, К. 1"/>
    <s v="10013020 т/п Вашутинский"/>
    <n v="2"/>
    <s v="КОТЛЫ ОТОПИТЕЛЬНЫЕ, РАБОТАЮЩИЕ НА ГАЗОВОМ ТОПЛИВЕ, В ЧАСТИЧНО РАЗОБРАННОМ ВИДЕ:"/>
    <x v="0"/>
    <m/>
    <s v="UNICAL AG S.P.A."/>
    <n v="8"/>
    <n v="0"/>
    <n v="5"/>
    <s v="ШТ"/>
    <n v="0"/>
    <m/>
    <s v="2"/>
    <s v="8403109000"/>
    <s v=""/>
    <s v=""/>
    <s v="IT"/>
    <n v="13445"/>
    <s v="ОООО-ОО"/>
    <n v="4000000"/>
    <n v="13400"/>
    <n v="0"/>
    <s v=""/>
    <s v=""/>
    <n v="27019"/>
    <n v="1981544"/>
    <n v="0"/>
    <n v="1"/>
    <n v="2397832.94"/>
    <n v="34749.339999999902"/>
    <s v="10"/>
    <n v="2.5931999999999999"/>
    <n v="1239"/>
    <s v="КЛ/19/21"/>
    <m/>
    <s v="ДЕМЧУК ЕКАТЕРИНА СЕРГЕЕВНА"/>
    <n v="0"/>
    <m/>
  </r>
  <r>
    <s v="1"/>
    <d v="2023-04-15T00:00:00"/>
    <x v="3"/>
    <s v="10013160/211222/3619966"/>
    <s v="10013160"/>
    <s v="3619966"/>
    <x v="0"/>
    <s v="40"/>
    <s v=""/>
    <s v=""/>
    <s v=""/>
    <s v="UNICAL AG S.P.A."/>
    <s v="46020, , CARBONARA DI PO (MN), VIA RONCADA N. 81,"/>
    <s v=""/>
    <s v=""/>
    <n v="3"/>
    <n v="0"/>
    <n v="5"/>
    <n v="13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IT"/>
    <s v="ИТАЛИЯ"/>
    <n v="11200426.810000001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IT"/>
    <s v="ИТАЛИЯ"/>
    <x v="0"/>
    <s v="RU"/>
    <s v="РОССИЯ"/>
    <n v="2"/>
    <s v="0"/>
    <s v=""/>
    <s v="РАЗНЫЕ"/>
    <n v="1"/>
    <s v="EUR"/>
    <n v="146821.5"/>
    <n v="10767727"/>
    <n v="162316.32"/>
    <n v="73.338899999999896"/>
    <s v="010"/>
    <s v=""/>
    <s v="18050061/1000/0081/2/1"/>
    <s v="-"/>
    <s v="99"/>
    <s v=""/>
    <s v=""/>
    <s v=""/>
    <s v="МОСКОВСКАЯ ОБЛ."/>
    <s v="Г. ХИМКИ"/>
    <s v="ВАШУТИНСКОЕ Ш., Д. 20, К. 1"/>
    <s v="10013020 т/п Вашутинский"/>
    <n v="1"/>
    <s v="КОТЛЫ ОТОПИТЕЛЬНЫЕ, РАБОТАЮЩИЕ НА ГАЗОВОМ ТОПЛИВЕ, В ЧАСТИЧНО РАЗОБРАННОМ ВИДЕ:"/>
    <x v="0"/>
    <m/>
    <s v="UNICAL AG S.P.A."/>
    <n v="12"/>
    <n v="0"/>
    <n v="12"/>
    <s v="ШТ"/>
    <n v="0"/>
    <m/>
    <s v="1"/>
    <s v="8403109000"/>
    <s v=""/>
    <s v=""/>
    <s v="IT"/>
    <n v="11648"/>
    <s v="ОООО-ОО"/>
    <n v="4000000"/>
    <n v="10686"/>
    <n v="0"/>
    <s v=""/>
    <s v=""/>
    <n v="145635"/>
    <n v="10680711"/>
    <n v="0"/>
    <n v="1"/>
    <n v="11113245.199999901"/>
    <n v="161052.89000000001"/>
    <s v="10"/>
    <n v="15.071400000000001"/>
    <n v="1239"/>
    <s v="КЛ/19/21"/>
    <m/>
    <s v="ДЕМЧУК ЕКАТЕРИНА СЕРГЕЕВНА"/>
    <n v="0"/>
    <m/>
  </r>
  <r>
    <s v="1"/>
    <d v="2023-02-20T00:00:00"/>
    <x v="12"/>
    <s v="10013160/210323/3128530"/>
    <s v="10013160"/>
    <s v="3128530"/>
    <x v="0"/>
    <s v="40"/>
    <s v=""/>
    <s v=""/>
    <s v=""/>
    <s v="WELLPET BELGIUM BVBA"/>
    <s v="1831, MACHELEN, DIEGEM, LEONARDO DA VINCILAAN 19- MC SQUARE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460481.0199999996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 (BE)"/>
    <n v="1"/>
    <s v="EUR"/>
    <n v="51771.4"/>
    <n v="4264597"/>
    <n v="57746.69"/>
    <n v="82.373599999999996"/>
    <s v="010"/>
    <s v=""/>
    <s v="18090220/1481/1948/2/1"/>
    <s v="-"/>
    <s v="11"/>
    <s v="10013/200111/10118/9"/>
    <s v=""/>
    <s v=""/>
    <s v="МОСКОВСКАЯ ОБЛ., ОДИНЦОВСКИЙ Р-Н"/>
    <s v="С. АКУЛОВО (Г.П. ОДИНЦОВО)"/>
    <s v="УЛ. НОВАЯ, Д. 137"/>
    <s v="10013010 т/п Акуловский"/>
    <n v="1"/>
    <s v="КОРМ ДЛЯ СОБАК ИЛИ КОШЕК, РАСФАСОВАННЫЙ, НЕ СОДЕРЖАЩИЙ КРАХМАЛ, ИЛИ СОДЕРЖАЩИЙ 10 МАС.% ИЛИ МЕНЕЕ КРАХМАЛА, НЕ СОДЕРЖАЩИЙ МОЛОЧНЫХ ПРОДУКTОВ ИЛИ СОДЕРЖАЩИЙ МЕНЕЕ 10 МАС.% МОЛОЧНЫХ ПРОДУКТОВ:"/>
    <x v="1"/>
    <m/>
    <s v="UNITED PETFOOD FRANCE-UPF"/>
    <n v="33"/>
    <n v="0"/>
    <n v="0"/>
    <m/>
    <n v="0"/>
    <m/>
    <s v="1"/>
    <s v="2309101100"/>
    <s v=""/>
    <s v=""/>
    <s v="FR"/>
    <n v="4728.16"/>
    <s v="ОООО-ОО"/>
    <n v="4000000"/>
    <n v="4412.3999999999996"/>
    <n v="0"/>
    <s v=""/>
    <s v=""/>
    <n v="16699.78"/>
    <n v="1375621"/>
    <n v="0"/>
    <n v="1"/>
    <n v="1438610.44"/>
    <n v="18624.669999999998"/>
    <s v="10"/>
    <n v="18624.740399999999"/>
    <n v="4.2210000000000001"/>
    <n v="952"/>
    <s v="0952-22-875"/>
    <s v="СВЕТЧИКОВА АНАСТАСИЯ АНДРЕЕВНА"/>
    <n v="0"/>
    <m/>
  </r>
  <r>
    <s v="1"/>
    <d v="2023-06-08T00:00:00"/>
    <x v="11"/>
    <s v="10013160/210323/3128530"/>
    <s v="10013160"/>
    <s v="3128530"/>
    <x v="0"/>
    <s v="40"/>
    <s v=""/>
    <s v=""/>
    <s v=""/>
    <s v="WELLPET BELGIUM BVBA"/>
    <s v="1831, MACHELEN, DIEGEM, LEONARDO DA VINCILAAN 19- MC SQUARE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460481.0199999996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 (BE)"/>
    <n v="1"/>
    <s v="EUR"/>
    <n v="51771.4"/>
    <n v="4264597"/>
    <n v="57746.69"/>
    <n v="82.373599999999996"/>
    <s v="010"/>
    <s v=""/>
    <s v="18090220/1481/1948/2/1"/>
    <s v="-"/>
    <s v="11"/>
    <s v="10013/200111/10118/9"/>
    <s v=""/>
    <s v=""/>
    <s v="МОСКОВСКАЯ ОБЛ., ОДИНЦОВСКИЙ Р-Н"/>
    <s v="С. АКУЛОВО (Г.П. ОДИНЦОВО)"/>
    <s v="УЛ. НОВАЯ, Д. 137"/>
    <s v="10013010 т/п Акуловский"/>
    <n v="2"/>
    <s v="КОРМ ДЛЯ СОБАК ИЛИ КОШЕК, РАСФАСОВАННЫЙ, СОДЕРЖАЩИЙ БОЛЕЕ 10 МАС.%,НО НЕ БОЛЕЕ 30 МАС.% КРАXМАЛА, НЕ СОДЕРЖАЩИЙ МОЛОЧНЫХ ПРОДУКТОВ ИЛИ СОДЕРЖАЩИЙ МЕНЕЕ 10 МАС.% ТАКИХ ПРОДУКТОВ:"/>
    <x v="1"/>
    <m/>
    <s v="UNITED PETFOOD FRANCE-UPF"/>
    <n v="33"/>
    <n v="0"/>
    <n v="0"/>
    <m/>
    <n v="0"/>
    <m/>
    <s v="2"/>
    <s v="2309103100"/>
    <s v=""/>
    <s v=""/>
    <s v="FR"/>
    <n v="9975.52"/>
    <s v="ОООО-ОО"/>
    <n v="4000000"/>
    <n v="9340.4"/>
    <n v="0"/>
    <s v=""/>
    <s v=""/>
    <n v="35071.620000000003"/>
    <n v="2888976"/>
    <n v="0"/>
    <n v="1"/>
    <n v="3021870.58"/>
    <n v="39122.019999999997"/>
    <s v="10"/>
    <n v="39122.265400000004"/>
    <n v="4.1885000000000003"/>
    <n v="952"/>
    <s v="0952-22-875"/>
    <s v="СВЕТЧИКОВА АНАСТАСИЯ АНДРЕЕВНА"/>
    <n v="0"/>
    <m/>
  </r>
  <r>
    <s v="1"/>
    <d v="2023-03-24T00:00:00"/>
    <x v="2"/>
    <s v="10013160/200323/3126652"/>
    <s v="10013160"/>
    <s v="3126652"/>
    <x v="0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440213.7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2127.56"/>
    <n v="4246493"/>
    <n v="57962.91"/>
    <n v="81.463499999999996"/>
    <s v="010"/>
    <s v="31"/>
    <s v="18090220/1481/1948/2/1"/>
    <s v="-"/>
    <s v="11"/>
    <s v="10013/200111/10118/9"/>
    <s v=""/>
    <s v=""/>
    <s v="МОСКОВСКАЯ ОБЛ., ОДИНЦОВСКИЙ Р-Н"/>
    <s v="С. АКУЛОВО (Г.П. ОДИНЦОВО)"/>
    <s v="УЛ. НОВАЯ, Д. 137"/>
    <s v="10013010 т/п Акуловский"/>
    <n v="2"/>
    <s v="КОРМ ДЛЯ СОБАК ИЛИ КОШE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:"/>
    <x v="1"/>
    <m/>
    <s v="UNITED PETFOOD FRANCE-UPF"/>
    <n v="16"/>
    <n v="0"/>
    <n v="0"/>
    <m/>
    <n v="0"/>
    <m/>
    <s v="2"/>
    <s v="2309101100"/>
    <s v=""/>
    <s v=""/>
    <s v="FR"/>
    <n v="4740.32"/>
    <s v="ОООО-ОО"/>
    <n v="4000000"/>
    <n v="4412.3999999999996"/>
    <n v="0"/>
    <s v=""/>
    <s v=""/>
    <n v="17055.939999999999"/>
    <n v="1389437"/>
    <n v="0"/>
    <n v="1"/>
    <n v="1451838.43"/>
    <n v="18952.419999999998"/>
    <s v="10"/>
    <n v="18952.581719999998"/>
    <n v="4.2953000000000001"/>
    <n v="952"/>
    <s v="0952-22-875"/>
    <s v="СНОПКОВ ДМИТРИЙ СЕРГЕЕВИЧ"/>
    <n v="0"/>
    <m/>
  </r>
  <r>
    <s v="1"/>
    <d v="2023-10-14T00:00:00"/>
    <x v="1"/>
    <s v="10013160/200323/3126652"/>
    <s v="10013160"/>
    <s v="3126652"/>
    <x v="0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440213.7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2127.56"/>
    <n v="4246493"/>
    <n v="57962.91"/>
    <n v="81.463499999999996"/>
    <s v="010"/>
    <s v="31"/>
    <s v="18090220/1481/1948/2/1"/>
    <s v="-"/>
    <s v="11"/>
    <s v="10013/200111/10118/9"/>
    <s v=""/>
    <s v=""/>
    <s v="МОСКОВСКАЯ ОБЛ., ОДИНЦОВСКИЙ Р-Н"/>
    <s v="С. АКУЛОВО (Г.П. ОДИНЦОВО)"/>
    <s v="УЛ. НОВАЯ, Д. 137"/>
    <s v="10013010 т/п Акуловский"/>
    <n v="1"/>
    <s v="КОРМ ДЛЯ СОБАК ИЛИ КОШЕК, РАСФАСОВАННЫЙ, СОДЕРЖАЩИЙ БОЛЕЕ 10 МАС.%,НО НЕ БОЛЕЕ 30 МАС.% КРАХМАЛА, НЕ СОДЕРЖАЩИЙ МОЛОЧНЫХ ПРОДУКТОВ ИЛИ СОДЕРЖАЩИЙ МЕНЕЕ 10 МАС.% ТАКИХ ПРОДУКТОВ:"/>
    <x v="1"/>
    <m/>
    <s v="UNITED PETFOOD FRANCE-UPF"/>
    <n v="17"/>
    <n v="0"/>
    <n v="0"/>
    <m/>
    <n v="0"/>
    <m/>
    <s v="1"/>
    <s v="2309103100"/>
    <s v=""/>
    <s v=""/>
    <s v="FR"/>
    <n v="9975.52"/>
    <s v="ОООО-ОО"/>
    <n v="4000000"/>
    <n v="9340.4"/>
    <n v="0"/>
    <s v=""/>
    <s v=""/>
    <n v="35071.620000000003"/>
    <n v="2857057"/>
    <n v="0"/>
    <n v="1"/>
    <n v="2988375.27"/>
    <n v="39010.49"/>
    <s v="10"/>
    <n v="39010.1806"/>
    <n v="4.1764999999999999"/>
    <n v="952"/>
    <s v="0952-22-875"/>
    <s v="СНОПКОВ ДМИТРИЙ СЕРГЕЕВИЧ"/>
    <n v="0"/>
    <m/>
  </r>
  <r>
    <s v="1"/>
    <d v="2023-09-20T00:00:00"/>
    <x v="4"/>
    <s v="10013160/200323/3126120"/>
    <s v="10013160"/>
    <s v="3126120"/>
    <x v="0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540142.5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3354.23"/>
    <n v="4346422"/>
    <n v="59267.39"/>
    <n v="81.463499999999996"/>
    <s v="010"/>
    <s v="31"/>
    <s v="18090220/1481/1948/2/1"/>
    <s v="-"/>
    <s v="11"/>
    <s v="10013/200111/10118/9"/>
    <s v=""/>
    <s v=""/>
    <s v="МОСКОВСКАЯ ОБЛ., ОДИНЦОВСКИЙ Р-Н"/>
    <s v="С. АКУЛОВО (Г.П. ОДИНЦОВО)"/>
    <s v="УЛ. НОВАЯ, Д. 137"/>
    <s v="10013010 т/п Акуловский"/>
    <n v="2"/>
    <s v="КОРМ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:"/>
    <x v="1"/>
    <m/>
    <s v="UNITED PETFOOD FRANCE-UPF"/>
    <n v="15"/>
    <n v="0"/>
    <n v="0"/>
    <m/>
    <n v="0"/>
    <m/>
    <s v="2"/>
    <s v="2309101100"/>
    <s v=""/>
    <s v=""/>
    <s v="FR"/>
    <n v="4502.32"/>
    <s v="ОООО-ОО"/>
    <n v="4000000"/>
    <n v="4198.2"/>
    <n v="0"/>
    <s v=""/>
    <s v=""/>
    <n v="15833.81"/>
    <n v="1289878"/>
    <n v="0"/>
    <n v="1"/>
    <n v="1347919.51"/>
    <n v="17595.849999999999"/>
    <s v="10"/>
    <n v="17595.915659999999"/>
    <n v="4.1913"/>
    <n v="952"/>
    <s v="0952-22-875"/>
    <s v="СНОПКОВ ДМИТРИЙ СЕРГЕЕВИЧ"/>
    <n v="0"/>
    <m/>
  </r>
  <r>
    <s v="1"/>
    <d v="2023-01-19T00:00:00"/>
    <x v="5"/>
    <s v="10013160/200323/3126120"/>
    <s v="10013160"/>
    <s v="3126120"/>
    <x v="0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540142.5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3354.23"/>
    <n v="4346422"/>
    <n v="59267.39"/>
    <n v="81.463499999999996"/>
    <s v="010"/>
    <s v="31"/>
    <s v="18090220/1481/1948/2/1"/>
    <s v="-"/>
    <s v="11"/>
    <s v="10013/200111/10118/9"/>
    <s v=""/>
    <s v=""/>
    <s v="МОСКОВСКАЯ ОБЛ., ОДИНЦОВСКИЙ Р-Н"/>
    <s v="С. АКУЛОВО (Г.П. ОДИНЦОВО)"/>
    <s v="УЛ. НОВАЯ, Д. 137"/>
    <s v="10013010 т/п Акуловский"/>
    <n v="1"/>
    <s v="КОРМ ДЛЯ СОБАК ИЛИ КОШЕК, РАСФАСОВАННЫЙ, СОДЕРЖАЩИЙ БОЛЕЕ 10 МАС.%,НО НЕ БОЛЕЕ 30 МАС.% КРАХМАЛА, НЕ СОДЕРЖАЩИЙ МОЛОЧНЫХ ПРОДУКTОВ ИЛИ СОДЕРЖАЩИЙ МЕНЕЕ 10 МАС.% ТАКИХ ПРОДУКТОВ:"/>
    <x v="1"/>
    <m/>
    <s v="UNITED PETFOOD FRANCE-UPF"/>
    <n v="18"/>
    <n v="0"/>
    <n v="0"/>
    <m/>
    <n v="0"/>
    <m/>
    <s v="1"/>
    <s v="2309103100"/>
    <s v=""/>
    <s v=""/>
    <s v="FR"/>
    <n v="10524.64"/>
    <s v="ОООО-ОО"/>
    <n v="4000000"/>
    <n v="9836.4"/>
    <n v="0"/>
    <s v=""/>
    <s v=""/>
    <n v="37520.42"/>
    <n v="3056545"/>
    <n v="0"/>
    <n v="1"/>
    <n v="3192223"/>
    <n v="41671.54"/>
    <s v="10"/>
    <n v="41671.908600000002"/>
    <n v="4.2365000000000004"/>
    <n v="952"/>
    <s v="0952-22-875"/>
    <s v="СНОПКОВ ДМИТРИЙ СЕРГЕЕВИЧ"/>
    <n v="0"/>
    <m/>
  </r>
  <r>
    <s v="1"/>
    <d v="2023-06-29T00:00:00"/>
    <x v="11"/>
    <s v="10013160/200223/3078871"/>
    <s v="10013160"/>
    <s v="3078871"/>
    <x v="0"/>
    <s v="40"/>
    <s v=""/>
    <s v=""/>
    <s v=""/>
    <s v="WELLPET BELGIUM BVBA"/>
    <s v="1831, MACHELEN, DIEGEM, LEONARDO DA VINCILAAN 19- MC SQUARE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163425.69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9948.51"/>
    <n v="3976421"/>
    <n v="55691.45"/>
    <n v="79.610399999999998"/>
    <s v="010"/>
    <s v="31"/>
    <s v="18090220/1481/1948/2/1"/>
    <s v="-"/>
    <s v="11"/>
    <s v="10013/200111/10118/8"/>
    <s v=""/>
    <s v=""/>
    <s v="МОСКОВСКАЯ ОБЛ., ОДИНЦОВСКИЙ Р-Н"/>
    <s v="С. АКУЛОВО (Г.П. ОДИНЦОВО)"/>
    <s v="УЛ. НОВАЯ, Д. 137"/>
    <s v="10013010 т/п Акуловский"/>
    <n v="1"/>
    <s v="КОРМ ДЛЯ СОБАК ИЛИ КОШЕК, РАСФАСОВАННЫЙ, НЕ СОДЕРЖАЩИЙ КРАХМАЛ, ИЛИ СОДЕРЖАЩИЙ 10 МАС.% ИЛИ МЕНЕЕ КРАХМAЛА, НЕ СОДЕРЖАЩИЙ МОЛОЧНЫХ ПРОДУКТОВ ИЛИ СОДЕРЖАЩИЙ МЕНЕЕ 10 МАС.% МОЛОЧНЫХ ПРОДУКТОВ:"/>
    <x v="1"/>
    <m/>
    <s v="UNITED PETFOOD FRANCE-UPF"/>
    <n v="33"/>
    <n v="0"/>
    <n v="0"/>
    <m/>
    <n v="0"/>
    <m/>
    <s v="1"/>
    <s v="2309101100"/>
    <s v=""/>
    <s v=""/>
    <s v="FR"/>
    <n v="6742.88"/>
    <s v="ОООО-ОО"/>
    <n v="4000000"/>
    <n v="6406"/>
    <n v="0"/>
    <s v=""/>
    <s v=""/>
    <n v="22660.94"/>
    <n v="1804046"/>
    <n v="0"/>
    <n v="1"/>
    <n v="1888365.06"/>
    <n v="25259.439999999999"/>
    <s v="10"/>
    <n v="25259.498599999999"/>
    <n v="3.9430999999999998"/>
    <n v="952"/>
    <s v="0952-22-875"/>
    <s v="СВЕТЧИКОВА АНАСТАСИЯ АНДРЕЕВНА"/>
    <n v="0"/>
    <m/>
  </r>
  <r>
    <s v="1"/>
    <d v="2023-01-12T00:00:00"/>
    <x v="5"/>
    <s v="10013160/200223/3078871"/>
    <s v="10013160"/>
    <s v="3078871"/>
    <x v="0"/>
    <s v="40"/>
    <s v=""/>
    <s v=""/>
    <s v=""/>
    <s v="WELLPET BELGIUM BVBA"/>
    <s v="1831, MACHELEN, DIEGEM, LEONARDO DA VINCILAAN 19- MC SQUARE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163425.69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9948.51"/>
    <n v="3976421"/>
    <n v="55691.45"/>
    <n v="79.610399999999998"/>
    <s v="010"/>
    <s v="31"/>
    <s v="18090220/1481/1948/2/1"/>
    <s v="-"/>
    <s v="11"/>
    <s v="10013/200111/10118/8"/>
    <s v=""/>
    <s v=""/>
    <s v="МОСКОВСКАЯ ОБЛ., ОДИНЦОВСКИЙ Р-Н"/>
    <s v="С. АКУЛОВО (Г.П. ОДИНЦОВО)"/>
    <s v="УЛ. НОВАЯ, Д. 137"/>
    <s v="10013010 т/п Акуловский"/>
    <n v="2"/>
    <s v="КОРМ ДЛЯ СОБАК ИЛИ КОШЕК, РАСФАСОВАННЫЙ, СОДЕРЖАЩИЙ БОЛЕЕ 10 МАС.%,НО НЕ БОЛЕЕ 30 МАС,% КРАХМАЛА, НЕ СОДЕРЖАЩИЙ МОЛОЧНЫХ ПРОДУКТОВ ИЛИ СОДЕРЖАЩИЙ МЕНЕЕ 10 МАС.% ТАКИХ ПРОДУКТОВ:"/>
    <x v="1"/>
    <m/>
    <s v="UNITED PETFOOD FRANCE-UPF"/>
    <n v="33"/>
    <n v="0"/>
    <n v="0"/>
    <m/>
    <n v="0"/>
    <m/>
    <s v="2"/>
    <s v="2309103100"/>
    <s v=""/>
    <s v=""/>
    <s v="FR"/>
    <n v="8211.76"/>
    <s v="ОООО-ОО"/>
    <n v="4000000"/>
    <n v="7759.8"/>
    <n v="0"/>
    <s v=""/>
    <s v=""/>
    <n v="27287.57"/>
    <n v="2172374"/>
    <n v="0"/>
    <n v="1"/>
    <n v="2275060.63"/>
    <n v="30432.01"/>
    <s v="10"/>
    <n v="30432.383640000004"/>
    <n v="3.9218000000000002"/>
    <n v="952"/>
    <s v="0952-22-875"/>
    <s v="СВЕТЧИКОВА АНАСТАСИЯ АНДРЕЕВНА"/>
    <n v="0"/>
    <m/>
  </r>
  <r>
    <s v="1"/>
    <d v="2023-02-05T00:00:00"/>
    <x v="12"/>
    <s v="10013160/191222/3616508"/>
    <s v="10013160"/>
    <s v="3616508"/>
    <x v="0"/>
    <s v="40"/>
    <s v=""/>
    <s v=""/>
    <s v=""/>
    <s v="SIA FRIGO TRANS "/>
    <s v="LV-1005, LATVIJA, RIGA, DAMBJA IELA, 3A"/>
    <s v=""/>
    <s v=""/>
    <n v="2"/>
    <n v="0"/>
    <n v="3"/>
    <n v="177"/>
    <s v="1195081081700"/>
    <s v="5029251630"/>
    <s v="ООО ЕВРОПРОМИМПОРТ"/>
    <s v="141006, МО, Г. МЫТИЩИ, РУПАСОВСКИЙ 1-Й ПЕРЕУЛОК,ЛИТЕР 4В,ОФИС 24А, 19"/>
    <s v="46000"/>
    <s v="502901001"/>
    <s v="1195081081700"/>
    <s v="5029251630"/>
    <s v="ООО ЕВРОПРОМИМПОРТ"/>
    <s v="141006, МО, Г. МЫТИЩИ, РУПАСОВСКИЙ 1-Й ПЕРЕУЛОК,ЛИТЕР 4В,ОФИС 24А, 19"/>
    <s v="46000"/>
    <s v="502901001"/>
    <s v="LV"/>
    <s v="ЛАТВИЯ"/>
    <n v="14144565.8699999"/>
    <s v="1195081081700"/>
    <s v="5029251630"/>
    <s v="ООО ЕВРОПРОМИМПОРТ"/>
    <s v="141006, МО, Г. МЫТИЩИ, РУПАСОВСКИЙ 1-Й ПЕРЕУЛОК,ЛИТЕР 4В,ОФИС 24А, 19"/>
    <s v="46000"/>
    <s v="502901001"/>
    <s v="LV"/>
    <s v="ЛАТВИЯ"/>
    <x v="13"/>
    <s v="RU"/>
    <s v="РОССИЯ"/>
    <n v="2"/>
    <s v="0"/>
    <s v="FCA"/>
    <s v="RIGA"/>
    <n v="1"/>
    <s v="EUR"/>
    <n v="204900"/>
    <n v="14092981"/>
    <n v="218929.69"/>
    <n v="68.779799999999895"/>
    <s v="010"/>
    <s v=""/>
    <s v="22112925/3292/0000/2/1"/>
    <s v="-"/>
    <s v="99"/>
    <s v=""/>
    <s v=""/>
    <s v=""/>
    <s v="МОСКОВСКАЯ ОБЛ."/>
    <s v="Г. КРАСНОЗНАМЕНСК"/>
    <s v="УЛ. БЕРЕЗОВАЯ АЛЛЕЯ"/>
    <s v="10013070 т/п Красноармейский"/>
    <n v="2"/>
    <s v="КОТЛЫ ЦЕНТРАЛЬНОГО ОТОПЛЕНИЯ :"/>
    <x v="0"/>
    <m/>
    <s v="THERMONA SPOL. S.R.O."/>
    <n v="173"/>
    <n v="0"/>
    <n v="173"/>
    <s v="ШТ"/>
    <n v="0"/>
    <m/>
    <s v="2"/>
    <s v="8403109000"/>
    <s v=""/>
    <s v=""/>
    <s v="CZ"/>
    <n v="10282"/>
    <s v="ОООО-ОО"/>
    <n v="4000000"/>
    <n v="9308"/>
    <n v="0"/>
    <s v=""/>
    <s v=""/>
    <n v="163891"/>
    <n v="11272390"/>
    <n v="0"/>
    <n v="1"/>
    <n v="11318507.060000001"/>
    <n v="175187.93"/>
    <s v="10"/>
    <n v="18.821200000000001"/>
    <m/>
    <m/>
    <m/>
    <s v="ОСНОВИНА ОЛЬГА НИКОЛАЕВНА"/>
    <n v="0"/>
    <m/>
  </r>
  <r>
    <s v="1"/>
    <d v="2023-04-22T00:00:00"/>
    <x v="3"/>
    <s v="10013160/191222/3616508"/>
    <s v="10013160"/>
    <s v="3616508"/>
    <x v="0"/>
    <s v="40"/>
    <s v=""/>
    <s v=""/>
    <s v=""/>
    <s v="SIA FRIGO TRANS "/>
    <s v="LV-1005, LATVIJA, RIGA, DAMBJA IELA, 3A"/>
    <s v=""/>
    <s v=""/>
    <n v="2"/>
    <n v="0"/>
    <n v="3"/>
    <n v="177"/>
    <s v="1195081081700"/>
    <s v="5029251630"/>
    <s v="ООО ЕВРОПРОМИМПОРТ"/>
    <s v="141006, МО, Г. МЫТИЩИ, РУПАСОВСКИЙ 1-Й ПЕРЕУЛОК,ЛИТЕР 4В,ОФИС 24А, 19"/>
    <s v="46000"/>
    <s v="502901001"/>
    <s v="1195081081700"/>
    <s v="5029251630"/>
    <s v="ООО ЕВРОПРОМИМПОРТ"/>
    <s v="141006, МО, Г. МЫТИЩИ, РУПАСОВСКИЙ 1-Й ПЕРЕУЛОК,ЛИТЕР 4В,ОФИС 24А, 19"/>
    <s v="46000"/>
    <s v="502901001"/>
    <s v="LV"/>
    <s v="ЛАТВИЯ"/>
    <n v="14144565.8699999"/>
    <s v="1195081081700"/>
    <s v="5029251630"/>
    <s v="ООО ЕВРОПРОМИМПОРТ"/>
    <s v="141006, МО, Г. МЫТИЩИ, РУПАСОВСКИЙ 1-Й ПЕРЕУЛОК,ЛИТЕР 4В,ОФИС 24А, 19"/>
    <s v="46000"/>
    <s v="502901001"/>
    <s v="LV"/>
    <s v="ЛАТВИЯ"/>
    <x v="13"/>
    <s v="RU"/>
    <s v="РОССИЯ"/>
    <n v="2"/>
    <s v="0"/>
    <s v="FCA"/>
    <s v="RIGA"/>
    <n v="1"/>
    <s v="EUR"/>
    <n v="204900"/>
    <n v="14092981"/>
    <n v="218929.69"/>
    <n v="68.779799999999895"/>
    <s v="010"/>
    <s v=""/>
    <s v="22112925/3292/0000/2/1"/>
    <s v="-"/>
    <s v="99"/>
    <s v=""/>
    <s v=""/>
    <s v=""/>
    <s v="МОСКОВСКАЯ ОБЛ."/>
    <s v="Г. КРАСНОЗНАМЕНСК"/>
    <s v="УЛ. БЕРЕЗОВАЯ АЛЛЕЯ"/>
    <s v="10013070 т/п Красноармейский"/>
    <n v="1"/>
    <s v="КОТЛЫ ЦЕНТРАЛЬНОГО ОТОПЛЕНИЯ :"/>
    <x v="0"/>
    <m/>
    <s v="THERMONA SPOL. S.R.O."/>
    <n v="2"/>
    <n v="0"/>
    <n v="2"/>
    <s v="ШТ"/>
    <n v="0"/>
    <m/>
    <s v="1"/>
    <s v="8403101000"/>
    <s v=""/>
    <s v=""/>
    <s v="CZ"/>
    <n v="314"/>
    <s v="ОООО-ОО"/>
    <n v="4000000"/>
    <n v="276"/>
    <n v="0"/>
    <s v=""/>
    <s v=""/>
    <n v="1073"/>
    <n v="73801"/>
    <n v="0"/>
    <n v="1"/>
    <n v="75208.649999999907"/>
    <n v="1164.08"/>
    <s v="10"/>
    <n v="4.2176999999999998"/>
    <m/>
    <m/>
    <m/>
    <s v="ОСНОВИНА ОЛЬГА НИКОЛАЕВНА"/>
    <n v="0"/>
    <m/>
  </r>
  <r>
    <s v="1"/>
    <d v="2023-04-03T00:00:00"/>
    <x v="3"/>
    <s v="10013160/191222/3616051"/>
    <s v="10013160"/>
    <s v="3616051"/>
    <x v="0"/>
    <s v="40"/>
    <s v=""/>
    <s v=""/>
    <s v=""/>
    <s v="WOLF GMBH"/>
    <s v="84048, , MAINBURG, INDUSTRIESTRABE 1,"/>
    <s v=""/>
    <s v=""/>
    <n v="7"/>
    <n v="0"/>
    <n v="17"/>
    <n v="52"/>
    <s v="1117746958152"/>
    <s v="7705970152"/>
    <s v="ООО ВОЛЬФ ЭНЕРГОСБЕРЕГАЮЩИЕ СИСТЕМЫ"/>
    <s v="127238, , МОСКВА, ШОССЕ ДМИТРОВСКОЕ, ДОМ 71Б, ЭТ.5, КОМ.18,"/>
    <s v="45000"/>
    <s v="774301001"/>
    <s v="1117746958152"/>
    <s v="7705970152"/>
    <s v="ООО ВОЛЬФ ЭНЕРГОСБЕРЕГАЮЩИЕ СИСТЕМЫ"/>
    <s v="127238, , МОСКВА, ШОССЕ ДМИТРОВСКОЕ, ДОМ 71Б, ЭТ.5, КОМ.18,"/>
    <s v="45000"/>
    <s v="774301001"/>
    <s v="DE"/>
    <s v="ГЕРМАНИЯ"/>
    <n v="10001975.49"/>
    <s v="1117746958152"/>
    <s v="7705970152"/>
    <s v="ООО ВОЛЬФ ЭНЕРГОСБЕРЕГАЮЩИЕ СИСТЕМЫ"/>
    <s v="127238, , МОСКВА, ШОССЕ ДМИТРОВСКОЕ, ДОМ 71Б, ЭТ.5, КОМ.18,"/>
    <s v="45000"/>
    <s v="774301001"/>
    <s v="DE"/>
    <s v="ГЕРМАНИЯ"/>
    <x v="8"/>
    <s v="RU"/>
    <s v="РОССИЯ"/>
    <n v="2"/>
    <s v="0"/>
    <s v="DAP"/>
    <s v="МОСКВА"/>
    <n v="1"/>
    <s v="RUB"/>
    <n v="10001975.49"/>
    <n v="10001975"/>
    <n v="154810.66"/>
    <n v="0"/>
    <s v="010"/>
    <s v=""/>
    <s v="13100004/3333/0000/2/1"/>
    <s v="-"/>
    <s v="99"/>
    <s v=""/>
    <s v=""/>
    <s v=""/>
    <s v="МОСКОВСКАЯ ОБЛ. ОДИНЦОВСКИЙ Г.О."/>
    <s v="ТЕРР. ЗВЕНИГОРОДСКОЕ"/>
    <s v="Ш., 33-Й КМ., СТР. 6, 8, 9, 13, 19; ЗЕМ. УЧ. 1/1 И"/>
    <s v="10013210 т/п Кубинка"/>
    <n v="3"/>
    <s v="КОТЛЫ ЦЕНТРАЛЬНОГО ОТОПЛЕНИЯ: ИТОГО-101ШТ."/>
    <x v="0"/>
    <m/>
    <s v="WOLF GMBH"/>
    <n v="50"/>
    <n v="0"/>
    <n v="101"/>
    <s v="ШТ"/>
    <n v="0"/>
    <m/>
    <s v="6"/>
    <s v="8403109000"/>
    <s v=""/>
    <s v=""/>
    <s v="DE"/>
    <n v="7242.2830000000004"/>
    <s v="ОООО-ОО"/>
    <n v="4000000"/>
    <n v="6462.2830000000004"/>
    <n v="0"/>
    <s v=""/>
    <s v=""/>
    <n v="9512259.1099999901"/>
    <n v="9512259"/>
    <n v="0"/>
    <n v="1"/>
    <n v="9512259.1099999901"/>
    <n v="147230.82"/>
    <s v="10"/>
    <n v="22.783100000000001"/>
    <n v="966"/>
    <s v="443/01/2022"/>
    <m/>
    <s v="РАССОЛОВ АЛЕКСАНДР НИКОЛАЕВИЧ"/>
    <n v="1287"/>
    <m/>
  </r>
  <r>
    <s v="1"/>
    <d v="2023-01-06T00:00:00"/>
    <x v="5"/>
    <s v="10013160/191222/3615529"/>
    <s v="10013160"/>
    <s v="3615529"/>
    <x v="0"/>
    <s v="40"/>
    <s v=""/>
    <s v=""/>
    <s v=""/>
    <s v="BOSCH THERMOTECHNIEK B.V."/>
    <s v="7418, ., DEVENTER, ZWEEDSESTRAAT 1,"/>
    <s v=""/>
    <s v=""/>
    <n v="1"/>
    <n v="0"/>
    <n v="1"/>
    <n v="26"/>
    <s v="1047796138862"/>
    <s v="7724506852"/>
    <s v="ООО БОШ ТЕРМОТЕХНИКА"/>
    <s v="115201, РФ, Г. МОСКВА, УЛ. КОТЛЯКОВСКАЯ, Д. 3, СТР.1, ПОМ. XXVI, ЧЕРДАК, КАБ. 15"/>
    <s v="45000"/>
    <s v="772401001"/>
    <s v="1047796138862"/>
    <s v="7724506852"/>
    <s v="ООО БОШ ТЕРМОТЕХНИКА"/>
    <s v="115201, РФ, Г. МОСКВА, УЛ. КОТЛЯКОВСКАЯ, Д. 3, СТР.1, ПОМ. XXVI, ЧЕРДАК, КАБ. 15"/>
    <s v="45000"/>
    <s v="772401001"/>
    <s v="NL"/>
    <s v="НИДЕРЛАНДЫ"/>
    <n v="12580705.800000001"/>
    <s v="1047796138862"/>
    <s v="7724506852"/>
    <s v="ООО БОШ ТЕРМОТЕХНИКА"/>
    <s v="115201, РФ, Г. МОСКВА, УЛ. КОТЛЯКОВСКАЯ, Д. 3, СТР.1, ПОМ. XXVI, ЧЕРДАК, КАБ. 15"/>
    <s v="45000"/>
    <s v="772401001"/>
    <s v="NL"/>
    <s v="НИДЕРЛАНДЫ"/>
    <x v="5"/>
    <s v="RU"/>
    <s v="РОССИЯ"/>
    <n v="2"/>
    <s v="0"/>
    <s v="DAP"/>
    <s v="ХИМКИ"/>
    <n v="1"/>
    <s v="EUR"/>
    <n v="182912.8"/>
    <n v="12580706"/>
    <n v="194724.26"/>
    <n v="68.779799999999895"/>
    <s v="010"/>
    <s v=""/>
    <s v="16010011/3328/0000/2/1"/>
    <s v="-"/>
    <s v="99"/>
    <s v=""/>
    <s v="10013/200111/10107/9"/>
    <s v=""/>
    <s v="МОСКОВСКАЯ ОБЛ."/>
    <s v="Г. ХИМКИ"/>
    <s v="ВАШУТИНСКОЕ Ш., Д. 20, К. 1"/>
    <s v="10013020 т/п Вашутинский"/>
    <n v="1"/>
    <s v="КОТЛЫ ЦЕНТРАЛЬНОГО ОТОПЛЕНИЯ, КРОМЕ КОТЛОВ ТОВАРНОЙ ПОЗИЦИИ 8402:"/>
    <x v="0"/>
    <m/>
    <s v="BOSCH THERMOTECHNIEK B.V."/>
    <n v="26"/>
    <n v="0"/>
    <n v="104"/>
    <s v="ШТ"/>
    <n v="0"/>
    <m/>
    <s v="1"/>
    <s v="8403109000"/>
    <s v=""/>
    <s v=""/>
    <s v="NL"/>
    <n v="8221.2000000000007"/>
    <s v="ОООО-ОО"/>
    <n v="4000000"/>
    <n v="7572.8"/>
    <n v="0"/>
    <s v=""/>
    <s v=""/>
    <n v="182912.8"/>
    <n v="12580706"/>
    <n v="0"/>
    <n v="1"/>
    <n v="12580705.800000001"/>
    <n v="194724.26"/>
    <s v="10"/>
    <n v="25.7136"/>
    <n v="35"/>
    <s v="0035/03-19-1943"/>
    <m/>
    <s v="НИЧИПОРЕНКО СВЕТЛАНА ВАСИЛЬЕВНА"/>
    <n v="1178"/>
    <m/>
  </r>
  <r>
    <s v="1"/>
    <d v="2023-09-16T00:00:00"/>
    <x v="4"/>
    <s v="10013160/171222/3613789"/>
    <s v="10013160"/>
    <s v="3613789"/>
    <x v="0"/>
    <s v="40"/>
    <s v=""/>
    <s v=""/>
    <s v=""/>
    <s v="BAXI S.P.A."/>
    <s v="36061, VICENZA, BASSANO DEL GRAPPA, VIA TROZZETTI 20,"/>
    <s v=""/>
    <s v=""/>
    <n v="2"/>
    <n v="0"/>
    <n v="2"/>
    <n v="197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9257349.0899999905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28834.01"/>
    <n v="8861177"/>
    <n v="143285.32"/>
    <n v="68.779799999999895"/>
    <s v="010"/>
    <s v="31"/>
    <s v="14100003/0001/0000/2/1"/>
    <s v="-"/>
    <s v="99"/>
    <s v=""/>
    <s v=""/>
    <s v=""/>
    <s v="МОСКОВСКАЯ ОБЛ., ОДИНЦОВСКИЙ Р-Н"/>
    <s v="С. АКУЛОВО"/>
    <s v="УЛ. НОВАЯ, Д. 137"/>
    <s v="10013010 т/п Акуловский"/>
    <n v="1"/>
    <s v="КОТЛЫ ЦЕНТРАЛЬНОГО ОТОПЛЕНИЯ, СТАЛЬНЫЕ, ВЕС БРУТТО С ПОДДОНАМИ 16836.0 КГ., АССОРТИМЕНТ"/>
    <x v="0"/>
    <m/>
    <s v="BAXI S.P.A."/>
    <n v="89"/>
    <n v="0"/>
    <n v="339"/>
    <s v="ШТ"/>
    <n v="0"/>
    <m/>
    <s v="1"/>
    <s v="8403109000"/>
    <s v=""/>
    <s v=""/>
    <s v="IT"/>
    <n v="16124"/>
    <s v="ОООО-ОО"/>
    <n v="4000000"/>
    <n v="15990"/>
    <n v="0"/>
    <s v=""/>
    <s v=""/>
    <n v="124940.61"/>
    <n v="8593390"/>
    <n v="0"/>
    <n v="1"/>
    <n v="8980994.6099999901"/>
    <n v="139007.9"/>
    <s v="10"/>
    <n v="8.6934000000000005"/>
    <n v="1053"/>
    <s v="0719/00-16-055"/>
    <m/>
    <s v="БЫКОВА ЛЮБОВЬ АЛЕКСАНДРОВНА"/>
    <n v="0"/>
    <m/>
  </r>
  <r>
    <s v="1"/>
    <d v="2023-12-01T00:00:00"/>
    <x v="10"/>
    <s v="10013160/171222/3613333"/>
    <s v="10013160"/>
    <s v="3613333"/>
    <x v="0"/>
    <s v="40"/>
    <s v=""/>
    <s v=""/>
    <s v=""/>
    <s v="BAXI S.P.A."/>
    <s v="36061, VICENZA, BASSANO DEL GRAPPA, VIA TROZZETTI 20,"/>
    <s v=""/>
    <s v=""/>
    <n v="2"/>
    <n v="0"/>
    <n v="2"/>
    <n v="97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10407247.6099999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45822.56"/>
    <n v="10029647"/>
    <n v="161083.45000000001"/>
    <n v="68.779799999999895"/>
    <s v="010"/>
    <s v="31"/>
    <s v="14100003/0001/0000/2/1"/>
    <s v="-"/>
    <s v="99"/>
    <s v=""/>
    <s v=""/>
    <s v=""/>
    <s v="МОСКОВСКАЯ ОБЛ., ОДИНЦОВСКИЙ Р-Н"/>
    <s v="С. АКУЛОВО"/>
    <s v="УЛ. НОВАЯ, Д. 137"/>
    <s v="10013010 т/п Акуловский"/>
    <n v="1"/>
    <s v="КОТЛЫ ЦЕНТРАЛЬНОГО ОТОПЛЕНИЯ, СТАЛЬНЫЕ, ВЕС БРУТТО С ПОДДОНАМИ 15540.0 КГ., АССОРТИМЕНТ"/>
    <x v="0"/>
    <m/>
    <s v="BAXI S.P.A."/>
    <n v="69"/>
    <n v="0"/>
    <n v="309"/>
    <s v="ШТ"/>
    <n v="0"/>
    <m/>
    <s v="1"/>
    <s v="8403109000"/>
    <s v=""/>
    <s v=""/>
    <s v="IT"/>
    <n v="14367"/>
    <s v="ОООО-ОО"/>
    <n v="4000000"/>
    <n v="14232.18"/>
    <n v="0"/>
    <s v=""/>
    <s v=""/>
    <n v="144411.359999999"/>
    <n v="9932584"/>
    <n v="0"/>
    <n v="1"/>
    <n v="10306974.92"/>
    <n v="159531.43"/>
    <s v="10"/>
    <n v="11.209199999999999"/>
    <n v="1053"/>
    <s v="0719/00-16-055"/>
    <m/>
    <s v="БЫКОВА ЛЮБОВЬ АЛЕКСАНДРОВНА"/>
    <n v="0"/>
    <m/>
  </r>
  <r>
    <s v="1"/>
    <d v="2023-05-20T00:00:00"/>
    <x v="9"/>
    <s v="10013160/170223/3074924"/>
    <s v="10013160"/>
    <s v="3074924"/>
    <x v="0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518435.47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4339.11"/>
    <n v="4345846"/>
    <n v="60436.14"/>
    <n v="79.976399999999998"/>
    <s v="010"/>
    <s v="31"/>
    <s v="18090220/1481/1948/2/1"/>
    <s v="-"/>
    <s v="11"/>
    <s v="10013/200111/10118/8"/>
    <s v=""/>
    <s v=""/>
    <s v="МОСКОВСКАЯ ОБЛ., ОДИНЦОВСКИЙ Р-Н"/>
    <s v="С. АКУЛОВО (Г.П. ОДИНЦОВО)"/>
    <s v="УЛ. НОВАЯ, Д. 137"/>
    <s v="10013010 т/п Акуловский"/>
    <n v="2"/>
    <s v="КОРМ СУХОЙ ДЛЯ КОШЕК, РАСФАСОВАННЫЙ, СОДЕРЖАЩИЙ БОЛЕЕ 10 МАС.%,НО НЕ БОЛЕЕ 30 МАС.% КРАХМАЛА, НЕ СОДЕРЖАЩИЙ МОЛОЧНЫХ ПРОДУКТОВ ИЛИ СОДЕРЖАЩИЙ МЕНЕЕ 10 МАС.% ТАКИХ ПРОДУКTОВ"/>
    <x v="1"/>
    <m/>
    <s v="UNITED PETFOOD FRANCE-UPF"/>
    <n v="33"/>
    <n v="0"/>
    <n v="0"/>
    <m/>
    <n v="0"/>
    <m/>
    <s v="2"/>
    <s v="2309103100"/>
    <s v=""/>
    <s v=""/>
    <s v="FR"/>
    <n v="8920.64"/>
    <s v="ОООО-ОО"/>
    <n v="4000000"/>
    <n v="8464"/>
    <n v="0"/>
    <s v=""/>
    <s v=""/>
    <n v="30521.279999999999"/>
    <n v="2440982"/>
    <n v="0"/>
    <n v="1"/>
    <n v="2540836.63"/>
    <n v="33984.85"/>
    <s v="10"/>
    <n v="33984.652800000003"/>
    <n v="4.0152000000000001"/>
    <n v="952"/>
    <s v="0952-22-875"/>
    <s v="СКУДАРЕВ АЛЕКСАНДР ВЛАДИМИРОВИЧ"/>
    <n v="1060"/>
    <m/>
  </r>
  <r>
    <s v="1"/>
    <d v="2023-09-06T00:00:00"/>
    <x v="4"/>
    <s v="10013160/170223/3074924"/>
    <s v="10013160"/>
    <s v="3074924"/>
    <x v="0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518435.47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4339.11"/>
    <n v="4345846"/>
    <n v="60436.14"/>
    <n v="79.976399999999998"/>
    <s v="010"/>
    <s v="31"/>
    <s v="18090220/1481/1948/2/1"/>
    <s v="-"/>
    <s v="11"/>
    <s v="10013/200111/10118/8"/>
    <s v=""/>
    <s v=""/>
    <s v="МОСКОВСКАЯ ОБЛ., ОДИНЦОВСКИЙ Р-Н"/>
    <s v="С. АКУЛОВО (Г.П. ОДИНЦОВО)"/>
    <s v="УЛ. НОВАЯ, Д. 137"/>
    <s v="10013010 т/п Акуловский"/>
    <n v="1"/>
    <s v="КОРМ СУХОЙ ДЛЯ СОБАК ИЛИ КОШЕК, РАСФАСОВАННЫЙ, НЕ СОДЕРЖАЩИЙ КРАХМАЛ, ИЛИ СОДEРЖАЩИЙ 10 МАС.% ИЛИ МЕНЕЕ КРАХМАЛА, НЕ СОДЕРЖАЩИЙ МОЛОЧНЫХ ПРОДУКТОВ ИЛИ СОДЕРЖАЩИЙ МЕНЕЕ 10 МАС.% МОЛОЧНЫХ ПРОДУКТОВ"/>
    <x v="1"/>
    <m/>
    <s v="UNITED PETFOOD FRANCE-UPF"/>
    <n v="33"/>
    <n v="0"/>
    <n v="0"/>
    <m/>
    <n v="0"/>
    <m/>
    <s v="1"/>
    <s v="2309101100"/>
    <s v=""/>
    <s v=""/>
    <s v="FR"/>
    <n v="6497.84"/>
    <s v="ОООО-ОО"/>
    <n v="4000000"/>
    <n v="6121.4"/>
    <n v="0"/>
    <s v=""/>
    <s v=""/>
    <n v="23817.83"/>
    <n v="1904864"/>
    <n v="0"/>
    <n v="1"/>
    <n v="1977598.84"/>
    <n v="26451.29"/>
    <s v="10"/>
    <n v="26451.181540000001"/>
    <n v="4.3211000000000004"/>
    <n v="952"/>
    <s v="0952-22-875"/>
    <s v="СКУДАРЕВ АЛЕКСАНДР ВЛАДИМИРОВИЧ"/>
    <n v="1060"/>
    <m/>
  </r>
  <r>
    <s v="1"/>
    <d v="2023-01-28T00:00:00"/>
    <x v="5"/>
    <s v="10013160/161222/5001883"/>
    <s v="10013160"/>
    <s v="5001883"/>
    <x v="0"/>
    <s v="40"/>
    <s v=""/>
    <s v=""/>
    <s v=""/>
    <s v="BAXI S.P.A."/>
    <s v="36061, VICENZA, BASSANO DEL GRAPPA, VIA TROZZETTI 20,"/>
    <s v=""/>
    <s v=""/>
    <n v="2"/>
    <m/>
    <n v="2"/>
    <n v="102"/>
    <s v="1087746423005"/>
    <s v="7717615508"/>
    <s v="ООО БДР ТЕРМИЯ РУС"/>
    <s v="129164, , Г. МОСКВА, ПЕР. ЗУБАРЕВ, Д.15, КОРП.1, ЭТ. 3, ПОМ.1, КОМ. 67Г"/>
    <s v="45000"/>
    <s v="771701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n v="9356109.4100000001"/>
    <s v="1087746423005"/>
    <s v="7717615508"/>
    <s v="ООО БДР ТЕРМИЯ РУС"/>
    <s v="129164, , Г. МОСКВА, ПЕР. ЗУБАРЕВ, Д.15, КОРП.1, ЭТ. 3, ПОМ.1, КОМ. 67Г"/>
    <s v="45000"/>
    <s v="771701001"/>
    <s v="IT"/>
    <s v="ИТАЛИЯ"/>
    <x v="0"/>
    <s v="RU"/>
    <s v="РОССИЯ"/>
    <n v="2"/>
    <s v="0"/>
    <s v="EXW"/>
    <s v="БАССАНО ДЕЛЬ ГРАППА"/>
    <n v="1"/>
    <s v="EUR"/>
    <n v="131591.299999999"/>
    <n v="9007030"/>
    <n v="145503.75"/>
    <n v="68.447000000000003"/>
    <s v="010"/>
    <s v="31"/>
    <s v="14100003/0001/0000/2/1"/>
    <s v="-"/>
    <s v="99"/>
    <s v=""/>
    <s v=""/>
    <s v=""/>
    <s v="МОСКОВСКАЯ ОБЛ., ОДИНЦОВСКИЙ Р-Н"/>
    <s v="С. АКУЛОВО"/>
    <s v="УЛ. НОВАЯ, Д. 137"/>
    <s v="10013010 т/п Акуловский"/>
    <n v="1"/>
    <s v="КОТЛЫ ЦЕНТРАЛЬНОГО ОТОПЛЕНИЯ, СТАЛЬНЫЕ, ВЕС БРУТТО С ПОДДОНАМИ 13990.70 КГ., АССОРТИМЕНТ"/>
    <x v="0"/>
    <m/>
    <s v="BAXI S.P.A."/>
    <n v="68"/>
    <m/>
    <n v="273"/>
    <s v="ШТ"/>
    <m/>
    <m/>
    <s v="1"/>
    <s v="8403109000"/>
    <s v=""/>
    <s v=""/>
    <s v="IT"/>
    <n v="12802.7"/>
    <s v="ОООО-ОО"/>
    <n v="4000000"/>
    <n v="12698"/>
    <m/>
    <s v=""/>
    <s v=""/>
    <n v="129877.7"/>
    <n v="8889739"/>
    <n v="0"/>
    <n v="1"/>
    <n v="9234786.4199999906"/>
    <n v="143616.97"/>
    <s v="10"/>
    <n v="11.3102"/>
    <n v="1053"/>
    <s v="0719/00-16-055"/>
    <m/>
    <s v="БЫКОВА ЛЮБОВЬ АЛЕКСАНДРОВНА"/>
    <n v="0"/>
    <m/>
  </r>
  <r>
    <s v="1"/>
    <d v="2023-07-26T00:00:00"/>
    <x v="0"/>
    <s v="10013160/161222/3612657"/>
    <s v="10013160"/>
    <s v="3612657"/>
    <x v="0"/>
    <s v="40"/>
    <s v="ПТД"/>
    <s v=""/>
    <s v=""/>
    <s v="ANATOLIA TRADING TEAM DIS TICARET LIMITED SIRKETI"/>
    <s v="96061, MOLLA GURANI MAH. GENCTURK CAD., ISTANBUL, KARAGUL CENTER NO:84 INTERIOR"/>
    <s v=""/>
    <s v=""/>
    <n v="29"/>
    <n v="0"/>
    <n v="85"/>
    <n v="175"/>
    <s v="1217700232640"/>
    <s v="9723116395"/>
    <s v="ООО ТРЕЙДИНГ ЛТД"/>
    <s v="115054, ., Г.МОСКВА, ПЕР БОЛЬШОЙ СТРОЧЕНОВСКИЙ Д. 7, ПОМЕЩ. 39/3/1, ОФИ,"/>
    <s v="45000"/>
    <s v="770501001"/>
    <s v="1217700232640"/>
    <s v="9723116395"/>
    <s v="ООО ТРЕЙДИНГ ЛТД"/>
    <s v="115054, ., Г.МОСКВА, ПЕР БОЛЬШОЙ СТРОЧЕНОВСКИЙ Д. 7, ПОМЕЩ. 39/3/1, ОФИ,"/>
    <s v="45000"/>
    <s v="770501001"/>
    <s v="TR"/>
    <s v="ТУРЦИЯ"/>
    <n v="3504788.61"/>
    <s v="1217700232640"/>
    <s v="9723116395"/>
    <s v="ООО ТРЕЙДИНГ ЛТД"/>
    <s v="115054, ., Г.МОСКВА, ПЕР БОЛЬШОЙ СТРОЧЕНОВСКИЙ Д. 7, ПОМЕЩ. 39/3/1, ОФИ,"/>
    <s v="45000"/>
    <s v="770501001"/>
    <s v="FI"/>
    <s v="ФИНЛЯНДИЯ"/>
    <x v="1"/>
    <s v="RU"/>
    <s v="РОССИЯ"/>
    <n v="2"/>
    <s v="0"/>
    <s v="CPT"/>
    <s v="МОСКВА"/>
    <n v="1"/>
    <s v="EUR"/>
    <n v="51204.38"/>
    <n v="3504786"/>
    <n v="54505.55"/>
    <n v="68.447000000000003"/>
    <s v="010"/>
    <s v=""/>
    <s v="22080465/2275/0000/2/1"/>
    <s v="-"/>
    <s v="99"/>
    <s v=""/>
    <s v=""/>
    <s v=""/>
    <s v="МОСКОВСКАЯ ОБЛ., ОДИНЦОВСКИЙ Р-Н, С/О НИКОЛЬСКИЙ"/>
    <s v="П. НОВЫЙ ГОРОДОК"/>
    <s v="СТР. 1, ОФИС 3"/>
    <s v="10013100 т/п Краснознаменский (центр эл.декл.)"/>
    <n v="15"/>
    <s v="ВОДОГРЕЙНЫЕ ЭЛЕКТРИЧЕСКИЕ КОТЛЫ ЦЕНТРАЛЬНОГО ОТОПЛЕНИЯ :"/>
    <x v="0"/>
    <m/>
    <s v="FOSHAN SHUNDE CAFOS ELECTRIC APPLIANCE CO., LTD."/>
    <n v="1"/>
    <n v="0"/>
    <n v="1"/>
    <s v="ШТ"/>
    <n v="0"/>
    <m/>
    <s v="41"/>
    <s v="8403109000"/>
    <s v=""/>
    <s v=""/>
    <s v="CN"/>
    <n v="70"/>
    <s v="ОООО-ОО"/>
    <n v="4000000"/>
    <n v="63.7"/>
    <n v="0"/>
    <s v=""/>
    <s v=""/>
    <n v="371.02"/>
    <n v="25395"/>
    <n v="0"/>
    <n v="1"/>
    <n v="25395.23"/>
    <n v="394.94"/>
    <s v="10"/>
    <n v="6.2"/>
    <m/>
    <m/>
    <m/>
    <s v="ПУШКАРЕВ МАКСИМ АНДРЕЕВИЧ"/>
    <n v="1163"/>
    <m/>
  </r>
  <r>
    <s v="1"/>
    <d v="2023-06-08T00:00:00"/>
    <x v="11"/>
    <s v="10013160/151222/3609949"/>
    <s v="10013160"/>
    <s v="3609949"/>
    <x v="0"/>
    <s v="40"/>
    <s v=""/>
    <s v=""/>
    <s v=""/>
    <s v="UNICAL AG S.P.A."/>
    <s v="46020, , CARBONARA DI PO (MN), VIA RONCADA N. 81,"/>
    <s v=""/>
    <s v=""/>
    <n v="1"/>
    <n v="0"/>
    <n v="1"/>
    <n v="13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IT"/>
    <s v="ИТАЛИЯ"/>
    <n v="3053429.35"/>
    <s v="1185027003226"/>
    <s v="5003126900"/>
    <s v="ООО ИТЕПЛО"/>
    <s v="142717, МОСКОВСКАЯ ОБЛАСТЬ ЛЕНИНСКИЙ РАЙОН, С.П. РАЗВИЛКОВСКОЕ,, ПОС. РАЗВИЛКА,"/>
    <s v="46000"/>
    <s v="500301001"/>
    <s v="IT"/>
    <s v="ИТАЛИЯ"/>
    <x v="0"/>
    <s v="RU"/>
    <s v="РОССИЯ"/>
    <n v="2"/>
    <s v="0"/>
    <s v="FCA"/>
    <s v="CARBONARA"/>
    <n v="1"/>
    <s v="EUR"/>
    <n v="39171"/>
    <n v="2641998"/>
    <n v="48192.51"/>
    <n v="67.447800000000001"/>
    <s v="010"/>
    <s v="31"/>
    <s v="18050061/1000/0081/2/1"/>
    <s v="-"/>
    <s v="99"/>
    <s v=""/>
    <s v=""/>
    <s v=""/>
    <s v="МОСКОВСКАЯ ОБЛ."/>
    <s v="Г. ХИМКИ"/>
    <s v="ВАШУТИНСКОЕ Ш., Д. 20, К. 1"/>
    <s v="10013020 т/п Вашутинский"/>
    <n v="1"/>
    <s v="КОТЛЫ ОТОПИТЕЛЬНЫЕ, РАБОТАЮЩИЕ НА ГАЗОВОМ ТОПЛИВЕ, В ЧАСТИЧНО РАЗОБРАННОМ ВИДЕ:"/>
    <x v="0"/>
    <m/>
    <s v="UNICAL AG S.P.A."/>
    <n v="13"/>
    <n v="0"/>
    <n v="10"/>
    <s v="ШТ"/>
    <n v="0"/>
    <m/>
    <s v="1"/>
    <s v="8403109000"/>
    <s v=""/>
    <s v=""/>
    <s v="IT"/>
    <n v="18226.5"/>
    <s v="ОООО-ОО"/>
    <n v="4000000"/>
    <n v="18021.5"/>
    <n v="0"/>
    <s v=""/>
    <s v=""/>
    <n v="39171"/>
    <n v="2641998"/>
    <n v="0"/>
    <n v="1"/>
    <n v="3053429.35"/>
    <n v="48192.51"/>
    <s v="10"/>
    <n v="2.6741999999999999"/>
    <n v="1239"/>
    <s v="КЛ/19/21"/>
    <m/>
    <s v="ДЕМЧУК ЕКАТЕРИНА СЕРГЕЕВНА"/>
    <n v="0"/>
    <m/>
  </r>
  <r>
    <s v="1"/>
    <d v="2022-12-30T00:00:00"/>
    <x v="6"/>
    <s v="10013160/150223/3071305"/>
    <s v="10013160"/>
    <s v="3071305"/>
    <x v="0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220416.9400000004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0696.08"/>
    <n v="4021999"/>
    <n v="57137.279999999999"/>
    <n v="79.335499999999996"/>
    <s v="010"/>
    <s v="31"/>
    <s v="18090220/1481/1948/2/1"/>
    <s v="-"/>
    <s v="11"/>
    <s v="10013/200111/10118/8"/>
    <s v=""/>
    <s v=""/>
    <s v="МОСКОВСКАЯ ОБЛ., ОДИНЦОВСКИЙ Р-Н"/>
    <s v="С. АКУЛОВО (Г.П. ОДИНЦОВО)"/>
    <s v="УЛ. НОВАЯ, Д. 137"/>
    <s v="10013010 т/п Акуловский"/>
    <n v="1"/>
    <s v="КОРМ СУХОЙ ПОЛНОРАЦИОННЫЙ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:"/>
    <x v="1"/>
    <m/>
    <s v="UNITED PETFOOD FRANCE-UPF"/>
    <n v="18"/>
    <n v="0"/>
    <n v="0"/>
    <m/>
    <n v="0"/>
    <m/>
    <s v="1"/>
    <s v="2309101100"/>
    <s v=""/>
    <s v=""/>
    <s v="FR"/>
    <n v="6726.4"/>
    <s v="ОООО-ОО"/>
    <n v="4000000"/>
    <n v="6380.4"/>
    <n v="0"/>
    <s v=""/>
    <s v=""/>
    <n v="23101.24"/>
    <n v="1832748"/>
    <n v="0"/>
    <n v="1"/>
    <n v="1924082.63"/>
    <n v="26048.81"/>
    <s v="10"/>
    <n v="26048.621039999998"/>
    <n v="4.0826000000000002"/>
    <n v="952"/>
    <s v="0952-22-875"/>
    <s v="СНОПКОВ ДМИТРИЙ СЕРГЕЕВИЧ"/>
    <n v="1139"/>
    <m/>
  </r>
  <r>
    <s v="1"/>
    <d v="2022-09-04T00:00:00"/>
    <x v="6"/>
    <s v="10013160/150223/3071305"/>
    <s v="10013160"/>
    <s v="3071305"/>
    <x v="0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220416.9400000004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0696.08"/>
    <n v="4021999"/>
    <n v="57137.279999999999"/>
    <n v="79.335499999999996"/>
    <s v="010"/>
    <s v="31"/>
    <s v="18090220/1481/1948/2/1"/>
    <s v="-"/>
    <s v="11"/>
    <s v="10013/200111/10118/8"/>
    <s v=""/>
    <s v=""/>
    <s v="МОСКОВСКАЯ ОБЛ., ОДИНЦОВСКИЙ Р-Н"/>
    <s v="С. АКУЛОВО (Г.П. ОДИНЦОВО)"/>
    <s v="УЛ. НОВАЯ, Д. 137"/>
    <s v="10013010 т/п Акуловский"/>
    <n v="2"/>
    <s v="КОРМ СУХОЙ ПОЛНОРАЦИОННЫЙ ДЛЯ СОБАК ИЛИ КОШЕК, РАСФАСОВАННЫЙ, СОДЕРЖАЩИЙ БОЛЕЕ 10 МАС.%,НО НЕ БОЛЕЕ 30 МАС.% КРАХМАЛА, НЕ СОДЕРЖАЩИЙ МОЛОЧНЫХ ПРОДУКТОВ ИЛИ СОДЕРЖАЩИЙ МЕНЕЕ 10 МАС.% ТАКИХ ПРОДУКТОВ:"/>
    <x v="1"/>
    <m/>
    <s v="UNITED PETFOOD FRANCE-UPF"/>
    <n v="15"/>
    <n v="0"/>
    <n v="0"/>
    <m/>
    <n v="0"/>
    <m/>
    <s v="2"/>
    <s v="2309103100"/>
    <s v=""/>
    <s v=""/>
    <s v="FR"/>
    <n v="7886.24"/>
    <s v="ОООО-ОО"/>
    <n v="4000000"/>
    <n v="7516.4"/>
    <n v="0"/>
    <s v=""/>
    <s v=""/>
    <n v="27594.84"/>
    <n v="2189250"/>
    <n v="0"/>
    <n v="1"/>
    <n v="2296334.31"/>
    <n v="31088.47"/>
    <s v="10"/>
    <n v="31088.582039999998"/>
    <n v="4.1360999999999999"/>
    <n v="952"/>
    <s v="0952-22-875"/>
    <s v="СНОПКОВ ДМИТРИЙ СЕРГЕЕВИЧ"/>
    <n v="1139"/>
    <m/>
  </r>
  <r>
    <s v="1"/>
    <d v="2023-01-02T00:00:00"/>
    <x v="5"/>
    <s v="10013160/120423/3164261"/>
    <s v="10013160"/>
    <s v="3164261"/>
    <x v="0"/>
    <s v="40"/>
    <s v=""/>
    <s v=""/>
    <s v=""/>
    <s v="WELLPET BELGIUM BVBA"/>
    <s v="1831, , DIEGEM, LEONARDO DA VINCILAAN 19, ..,,"/>
    <s v=""/>
    <s v=""/>
    <n v="2"/>
    <n v="0"/>
    <n v="2"/>
    <n v="29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183561.02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4131.39"/>
    <n v="3959782"/>
    <n v="50907.35"/>
    <n v="89.727099999999993"/>
    <s v="010"/>
    <s v="31"/>
    <s v="18090220/1481/1948/2/1"/>
    <s v="-"/>
    <s v="99"/>
    <s v=""/>
    <s v="10013/200111/10118/9"/>
    <s v=""/>
    <s v="МОСКОВСКАЯ ОБЛ., ОДИНЦОВСКИЙ Р-Н"/>
    <s v="С. АКУЛОВО"/>
    <s v="УЛ. НОВАЯ, Д. 137,,,."/>
    <s v="10013010 т/п Акуловский"/>
    <n v="1"/>
    <s v="КОРМ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:"/>
    <x v="1"/>
    <m/>
    <s v="UNITED PETFOOD FRANCE-UPF"/>
    <n v="29"/>
    <n v="0"/>
    <n v="0"/>
    <m/>
    <n v="0"/>
    <m/>
    <s v="1"/>
    <s v="2309101100"/>
    <s v=""/>
    <s v=""/>
    <s v="FR"/>
    <n v="7891.6"/>
    <s v="ОООО-ОО"/>
    <n v="4000000"/>
    <n v="7362.6"/>
    <n v="0"/>
    <s v=""/>
    <s v=""/>
    <n v="27168.19"/>
    <n v="2437723"/>
    <n v="0"/>
    <n v="1"/>
    <n v="2571635.21"/>
    <n v="31292.75"/>
    <s v="10"/>
    <n v="31292.522520000006"/>
    <n v="4.2502000000000004"/>
    <n v="952"/>
    <s v="0952-22-875"/>
    <s v="ДИЖЕНИНА ЕКАТЕРИНА ВЛАДИМИРОВНА"/>
    <n v="1103"/>
    <m/>
  </r>
  <r>
    <s v="1"/>
    <d v="2023-08-12T00:00:00"/>
    <x v="8"/>
    <s v="10013160/120423/3164261"/>
    <s v="10013160"/>
    <s v="3164261"/>
    <x v="0"/>
    <s v="40"/>
    <s v=""/>
    <s v=""/>
    <s v=""/>
    <s v="WELLPET BELGIUM BVBA"/>
    <s v="1831, , DIEGEM, LEONARDO DA VINCILAAN 19, ..,,"/>
    <s v=""/>
    <s v=""/>
    <n v="2"/>
    <n v="0"/>
    <n v="2"/>
    <n v="29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183561.02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4131.39"/>
    <n v="3959782"/>
    <n v="50907.35"/>
    <n v="89.727099999999993"/>
    <s v="010"/>
    <s v="31"/>
    <s v="18090220/1481/1948/2/1"/>
    <s v="-"/>
    <s v="99"/>
    <s v=""/>
    <s v="10013/200111/10118/9"/>
    <s v=""/>
    <s v="МОСКОВСКАЯ ОБЛ., ОДИНЦОВСКИЙ Р-Н"/>
    <s v="С. АКУЛОВО"/>
    <s v="УЛ. НОВАЯ, Д. 137,,,."/>
    <s v="10013010 т/п Акуловский"/>
    <n v="2"/>
    <s v="КОРМ ДЛЯ СОБАК ИЛИ КОШЕК, РАСФАСОВАННЫЙ, СОДЕРЖАЩИЙ БОЛЕЕ 10 МАС.%,НО НЕ БОЛЕЕ 30 МАС.% КРАХМАЛА, НЕ СОДЕРЖАЩИЙ МОЛОЧНЫХ ПРОДУКТОВ ИЛИ СОДЕРЖАЩИЙ МЕНЕЕ 10 МАС.% ТАКИХ ПРОДУКТОВ:"/>
    <x v="1"/>
    <m/>
    <s v="UNITED PETFOOD FRANCE-UPF"/>
    <n v="29"/>
    <n v="0"/>
    <n v="0"/>
    <m/>
    <n v="0"/>
    <m/>
    <s v="2"/>
    <s v="2309103100"/>
    <s v=""/>
    <s v=""/>
    <s v="FR"/>
    <n v="5296"/>
    <s v="ОООО-ОО"/>
    <n v="4000000"/>
    <n v="4966.3999999999996"/>
    <n v="0"/>
    <s v=""/>
    <s v=""/>
    <n v="16963.2"/>
    <n v="1522059"/>
    <n v="0"/>
    <n v="1"/>
    <n v="1611925.81"/>
    <n v="19614.599999999999"/>
    <s v="10"/>
    <n v="19614.7968"/>
    <n v="3.9495"/>
    <n v="952"/>
    <s v="0952-22-875"/>
    <s v="ДИЖЕНИНА ЕКАТЕРИНА ВЛАДИМИРОВНА"/>
    <n v="1103"/>
    <m/>
  </r>
  <r>
    <s v="1"/>
    <d v="2023-02-18T00:00:00"/>
    <x v="12"/>
    <s v="10013160/060323/3101454"/>
    <s v="10013160"/>
    <s v="3101454"/>
    <x v="0"/>
    <s v="40"/>
    <s v=""/>
    <s v=""/>
    <s v=""/>
    <s v="WELLPET BELGIUM BVBA"/>
    <s v="1831, MACHELEN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147169.85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9431.25"/>
    <n v="3956818"/>
    <n v="54959.1"/>
    <n v="80.046899999999994"/>
    <s v="010"/>
    <s v="31"/>
    <s v="18090220/1481/1948/2/1"/>
    <s v="-"/>
    <s v="99"/>
    <s v=""/>
    <s v="10013/200111/10118/8"/>
    <s v=""/>
    <s v="МОСКОВСКАЯ ОБЛ., ОДИНЦОВСКИЙ Р-Н"/>
    <s v="С. АКУЛОВО (Г.П. ОДИНЦОВО)"/>
    <s v="УЛ. НОВАЯ, Д. 137"/>
    <s v="10013010 т/п Акуловский"/>
    <n v="1"/>
    <s v="КОРМ СУХОЙ ДЛЯ КОШЕК, РАСФАСОBАННЫЙ, СОДЕРЖАЩИЙ БОЛЕЕ 10 МАС.%,НО НЕ БОЛЕЕ 30 МАС.% КРАХМАЛА, НЕ СОДЕРЖАЩИЙ МОЛОЧНЫХ ПРОДУКТОВ ИЛИ СОДЕРЖАЩИЙ МЕНЕЕ 10 МАС.% ТАКИХ ПРОДУКТОВ"/>
    <x v="1"/>
    <m/>
    <s v="UNITED PETFOOD FRANCE-UPF"/>
    <n v="33"/>
    <n v="0"/>
    <n v="0"/>
    <m/>
    <n v="0"/>
    <m/>
    <s v="1"/>
    <s v="2309103100"/>
    <s v=""/>
    <s v=""/>
    <s v="FR"/>
    <n v="10376.16"/>
    <s v="ОООО-ОО"/>
    <n v="4000000"/>
    <n v="9868.4"/>
    <n v="0"/>
    <s v=""/>
    <s v=""/>
    <n v="34466.699999999997"/>
    <n v="2758952"/>
    <n v="0"/>
    <n v="1"/>
    <n v="2890447.13"/>
    <n v="38304.769999999997"/>
    <s v="10"/>
    <n v="38305.18144"/>
    <n v="3.8816000000000002"/>
    <n v="952"/>
    <s v="0952-22-875"/>
    <s v="ДИЖЕНИНА ЕКАТЕРИНА ВЛАДИМИРОВНА"/>
    <n v="0"/>
    <m/>
  </r>
  <r>
    <s v="1"/>
    <d v="2023-08-04T00:00:00"/>
    <x v="8"/>
    <s v="10013160/060323/3101454"/>
    <s v="10013160"/>
    <s v="3101454"/>
    <x v="0"/>
    <s v="40"/>
    <s v=""/>
    <s v=""/>
    <s v=""/>
    <s v="WELLPET BELGIUM BVBA"/>
    <s v="1831, MACHELEN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147169.85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49431.25"/>
    <n v="3956818"/>
    <n v="54959.1"/>
    <n v="80.046899999999994"/>
    <s v="010"/>
    <s v="31"/>
    <s v="18090220/1481/1948/2/1"/>
    <s v="-"/>
    <s v="99"/>
    <s v=""/>
    <s v="10013/200111/10118/8"/>
    <s v=""/>
    <s v="МОСКОВСКАЯ ОБЛ., ОДИНЦОВСКИЙ Р-Н"/>
    <s v="С. АКУЛОВО (Г.П. ОДИНЦОВО)"/>
    <s v="УЛ. НОВАЯ, Д. 137"/>
    <s v="10013010 т/п Акуловский"/>
    <n v="2"/>
    <s v="КОРМ СУХОЙ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"/>
    <x v="1"/>
    <m/>
    <s v="UNITED PETFOOD FRANCE-UPF"/>
    <n v="33"/>
    <n v="0"/>
    <n v="0"/>
    <m/>
    <n v="0"/>
    <m/>
    <s v="2"/>
    <s v="2309101100"/>
    <s v=""/>
    <s v=""/>
    <s v="FR"/>
    <n v="4644.3999999999996"/>
    <s v="ОООО-ОО"/>
    <n v="4000000"/>
    <n v="4476.6000000000004"/>
    <n v="0"/>
    <s v=""/>
    <s v=""/>
    <n v="14964.55"/>
    <n v="1197866"/>
    <n v="0"/>
    <n v="1"/>
    <n v="1256722.72"/>
    <n v="16654.330000000002"/>
    <s v="10"/>
    <n v="16654.294980000002"/>
    <n v="3.7202999999999999"/>
    <n v="952"/>
    <s v="0952-22-875"/>
    <s v="ДИЖЕНИНА ЕКАТЕРИНА ВЛАДИМИРОВНА"/>
    <n v="0"/>
    <m/>
  </r>
  <r>
    <s v="1"/>
    <d v="2023-01-24T00:00:00"/>
    <x v="5"/>
    <s v="10013160/040423/3153262"/>
    <s v="10013160"/>
    <s v="3153262"/>
    <x v="0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659468.62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2512.42"/>
    <n v="4443522"/>
    <n v="59774.33"/>
    <n v="84.618499999999997"/>
    <s v="010"/>
    <s v="31"/>
    <s v="18090220/1481/1948/2/1"/>
    <s v="-"/>
    <s v="99"/>
    <s v=""/>
    <s v="10013/200111/10118/9"/>
    <s v=""/>
    <s v="МОСКОВСКАЯ ОБЛ., ОДИНЦОВСКИЙ Р-Н"/>
    <s v="С. АКУЛОВО"/>
    <s v="УЛ. НОВАЯ, Д. 137,,,."/>
    <s v="10013010 т/п Акуловский"/>
    <n v="1"/>
    <s v="КОРМ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:"/>
    <x v="1"/>
    <m/>
    <s v="UNITED PETFOOD FRANCE-UPF"/>
    <n v="33"/>
    <n v="0"/>
    <n v="0"/>
    <m/>
    <n v="0"/>
    <m/>
    <s v="1"/>
    <s v="2309101100"/>
    <s v=""/>
    <s v=""/>
    <s v="FR"/>
    <n v="11613.28"/>
    <s v="ОООО-ОО"/>
    <n v="4000000"/>
    <n v="10847.6"/>
    <n v="0"/>
    <s v=""/>
    <s v=""/>
    <n v="40389.54"/>
    <n v="3417702"/>
    <n v="0"/>
    <n v="1"/>
    <n v="3580284.04"/>
    <n v="45929.93"/>
    <s v="10"/>
    <n v="45929.82316"/>
    <n v="4.2340999999999998"/>
    <n v="952"/>
    <s v="0952-22-875"/>
    <s v="ДИЖЕНИНА ЕКАТЕРИНА ВЛАДИМИРОВНА"/>
    <n v="0"/>
    <m/>
  </r>
  <r>
    <s v="1"/>
    <d v="2023-02-12T00:00:00"/>
    <x v="12"/>
    <s v="10013160/040423/3153262"/>
    <s v="10013160"/>
    <s v="3153262"/>
    <x v="0"/>
    <s v="40"/>
    <s v=""/>
    <s v=""/>
    <s v=""/>
    <s v="WELLPET BELGIUM BVBA"/>
    <s v="1831, , DIEGEM, LEONARDO DA VINCILAAN 19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659468.62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2512.42"/>
    <n v="4443522"/>
    <n v="59774.33"/>
    <n v="84.618499999999997"/>
    <s v="010"/>
    <s v="31"/>
    <s v="18090220/1481/1948/2/1"/>
    <s v="-"/>
    <s v="99"/>
    <s v=""/>
    <s v="10013/200111/10118/9"/>
    <s v=""/>
    <s v="МОСКОВСКАЯ ОБЛ., ОДИНЦОВСКИЙ Р-Н"/>
    <s v="С. АКУЛОВО"/>
    <s v="УЛ. НОВАЯ, Д. 137,,,."/>
    <s v="10013010 т/п Акуловский"/>
    <n v="2"/>
    <s v="КОРМ ДЛЯ СОБАК ИЛИ КОШЕК, РАСФАСОВАННЫЙ, СОДЕРЖАЩИЙ БОЛЕЕ 10 МАС.%,НО НЕ БОЛЕЕ 30 МАС.% КРАХМАЛА, НЕ СОДЕРЖАЩИЙ МОЛОЧНЫХ ПРОДУКТОВ ИЛИ СОДЕРЖАЩИЙ МЕНЕЕ 10 МАС.% ТАКИХ ПРОДУКТОВ:"/>
    <x v="1"/>
    <m/>
    <s v="UNITED PETFOOD FRANCE-UPF"/>
    <n v="33"/>
    <n v="0"/>
    <n v="0"/>
    <m/>
    <n v="0"/>
    <m/>
    <s v="2"/>
    <s v="2309103100"/>
    <s v=""/>
    <s v=""/>
    <s v="FR"/>
    <n v="3811.84"/>
    <s v="ОООО-ОО"/>
    <n v="4000000"/>
    <n v="3584"/>
    <n v="0"/>
    <s v=""/>
    <s v=""/>
    <n v="12122.88"/>
    <n v="1025820"/>
    <n v="0"/>
    <n v="1"/>
    <n v="1079184.58"/>
    <n v="13844.4"/>
    <s v="10"/>
    <n v="13844.2752"/>
    <n v="3.8628"/>
    <n v="952"/>
    <s v="0952-22-875"/>
    <s v="ДИЖЕНИНА ЕКАТЕРИНА ВЛАДИМИРОВНА"/>
    <n v="0"/>
    <m/>
  </r>
  <r>
    <s v="1"/>
    <d v="2023-08-06T00:00:00"/>
    <x v="8"/>
    <s v="10013160/030323/3097540"/>
    <s v="10013160"/>
    <s v="3097540"/>
    <x v="0"/>
    <s v="40"/>
    <s v=""/>
    <s v=""/>
    <s v=""/>
    <s v="WELLPET BELGIUM BVBA"/>
    <s v="1831, MACHELEN, DIEGEM, LEONARDO DA VINCILAAN 19- MC SQUARE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072948.73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 (BE)"/>
    <n v="1"/>
    <s v="EUR"/>
    <n v="48336.42"/>
    <n v="3876083"/>
    <n v="53965.71"/>
    <n v="80.189700000000002"/>
    <s v="010"/>
    <s v=""/>
    <s v="18090220/1481/1948/2/1"/>
    <s v="-"/>
    <s v="11"/>
    <s v="10013/200111/10118/8"/>
    <s v=""/>
    <s v=""/>
    <s v="МОСКОВСКАЯ ОБЛ., ОДИНЦОВСКИЙ Р-Н"/>
    <s v="С. АКУЛОВО (Г.П. ОДИНЦОВО)"/>
    <s v="УЛ. НОВАЯ, Д. 137"/>
    <s v="10013010 т/п Акуловский"/>
    <n v="2"/>
    <s v="КОРМ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,% МОЛОЧНЫХ ПРОДУКТОВ:"/>
    <x v="1"/>
    <m/>
    <s v="UNITED PETFOOD FRANCE-UPF"/>
    <n v="33"/>
    <n v="0"/>
    <n v="0"/>
    <m/>
    <n v="0"/>
    <m/>
    <s v="2"/>
    <s v="2309101100"/>
    <s v=""/>
    <s v=""/>
    <s v="FR"/>
    <n v="5095.6000000000004"/>
    <s v="ОООО-ОО"/>
    <n v="4000000"/>
    <n v="4911.8"/>
    <n v="0"/>
    <s v=""/>
    <s v=""/>
    <n v="16389.189999999999"/>
    <n v="1314244"/>
    <n v="0"/>
    <n v="1"/>
    <n v="1382134.43"/>
    <n v="18312.990000000002"/>
    <s v="10"/>
    <n v="18313.155120000003"/>
    <n v="3.7284000000000002"/>
    <n v="952"/>
    <s v="0952-22-875"/>
    <s v="СВЕТЧИКОВА АНАСТАСИЯ АНДРЕЕВНА"/>
    <n v="0"/>
    <m/>
  </r>
  <r>
    <s v="1"/>
    <d v="2023-09-23T00:00:00"/>
    <x v="4"/>
    <s v="10013160/030323/3097540"/>
    <s v="10013160"/>
    <s v="3097540"/>
    <x v="0"/>
    <s v="40"/>
    <s v=""/>
    <s v=""/>
    <s v=""/>
    <s v="WELLPET BELGIUM BVBA"/>
    <s v="1831, MACHELEN, DIEGEM, LEONARDO DA VINCILAAN 19- MC SQUARE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072948.73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 (BE)"/>
    <n v="1"/>
    <s v="EUR"/>
    <n v="48336.42"/>
    <n v="3876083"/>
    <n v="53965.71"/>
    <n v="80.189700000000002"/>
    <s v="010"/>
    <s v=""/>
    <s v="18090220/1481/1948/2/1"/>
    <s v="-"/>
    <s v="11"/>
    <s v="10013/200111/10118/8"/>
    <s v=""/>
    <s v=""/>
    <s v="МОСКОВСКАЯ ОБЛ., ОДИНЦОВСКИЙ Р-Н"/>
    <s v="С. АКУЛОВО (Г.П. ОДИНЦОВО)"/>
    <s v="УЛ. НОВАЯ, Д. 137"/>
    <s v="10013010 т/п Акуловский"/>
    <n v="1"/>
    <s v="КОРМ ДЛЯ СОБАК ИЛИ КОШЕК, РАСФАСОВАННЫЙ, СОДЕРЖАЩИЙ БОЛЕЕ 10 МАС.%,НО НЕ БОЛЕЕ 30 МАС.% КРАХМАЛА, НЕ СОДЕРЖАЩИЙ МОЛОЧНЫХ ПРОДУКТОВ ИЛИ СОДЕРЖАЩИЙ МEНЕЕ 10 МАС.% ТАКИХ ПРОДУКТОВ:"/>
    <x v="1"/>
    <m/>
    <s v="UNITED PETFOOD FRANCE-UPF"/>
    <n v="33"/>
    <n v="0"/>
    <n v="0"/>
    <m/>
    <n v="0"/>
    <m/>
    <s v="1"/>
    <s v="2309103100"/>
    <s v=""/>
    <s v=""/>
    <s v="FR"/>
    <n v="9680.4"/>
    <s v="ОООО-ОО"/>
    <n v="4000000"/>
    <n v="9218.6"/>
    <n v="0"/>
    <s v=""/>
    <s v=""/>
    <n v="31947.23"/>
    <n v="2561839"/>
    <n v="0"/>
    <n v="1"/>
    <n v="2690814.3"/>
    <n v="35652.720000000001"/>
    <s v="10"/>
    <n v="35652.9355"/>
    <n v="3.8675000000000002"/>
    <n v="952"/>
    <s v="0952-22-875"/>
    <s v="СВЕТЧИКОВА АНАСТАСИЯ АНДРЕЕВНА"/>
    <n v="0"/>
    <m/>
  </r>
  <r>
    <s v="1"/>
    <d v="2023-11-11T00:00:00"/>
    <x v="7"/>
    <s v="10013160/020323/3096046"/>
    <s v="10013160"/>
    <s v="3096046"/>
    <x v="0"/>
    <s v="40"/>
    <s v=""/>
    <s v=""/>
    <s v=""/>
    <s v="WELLPET BELGIUM BVBA"/>
    <s v="1831, MACHELEN, DIEGEM, LEONARDO DA VINCILAAN 19- MC SQUARE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233704.5599999996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0476.71"/>
    <n v="4043225"/>
    <n v="56260.89"/>
    <n v="80.100800000000007"/>
    <s v="010"/>
    <s v="31"/>
    <s v="18090220/1481/1948/2/1"/>
    <s v="-"/>
    <s v="99"/>
    <s v=""/>
    <s v="10013/200111/10118/8"/>
    <s v=""/>
    <s v="МОСКОВСКАЯ ОБЛ., ОДИНЦОВСКИЙ Р-Н"/>
    <s v="С. АКУЛОВО (Г.П. ОДИНЦОВО)"/>
    <s v="УЛ. НОВАЯ, Д. 137"/>
    <s v="10013010 т/п Акуловский"/>
    <n v="2"/>
    <s v="КОРМ СУХОЙ ПОЛНОРАЦИОННЫЙ ДЛЯ СОБАК ИЛИ КОШЕК, РАСФАСОВАННЫЙ, HЕ СОДЕРЖАЩИЙ КРАХМАЛ, ИЛИ СОДЕРЖАЩИЙ 10 МАС.% ИЛИ МЕНЕЕ КРАХМАЛА, НЕ СОДЕРЖАЩИЙ МОЛОЧНЫХ ПРОДУКТОВ ИЛИ СОДЕРЖАЩИЙ МЕНЕЕ 10 МАС.% МОЛОЧНЫХ ПРОДУКТОВ:"/>
    <x v="1"/>
    <m/>
    <s v="UNITED PETFOOD FRANCE-UPF"/>
    <n v="33"/>
    <n v="0"/>
    <n v="0"/>
    <m/>
    <n v="0"/>
    <m/>
    <s v="2"/>
    <s v="2309101100"/>
    <s v=""/>
    <s v=""/>
    <s v="FR"/>
    <n v="5134"/>
    <s v="ОООО-ОО"/>
    <n v="4000000"/>
    <n v="4956.6000000000004"/>
    <n v="0"/>
    <s v=""/>
    <s v=""/>
    <n v="16386.79"/>
    <n v="1312595"/>
    <n v="0"/>
    <n v="1"/>
    <n v="1375321.13"/>
    <n v="18276.38"/>
    <s v="10"/>
    <n v="18276.47118"/>
    <n v="3.6873"/>
    <n v="952"/>
    <s v="0952-22-875"/>
    <s v="ДИЖЕНИНА ЕКАТЕРИНА ВЛАДИМИРОВНА"/>
    <n v="0"/>
    <m/>
  </r>
  <r>
    <s v="1"/>
    <d v="2023-08-26T00:00:00"/>
    <x v="8"/>
    <s v="10013160/020323/3096046"/>
    <s v="10013160"/>
    <s v="3096046"/>
    <x v="0"/>
    <s v="40"/>
    <s v=""/>
    <s v=""/>
    <s v=""/>
    <s v="WELLPET BELGIUM BVBA"/>
    <s v="1831, MACHELEN, DIEGEM, LEONARDO DA VINCILAAN 19- MC SQUARE,"/>
    <s v=""/>
    <s v=""/>
    <n v="2"/>
    <n v="0"/>
    <n v="2"/>
    <n v="33"/>
    <s v="1027700221438"/>
    <s v="7718118019"/>
    <s v="АО &quot;ВАЛТА ПЕТ ПРОДАКТС&quot;"/>
    <s v="115230, , Г. МОСКВА, ВАРШАВСКОЕ ШОССЕ Д.42, КОМНАТА 3134,"/>
    <s v="45000"/>
    <s v="772601001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n v="4233704.5599999996"/>
    <s v="1027700221438"/>
    <s v="7718118019"/>
    <s v="АО &quot;ВАЛТА ПЕТ ПРОДАКТС&quot;"/>
    <s v="115230, , Г. МОСКВА, ВАРШАВСКОЕ ШОССЕ Д.42, КОМНАТА 3134,"/>
    <s v="45000"/>
    <s v="772601001"/>
    <s v="BE"/>
    <s v="БЕЛЬГИЯ"/>
    <x v="6"/>
    <s v="RU"/>
    <s v="РОССИЯ"/>
    <n v="2"/>
    <s v="0"/>
    <s v="EXW"/>
    <s v="GHENT"/>
    <n v="1"/>
    <s v="EUR"/>
    <n v="50476.71"/>
    <n v="4043225"/>
    <n v="56260.89"/>
    <n v="80.100800000000007"/>
    <s v="010"/>
    <s v="31"/>
    <s v="18090220/1481/1948/2/1"/>
    <s v="-"/>
    <s v="99"/>
    <s v=""/>
    <s v="10013/200111/10118/8"/>
    <s v=""/>
    <s v="МОСКОВСКАЯ ОБЛ., ОДИНЦОВСКИЙ Р-Н"/>
    <s v="С. АКУЛОВО (Г.П. ОДИНЦОВО)"/>
    <s v="УЛ. НОВАЯ, Д. 137"/>
    <s v="10013010 т/п Акуловский"/>
    <n v="1"/>
    <s v="КОРМ СУХОЙ ПОЛНОРАЦИОННЫЙ ДЛЯ СОБАК ИЛИ КОШЕК, РАСФАСОВАННЫЙ, СОДЕРЖАЩИЙ БОЛЕЕ 10 МАС.%,НО НЕ БОЛЕЕ 30 МАС.% КРАХМАЛА, НЕ СОДЕРЖАЩИЙ МОЛОЧНЫХ ПРОДУКТОВ ИЛИ СОДЕРЖАЩИЙ МЕНЕЕ 10 МАС.% ТАКИХ ПРОДУКТОВ:"/>
    <x v="1"/>
    <m/>
    <s v="UNITED PETFOOD FRANCE-UPF"/>
    <n v="33"/>
    <n v="0"/>
    <n v="0"/>
    <m/>
    <n v="0"/>
    <m/>
    <s v="1"/>
    <s v="2309103100"/>
    <s v=""/>
    <s v=""/>
    <s v="FR"/>
    <n v="10456.32"/>
    <s v="ОООО-ОО"/>
    <n v="4000000"/>
    <n v="9968"/>
    <n v="0"/>
    <s v=""/>
    <s v=""/>
    <n v="34089.919999999998"/>
    <n v="2730630"/>
    <n v="0"/>
    <n v="1"/>
    <n v="2858383.43"/>
    <n v="37984.51"/>
    <s v="10"/>
    <n v="37984.060799999999"/>
    <n v="3.8106"/>
    <n v="952"/>
    <s v="0952-22-875"/>
    <s v="ДИЖЕНИНА ЕКАТЕРИНА ВЛАДИМИРОВНА"/>
    <n v="0"/>
    <m/>
  </r>
  <r>
    <s v="1"/>
    <d v="2023-10-17T00:00:00"/>
    <x v="1"/>
    <s v="10012020/301222/5000802"/>
    <s v="10012020"/>
    <s v="5000802"/>
    <x v="0"/>
    <s v="78"/>
    <s v=""/>
    <s v=""/>
    <s v=""/>
    <s v="BEIJING KYUNGDONG NAVIEN HEAT ENERGY EQUIPMENT CO., LTD."/>
    <s v=", SHUNYI DISTRICT,BEIJING,P.R.CHINA, BEIJING, 27,JUYUAN EAST ROAD MAPO TOWN,"/>
    <s v=""/>
    <s v=""/>
    <n v="1"/>
    <m/>
    <n v="1"/>
    <n v="26"/>
    <s v="1053900004971"/>
    <s v="3908030301"/>
    <s v="ООО ПАВИАН"/>
    <s v="238324, КАЛИНИНГРАДСКАЯ ОБЛ.,ГУРЬЕВСКИЙ Р-Н, П.НЕВСКОЕ, УЛ.ГАГАРИНА, Д. 230А, ОФ"/>
    <s v="27000"/>
    <s v="391701001"/>
    <s v="1053900004971"/>
    <s v="3908030301"/>
    <s v="ООО ПАВИАН"/>
    <s v="238324, КАЛИНИНГРАДСКАЯ ОБЛ.,ГУРЬЕВСКИЙ Р-Н, П.НЕВСКОЕ, УЛ.ГАГАРИНА, Д. 230А, ОФ"/>
    <s v="27000"/>
    <s v="391701001"/>
    <s v="CN"/>
    <s v="КИТАЙ"/>
    <n v="6005419.6799999904"/>
    <s v="1053900004971"/>
    <s v="3908030301"/>
    <s v="ООО ПАВИАН"/>
    <s v="238324, КАЛИНИНГРАДСКАЯ ОБЛ.,ГУРЬЕВСКИЙ Р-Н, П.НЕВСКОЕ, УЛ.ГАГАРИНА, Д. 230А, ОФ"/>
    <s v="27000"/>
    <s v="391701001"/>
    <s v="CN"/>
    <s v="КИТАЙ"/>
    <x v="1"/>
    <s v="RU"/>
    <s v="РОССИЯ"/>
    <n v="1"/>
    <s v="1"/>
    <s v="CIF"/>
    <s v="КАЛИНИНГРАД"/>
    <n v="1"/>
    <s v="CNY"/>
    <n v="592800"/>
    <n v="6005420"/>
    <n v="83434.33"/>
    <n v="10.1305999999999"/>
    <s v="010"/>
    <s v=""/>
    <s v="22060008/1307/0000/2/1"/>
    <s v="-"/>
    <s v="97"/>
    <s v=""/>
    <s v="10012000/281221/00042/4"/>
    <s v=""/>
    <s v="КАЛИНИНГРАДСКАЯ"/>
    <s v="Г.КАЛИНИНГРАД"/>
    <s v="СТ.КАЛИНИНГРАД-СОРТИРОВОЧНЫЙ,УЛ. ПОРТОВАЯ, Д. 27А"/>
    <s v="10012040 т/п Московский"/>
    <n v="1"/>
    <s v="КОТЛЫ БЫТОВЫЕ ЦЕНТРАЛЬНОГО ОТОПЛЕНИЯ, ВОДОГРЕЙНЫЕ, ГАЗОВЫЕ В СТАЛЬНОМ КОРПУСЕ"/>
    <x v="0"/>
    <m/>
    <s v="BEIJING KYUNGDONG NAVIEN HEAT ENERGY EQUIPMENT CO., LTD"/>
    <n v="26"/>
    <n v="1"/>
    <n v="312"/>
    <s v="ШТ"/>
    <m/>
    <m/>
    <s v="1"/>
    <s v="8403109000"/>
    <s v=""/>
    <s v=""/>
    <s v="CN"/>
    <n v="10751"/>
    <s v="ООПП-ПП"/>
    <n v="7800000"/>
    <n v="9672"/>
    <m/>
    <s v=""/>
    <s v=""/>
    <n v="592800"/>
    <n v="6005420"/>
    <n v="0"/>
    <n v="1"/>
    <n v="6005419.6799999904"/>
    <n v="83434.33"/>
    <s v="10"/>
    <n v="8.6264000000000003"/>
    <m/>
    <m/>
    <m/>
    <s v="ГОЛУНЦОВ ЮРИЙ МИХАЙЛОВИЧ"/>
    <n v="158"/>
    <m/>
  </r>
  <r>
    <s v="1"/>
    <d v="2023-12-08T00:00:00"/>
    <x v="10"/>
    <s v="10012020/301222/3103030"/>
    <s v="10012020"/>
    <s v="3103030"/>
    <x v="0"/>
    <s v="78"/>
    <s v=""/>
    <s v=""/>
    <s v=""/>
    <s v="BEIJING KYUNGDONG NAVIEN HEAT ENERGY EQUIPMENT CO., LTD."/>
    <s v=", SHUNYI DISTRICT,BEIJING,P.R.CHINA, BEIJING, 27,JUYUAN EAST ROAD MAPO TOWN,"/>
    <s v=""/>
    <s v=""/>
    <n v="1"/>
    <n v="0"/>
    <n v="1"/>
    <n v="26"/>
    <s v="1053900004971"/>
    <s v="3908030301"/>
    <s v="ООО ПАВИАН"/>
    <s v="238324, КАЛИНИНГРАДСКАЯ ОБЛ.,ГУРЬЕВСКИЙ Р-Н, П.НЕВСКОЕ, УЛ.ГАГАРИНА, Д. 230А, ОФ"/>
    <s v="27000"/>
    <s v="391701001"/>
    <s v="1053900004971"/>
    <s v="3908030301"/>
    <s v="ООО ПАВИАН"/>
    <s v="238324, КАЛИНИНГРАДСКАЯ ОБЛ.,ГУРЬЕВСКИЙ Р-Н, П.НЕВСКОЕ, УЛ.ГАГАРИНА, Д. 230А, ОФ"/>
    <s v="27000"/>
    <s v="391701001"/>
    <s v="CN"/>
    <s v="КИТАЙ"/>
    <n v="6005419.6799999904"/>
    <s v="1053900004971"/>
    <s v="3908030301"/>
    <s v="ООО ПАВИАН"/>
    <s v="238324, КАЛИНИНГРАДСКАЯ ОБЛ.,ГУРЬЕВСКИЙ Р-Н, П.НЕВСКОЕ, УЛ.ГАГАРИНА, Д. 230А, ОФ"/>
    <s v="27000"/>
    <s v="391701001"/>
    <s v="CN"/>
    <s v="КИТАЙ"/>
    <x v="1"/>
    <s v="RU"/>
    <s v="РОССИЯ"/>
    <n v="1"/>
    <s v="1"/>
    <s v="CIF"/>
    <s v="КАЛИНИНГРАД"/>
    <n v="1"/>
    <s v="CNY"/>
    <n v="592800"/>
    <n v="6005420"/>
    <n v="83434.33"/>
    <n v="10.1305999999999"/>
    <s v="010"/>
    <s v=""/>
    <s v="22060008/1307/0000/2/1"/>
    <s v="-"/>
    <s v="97"/>
    <s v=""/>
    <s v="10012000/281221/00042/4"/>
    <s v=""/>
    <s v="КАЛИНИНГРАДСКАЯ"/>
    <s v="Г.КАЛИНИНГРАД"/>
    <s v="СТ.КАЛИНИНГРАД-СОРТИРОВОЧНЫЙ,УЛ. ПОРТОВАЯ, Д. 27А"/>
    <s v="10012040 т/п Московский"/>
    <n v="1"/>
    <s v="КОТЛЫ БЫТОВЫЕ ЦЕНТРАЛЬНОГО ОТОПЛЕНИЯ, ВОДОГРЕЙНЫЕ, ГАЗОВЫЕ В СТАЛЬНОМ КОРПУСЕ"/>
    <x v="0"/>
    <m/>
    <s v="BEIJING KYUNGDONG NAVIEN HEAT ENERGY EQUIPMENT CO., LTD"/>
    <n v="26"/>
    <n v="1"/>
    <n v="312"/>
    <s v="ШТ"/>
    <n v="0"/>
    <m/>
    <s v="1"/>
    <s v="8403109000"/>
    <s v=""/>
    <s v=""/>
    <s v="CN"/>
    <n v="10751"/>
    <s v="ООПП-ПП"/>
    <n v="7800000"/>
    <n v="9672"/>
    <n v="0"/>
    <s v=""/>
    <s v=""/>
    <n v="592800"/>
    <n v="6005420"/>
    <n v="0"/>
    <n v="1"/>
    <n v="6005419.6799999904"/>
    <n v="83434.33"/>
    <s v="10"/>
    <n v="8.6264000000000003"/>
    <m/>
    <m/>
    <m/>
    <s v="ГОЛУНЦОВ ЮРИЙ МИХАЙЛОВИЧ"/>
    <n v="88"/>
    <m/>
  </r>
  <r>
    <s v="1"/>
    <d v="2023-04-01T00:00:00"/>
    <x v="3"/>
    <s v="10012020/301222/3102934"/>
    <s v="10012020"/>
    <s v="3102934"/>
    <x v="0"/>
    <s v="78"/>
    <s v=""/>
    <s v=""/>
    <s v=""/>
    <s v="ARISTON THERMO SPA FROM TERMINAL UAB GEVARA, VILNIUS, LITHUANIA"/>
    <s v="IT-60044, , FABRIANO, VIALE ARISTIDE MERLONI 45.,"/>
    <s v=""/>
    <s v=""/>
    <n v="2"/>
    <n v="0"/>
    <n v="4"/>
    <n v="4"/>
    <s v="1153926016518"/>
    <s v="3906962475"/>
    <s v="ООО ТЕРМО СИСТЕМА"/>
    <s v="238310, КАЛИНИНГРАДСКАЯ ОБЛ., ГУРЬЕВСКИЙ РАЙОН, П. МАЛОЕ ИСАКОВО, УЛ. МЕЛИОРАТИВ"/>
    <s v="27000"/>
    <s v="391701001"/>
    <s v="1153926016518"/>
    <s v="3906962475"/>
    <s v="ООО ТЕРМО СИСТЕМА"/>
    <s v="238310, КАЛИНИНГРАДСКАЯ ОБЛ., ГУРЬЕВСКИЙ РАЙОН, П. МАЛОЕ ИСАКОВО, УЛ. МЕЛИОРАТИВ"/>
    <s v="27000"/>
    <s v="391701001"/>
    <s v="IT"/>
    <s v="ИТАЛИЯ"/>
    <n v="1283302.67"/>
    <s v="1153926016518"/>
    <s v="3906962475"/>
    <s v="ООО ТЕРМО СИСТЕМА"/>
    <s v="238310, КАЛИНИНГРАДСКАЯ ОБЛ., ГУРЬЕВСКИЙ РАЙОН, П. МАЛОЕ ИСАКОВО, УЛ. МЕЛИОРАТИВ"/>
    <s v="27000"/>
    <s v="391701001"/>
    <s v="IT"/>
    <s v="ИТАЛИЯ"/>
    <x v="0"/>
    <s v="RU"/>
    <s v="РОССИЯ"/>
    <n v="2"/>
    <s v="0"/>
    <s v="FCA"/>
    <s v="PASSATEMPO DI OSIMO"/>
    <n v="1"/>
    <s v="EUR"/>
    <n v="15147"/>
    <n v="1152331"/>
    <n v="17829.14"/>
    <n v="76.076499999999896"/>
    <s v="010"/>
    <s v=""/>
    <s v="18100006/1000/0066/2/1"/>
    <s v="-"/>
    <s v="11"/>
    <s v="10012/140111/10039/4"/>
    <s v=""/>
    <s v=""/>
    <s v="КАЛИНИНГРАДСКАЯ ОБЛ."/>
    <s v="П. ДРУЖНЫЙ"/>
    <s v="УЛ.ДЗЕРЖИНСКОГО, 248"/>
    <s v="10012040 т/п Московский"/>
    <n v="1"/>
    <s v="КОТЛЫ ЦЕНТРАЛЬНОГО ОТОПЛЕНИЯ ВОДОГРЕЙНЫЕ, СТАЛЬНЫЕ,ГАЗОВЫЕ, ОДНО-ДВУХКОНТУРНЫЕ, МАРКИ ARISTON, НАСТЕННЫЕ, МОДЕЛЕЙ:"/>
    <x v="0"/>
    <m/>
    <s v="ARISTON THERMO SPA"/>
    <n v="4"/>
    <n v="0"/>
    <n v="45"/>
    <s v="ШТ"/>
    <n v="0"/>
    <m/>
    <s v="1"/>
    <s v="8403109000"/>
    <s v=""/>
    <s v=""/>
    <s v="IT"/>
    <n v="1261.2139999999899"/>
    <s v="ООПП-ПП"/>
    <n v="7800000"/>
    <n v="1244.7"/>
    <n v="0"/>
    <s v=""/>
    <s v=""/>
    <n v="14850"/>
    <n v="1129736"/>
    <n v="0"/>
    <n v="1"/>
    <n v="1260255.08"/>
    <n v="17508.9399999999"/>
    <s v="10"/>
    <n v="14.066800000000001"/>
    <m/>
    <m/>
    <m/>
    <s v="МОРОХИН АЛЕКСАНДР СЕРГЕЕВИЧ"/>
    <n v="157"/>
    <m/>
  </r>
  <r>
    <s v="1"/>
    <d v="2023-04-20T00:00:00"/>
    <x v="3"/>
    <s v="10012020/270323/3019080"/>
    <s v="10012020"/>
    <s v="3019080"/>
    <x v="0"/>
    <s v="70"/>
    <s v=""/>
    <s v=""/>
    <s v=""/>
    <s v="BK N.V."/>
    <s v="B-3012, , WILSELE, AARSCHOTSESTEENWEG 26,"/>
    <s v=""/>
    <s v=""/>
    <n v="2"/>
    <n v="0"/>
    <n v="2"/>
    <n v="33"/>
    <s v=""/>
    <s v=""/>
    <s v="OOO TRIBUTE"/>
    <s v="220069, , MINSK, DEKABRISTOV STREET 5/1-14,"/>
    <s v=""/>
    <s v=""/>
    <s v="1203900013855"/>
    <s v="3917054186"/>
    <s v="ООО &quot;ПЕТ ПЛЮС&quot;"/>
    <s v="238522, КАЛИНИНГРАДСКАЯ ОБЛ.ГУРЬЕВСКИЙ РАЙОН, ПОС. ЛАСКИНО, УЛ. ПОЛЕВАЯ Д.18А,"/>
    <s v="27000"/>
    <s v="391701001"/>
    <s v="BE"/>
    <s v="БЕЛЬГИЯ"/>
    <n v="0"/>
    <s v="1203900013855"/>
    <s v="3917054186"/>
    <s v="ООО &quot;ПЕТ ПЛЮС&quot;"/>
    <s v="238522, КАЛИНИНГРАДСКАЯ ОБЛ.ГУРЬЕВСКИЙ РАЙОН, ПОС. ЛАСКИНО, УЛ. ПОЛЕВАЯ Д.18А,"/>
    <s v="27000"/>
    <s v="391701001"/>
    <s v="BE"/>
    <s v="БЕЛЬГИЯ"/>
    <x v="7"/>
    <s v="RU"/>
    <s v="РОССИЯ"/>
    <n v="2"/>
    <s v="0"/>
    <s v="EXW"/>
    <s v="WILSELE"/>
    <n v="1"/>
    <s v="EUR"/>
    <n v="22054.240000000002"/>
    <n v="1817100"/>
    <n v="27432.67"/>
    <n v="82.392300000000006"/>
    <s v="014"/>
    <s v="30"/>
    <s v="23020007/0436/0028/9/1"/>
    <s v="-"/>
    <s v="11"/>
    <s v="10012/200711/10044/3"/>
    <s v=""/>
    <s v=""/>
    <s v="КАЛИНИНГРАДСКАЯ ОБЛ."/>
    <s v="Г.БАГРАТИОНОВСК"/>
    <s v="УЛ.КОММУНАЛЬНАЯ,4,,,."/>
    <s v="10012010 т/п Багратионовский"/>
    <n v="1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BK N.V."/>
    <n v="9"/>
    <n v="0"/>
    <n v="0"/>
    <m/>
    <n v="0"/>
    <m/>
    <s v="1"/>
    <s v="2309103100"/>
    <s v=""/>
    <s v=""/>
    <s v="BE"/>
    <n v="4409.1719999999996"/>
    <s v="ОО-----"/>
    <n v="7000000"/>
    <n v="4404.6719999999996"/>
    <n v="0"/>
    <s v=""/>
    <s v=""/>
    <n v="5949.21"/>
    <n v="490169"/>
    <m/>
    <m/>
    <n v="0"/>
    <n v="7241.88"/>
    <s v="10"/>
    <n v="7241.7212351999988"/>
    <n v="1.6440999999999999"/>
    <n v="1446"/>
    <s v="ФКД/210"/>
    <s v="ВЫРЖЕМКОВСКИЙ ВЛАДИСЛАВ ЦЕЗАРЕВИЧ"/>
    <n v="368"/>
    <m/>
  </r>
  <r>
    <s v="1"/>
    <d v="2023-02-08T00:00:00"/>
    <x v="12"/>
    <s v="10012020/270323/3019080"/>
    <s v="10012020"/>
    <s v="3019080"/>
    <x v="0"/>
    <s v="70"/>
    <s v=""/>
    <s v=""/>
    <s v=""/>
    <s v="BK N.V."/>
    <s v="B-3012, , WILSELE, AARSCHOTSESTEENWEG 26,"/>
    <s v=""/>
    <s v=""/>
    <n v="2"/>
    <n v="0"/>
    <n v="2"/>
    <n v="33"/>
    <s v=""/>
    <s v=""/>
    <s v="OOO TRIBUTE"/>
    <s v="220069, , MINSK, DEKABRISTOV STREET 5/1-14,"/>
    <s v=""/>
    <s v=""/>
    <s v="1203900013855"/>
    <s v="3917054186"/>
    <s v="ООО &quot;ПЕТ ПЛЮС&quot;"/>
    <s v="238522, КАЛИНИНГРАДСКАЯ ОБЛ.ГУРЬЕВСКИЙ РАЙОН, ПОС. ЛАСКИНО, УЛ. ПОЛЕВАЯ Д.18А,"/>
    <s v="27000"/>
    <s v="391701001"/>
    <s v="BE"/>
    <s v="БЕЛЬГИЯ"/>
    <n v="0"/>
    <s v="1203900013855"/>
    <s v="3917054186"/>
    <s v="ООО &quot;ПЕТ ПЛЮС&quot;"/>
    <s v="238522, КАЛИНИНГРАДСКАЯ ОБЛ.ГУРЬЕВСКИЙ РАЙОН, ПОС. ЛАСКИНО, УЛ. ПОЛЕВАЯ Д.18А,"/>
    <s v="27000"/>
    <s v="391701001"/>
    <s v="BE"/>
    <s v="БЕЛЬГИЯ"/>
    <x v="7"/>
    <s v="RU"/>
    <s v="РОССИЯ"/>
    <n v="2"/>
    <s v="0"/>
    <s v="EXW"/>
    <s v="WILSELE"/>
    <n v="1"/>
    <s v="EUR"/>
    <n v="22054.240000000002"/>
    <n v="1817100"/>
    <n v="27432.67"/>
    <n v="82.392300000000006"/>
    <s v="014"/>
    <s v="30"/>
    <s v="23020007/0436/0028/9/1"/>
    <s v="-"/>
    <s v="11"/>
    <s v="10012/200711/10044/3"/>
    <s v=""/>
    <s v=""/>
    <s v="КАЛИНИНГРАДСКАЯ ОБЛ."/>
    <s v="Г.БАГРАТИОНОВСК"/>
    <s v="УЛ.КОММУНАЛЬНАЯ,4,,,."/>
    <s v="10012010 т/п Багратионовский"/>
    <n v="2"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BK N.V."/>
    <n v="24"/>
    <n v="0"/>
    <n v="0"/>
    <m/>
    <n v="0"/>
    <m/>
    <s v="2"/>
    <s v="2309105100"/>
    <s v=""/>
    <s v=""/>
    <s v="BE"/>
    <n v="15050.828"/>
    <s v="ОО-----"/>
    <n v="7000000"/>
    <n v="15038.825999999999"/>
    <n v="0"/>
    <s v=""/>
    <s v=""/>
    <n v="16105.03"/>
    <n v="1326930"/>
    <m/>
    <m/>
    <n v="0"/>
    <n v="20190.79"/>
    <s v="10"/>
    <n v="20191.127787599999"/>
    <n v="1.3426"/>
    <n v="1446"/>
    <s v="ФКД/210"/>
    <s v="ВЫРЖЕМКОВСКИЙ ВЛАДИСЛАВ ЦЕЗАРЕВИЧ"/>
    <n v="368"/>
    <m/>
  </r>
  <r>
    <s v="1"/>
    <d v="2023-02-19T00:00:00"/>
    <x v="12"/>
    <s v="10012020/261222/5000738"/>
    <s v="10012020"/>
    <s v="5000738"/>
    <x v="0"/>
    <s v="78"/>
    <s v=""/>
    <s v=""/>
    <s v=""/>
    <s v="KYUNG DONG NAVIEN CO., LTD."/>
    <s v=", YEONGDEUNGPO-GU, SEOUL, 22, GUKHOE-DAERO 76-GIL,"/>
    <s v=""/>
    <s v=""/>
    <n v="1"/>
    <m/>
    <n v="1"/>
    <n v="23"/>
    <s v="1053900004971"/>
    <s v="3908030301"/>
    <s v="ООО ПАВИАН"/>
    <s v="238324, КАЛИНИНГРАДСКАЯ ОБЛ.,ГУРЬЕВСКИЙ Р-Н, П.НЕВСКОЕ, УЛ.ГАГАРИНА, Д. 230А, ОФ"/>
    <s v="27000"/>
    <s v="391701001"/>
    <s v="1053900004971"/>
    <s v="3908030301"/>
    <s v="ООО ПАВИАН"/>
    <s v="238324, КАЛИНИНГРАДСКАЯ ОБЛ.,ГУРЬЕВСКИЙ Р-Н, П.НЕВСКОЕ, УЛ.ГАГАРИНА, Д. 230А, ОФ"/>
    <s v="27000"/>
    <s v="391701001"/>
    <s v="KR"/>
    <s v="КОРЕЯ, РЕСПУБЛИКА"/>
    <n v="8256520.7300000004"/>
    <s v="1053900004971"/>
    <s v="3908030301"/>
    <s v="ООО ПАВИАН"/>
    <s v="238324, КАЛИНИНГРАДСКАЯ ОБЛ.,ГУРЬЕВСКИЙ Р-Н, П.НЕВСКОЕ, УЛ.ГАГАРИНА, Д. 230А, ОФ"/>
    <s v="27000"/>
    <s v="391701001"/>
    <s v="KR"/>
    <s v="КОРЕЯ, РЕСПУБЛИКА"/>
    <x v="2"/>
    <s v="RU"/>
    <s v="РОССИЯ"/>
    <n v="1"/>
    <s v="1"/>
    <s v="CIF"/>
    <s v="КАЛИНИНГРАД"/>
    <n v="1"/>
    <s v="EUR"/>
    <n v="113040"/>
    <n v="8256521"/>
    <n v="120224.25"/>
    <n v="73.040700000000001"/>
    <s v="010"/>
    <s v="10"/>
    <s v="20010073/1000/0074/2/1"/>
    <s v="-"/>
    <s v="97"/>
    <s v=""/>
    <s v="10012000/281221/00042/4"/>
    <s v=""/>
    <s v="КАЛИНИНГРАДСКАЯ"/>
    <s v="Г.КАЛИНИНГРАД"/>
    <s v="СТ.КАЛИНИНГРАД-СОРТИРОВОЧНЫЙ,УЛ. ПОРТОВАЯ, Д. 27А"/>
    <s v="10012040 т/п Московский"/>
    <n v="1"/>
    <s v="КОТЛЫ БЫТОВЫЕ ЦЕНТРАЛЬНОГО ОТОПЛЕНИЯ, ВОДОГРЕЙНЫЕ, ГАЗОВЫЕ В СТАЛЬНОМ КОРПУСЕ"/>
    <x v="0"/>
    <m/>
    <s v="KYUNG DONG NAVIEN CO., LTD"/>
    <n v="23"/>
    <n v="1"/>
    <n v="270"/>
    <s v="ШТ"/>
    <m/>
    <m/>
    <s v="1"/>
    <s v="8403109000"/>
    <s v=""/>
    <s v=""/>
    <s v="KR"/>
    <n v="11130"/>
    <s v="ООПП-ПП"/>
    <n v="7800000"/>
    <n v="10353.9"/>
    <m/>
    <s v=""/>
    <s v=""/>
    <n v="113040"/>
    <n v="8256521"/>
    <n v="0"/>
    <n v="1"/>
    <n v="8256520.7300000004"/>
    <n v="120224.25"/>
    <s v="10"/>
    <n v="11.611499999999999"/>
    <m/>
    <m/>
    <m/>
    <s v="ГОЛУНЦОВ ЮРИЙ МИХАЙЛОВИЧ"/>
    <n v="107"/>
    <m/>
  </r>
  <r>
    <s v="1"/>
    <d v="2023-10-26T00:00:00"/>
    <x v="1"/>
    <s v="10012020/261222/3101664"/>
    <s v="10012020"/>
    <s v="3101664"/>
    <x v="0"/>
    <s v="78"/>
    <s v=""/>
    <s v=""/>
    <s v=""/>
    <s v="KYUNG DONG NAVIEN CO., LTD."/>
    <s v=", YEONGDEUNGPO-GU, SEOUL, 22, GUKHOE-DAERO 76-GIL,"/>
    <s v=""/>
    <s v=""/>
    <n v="1"/>
    <n v="0"/>
    <n v="1"/>
    <n v="23"/>
    <s v="1023900764238"/>
    <s v="3905033079"/>
    <s v="ООО МЕНАКОМ"/>
    <s v="238324, КАЛИНИНГРАДСКАЯ ОБЛ.,ГУРЬЕВСКИЙ Р-Н, П.НЕВСКОЕ, УЛ.ГАГАРИНА, Д. 230А, ОФ"/>
    <s v="27000"/>
    <s v="391701001"/>
    <s v="1023900764238"/>
    <s v="3905033079"/>
    <s v="ООО МЕНАКОМ"/>
    <s v="238324, КАЛИНИНГРАДСКАЯ ОБЛ.,ГУРЬЕВСКИЙ Р-Н, П.НЕВСКОЕ, УЛ.ГАГАРИНА, Д. 230А, ОФ"/>
    <s v="27000"/>
    <s v="391701001"/>
    <s v="KR"/>
    <s v="КОРЕЯ, РЕСПУБЛИКА"/>
    <n v="8493172.5999999903"/>
    <s v="1023900764238"/>
    <s v="3905033079"/>
    <s v="ООО МЕНАКОМ"/>
    <s v="238324, КАЛИНИНГРАДСКАЯ ОБЛ.,ГУРЬЕВСКИЙ Р-Н, П.НЕВСКОЕ, УЛ.ГАГАРИНА, Д. 230А, ОФ"/>
    <s v="27000"/>
    <s v="391701001"/>
    <s v="KR"/>
    <s v="КОРЕЯ, РЕСПУБЛИКА"/>
    <x v="2"/>
    <s v="RU"/>
    <s v="РОССИЯ"/>
    <n v="1"/>
    <s v="1"/>
    <s v="CIF"/>
    <s v="КАЛИНИНГРАД"/>
    <n v="1"/>
    <s v="EUR"/>
    <n v="116280"/>
    <n v="8493173"/>
    <n v="123670.17"/>
    <n v="73.040700000000001"/>
    <s v="010"/>
    <s v="10"/>
    <s v="20010084/1000/0074/2/1"/>
    <s v="-"/>
    <s v="97"/>
    <s v=""/>
    <s v="10012000/281221/00042/4"/>
    <s v=""/>
    <s v="КАЛИНИНГРАДСКАЯ"/>
    <s v="Г.КАЛИНИНГРАД"/>
    <s v="СТ.КАЛИНИНГРАД-СОРТИРОВОЧНЫЙ,УЛ. ПОРТОВАЯ, Д. 27А"/>
    <s v="10012040 т/п Московский"/>
    <n v="1"/>
    <s v="КОТЛЫ БЫТОВЫЕ ЦЕНТРАЛЬНОГО ОТОПЛЕНИЯ, ВОДОГРЕЙНЫЕ, ГАЗОВЫЕ В СТАЛЬНОМ КОРПУСЕ"/>
    <x v="0"/>
    <m/>
    <s v="KYUNG DONG NAVIEN CO., LTD"/>
    <n v="23"/>
    <n v="1"/>
    <n v="282"/>
    <s v="ШТ"/>
    <n v="0"/>
    <m/>
    <s v="1"/>
    <s v="8403109000"/>
    <s v=""/>
    <s v=""/>
    <s v="KR"/>
    <n v="11300"/>
    <s v="ООПП-ПП"/>
    <n v="7800000"/>
    <n v="10605.48"/>
    <n v="0"/>
    <s v=""/>
    <s v=""/>
    <n v="116280"/>
    <n v="8493173"/>
    <n v="0"/>
    <n v="1"/>
    <n v="8493172.5999999903"/>
    <n v="123670.17"/>
    <s v="10"/>
    <n v="11.661"/>
    <m/>
    <m/>
    <m/>
    <s v="ГОЛУНЦОВ ЮРИЙ МИХАЙЛОВИЧ"/>
    <n v="264"/>
    <m/>
  </r>
  <r>
    <s v="1"/>
    <d v="2023-11-30T00:00:00"/>
    <x v="7"/>
    <s v="10012020/251023/3064812"/>
    <s v="10012020"/>
    <s v="3064812"/>
    <x v="0"/>
    <s v="70"/>
    <s v=""/>
    <s v=""/>
    <s v=""/>
    <s v="BK N.V."/>
    <s v="B-3012, , LEUVEN (WILSELE), AARSCHOTSESTEENWEG 26,"/>
    <s v=""/>
    <s v=""/>
    <n v="2"/>
    <m/>
    <n v="2"/>
    <n v="31"/>
    <s v=""/>
    <s v=""/>
    <s v="OOO TRIBUTE"/>
    <s v="220069, , MINSK, DEKABRISTOV STREET 5/1-14,"/>
    <s v="27000"/>
    <s v=""/>
    <s v=""/>
    <s v="3917054186"/>
    <s v="ООО &quot;ПЕТ ПЛЮС&quot;"/>
    <s v="238522, КАЛИНИНГРАДСКАЯ ОБЛ.ГУРЬЕВСКИЙ РАЙОН, ПОС. ЛАСКИНО, УЛ. ПОЛЕВАЯ Д.18А,"/>
    <s v="27000"/>
    <s v=""/>
    <s v="BE"/>
    <s v="БЕЛЬГИЯ"/>
    <n v="0"/>
    <s v=""/>
    <s v="3917054186"/>
    <s v="ООО &quot;ПЕТ ПЛЮС&quot;"/>
    <s v="238522, КАЛИНИНГРАДСКАЯ ОБЛ.ГУРЬЕВСКИЙ РАЙОН, ПОС. ЛАСКИНО, УЛ. ПОЛЕВАЯ Д.18А,"/>
    <s v="27000"/>
    <s v=""/>
    <s v="BE"/>
    <s v="БЕЛЬГИЯ"/>
    <x v="7"/>
    <s v="RU"/>
    <s v="РОССИЯ"/>
    <n v="2"/>
    <s v="0"/>
    <s v="EXW"/>
    <s v="WILSELE"/>
    <m/>
    <s v="EUR"/>
    <n v="16322.67"/>
    <m/>
    <m/>
    <n v="99.553399999999996"/>
    <s v=""/>
    <s v="30"/>
    <s v="23020007/0436/0028/9/1"/>
    <s v="-"/>
    <s v="11"/>
    <s v=""/>
    <s v=""/>
    <s v=""/>
    <s v="КАЛИНИНГРАДСКАЯ ОБЛ."/>
    <s v="Г.БАГРАТИОНОВСК"/>
    <s v="УЛ.КОММУНАЛЬНАЯ,4"/>
    <s v="10012010 т/п Багратионов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BK N.V."/>
    <n v="12"/>
    <n v="0"/>
    <n v="0"/>
    <m/>
    <n v="0"/>
    <m/>
    <s v="1"/>
    <s v="2309103100"/>
    <s v=""/>
    <s v=""/>
    <s v="BE"/>
    <n v="6321.37"/>
    <s v="ОО-----"/>
    <n v="7000000"/>
    <n v="6284.6279999999997"/>
    <n v="0"/>
    <s v=""/>
    <s v=""/>
    <n v="7238.82"/>
    <m/>
    <m/>
    <m/>
    <n v="0"/>
    <n v="9188.06"/>
    <s v="10"/>
    <n v="9175.5568800000001"/>
    <n v="1.46"/>
    <n v="1507"/>
    <m/>
    <s v="ВЫРЖЕМКОВСКИЙ"/>
    <n v="548"/>
    <m/>
  </r>
  <r>
    <s v="1"/>
    <d v="2023-08-01T00:00:00"/>
    <x v="8"/>
    <s v="10012020/251023/3064812"/>
    <s v="10012020"/>
    <s v="3064812"/>
    <x v="0"/>
    <s v="70"/>
    <s v=""/>
    <s v=""/>
    <s v=""/>
    <s v="BK N.V."/>
    <s v="B-3012, , LEUVEN (WILSELE), AARSCHOTSESTEENWEG 26,"/>
    <s v=""/>
    <s v=""/>
    <n v="2"/>
    <m/>
    <n v="2"/>
    <n v="31"/>
    <s v=""/>
    <s v=""/>
    <s v="OOO TRIBUTE"/>
    <s v="220069, , MINSK, DEKABRISTOV STREET 5/1-14,"/>
    <s v="27000"/>
    <s v=""/>
    <s v=""/>
    <s v="3917054186"/>
    <s v="ООО &quot;ПЕТ ПЛЮС&quot;"/>
    <s v="238522, КАЛИНИНГРАДСКАЯ ОБЛ.ГУРЬЕВСКИЙ РАЙОН, ПОС. ЛАСКИНО, УЛ. ПОЛЕВАЯ Д.18А,"/>
    <s v="27000"/>
    <s v=""/>
    <s v="BE"/>
    <s v="БЕЛЬГИЯ"/>
    <n v="0"/>
    <s v=""/>
    <s v="3917054186"/>
    <s v="ООО &quot;ПЕТ ПЛЮС&quot;"/>
    <s v="238522, КАЛИНИНГРАДСКАЯ ОБЛ.ГУРЬЕВСКИЙ РАЙОН, ПОС. ЛАСКИНО, УЛ. ПОЛЕВАЯ Д.18А,"/>
    <s v="27000"/>
    <s v=""/>
    <s v="BE"/>
    <s v="БЕЛЬГИЯ"/>
    <x v="7"/>
    <s v="RU"/>
    <s v="РОССИЯ"/>
    <n v="2"/>
    <s v="0"/>
    <s v="EXW"/>
    <s v="WILSELE"/>
    <m/>
    <s v="EUR"/>
    <n v="16322.67"/>
    <m/>
    <m/>
    <n v="99.553399999999996"/>
    <s v=""/>
    <s v="30"/>
    <s v="23020007/0436/0028/9/1"/>
    <s v="-"/>
    <s v="11"/>
    <s v=""/>
    <s v=""/>
    <s v=""/>
    <s v="КАЛИНИНГРАДСКАЯ ОБЛ."/>
    <s v="Г.БАГРАТИОНОВСК"/>
    <s v="УЛ.КОММУНАЛЬНАЯ,4"/>
    <s v="10012010 т/п Багратионовский"/>
    <m/>
    <s v="КОРМ ДЛЯ СОБАК И КОШЕК, РАСФАСОВАННЫЙ ДЛЯ РОЗНИЧНОЙ ПРОДАЖИ, БЕЗ СОДЕРЖАНИЯ КРАХМАЛА, БЕЗ СОДЕРЖАНИЯ МОЛОЧНЫХ ПРОДУКТОВ, В АССОРТИМЕНТЕ"/>
    <x v="1"/>
    <m/>
    <s v="BK N.V."/>
    <n v="19"/>
    <n v="0"/>
    <n v="0"/>
    <m/>
    <n v="0"/>
    <m/>
    <s v="2"/>
    <s v="2309105100"/>
    <s v=""/>
    <s v=""/>
    <s v="BE"/>
    <n v="13111.63"/>
    <s v="ОО-----"/>
    <n v="7000000"/>
    <n v="13092.63"/>
    <n v="0"/>
    <s v=""/>
    <s v=""/>
    <n v="9083.85"/>
    <m/>
    <m/>
    <m/>
    <n v="0"/>
    <n v="12365.67"/>
    <s v="10"/>
    <n v="12307.072199999999"/>
    <n v="0.94"/>
    <n v="1507"/>
    <m/>
    <s v="ВЫРЖЕМКОВСКИЙ"/>
    <n v="548"/>
    <m/>
  </r>
  <r>
    <s v="1"/>
    <d v="2023-02-03T00:00:00"/>
    <x v="12"/>
    <s v="10012020/241222/5000713"/>
    <s v="10012020"/>
    <s v="5000713"/>
    <x v="0"/>
    <s v="78"/>
    <s v=""/>
    <s v=""/>
    <s v=""/>
    <s v="RADIANT BRUCIATORI SPA ON BEHALF OF LLC EURONEKA KG TRANSSHIPMENT BY DM GROUP PLANET SP.ZO.O. SP.K."/>
    <s v=", , GDANSK, MIKOLAJA REJA 3,"/>
    <s v=""/>
    <s v=""/>
    <n v="8"/>
    <m/>
    <n v="22"/>
    <n v="8"/>
    <s v="1023900984997"/>
    <s v="3906086732"/>
    <s v="ООО ЭКОТЕХНИКА"/>
    <s v="236000, КАЛИНИНГРАДСКАЯ ОБЛ., Г.КАЛИНИНГРАД, ПР-КТ МИРА 142, ЛИТЕР М,"/>
    <s v="27000"/>
    <s v="390601001"/>
    <s v="1023900984997"/>
    <s v="3906086732"/>
    <s v="ООО ЭКОТЕХНИКА"/>
    <s v="236000, КАЛИНИНГРАДСКАЯ ОБЛ., Г.КАЛИНИНГРАД, ПР-КТ МИРА 142, ЛИТЕР М,"/>
    <s v="27000"/>
    <s v="390601001"/>
    <s v="KG"/>
    <s v="КЫРГЫЗСТАН"/>
    <n v="3566977.64"/>
    <s v="1023900984997"/>
    <s v="3906086732"/>
    <s v="ООО ЭКОТЕХНИКА"/>
    <s v="236000, КАЛИНИНГРАДСКАЯ ОБЛ., Г.КАЛИНИНГРАД, ПР-КТ МИРА 142, ЛИТЕР М,"/>
    <s v="27000"/>
    <s v="390601001"/>
    <s v="PL"/>
    <s v="ПОЛЬША"/>
    <x v="0"/>
    <s v="RU"/>
    <s v="РОССИЯ"/>
    <n v="2"/>
    <s v="0"/>
    <s v="DAP"/>
    <s v="КАЛИНИНГРАД"/>
    <n v="1"/>
    <s v="EUR"/>
    <n v="48835.48"/>
    <n v="3566978"/>
    <n v="51939.21"/>
    <n v="73.040700000000001"/>
    <s v="014"/>
    <s v=""/>
    <s v="22110015/0436/0028/9/1"/>
    <s v="-"/>
    <s v="11"/>
    <s v="10012/140111/10039/4"/>
    <s v=""/>
    <s v=""/>
    <s v="КАЛИНИНГРАДСКАЯ ОБЛ., ГУРЬЕВСКИЙ Р-Н"/>
    <s v="ПОС. ДРУЖНЫЙ"/>
    <s v="УЛ. ДЗЕРЖИНСКОГО,248."/>
    <s v="10012040 т/п Московский"/>
    <n v="2"/>
    <s v="КОТЛЫ ОТОПИТЕЛЬНЫЕ ВОДОГРЕЙНЫЕ ГАЗОВЫЕ, ТЕПЛОВОЙ МОЩНОСТЬЮ ДО 100 КВТ, ДЛЯ ЦЕНТРАЛЬНОГО ОТОПЛЕНИЯ И ПРОИЗВОДСТВА ГОРЯЧЕЙ ВОДЫ, БЫТОВЫЕ, НАСТЕННЫЕ, В КОРПУСЕ ИЗ СТАЛИ, НЕ ВОЕННОГО НАЗНАЧЕНИЯ, ПРЕДНАЗНАЧЕНЫ ДЛЯ НЕБОЛЬШИХ СИСТЕМ ЦЕНТРАЛЬНОГО ОТОПЛЕНИЯ И"/>
    <x v="0"/>
    <m/>
    <s v="RADIANT BRUCIATORI S.P.A."/>
    <n v="2"/>
    <m/>
    <n v="16"/>
    <s v="ШТ"/>
    <m/>
    <m/>
    <s v="2"/>
    <s v="8403109000"/>
    <s v=""/>
    <s v=""/>
    <s v="IT"/>
    <n v="648"/>
    <s v="ООПП-ПП"/>
    <n v="7800000"/>
    <n v="648"/>
    <m/>
    <s v=""/>
    <s v=""/>
    <n v="9543.43"/>
    <n v="697059"/>
    <n v="0"/>
    <n v="1"/>
    <n v="697058.81"/>
    <n v="10149.959999999901"/>
    <s v="10"/>
    <n v="15.663500000000001"/>
    <m/>
    <m/>
    <m/>
    <s v="ХЛЕБОДАРОВ СЕРГЕЙ ВАЛЕНТИНОВИЧ"/>
    <n v="722"/>
    <m/>
  </r>
  <r>
    <s v="1"/>
    <d v="2023-04-21T00:00:00"/>
    <x v="3"/>
    <s v="10012020/241222/5000713"/>
    <s v="10012020"/>
    <s v="5000713"/>
    <x v="0"/>
    <s v="78"/>
    <s v=""/>
    <s v=""/>
    <s v=""/>
    <s v="RADIANT BRUCIATORI SPA ON BEHALF OF LLC EURONEKA KG TRANSSHIPMENT BY DM GROUP PLANET SP.ZO.O. SP.K."/>
    <s v=", , GDANSK, MIKOLAJA REJA 3,"/>
    <s v=""/>
    <s v=""/>
    <n v="8"/>
    <m/>
    <n v="22"/>
    <n v="8"/>
    <s v="1023900984997"/>
    <s v="3906086732"/>
    <s v="ООО ЭКОТЕХНИКА"/>
    <s v="236000, КАЛИНИНГРАДСКАЯ ОБЛ., Г.КАЛИНИНГРАД, ПР-КТ МИРА 142, ЛИТЕР М,"/>
    <s v="27000"/>
    <s v="390601001"/>
    <s v="1023900984997"/>
    <s v="3906086732"/>
    <s v="ООО ЭКОТЕХНИКА"/>
    <s v="236000, КАЛИНИНГРАДСКАЯ ОБЛ., Г.КАЛИНИНГРАД, ПР-КТ МИРА 142, ЛИТЕР М,"/>
    <s v="27000"/>
    <s v="390601001"/>
    <s v="KG"/>
    <s v="КЫРГЫЗСТАН"/>
    <n v="3566977.64"/>
    <s v="1023900984997"/>
    <s v="3906086732"/>
    <s v="ООО ЭКОТЕХНИКА"/>
    <s v="236000, КАЛИНИНГРАДСКАЯ ОБЛ., Г.КАЛИНИНГРАД, ПР-КТ МИРА 142, ЛИТЕР М,"/>
    <s v="27000"/>
    <s v="390601001"/>
    <s v="PL"/>
    <s v="ПОЛЬША"/>
    <x v="0"/>
    <s v="RU"/>
    <s v="РОССИЯ"/>
    <n v="2"/>
    <s v="0"/>
    <s v="DAP"/>
    <s v="КАЛИНИНГРАД"/>
    <n v="1"/>
    <s v="EUR"/>
    <n v="48835.48"/>
    <n v="3566978"/>
    <n v="51939.21"/>
    <n v="73.040700000000001"/>
    <s v="014"/>
    <s v=""/>
    <s v="22110015/0436/0028/9/1"/>
    <s v="-"/>
    <s v="11"/>
    <s v="10012/140111/10039/4"/>
    <s v=""/>
    <s v=""/>
    <s v="КАЛИНИНГРАДСКАЯ ОБЛ., ГУРЬЕВСКИЙ Р-Н"/>
    <s v="ПОС. ДРУЖНЫЙ"/>
    <s v="УЛ. ДЗЕРЖИНСКОГО,248."/>
    <s v="10012040 т/п Московский"/>
    <n v="1"/>
    <s v="КОТЛЫ ОТОПИТЕЛЬНЫЕ ВОДОГРЕЙНЫЕ ГАЗОВЫЕ, ТЕПЛОВОЙ МОЩНОСТЬЮ ДО 100 КВТ, КОНДЕНСАЦИОННЫЕ, ДЛЯ ЦЕНТРАЛЬНОГО ОТОПЛЕНИЯ И ПРОИЗВОДСТВА ГОРЯЧЕЙ ВОДЫ, БЫТОВЫЕ, НАСТЕННЫЕ, В КОРПУСЕ ИЗ СТАЛИ, НЕ ВОЕННОГО НАЗНАЧЕНИЯ, ПРЕДНАЗНАЧЕНЫ ДЛЯ НЕБОЛЬШИХ СИСТЕМЦЕНТРАЛЬ"/>
    <x v="0"/>
    <m/>
    <s v="RADIANT BRUCIATORI S.P.A."/>
    <n v="4"/>
    <m/>
    <n v="18"/>
    <s v="ШТ"/>
    <m/>
    <m/>
    <s v="1"/>
    <s v="8403109000"/>
    <s v=""/>
    <s v=""/>
    <s v="IT"/>
    <n v="941"/>
    <s v="ООПП-ПП"/>
    <n v="7800000"/>
    <n v="941"/>
    <m/>
    <s v=""/>
    <s v=""/>
    <n v="27921.69"/>
    <n v="2039420"/>
    <n v="0"/>
    <n v="1"/>
    <n v="2039419.78"/>
    <n v="29696.25"/>
    <s v="10"/>
    <n v="31.558199999999999"/>
    <m/>
    <m/>
    <m/>
    <s v="ХЛЕБОДАРОВ СЕРГЕЙ ВАЛЕНТИНОВИЧ"/>
    <n v="722"/>
    <m/>
  </r>
  <r>
    <s v="0"/>
    <d v="2023-08-20T00:00:00"/>
    <x v="8"/>
    <s v="10012020/231222/3101323"/>
    <s v="10012020"/>
    <s v="3101323"/>
    <x v="0"/>
    <s v="40"/>
    <s v=""/>
    <s v=""/>
    <s v=""/>
    <s v="RADIANT BRUCIATORI SPA ON BEHALF OF LLC EURONEKA KG TRANSSHIPMENT BY DM GROUP PLANET SP.ZO.O. SP.K."/>
    <s v="80-404, , GDANSK, MIKOLAJA REJA 3,"/>
    <s v=""/>
    <s v=""/>
    <n v="1"/>
    <n v="0"/>
    <n v="1"/>
    <n v="1"/>
    <s v="1023900984997"/>
    <s v="3906086732"/>
    <s v="ООО ЭКОТЕХНИКА"/>
    <s v="236000, КАЛИНИНГРАДСКАЯ ОБЛ., Г.КАЛИНИНГРАД, ПР-КТ МИРА 142, ЛИТЕР М,"/>
    <s v="27000"/>
    <s v="390601001"/>
    <s v="1023900984997"/>
    <s v="3906086732"/>
    <s v="ООО ЭКОТЕХНИКА"/>
    <s v="236000, КАЛИНИНГРАДСКАЯ ОБЛ., Г.КАЛИНИНГРАД, ПР-КТ МИРА 142, ЛИТЕР М,"/>
    <s v="27000"/>
    <s v="390601001"/>
    <s v="KG"/>
    <s v="КЫРГЫЗСТАН"/>
    <n v="140317.1"/>
    <s v="1023900984997"/>
    <s v="3906086732"/>
    <s v="ООО ЭКОТЕХНИКА"/>
    <s v="236000, КАЛИНИНГРАДСКАЯ ОБЛ., Г.КАЛИНИНГРАД, ПР-КТ МИРА 142, ЛИТЕР М,"/>
    <s v="27000"/>
    <s v="390601001"/>
    <s v="PL"/>
    <s v="ПОЛЬША"/>
    <x v="0"/>
    <s v="RU"/>
    <s v="РОССИЯ"/>
    <n v="2"/>
    <s v="0"/>
    <s v="DAP"/>
    <s v="КАЛИНИНГРАД"/>
    <n v="1"/>
    <s v="EUR"/>
    <n v="1830.75"/>
    <n v="140317"/>
    <n v="1945.32"/>
    <n v="76.644599999999897"/>
    <s v="014"/>
    <s v=""/>
    <s v="22110015/0436/0028/9/1"/>
    <s v="-"/>
    <s v="11"/>
    <s v="10012/140111/10039/4"/>
    <s v=""/>
    <s v=""/>
    <s v="КАЛИНИНГРАДСКАЯ ОБЛ., ГУРЬЕВСКИЙ Р-Н"/>
    <s v="ПОС. ДРУЖНЫЙ"/>
    <s v="УЛ. ДЗЕРЖИНСКОГО,248."/>
    <s v="10012040 т/п Московский"/>
    <n v="1"/>
    <s v="КОТЕЛ ОТОПИТЕЛЬНЫЙ ВОДОГРЕЙНЫЙ ГАЗОВЫЙ, ДЛЯ ЦЕНТРАЛЬНОГО ОТОПЛЕНИЯ, В КОРПУСЕ ИЗ СТАЛИ, НЕ ВОЕННОГО НАЗНАЧЕНИЯ, ДАННАЯ ПРОДУКЦИЯ ЗАВОЗИТСЯ В КАЧЕСТВЕ ПРОБ (ОБРАЗЦОВ) ДЛЯ ЦЕЛЕЙ ПРОВЕДЕНИЯ ОЦЕНКИ СООТВЕТСТВИЯ ОБЯЗАТЕЛЬНЫМ ТРЕБОВАНИЯМ ТЕХНИЧЕСКИХ"/>
    <x v="0"/>
    <m/>
    <s v="RADIANT BRUCIATORI S.P.A."/>
    <n v="1"/>
    <n v="0"/>
    <n v="1"/>
    <s v="ШТ"/>
    <n v="0"/>
    <m/>
    <s v="1"/>
    <s v="8403109000"/>
    <s v=""/>
    <s v=""/>
    <s v="IT"/>
    <n v="70"/>
    <s v="ОООО-ОО"/>
    <n v="4000064"/>
    <n v="70"/>
    <n v="0"/>
    <s v=""/>
    <s v=""/>
    <n v="1830.75"/>
    <n v="140317"/>
    <n v="0"/>
    <n v="1"/>
    <n v="140317.1"/>
    <n v="1945.32"/>
    <s v="10"/>
    <n v="27.790299999999998"/>
    <m/>
    <m/>
    <m/>
    <s v="ХЛЕБОДАРОВ СЕРГЕЙ ВАЛЕНТИНОВИЧ"/>
    <n v="11"/>
    <m/>
  </r>
  <r>
    <s v="1"/>
    <d v="2023-07-10T00:00:00"/>
    <x v="0"/>
    <s v="10012020/231222/3101286"/>
    <s v="10012020"/>
    <s v="3101286"/>
    <x v="0"/>
    <s v="78"/>
    <s v=""/>
    <s v=""/>
    <s v=""/>
    <s v="FERROLI S.P.A. ON BEHALF OF LLC EURONEKA KG TRANSSHIPMENT BY DM GROUP PLANET SP.ZO.O. SP.K."/>
    <s v="80-404, , GDANSK, MIKOLAJA REJA 3,"/>
    <s v=""/>
    <s v=""/>
    <n v="3"/>
    <n v="0"/>
    <n v="6"/>
    <n v="7"/>
    <s v="1023900984997"/>
    <s v="3906086732"/>
    <s v="ООО ЭКОТЕХНИКА"/>
    <s v="236000, КАЛИНИНГРАДСКАЯ ОБЛ., Г.КАЛИНИНГРАД, ПР-КТ МИРА 142, ЛИТЕР М,"/>
    <s v="27000"/>
    <s v="390601001"/>
    <s v="1023900984997"/>
    <s v="3906086732"/>
    <s v="ООО ЭКОТЕХНИКА"/>
    <s v="236000, КАЛИНИНГРАДСКАЯ ОБЛ., Г.КАЛИНИНГРАД, ПР-КТ МИРА 142, ЛИТЕР М,"/>
    <s v="27000"/>
    <s v="390601001"/>
    <s v="KG"/>
    <s v="КЫРГЫЗСТАН"/>
    <n v="2592513.54999999"/>
    <s v="1023900984997"/>
    <s v="3906086732"/>
    <s v="ООО ЭКОТЕХНИКА"/>
    <s v="236000, КАЛИНИНГРАДСКАЯ ОБЛ., Г.КАЛИНИНГРАД, ПР-КТ МИРА 142, ЛИТЕР М,"/>
    <s v="27000"/>
    <s v="390601001"/>
    <s v="PL"/>
    <s v="ПОЛЬША"/>
    <x v="0"/>
    <s v="RU"/>
    <s v="РОССИЯ"/>
    <n v="2"/>
    <s v="0"/>
    <s v="DAP"/>
    <s v="КАЛИНИНГРАД"/>
    <n v="1"/>
    <s v="EUR"/>
    <n v="33825.129999999903"/>
    <n v="2592514"/>
    <n v="35941.93"/>
    <n v="76.644599999999897"/>
    <s v="014"/>
    <s v=""/>
    <s v="22110015/0436/0028/9/1"/>
    <s v="-"/>
    <s v="11"/>
    <s v="10012/140111/10039/4"/>
    <s v=""/>
    <s v=""/>
    <s v="КАЛИНИНГРАДСКАЯ ОБЛ."/>
    <s v="ПОС. ДРУЖНЫЙ"/>
    <s v="УЛ. ДЗЕРЖИНСКОГО,248."/>
    <s v="10012040 т/п Московский"/>
    <n v="2"/>
    <s v="КОТЛЫ ЦЕНТРАЛЬНОГО ОТОПЛЕНИЯ ИЗ ЧУГУННОГО ЛИТЬЯ, ВОДОГРЕЙНЫЕ НАПОЛЬНЫЕ ЧУГУННЫЕ ОТОПИТЕЛЬНЫЕ КОТЛЫ ТЕПЛОВОЙ МОЩНОСТЬЮ 32 КВТ, С ОТКРЫТОЙ КАМЕРОЙ СГОРАНИЯ, ТОПЛИВО ГАЗ, С АТМОСФЕРНОЙ ГОРЕЛКОЙ, ДЛЯ ОТОПЛЕНИЯ ЖИЛЫХ ПОМЕЩЕНИЙ, НЕ ВОЕННОГО НАЗНАЧЕНИЯ,"/>
    <x v="0"/>
    <m/>
    <s v="FERROLI S.P.A."/>
    <n v="3"/>
    <n v="0"/>
    <n v="3"/>
    <s v="ШТ"/>
    <n v="0"/>
    <m/>
    <s v="2"/>
    <s v="8403101000"/>
    <s v=""/>
    <s v=""/>
    <s v="IT"/>
    <n v="435"/>
    <s v="ООПП-ПП"/>
    <n v="7800000"/>
    <n v="405"/>
    <n v="0"/>
    <s v=""/>
    <s v=""/>
    <n v="3869.8"/>
    <n v="296599"/>
    <n v="0"/>
    <n v="1"/>
    <n v="296599.27"/>
    <n v="4111.9799999999896"/>
    <s v="10"/>
    <n v="10.153"/>
    <m/>
    <m/>
    <m/>
    <s v="ХЛЕБОДАРОВ СЕРГЕЙ ВАЛЕНТИНОВИЧ"/>
    <n v="367"/>
    <m/>
  </r>
  <r>
    <s v="1"/>
    <d v="2023-10-11T00:00:00"/>
    <x v="1"/>
    <s v="10012020/221222/5000681"/>
    <s v="10012020"/>
    <s v="5000681"/>
    <x v="0"/>
    <s v="78"/>
    <s v=""/>
    <s v=""/>
    <s v=""/>
    <s v="BEIJING KYUNGDONG NAVIEN HEAT ENERGY EQUIPMENT CO., LTD."/>
    <s v=", SHUNYI DISTRICT,BEIJING,P.R.CHINA, BEIJING, 27,JUYUAN EAST ROAD MAPO TOWN,"/>
    <s v=""/>
    <s v=""/>
    <n v="1"/>
    <m/>
    <n v="1"/>
    <n v="26"/>
    <s v="1053900004971"/>
    <s v="3908030301"/>
    <s v="ООО ПАВИАН"/>
    <s v="238324, КАЛИНИНГРАДСКАЯ ОБЛ.,ГУРЬЕВСКИЙ Р-Н, П.НЕВСКОЕ, УЛ.ГАГАРИНА, Д. 230А, ОФ"/>
    <s v="27000"/>
    <s v="391701001"/>
    <s v="1053900004971"/>
    <s v="3908030301"/>
    <s v="ООО ПАВИАН"/>
    <s v="238324, КАЛИНИНГРАДСКАЯ ОБЛ.,ГУРЬЕВСКИЙ Р-Н, П.НЕВСКОЕ, УЛ.ГАГАРИНА, Д. 230А, ОФ"/>
    <s v="27000"/>
    <s v="391701001"/>
    <s v="CN"/>
    <s v="КИТАЙ"/>
    <n v="5977558.0800000001"/>
    <s v="1053900004971"/>
    <s v="3908030301"/>
    <s v="ООО ПАВИАН"/>
    <s v="238324, КАЛИНИНГРАДСКАЯ ОБЛ.,ГУРЬЕВСКИЙ Р-Н, П.НЕВСКОЕ, УЛ.ГАГАРИНА, Д. 230А, ОФ"/>
    <s v="27000"/>
    <s v="391701001"/>
    <s v="CN"/>
    <s v="КИТАЙ"/>
    <x v="1"/>
    <s v="RU"/>
    <s v="РОССИЯ"/>
    <n v="1"/>
    <s v="1"/>
    <s v="CIF"/>
    <s v="КАЛИНИНГРАД"/>
    <n v="1"/>
    <s v="CNY"/>
    <n v="592800"/>
    <n v="5977558"/>
    <n v="84757.28"/>
    <n v="10.083600000000001"/>
    <s v="010"/>
    <s v=""/>
    <s v="22060008/1307/0000/2/1"/>
    <s v="-"/>
    <s v="97"/>
    <s v=""/>
    <s v="10012000/281221/00042/4"/>
    <s v=""/>
    <s v="КАЛИНИНГРАДСКАЯ"/>
    <s v="Г.КАЛИНИНГРАД"/>
    <s v="СТ.КАЛИНИНГРАД-СОРТИРОВОЧНЫЙ,УЛ. ПОРТОВАЯ, Д. 27А"/>
    <s v="10012040 т/п Московский"/>
    <n v="1"/>
    <s v="КОТЛЫ БЫТОВЫЕ ЦЕНТРАЛЬНОГО ОТОПЛЕНИЯ, ВОДОГРЕЙНЫЕ, ГАЗОВЫЕ В СТАЛЬНОМ КОРПУСЕ"/>
    <x v="0"/>
    <m/>
    <s v="BEIJING KYUNGDONG NAVIEN HEAT ENERGY EQUIPMENT CO., LTD"/>
    <n v="26"/>
    <n v="1"/>
    <n v="312"/>
    <s v="ШТ"/>
    <m/>
    <m/>
    <s v="1"/>
    <s v="8403109000"/>
    <s v=""/>
    <s v=""/>
    <s v="CN"/>
    <n v="10751"/>
    <s v="ООПП-ПП"/>
    <n v="7800000"/>
    <n v="9672"/>
    <m/>
    <s v=""/>
    <s v=""/>
    <n v="592800"/>
    <n v="5977558"/>
    <n v="0"/>
    <n v="1"/>
    <n v="5977558.0800000001"/>
    <n v="84757.28"/>
    <s v="10"/>
    <n v="8.7631999999999994"/>
    <m/>
    <m/>
    <m/>
    <s v="ГОЛУНЦОВ ЮРИЙ МИХАЙЛОВИЧ"/>
    <n v="260"/>
    <m/>
  </r>
  <r>
    <s v="1"/>
    <d v="2023-09-30T00:00:00"/>
    <x v="4"/>
    <s v="10012020/171222/3099561"/>
    <s v="10012020"/>
    <s v="3099561"/>
    <x v="0"/>
    <s v="78"/>
    <s v=""/>
    <s v=""/>
    <s v=""/>
    <s v="BAXI S.P.A TRANSSHIPMENT BY ENERGO KLIM ANDRZEI FIEREK"/>
    <s v="36061, , BASSAN DEL GRAPPA(VI), VIA TROZZETTI 20,"/>
    <s v=""/>
    <s v=""/>
    <n v="4"/>
    <n v="0"/>
    <n v="10"/>
    <n v="286"/>
    <s v="1033910504187"/>
    <s v="3913008510"/>
    <s v="ООО БАЛТТЕПЛОСЕРВИС"/>
    <s v="236022, КАЛИНИНГРАДСКАЯ ОБЛАСТЬ, КАЛИНИНГРАД, РЕПИНА 46/50,"/>
    <s v="27000"/>
    <s v="390601001"/>
    <s v="1033910504187"/>
    <s v="3913008510"/>
    <s v="ООО БАЛТТЕПЛОСЕРВИС"/>
    <s v="236022, КАЛИНИНГРАДСКАЯ ОБЛАСТЬ, КАЛИНИНГРАД, РЕПИНА 46/50,"/>
    <s v="27000"/>
    <s v="390601001"/>
    <s v="IT"/>
    <s v="ИТАЛИЯ"/>
    <n v="4144251.87"/>
    <s v="1033910504187"/>
    <s v="3913008510"/>
    <s v="ООО БАЛТТЕПЛОСЕРВИС"/>
    <s v="236022, КАЛИНИНГРАДСКАЯ ОБЛАСТЬ, КАЛИНИНГРАД, РЕПИНА 46/50,"/>
    <s v="27000"/>
    <s v="390601001"/>
    <s v="PL"/>
    <s v="ПОЛЬША"/>
    <x v="0"/>
    <s v="RU"/>
    <s v="РОССИЯ"/>
    <n v="2"/>
    <s v="0"/>
    <s v="EXW"/>
    <s v="BASSAN DEL GRAPPA"/>
    <n v="2"/>
    <s v="EUR"/>
    <n v="53553.91"/>
    <n v="3683427"/>
    <n v="64144.76"/>
    <n v="68.779799999999895"/>
    <s v="010"/>
    <s v="30"/>
    <s v="14010055/1307/0000/2/1"/>
    <s v="-"/>
    <s v="11"/>
    <s v="10012/080411/10043/3"/>
    <s v=""/>
    <s v=""/>
    <s v="КАЛИНИНГРАДСКАЯ ОБЛАСТИ"/>
    <s v="СВЕТЛЫЙ"/>
    <s v="УЛ. СОВЕТСКАЯ, Д. 31"/>
    <s v="10012180 т/п Светлый"/>
    <n v="1"/>
    <s v="КОТЛЫ ОТОПИТЕЛЬНЫЕ, ВОДОГРЕЙНЫЕ, ГАЗОВЫЕ, СТАЛЬНЫЕ, АТМОСФЕРНЫЕ И КОНДЕНСАЦИОННЫЕ, С ЦИФРОВЫМ УПРАВЛЕНИЕМ, НАСТЕННОГО И НАПОЛЬНОГО ИСПОЛНЕНИЯ МОЩНОСТЬЮ ДО 100 КВТ, ПРЕДНАЗНАЧЕНЫ ДЛЯ ОТОПЛЕНИЯ И ГОРЯЧЕГО ВОДОСНАБЖЕНИЯ, КОД ОКП 493112"/>
    <x v="0"/>
    <m/>
    <s v="BAXI S.P.A."/>
    <n v="141"/>
    <n v="0"/>
    <n v="141"/>
    <s v="ШТ"/>
    <n v="0"/>
    <m/>
    <s v="1"/>
    <s v="8403109000"/>
    <s v=""/>
    <s v=""/>
    <s v="IT"/>
    <n v="4414.5"/>
    <s v="ООПП-ПП"/>
    <n v="7800000"/>
    <n v="4236.5"/>
    <n v="0"/>
    <s v=""/>
    <s v=""/>
    <n v="43245.66"/>
    <n v="2974428"/>
    <n v="0"/>
    <n v="1"/>
    <n v="3254081.23"/>
    <n v="50366.69"/>
    <s v="10"/>
    <n v="11.8888"/>
    <m/>
    <m/>
    <m/>
    <s v="ГОДУНОВА ТАТЬЯНА"/>
    <n v="302"/>
    <m/>
  </r>
  <r>
    <s v="0"/>
    <d v="2023-05-14T00:00:00"/>
    <x v="9"/>
    <s v="10005030/201222/3351842"/>
    <s v="10005030"/>
    <s v="3351842"/>
    <x v="0"/>
    <s v="40"/>
    <s v=""/>
    <s v=""/>
    <s v=""/>
    <s v="QIANTONG INTERNATIONAL FREIGHT AND FORWARDING(SHANGHAI)CO.,LTD ПО ПОРУЧ.HANGZHOU ELAND COMMUNICATION TECHNOLOGY CO., LTD"/>
    <s v="200040, , SHANGHAI, OFFICE 438,EAST TOWER,CENTER1376,NANJING ROAD WEST,"/>
    <s v=""/>
    <s v=""/>
    <n v="2"/>
    <n v="0"/>
    <n v="2"/>
    <n v="3"/>
    <s v="1155022000352"/>
    <s v="5022047481"/>
    <s v="ООО ТПК ЗОЛОТОЙ ТИГР"/>
    <s v="121601, , МОСКВА, ФИЛЁВСКИЙ БУЛЬВАР, Д.10"/>
    <s v="45000"/>
    <s v="773001001"/>
    <s v="1155022000352"/>
    <s v="5022047481"/>
    <s v="ООО ТПК ЗОЛОТОЙ ТИГР"/>
    <s v="121601, , МОСКВА, ФИЛЁВСКИЙ БУЛЬВАР, Д.10"/>
    <s v="45000"/>
    <s v="773001001"/>
    <s v="CN"/>
    <s v="КИТАЙ"/>
    <n v="159342.43"/>
    <s v="1155022000352"/>
    <s v="5022047481"/>
    <s v="ООО ТПК ЗОЛОТОЙ ТИГР"/>
    <s v="121601, , МОСКВА, ФИЛЁВСКИЙ БУЛЬВАР, Д.10"/>
    <s v="45000"/>
    <s v="773001001"/>
    <s v="CN"/>
    <s v="КИТАЙ"/>
    <x v="1"/>
    <s v="RU"/>
    <s v="РОССИЯ"/>
    <n v="0"/>
    <s v="0"/>
    <s v="FOB"/>
    <s v="HANGZHOU"/>
    <n v="1"/>
    <s v="USD"/>
    <n v="1642"/>
    <n v="108942"/>
    <n v="2401.64"/>
    <n v="66.347399999999894"/>
    <s v="010"/>
    <s v="40"/>
    <s v=""/>
    <s v="-"/>
    <s v="11"/>
    <s v="10005/230712/10031/5"/>
    <s v=""/>
    <s v=""/>
    <s v="МОСКОВСКАЯ ОБЛ."/>
    <s v="Г. ХИМКИ"/>
    <s v="АЭРОПОРТ ШЕРЕМЕТЬЕВО, ШЕРЕМЕТЬЕВСКОЕ Ш., Д. 9"/>
    <s v="10005020 т/п Аэропорт Шереметьево (грузовой)"/>
    <n v="1"/>
    <s v="КОТЕЛ НАСТЕННЫЙ ОТОПИТЕЛЬНЫЙ ГАЗОВЫЙ ПРЕДНАЗНАЧЕН ДЛЯ РАБОТЫ В КАЧЕСТВЕ ТЕПЛОГЕНЕРИРУЮЩЕГО АГРЕГАТА В СОСТАВЕ СИСТЕМЫ ОТОПЛЕНИЯ. БЫТОВОЙ.НЕ ВОЕННОГО НАЗНАЧЕНИЯ ,ЗАВОЗИТСЯ В КАЧЕСТВЕ ОБРАЗЦА ДЛЯ ТЕСТИРОВАНИЯ ДЛЯ УДОБСТВА ТРАНСПОРТИРОВКИ ПОСТАВЛЯЕТСЯ"/>
    <x v="0"/>
    <m/>
    <s v="GUANGDONG HAOSENRE EQUIPMENT CO.,LTD."/>
    <n v="2"/>
    <n v="0"/>
    <n v="1"/>
    <s v="ШТ"/>
    <n v="0"/>
    <m/>
    <s v="1"/>
    <s v="8403109000"/>
    <s v="С"/>
    <s v=""/>
    <s v="CN"/>
    <n v="50"/>
    <s v="ОООО-ОО"/>
    <n v="4000066"/>
    <n v="35"/>
    <n v="0"/>
    <s v=""/>
    <s v=""/>
    <n v="402"/>
    <n v="26672"/>
    <n v="0"/>
    <n v="1"/>
    <n v="68671.649999999907"/>
    <n v="1035.03"/>
    <s v="10"/>
    <n v="29.572299999999998"/>
    <n v="1372"/>
    <s v="TATL/GOLDEN TIGER-2021/11-1-BR"/>
    <m/>
    <s v="КОГАН ТАТЬЯНА ЛЕОНИДОВНА"/>
    <n v="0"/>
    <m/>
  </r>
  <r>
    <s v="0"/>
    <d v="2023-07-20T00:00:00"/>
    <x v="0"/>
    <s v="10005030/171222/3346812"/>
    <s v="10005030"/>
    <s v="3346812"/>
    <x v="0"/>
    <s v="40"/>
    <s v=""/>
    <s v=""/>
    <s v=""/>
    <s v="TRANS HOPE INTERNATIONAL CO.,LTD"/>
    <s v=", NANSHAN DISTRICT, SHENZHEN CITY, EAST TOWER,COASTAL BUILDING,3RD HAIDE AVENUE,"/>
    <s v=""/>
    <s v=""/>
    <n v="1"/>
    <n v="0"/>
    <n v="1"/>
    <n v="3"/>
    <s v="1046206007220"/>
    <s v="6229047095"/>
    <s v="ООО ТРАНСТЕХСЕРВИС"/>
    <s v="391121, РЯЗАНСКАЯ ОБЛ., РЫБНОВСКИЙ Р-Н, Д.ЗЕЛЕНИНСКИЕ ДВОРИКИ, , ЗДАНИЕ 55М"/>
    <s v="61000"/>
    <s v="621301001"/>
    <s v="1226200004359"/>
    <s v="6234200006"/>
    <s v="ООО МАРТЛАЙН"/>
    <s v="390035, РЯЗАНСКАЯ ОБЛ., Г.РЯЗАНЬ, УЛ.ОСТРОВСКОГО, Д.23/2, КВ.96"/>
    <s v="61000"/>
    <s v="623401001"/>
    <s v="CN"/>
    <s v="КИТАЙ"/>
    <n v="190197.54"/>
    <s v="1226200004359"/>
    <s v="6234200006"/>
    <s v="ООО МАРТЛАЙН"/>
    <s v="390035, РЯЗАНСКАЯ ОБЛ., Г.РЯЗАНЬ, УЛ.ОСТРОВСКОГО, Д.23/2, КВ.96"/>
    <s v="61000"/>
    <s v="623401001"/>
    <s v="CN"/>
    <s v="КИТАЙ"/>
    <x v="1"/>
    <s v="RU"/>
    <s v="РОССИЯ"/>
    <n v="0"/>
    <s v="0"/>
    <s v="FCA"/>
    <s v="SHENZHEN"/>
    <n v="1"/>
    <s v="CNY"/>
    <n v="0"/>
    <n v="0"/>
    <n v="2943.88"/>
    <n v="92.438199999999895"/>
    <s v="018"/>
    <s v="40"/>
    <s v=""/>
    <s v="-"/>
    <s v="11"/>
    <s v="10005/060917/10048/2"/>
    <s v=""/>
    <s v=""/>
    <s v="МОСКОВСКАЯ ОБЛ."/>
    <s v="Г.ХИМКИ"/>
    <s v="ШЕРЕМЕТЬЕВСКОЕ ШОССЕ"/>
    <s v="10005020 т/п Аэропорт Шереметьево (грузовой)"/>
    <n v="1"/>
    <s v="КОТЛЫ ЭЛЕКТРИЧЕСКИЕ ЦЕНТРАЛЬНОГО ОТОПЛЕНИЯ МАРКИ OSMAX, БЫТОВЫЕ, СТАЛЬНЫЕ, НАПРЯЖЕНИЕ ПИТАНИЯ 220-380 В, МОЩНОСТЬЮ ОТ 10 ДО 16 КВАТТ, ТЕМПЕРАТУРА ВОДЫ 25-75 ГРАД.ЦЕЛЬСИЯ. ИСПОЛЬЗУЮТСЯ В БЫТУ ДЛЯ ПОДКЛЮЧЕНИЯ К СИСТЕМЕ ЦЕНТРАЛЬНОГО ОТОПЛЕНИЯ ДЛЯ ОБОГ"/>
    <x v="0"/>
    <m/>
    <s v="ZHONGSHAN CHONGDE ELECTRIC CO., LTD"/>
    <n v="3"/>
    <n v="0"/>
    <n v="3"/>
    <s v="ШТ"/>
    <n v="0"/>
    <m/>
    <s v="1"/>
    <s v="8403109000"/>
    <s v=""/>
    <s v=""/>
    <s v="CN"/>
    <n v="92"/>
    <s v="ОООО-ОО"/>
    <n v="4000061"/>
    <n v="87"/>
    <n v="0"/>
    <s v=""/>
    <s v=""/>
    <n v="0"/>
    <n v="0"/>
    <n v="0"/>
    <n v="6"/>
    <n v="190197.54"/>
    <n v="2943.88"/>
    <s v="10"/>
    <n v="33.837699999999998"/>
    <m/>
    <m/>
    <m/>
    <s v="МАРТЫНОВ АЛЕКСАНДР ЕВГЕНЬЕВИЧ"/>
    <n v="107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D6591-2C63-4CC7-9401-84F3722CB91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9" firstHeaderRow="0" firstDataRow="1" firstDataCol="1" rowPageCount="3" colPageCount="1"/>
  <pivotFields count="104">
    <pivotField showAll="0"/>
    <pivotField numFmtId="14" showAll="0"/>
    <pivotField axis="axisPage" numFmtId="43" multipleItemSelectionAllowed="1" showAll="0">
      <items count="14">
        <item h="1" x="6"/>
        <item x="5"/>
        <item x="12"/>
        <item x="2"/>
        <item x="3"/>
        <item x="9"/>
        <item x="11"/>
        <item x="0"/>
        <item x="8"/>
        <item x="4"/>
        <item x="1"/>
        <item x="7"/>
        <item x="10"/>
        <item t="default"/>
      </items>
    </pivotField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10"/>
        <item x="7"/>
        <item x="4"/>
        <item x="8"/>
        <item x="0"/>
        <item x="1"/>
        <item x="2"/>
        <item x="5"/>
        <item x="11"/>
        <item x="9"/>
        <item x="12"/>
        <item x="3"/>
        <item x="14"/>
        <item x="6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numFmtId="167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2"/>
  </rowFields>
  <rowItems count="4">
    <i>
      <x v="1"/>
    </i>
    <i>
      <x v="13"/>
    </i>
    <i>
      <x/>
    </i>
    <i t="grand">
      <x/>
    </i>
  </rowItems>
  <colFields count="1">
    <field x="-2"/>
  </colFields>
  <colItems count="2">
    <i>
      <x/>
    </i>
    <i i="1">
      <x v="1"/>
    </i>
  </colItems>
  <pageFields count="3">
    <pageField fld="6" item="0" hier="-1"/>
    <pageField fld="2" hier="-1"/>
    <pageField fld="69" item="1" hier="-1"/>
  </pageFields>
  <dataFields count="2">
    <dataField name="Sum of 46 Статистическая стоимость" fld="95" baseField="0" baseItem="0"/>
    <dataField name="Sum of 38 Вес нетто, кг" fld="8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2:CZ1033" totalsRowShown="0">
  <sortState xmlns:xlrd2="http://schemas.microsoft.com/office/spreadsheetml/2017/richdata2" ref="A3:DA1033">
    <sortCondition descending="1" ref="D2:D1033"/>
  </sortState>
  <tableColumns count="104">
    <tableColumn id="1" xr3:uid="{00000000-0010-0000-0000-000001000000}" name="STAT Учет в статистике 0/1"/>
    <tableColumn id="105" xr3:uid="{00000000-0010-0000-0000-000069000000}" name="Дата" dataDxfId="2"/>
    <tableColumn id="2" xr3:uid="{1ED8D78C-5673-460F-81DE-442947D82E0C}" name="ДАТА2" dataDxfId="0" dataCellStyle="Comma">
      <calculatedColumnFormula>IF(YEAR(Таблица1[[#This Row],[Дата]])=2023,MONTH(Таблица1[[#This Row],[Дата]]),0)</calculatedColumnFormula>
    </tableColumn>
    <tableColumn id="3" xr3:uid="{00000000-0010-0000-0000-000003000000}" name="ND  Номер  декларации на товары"/>
    <tableColumn id="4" xr3:uid="{00000000-0010-0000-0000-000004000000}" name="071 Таможня оформления ДТ"/>
    <tableColumn id="6" xr3:uid="{00000000-0010-0000-0000-000006000000}" name="073 Порядковый № ДТ"/>
    <tableColumn id="7" xr3:uid="{00000000-0010-0000-0000-000007000000}" name="011 ИМ.ЭК - направление перемещения"/>
    <tableColumn id="8" xr3:uid="{00000000-0010-0000-0000-000008000000}" name="012 Основной таможенный режим"/>
    <tableColumn id="9" xr3:uid="{00000000-0010-0000-0000-000009000000}" name="013 Дополнительный признак"/>
    <tableColumn id="10" xr3:uid="{00000000-0010-0000-0000-00000A000000}" name="020 ОГРН.ОГРНИП отправителя"/>
    <tableColumn id="11" xr3:uid="{00000000-0010-0000-0000-00000B000000}" name="021 ИНН отправителя"/>
    <tableColumn id="12" xr3:uid="{00000000-0010-0000-0000-00000C000000}" name="022 Наименование.ФИО отправителя"/>
    <tableColumn id="13" xr3:uid="{00000000-0010-0000-0000-00000D000000}" name="023 Адрес отправителя"/>
    <tableColumn id="14" xr3:uid="{00000000-0010-0000-0000-00000E000000}" name="024 ОКАТО отправителя"/>
    <tableColumn id="15" xr3:uid="{00000000-0010-0000-0000-00000F000000}" name="027 КПП отправителя"/>
    <tableColumn id="16" xr3:uid="{00000000-0010-0000-0000-000010000000}" name="03 Листов ДТ"/>
    <tableColumn id="17" xr3:uid="{00000000-0010-0000-0000-000011000000}" name="04 Спецификаций ДТ"/>
    <tableColumn id="18" xr3:uid="{00000000-0010-0000-0000-000012000000}" name="05 Товаров всего"/>
    <tableColumn id="19" xr3:uid="{00000000-0010-0000-0000-000013000000}" name="06 Мест товара всего"/>
    <tableColumn id="20" xr3:uid="{00000000-0010-0000-0000-000014000000}" name="080 ОГРН.ОГРНИП получателя"/>
    <tableColumn id="21" xr3:uid="{00000000-0010-0000-0000-000015000000}" name="081 ИНН получателя"/>
    <tableColumn id="22" xr3:uid="{00000000-0010-0000-0000-000016000000}" name="082 Наименование.ФИО получателя"/>
    <tableColumn id="23" xr3:uid="{00000000-0010-0000-0000-000017000000}" name="083 Адрес получателя"/>
    <tableColumn id="24" xr3:uid="{00000000-0010-0000-0000-000018000000}" name="084 ОКАТО получателя"/>
    <tableColumn id="25" xr3:uid="{00000000-0010-0000-0000-000019000000}" name="087 КПП получателя"/>
    <tableColumn id="26" xr3:uid="{00000000-0010-0000-0000-00001A000000}" name="090 ОГРН.ОГРНИП контрактодержателя"/>
    <tableColumn id="27" xr3:uid="{00000000-0010-0000-0000-00001B000000}" name="091 ИНН контрактодержателя"/>
    <tableColumn id="28" xr3:uid="{00000000-0010-0000-0000-00001C000000}" name="092 Наименование.ФИО контрактодержателя"/>
    <tableColumn id="29" xr3:uid="{00000000-0010-0000-0000-00001D000000}" name="093 Адрес контрактодержателя"/>
    <tableColumn id="30" xr3:uid="{00000000-0010-0000-0000-00001E000000}" name="094 ОКАТО контрактодержателя"/>
    <tableColumn id="31" xr3:uid="{00000000-0010-0000-0000-00001F000000}" name="097 КПП контрактодержателя"/>
    <tableColumn id="32" xr3:uid="{00000000-0010-0000-0000-000020000000}" name="11 Код торгующей страны"/>
    <tableColumn id="33" xr3:uid="{00000000-0010-0000-0000-000021000000}" name="11 Торгующая страна"/>
    <tableColumn id="34" xr3:uid="{00000000-0010-0000-0000-000022000000}" name="12 Общая таможенная стоимость"/>
    <tableColumn id="35" xr3:uid="{00000000-0010-0000-0000-000023000000}" name="140 ОГРН.ОГРНИП декларанта"/>
    <tableColumn id="36" xr3:uid="{00000000-0010-0000-0000-000024000000}" name="141 ИНН контрактодержателя"/>
    <tableColumn id="37" xr3:uid="{00000000-0010-0000-0000-000025000000}" name="142 Наименование.ФИО декларанта"/>
    <tableColumn id="38" xr3:uid="{00000000-0010-0000-0000-000026000000}" name="143 Адрес контрактодержателя"/>
    <tableColumn id="39" xr3:uid="{00000000-0010-0000-0000-000027000000}" name="144 ОКАТО контрактодержателя"/>
    <tableColumn id="40" xr3:uid="{00000000-0010-0000-0000-000028000000}" name="147 КПП контрактодержателя"/>
    <tableColumn id="41" xr3:uid="{00000000-0010-0000-0000-000029000000}" name="15А Код страны отправления"/>
    <tableColumn id="42" xr3:uid="{00000000-0010-0000-0000-00002A000000}" name="15 Страна отправления"/>
    <tableColumn id="43" xr3:uid="{00000000-0010-0000-0000-00002B000000}" name="16 Страна происхождения"/>
    <tableColumn id="44" xr3:uid="{00000000-0010-0000-0000-00002C000000}" name="17А Код страны назначения"/>
    <tableColumn id="45" xr3:uid="{00000000-0010-0000-0000-00002D000000}" name="17 Страна назначения"/>
    <tableColumn id="46" xr3:uid="{00000000-0010-0000-0000-00002E000000}" name="18 Кол-во транспорта при отправлении"/>
    <tableColumn id="47" xr3:uid="{00000000-0010-0000-0000-00002F000000}" name="19 Признак контейнерных перевозок 0ю1"/>
    <tableColumn id="48" xr3:uid="{00000000-0010-0000-0000-000030000000}" name="202 Условие поставки"/>
    <tableColumn id="49" xr3:uid="{00000000-0010-0000-0000-000031000000}" name="2021 Пункт поставки товара"/>
    <tableColumn id="50" xr3:uid="{00000000-0010-0000-0000-000032000000}" name="21 Кол-во трансп на границе"/>
    <tableColumn id="51" xr3:uid="{00000000-0010-0000-0000-000033000000}" name="221 Валюта контракта"/>
    <tableColumn id="52" xr3:uid="{00000000-0010-0000-0000-000034000000}" name="222 Общая фактурная стоимость"/>
    <tableColumn id="53" xr3:uid="{00000000-0010-0000-0000-000035000000}" name="2220 Общая фактурная стоимость, руб"/>
    <tableColumn id="54" xr3:uid="{00000000-0010-0000-0000-000036000000}" name="226 Статистическая стоимость суммарная"/>
    <tableColumn id="55" xr3:uid="{00000000-0010-0000-0000-000037000000}" name="23 Курс валюты"/>
    <tableColumn id="56" xr3:uid="{00000000-0010-0000-0000-000038000000}" name="24 Характер сделки"/>
    <tableColumn id="57" xr3:uid="{00000000-0010-0000-0000-000039000000}" name="25 Вид транспортного средства"/>
    <tableColumn id="58" xr3:uid="{00000000-0010-0000-0000-00003A000000}" name="28 ОКПО банка.паспорт сделки"/>
    <tableColumn id="59" xr3:uid="{00000000-0010-0000-0000-00003B000000}" name="29 Таможня на границе"/>
    <tableColumn id="60" xr3:uid="{00000000-0010-0000-0000-00003C000000}" name="300 Тип информации"/>
    <tableColumn id="61" xr3:uid="{00000000-0010-0000-0000-00003D000000}" name="301 № свидетельства СВХ.ТС"/>
    <tableColumn id="62" xr3:uid="{00000000-0010-0000-0000-00003E000000}" name="302 Вид документа.Вид ТС"/>
    <tableColumn id="63" xr3:uid="{00000000-0010-0000-0000-00003F000000}" name="30POST Индекс места нахождения товара"/>
    <tableColumn id="64" xr3:uid="{00000000-0010-0000-0000-000040000000}" name="30SUBD Регион"/>
    <tableColumn id="65" xr3:uid="{00000000-0010-0000-0000-000041000000}" name="30CITY Населенный пункт"/>
    <tableColumn id="66" xr3:uid="{00000000-0010-0000-0000-000042000000}" name="30STREET Адрес местонахождения товара"/>
    <tableColumn id="67" xr3:uid="{00000000-0010-0000-0000-000043000000}" name="3012 Таможня в зоне которой склад"/>
    <tableColumn id="68" xr3:uid="{00000000-0010-0000-0000-000044000000}" name="3 Порядковый № листа ДТ"/>
    <tableColumn id="69" xr3:uid="{00000000-0010-0000-0000-000045000000}" name="31_1 Описание и характеристика товара"/>
    <tableColumn id="5" xr3:uid="{2B0DF72F-E18F-4512-9B44-CC1BBCB844EB}" name="Column1" dataDxfId="1" dataCellStyle="Comma">
      <calculatedColumnFormula>ISNUMBER(SEARCH($BR$1,Таблица1[[#This Row],[31_1 Описание и характеристика товара]]))*1</calculatedColumnFormula>
    </tableColumn>
    <tableColumn id="70" xr3:uid="{00000000-0010-0000-0000-000046000000}" name="31_11 Товарный знак"/>
    <tableColumn id="71" xr3:uid="{00000000-0010-0000-0000-000047000000}" name="31_12 Наименование фирмы изготовителя"/>
    <tableColumn id="72" xr3:uid="{00000000-0010-0000-0000-000048000000}" name="31_2 Кол-во мест товара"/>
    <tableColumn id="73" xr3:uid="{00000000-0010-0000-0000-000049000000}" name="31_3 Кол-во контейнеров"/>
    <tableColumn id="74" xr3:uid="{00000000-0010-0000-0000-00004A000000}" name="31_7 Кол-во товара в доп ед. измерения"/>
    <tableColumn id="75" xr3:uid="{00000000-0010-0000-0000-00004B000000}" name="31_71 Дополнительная единица"/>
    <tableColumn id="76" xr3:uid="{00000000-0010-0000-0000-00004C000000}" name="31_8 Кол-во товара в доп единице"/>
    <tableColumn id="77" xr3:uid="{00000000-0010-0000-0000-00004D000000}" name="31_81 Дополнительная единица"/>
    <tableColumn id="78" xr3:uid="{00000000-0010-0000-0000-00004E000000}" name="32 Номер товара по ДТ"/>
    <tableColumn id="79" xr3:uid="{00000000-0010-0000-0000-00004F000000}" name="33 Код товара по ТН ВЭД РФ"/>
    <tableColumn id="80" xr3:uid="{00000000-0010-0000-0000-000050000000}" name="331 Признак нетарифного регулирования"/>
    <tableColumn id="81" xr3:uid="{00000000-0010-0000-0000-000051000000}" name="332 Признак объекта интеллект собственности"/>
    <tableColumn id="82" xr3:uid="{00000000-0010-0000-0000-000052000000}" name="34 Код страны происхождения"/>
    <tableColumn id="83" xr3:uid="{00000000-0010-0000-0000-000053000000}" name="35 Вес брутто, кг"/>
    <tableColumn id="84" xr3:uid="{00000000-0010-0000-0000-000054000000}" name="36 Преференции"/>
    <tableColumn id="85" xr3:uid="{00000000-0010-0000-0000-000055000000}" name="37 Процедура"/>
    <tableColumn id="86" xr3:uid="{00000000-0010-0000-0000-000056000000}" name="38 Вес нетто, кг"/>
    <tableColumn id="87" xr3:uid="{00000000-0010-0000-0000-000057000000}" name="39 Квота"/>
    <tableColumn id="88" xr3:uid="{00000000-0010-0000-0000-000058000000}" name="391 Код валюты квоты"/>
    <tableColumn id="89" xr3:uid="{00000000-0010-0000-0000-000059000000}" name="392 Единица измерения квоты"/>
    <tableColumn id="90" xr3:uid="{00000000-0010-0000-0000-00005A000000}" name="42 Фактурная стоимость"/>
    <tableColumn id="91" xr3:uid="{00000000-0010-0000-0000-00005B000000}" name="420 Фактурная стоимость, руб"/>
    <tableColumn id="92" xr3:uid="{00000000-0010-0000-0000-00005C000000}" name="43 Признак корректировки таможенной стоимости (КТС)"/>
    <tableColumn id="93" xr3:uid="{00000000-0010-0000-0000-00005D000000}" name="431 Метод определения таможенной стоимости"/>
    <tableColumn id="94" xr3:uid="{00000000-0010-0000-0000-00005E000000}" name="45 Таможенная стоимость"/>
    <tableColumn id="95" xr3:uid="{00000000-0010-0000-0000-00005F000000}" name="46 Статистическая стоимость"/>
    <tableColumn id="96" xr3:uid="{00000000-0010-0000-0000-000060000000}" name="D0 Код завршения таможенного оформления"/>
    <tableColumn id="97" xr3:uid="{00000000-0010-0000-0000-000061000000}" name="Стат сумма, долл"/>
    <tableColumn id="98" xr3:uid="{00000000-0010-0000-0000-000062000000}" name="USD/KG Статистическая стоимость, USD/Dtc НЕТТО, кг"/>
    <tableColumn id="99" xr3:uid="{00000000-0010-0000-0000-000063000000}" name="541 Свидетельство таможенного брокера"/>
    <tableColumn id="100" xr3:uid="{00000000-0010-0000-0000-000064000000}" name="5411 Договор брокера с декларантом"/>
    <tableColumn id="101" xr3:uid="{00000000-0010-0000-0000-000065000000}" name="5441 ФИО заполнившего ДТ"/>
    <tableColumn id="102" xr3:uid="{00000000-0010-0000-0000-000066000000}" name="ЛНП выпускающего инспектора"/>
    <tableColumn id="103" xr3:uid="{00000000-0010-0000-0000-000067000000}" name="ND_DEL Признак удаления деклараци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P_NEW_2022">
  <a:themeElements>
    <a:clrScheme name="SP_Color">
      <a:dk1>
        <a:srgbClr val="000000"/>
      </a:dk1>
      <a:lt1>
        <a:sysClr val="window" lastClr="FFFFFF"/>
      </a:lt1>
      <a:dk2>
        <a:srgbClr val="CED5E1"/>
      </a:dk2>
      <a:lt2>
        <a:srgbClr val="76378D"/>
      </a:lt2>
      <a:accent1>
        <a:srgbClr val="19A0FA"/>
      </a:accent1>
      <a:accent2>
        <a:srgbClr val="0EBEAD"/>
      </a:accent2>
      <a:accent3>
        <a:srgbClr val="15B0E2"/>
      </a:accent3>
      <a:accent4>
        <a:srgbClr val="59D4D5"/>
      </a:accent4>
      <a:accent5>
        <a:srgbClr val="85C1FC"/>
      </a:accent5>
      <a:accent6>
        <a:srgbClr val="5ED9A8"/>
      </a:accent6>
      <a:hlink>
        <a:srgbClr val="6ADBFA"/>
      </a:hlink>
      <a:folHlink>
        <a:srgbClr val="CDCDCD"/>
      </a:folHlink>
    </a:clrScheme>
    <a:fontScheme name="SPG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P_NEW_2022" id="{8C8C5FAD-9B1A-447C-9440-AEA693283D9F}" vid="{D6ADA74F-404A-4FF3-BF44-7D84F70A833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0.79998168889431442"/>
  </sheetPr>
  <dimension ref="A2:H40"/>
  <sheetViews>
    <sheetView topLeftCell="A7" zoomScale="115" zoomScaleNormal="115" workbookViewId="0">
      <selection activeCell="C27" sqref="C27"/>
    </sheetView>
  </sheetViews>
  <sheetFormatPr defaultColWidth="0" defaultRowHeight="11.4" x14ac:dyDescent="0.2"/>
  <cols>
    <col min="1" max="1" width="4.453125" style="1" customWidth="1"/>
    <col min="2" max="2" width="8.453125" style="1" customWidth="1"/>
    <col min="3" max="3" width="58" style="1" customWidth="1"/>
    <col min="4" max="4" width="4.453125" style="1" customWidth="1"/>
    <col min="5" max="8" width="0" style="1" hidden="1" customWidth="1"/>
    <col min="9" max="16384" width="8.81640625" style="1" hidden="1"/>
  </cols>
  <sheetData>
    <row r="2" spans="2:3" x14ac:dyDescent="0.2">
      <c r="B2" s="3" t="s">
        <v>3</v>
      </c>
      <c r="C2" s="4"/>
    </row>
    <row r="4" spans="2:3" x14ac:dyDescent="0.2">
      <c r="B4" s="5" t="s">
        <v>0</v>
      </c>
      <c r="C4" s="6"/>
    </row>
    <row r="5" spans="2:3" x14ac:dyDescent="0.2">
      <c r="C5" s="1" t="s">
        <v>3278</v>
      </c>
    </row>
    <row r="6" spans="2:3" x14ac:dyDescent="0.2">
      <c r="C6" s="2" t="s">
        <v>3279</v>
      </c>
    </row>
    <row r="7" spans="2:3" x14ac:dyDescent="0.2">
      <c r="C7" s="2" t="s">
        <v>3317</v>
      </c>
    </row>
    <row r="8" spans="2:3" x14ac:dyDescent="0.2">
      <c r="C8" s="2" t="s">
        <v>3280</v>
      </c>
    </row>
    <row r="9" spans="2:3" x14ac:dyDescent="0.2">
      <c r="C9" s="2" t="s">
        <v>3301</v>
      </c>
    </row>
    <row r="11" spans="2:3" x14ac:dyDescent="0.2">
      <c r="B11" s="5" t="s">
        <v>1</v>
      </c>
      <c r="C11" s="6"/>
    </row>
    <row r="12" spans="2:3" x14ac:dyDescent="0.2">
      <c r="B12" s="13">
        <v>1</v>
      </c>
      <c r="C12" s="14" t="s">
        <v>3281</v>
      </c>
    </row>
    <row r="13" spans="2:3" ht="22.8" x14ac:dyDescent="0.2">
      <c r="B13" s="15" t="s">
        <v>3282</v>
      </c>
      <c r="C13" s="18" t="s">
        <v>3294</v>
      </c>
    </row>
    <row r="14" spans="2:3" ht="22.8" x14ac:dyDescent="0.2">
      <c r="B14" s="13"/>
      <c r="C14" s="18" t="s">
        <v>3283</v>
      </c>
    </row>
    <row r="15" spans="2:3" ht="22.8" x14ac:dyDescent="0.2">
      <c r="B15" s="15" t="s">
        <v>3284</v>
      </c>
      <c r="C15" s="16" t="s">
        <v>3319</v>
      </c>
    </row>
    <row r="16" spans="2:3" x14ac:dyDescent="0.2">
      <c r="B16" s="13"/>
      <c r="C16" s="7"/>
    </row>
    <row r="17" spans="2:3" ht="22.8" x14ac:dyDescent="0.2">
      <c r="B17" s="13">
        <v>2</v>
      </c>
      <c r="C17" s="17" t="s">
        <v>3295</v>
      </c>
    </row>
    <row r="18" spans="2:3" x14ac:dyDescent="0.2">
      <c r="B18" s="13"/>
      <c r="C18" s="17" t="s">
        <v>3285</v>
      </c>
    </row>
    <row r="19" spans="2:3" ht="22.8" x14ac:dyDescent="0.2">
      <c r="B19" s="13"/>
      <c r="C19" s="17" t="s">
        <v>3314</v>
      </c>
    </row>
    <row r="20" spans="2:3" x14ac:dyDescent="0.2">
      <c r="B20" s="13"/>
      <c r="C20" s="7"/>
    </row>
    <row r="21" spans="2:3" ht="22.8" x14ac:dyDescent="0.2">
      <c r="B21" s="13">
        <v>3</v>
      </c>
      <c r="C21" s="7" t="s">
        <v>3296</v>
      </c>
    </row>
    <row r="22" spans="2:3" x14ac:dyDescent="0.2">
      <c r="B22" s="13"/>
      <c r="C22" s="13"/>
    </row>
    <row r="23" spans="2:3" x14ac:dyDescent="0.2">
      <c r="B23" s="13"/>
      <c r="C23" s="19" t="s">
        <v>3289</v>
      </c>
    </row>
    <row r="24" spans="2:3" x14ac:dyDescent="0.2">
      <c r="B24" s="13"/>
      <c r="C24" s="13" t="s">
        <v>3286</v>
      </c>
    </row>
    <row r="25" spans="2:3" x14ac:dyDescent="0.2">
      <c r="B25" s="13"/>
      <c r="C25" s="13" t="s">
        <v>3287</v>
      </c>
    </row>
    <row r="26" spans="2:3" x14ac:dyDescent="0.2">
      <c r="B26" s="13"/>
      <c r="C26" s="13" t="s">
        <v>3288</v>
      </c>
    </row>
    <row r="28" spans="2:3" x14ac:dyDescent="0.2">
      <c r="B28" s="5" t="s">
        <v>2</v>
      </c>
      <c r="C28" s="6"/>
    </row>
    <row r="30" spans="2:3" x14ac:dyDescent="0.2">
      <c r="C30" s="1" t="s">
        <v>3290</v>
      </c>
    </row>
    <row r="31" spans="2:3" ht="22.8" x14ac:dyDescent="0.2">
      <c r="C31" s="20" t="s">
        <v>3315</v>
      </c>
    </row>
    <row r="32" spans="2:3" ht="22.8" x14ac:dyDescent="0.2">
      <c r="C32" s="20" t="s">
        <v>3293</v>
      </c>
    </row>
    <row r="34" spans="3:3" x14ac:dyDescent="0.2">
      <c r="C34" s="1" t="s">
        <v>3292</v>
      </c>
    </row>
    <row r="35" spans="3:3" x14ac:dyDescent="0.2">
      <c r="C35" s="2" t="s">
        <v>5</v>
      </c>
    </row>
    <row r="36" spans="3:3" x14ac:dyDescent="0.2">
      <c r="C36" s="2" t="s">
        <v>9</v>
      </c>
    </row>
    <row r="37" spans="3:3" x14ac:dyDescent="0.2">
      <c r="C37" s="2" t="s">
        <v>45</v>
      </c>
    </row>
    <row r="38" spans="3:3" x14ac:dyDescent="0.2">
      <c r="C38" s="2" t="s">
        <v>71</v>
      </c>
    </row>
    <row r="39" spans="3:3" x14ac:dyDescent="0.2">
      <c r="C39" s="2" t="s">
        <v>88</v>
      </c>
    </row>
    <row r="40" spans="3:3" x14ac:dyDescent="0.2">
      <c r="C40" s="2" t="s">
        <v>97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BD09-1CF9-48BD-A49A-040215EEFDBD}">
  <dimension ref="A1:S21"/>
  <sheetViews>
    <sheetView showGridLines="0" tabSelected="1" zoomScale="8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1" sqref="A21"/>
    </sheetView>
  </sheetViews>
  <sheetFormatPr defaultRowHeight="11.4" x14ac:dyDescent="0.2"/>
  <cols>
    <col min="1" max="1" width="28.1796875" style="41" bestFit="1" customWidth="1"/>
    <col min="2" max="3" width="8.7265625" style="41"/>
    <col min="4" max="15" width="9.36328125" style="41" bestFit="1" customWidth="1"/>
    <col min="16" max="16" width="8.7265625" style="41"/>
    <col min="17" max="17" width="10.26953125" style="41" bestFit="1" customWidth="1"/>
    <col min="18" max="18" width="8.7265625" style="41"/>
    <col min="19" max="19" width="11.453125" style="41" bestFit="1" customWidth="1"/>
    <col min="20" max="16384" width="8.7265625" style="41"/>
  </cols>
  <sheetData>
    <row r="1" spans="1:19" x14ac:dyDescent="0.2">
      <c r="A1" s="40"/>
      <c r="B1" s="40"/>
      <c r="D1" s="40" t="s">
        <v>3325</v>
      </c>
      <c r="E1" s="40" t="s">
        <v>3326</v>
      </c>
      <c r="F1" s="40" t="s">
        <v>3327</v>
      </c>
      <c r="G1" s="40" t="s">
        <v>3328</v>
      </c>
      <c r="H1" s="40" t="s">
        <v>3262</v>
      </c>
      <c r="I1" s="40" t="s">
        <v>3329</v>
      </c>
      <c r="J1" s="40" t="s">
        <v>3330</v>
      </c>
      <c r="K1" s="40" t="s">
        <v>3331</v>
      </c>
      <c r="L1" s="40" t="s">
        <v>3332</v>
      </c>
      <c r="M1" s="40" t="s">
        <v>3333</v>
      </c>
      <c r="N1" s="40" t="s">
        <v>3334</v>
      </c>
      <c r="O1" s="40" t="s">
        <v>3335</v>
      </c>
      <c r="Q1" s="47">
        <v>2023</v>
      </c>
      <c r="S1" s="47" t="s">
        <v>3342</v>
      </c>
    </row>
    <row r="2" spans="1:19" x14ac:dyDescent="0.2">
      <c r="A2" s="41" t="s">
        <v>3343</v>
      </c>
      <c r="D2" s="46">
        <v>1</v>
      </c>
      <c r="E2" s="46">
        <v>2</v>
      </c>
      <c r="F2" s="46">
        <v>3</v>
      </c>
      <c r="G2" s="46">
        <v>4</v>
      </c>
      <c r="H2" s="46">
        <v>5</v>
      </c>
      <c r="I2" s="46">
        <v>6</v>
      </c>
      <c r="J2" s="46">
        <v>7</v>
      </c>
      <c r="K2" s="46">
        <v>8</v>
      </c>
      <c r="L2" s="46">
        <v>9</v>
      </c>
      <c r="M2" s="46">
        <v>10</v>
      </c>
      <c r="N2" s="46">
        <v>11</v>
      </c>
      <c r="O2" s="46">
        <v>12</v>
      </c>
    </row>
    <row r="3" spans="1:19" x14ac:dyDescent="0.2"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19" x14ac:dyDescent="0.2">
      <c r="A4" s="41" t="s">
        <v>3320</v>
      </c>
      <c r="B4" s="41" t="s">
        <v>3303</v>
      </c>
      <c r="D4" s="49">
        <f>SUMIFS(Декларации!$CI:$CI,Декларации!$C:$C,D$2,Декларации!$G:$G,$S4,Декларации!$BR:$BR,1)/1000</f>
        <v>939.79080999999996</v>
      </c>
      <c r="E4" s="49">
        <f>SUMIFS(Декларации!$CI:$CI,Декларации!$C:$C,E$2,Декларации!$G:$G,$S4,Декларации!$BR:$BR,1)/1000</f>
        <v>665.9853260000001</v>
      </c>
      <c r="F4" s="49">
        <f>SUMIFS(Декларации!$CI:$CI,Декларации!$C:$C,F$2,Декларации!$G:$G,$S4,Декларации!$BR:$BR,1)/1000</f>
        <v>1049.6604299999999</v>
      </c>
      <c r="G4" s="49">
        <f>SUMIFS(Декларации!$CI:$CI,Декларации!$C:$C,G$2,Декларации!$G:$G,$S4,Декларации!$BR:$BR,1)/1000</f>
        <v>760.35202200000015</v>
      </c>
      <c r="H4" s="49">
        <f>SUMIFS(Декларации!$CI:$CI,Декларации!$C:$C,H$2,Декларации!$G:$G,$S4,Декларации!$BR:$BR,1)/1000</f>
        <v>657.94899799999996</v>
      </c>
      <c r="I4" s="49">
        <f>SUMIFS(Декларации!$CI:$CI,Декларации!$C:$C,I$2,Декларации!$G:$G,$S4,Декларации!$BR:$BR,1)/1000</f>
        <v>853.88824000000011</v>
      </c>
      <c r="J4" s="49">
        <f>SUMIFS(Декларации!$CI:$CI,Декларации!$C:$C,J$2,Декларации!$G:$G,$S4,Декларации!$BR:$BR,1)/1000</f>
        <v>1110.92885</v>
      </c>
      <c r="K4" s="49">
        <f>SUMIFS(Декларации!$CI:$CI,Декларации!$C:$C,K$2,Декларации!$G:$G,$S4,Декларации!$BR:$BR,1)/1000</f>
        <v>869.02450199999987</v>
      </c>
      <c r="L4" s="49">
        <f>SUMIFS(Декларации!$CI:$CI,Декларации!$C:$C,L$2,Декларации!$G:$G,$S4,Декларации!$BR:$BR,1)/1000</f>
        <v>896.98613999999941</v>
      </c>
      <c r="M4" s="49">
        <f>SUMIFS(Декларации!$CI:$CI,Декларации!$C:$C,M$2,Декларации!$G:$G,$S4,Декларации!$BR:$BR,1)/1000</f>
        <v>1174.5948700000001</v>
      </c>
      <c r="N4" s="49">
        <f>SUMIFS(Декларации!$CI:$CI,Декларации!$C:$C,N$2,Декларации!$G:$G,$S4,Декларации!$BR:$BR,1)/1000</f>
        <v>861.32750799999997</v>
      </c>
      <c r="O4" s="49">
        <f>SUMIFS(Декларации!$CI:$CI,Декларации!$C:$C,O$2,Декларации!$G:$G,$S4,Декларации!$BR:$BR,1)/1000</f>
        <v>992.18989999999974</v>
      </c>
      <c r="P4" s="49"/>
      <c r="Q4" s="49">
        <f>SUM(D4:O4)</f>
        <v>10832.677596</v>
      </c>
      <c r="S4" s="41" t="s">
        <v>110</v>
      </c>
    </row>
    <row r="5" spans="1:19" x14ac:dyDescent="0.2">
      <c r="A5" s="41" t="s">
        <v>3320</v>
      </c>
      <c r="B5" s="41" t="s">
        <v>3321</v>
      </c>
      <c r="D5" s="49">
        <f>SUMIFS(Декларации!$CR:$CR,Декларации!$C:$C,D$2,Декларации!$G:$G,$S5,Декларации!$BR:$BR,1)/1000*90</f>
        <v>264542.99489999999</v>
      </c>
      <c r="E5" s="49">
        <f>SUMIFS(Декларации!$CR:$CR,Декларации!$C:$C,E$2,Декларации!$G:$G,$S5,Декларации!$BR:$BR,1)/1000*90</f>
        <v>181764.48419999998</v>
      </c>
      <c r="F5" s="49">
        <f>SUMIFS(Декларации!$CR:$CR,Декларации!$C:$C,F$2,Декларации!$G:$G,$S5,Декларации!$BR:$BR,1)/1000*90</f>
        <v>290733.70409999992</v>
      </c>
      <c r="G5" s="49">
        <f>SUMIFS(Декларации!$CR:$CR,Декларации!$C:$C,G$2,Декларации!$G:$G,$S5,Декларации!$BR:$BR,1)/1000*90</f>
        <v>209525.83739999996</v>
      </c>
      <c r="H5" s="49">
        <f>SUMIFS(Декларации!$CR:$CR,Декларации!$C:$C,H$2,Декларации!$G:$G,$S5,Декларации!$BR:$BR,1)/1000*90</f>
        <v>181208.44080000001</v>
      </c>
      <c r="I5" s="49">
        <f>SUMIFS(Декларации!$CR:$CR,Декларации!$C:$C,I$2,Декларации!$G:$G,$S5,Декларации!$BR:$BR,1)/1000*90</f>
        <v>240790.71240000002</v>
      </c>
      <c r="J5" s="49">
        <f>SUMIFS(Декларации!$CR:$CR,Декларации!$C:$C,J$2,Декларации!$G:$G,$S5,Декларации!$BR:$BR,1)/1000*90</f>
        <v>309665.29230000009</v>
      </c>
      <c r="K5" s="49">
        <f>SUMIFS(Декларации!$CR:$CR,Декларации!$C:$C,K$2,Декларации!$G:$G,$S5,Декларации!$BR:$BR,1)/1000*90</f>
        <v>241078.10850000003</v>
      </c>
      <c r="L5" s="49">
        <f>SUMIFS(Декларации!$CR:$CR,Декларации!$C:$C,L$2,Декларации!$G:$G,$S5,Декларации!$BR:$BR,1)/1000*90</f>
        <v>249304.13370000006</v>
      </c>
      <c r="M5" s="49">
        <f>SUMIFS(Декларации!$CR:$CR,Декларации!$C:$C,M$2,Декларации!$G:$G,$S5,Декларации!$BR:$BR,1)/1000*90</f>
        <v>318069.63449999993</v>
      </c>
      <c r="N5" s="49">
        <f>SUMIFS(Декларации!$CR:$CR,Декларации!$C:$C,N$2,Декларации!$G:$G,$S5,Декларации!$BR:$BR,1)/1000*90</f>
        <v>241323.66539999994</v>
      </c>
      <c r="O5" s="49">
        <f>SUMIFS(Декларации!$CR:$CR,Декларации!$C:$C,O$2,Декларации!$G:$G,$S5,Декларации!$BR:$BR,1)/1000*90</f>
        <v>274120.11270000006</v>
      </c>
      <c r="P5" s="49"/>
      <c r="Q5" s="49">
        <f>SUM(D5:O5)</f>
        <v>3002127.1208999995</v>
      </c>
      <c r="S5" s="41" t="s">
        <v>110</v>
      </c>
    </row>
    <row r="6" spans="1:19" x14ac:dyDescent="0.2"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</row>
    <row r="7" spans="1:19" x14ac:dyDescent="0.2">
      <c r="A7" s="41" t="s">
        <v>3322</v>
      </c>
      <c r="B7" s="41" t="s">
        <v>3303</v>
      </c>
      <c r="D7" s="49">
        <f>SUMIFS(Декларации!$CI:$CI,Декларации!$C:$C,D$2,Декларации!$G:$G,$S7,Декларации!$BR:$BR,1)/1000</f>
        <v>148.21436</v>
      </c>
      <c r="E7" s="49">
        <f>SUMIFS(Декларации!$CI:$CI,Декларации!$C:$C,E$2,Декларации!$G:$G,$S7,Декларации!$BR:$BR,1)/1000</f>
        <v>126.01284</v>
      </c>
      <c r="F7" s="49">
        <f>SUMIFS(Декларации!$CI:$CI,Декларации!$C:$C,F$2,Декларации!$G:$G,$S7,Декларации!$BR:$BR,1)/1000</f>
        <v>180.60736999999997</v>
      </c>
      <c r="G7" s="49">
        <f>SUMIFS(Декларации!$CI:$CI,Декларации!$C:$C,G$2,Декларации!$G:$G,$S7,Декларации!$BR:$BR,1)/1000</f>
        <v>81.724270000000004</v>
      </c>
      <c r="H7" s="49">
        <f>SUMIFS(Декларации!$CI:$CI,Декларации!$C:$C,H$2,Декларации!$G:$G,$S7,Декларации!$BR:$BR,1)/1000</f>
        <v>166.78133</v>
      </c>
      <c r="I7" s="49">
        <f>SUMIFS(Декларации!$CI:$CI,Декларации!$C:$C,I$2,Декларации!$G:$G,$S7,Декларации!$BR:$BR,1)/1000</f>
        <v>207.91249000000002</v>
      </c>
      <c r="J7" s="49">
        <f>SUMIFS(Декларации!$CI:$CI,Декларации!$C:$C,J$2,Декларации!$G:$G,$S7,Декларации!$BR:$BR,1)/1000</f>
        <v>83.243030000000005</v>
      </c>
      <c r="K7" s="49">
        <f>SUMIFS(Декларации!$CI:$CI,Декларации!$C:$C,K$2,Декларации!$G:$G,$S7,Декларации!$BR:$BR,1)/1000</f>
        <v>150.52447000000001</v>
      </c>
      <c r="L7" s="49">
        <f>SUMIFS(Декларации!$CI:$CI,Декларации!$C:$C,L$2,Декларации!$G:$G,$S7,Декларации!$BR:$BR,1)/1000</f>
        <v>65.388279999999995</v>
      </c>
      <c r="M7" s="49">
        <f>SUMIFS(Декларации!$CI:$CI,Декларации!$C:$C,M$2,Декларации!$G:$G,$S7,Декларации!$BR:$BR,1)/1000</f>
        <v>82.841049999999981</v>
      </c>
      <c r="N7" s="49">
        <f>SUMIFS(Декларации!$CI:$CI,Декларации!$C:$C,N$2,Декларации!$G:$G,$S7,Декларации!$BR:$BR,1)/1000</f>
        <v>120.02572000000001</v>
      </c>
      <c r="O7" s="49">
        <f>SUMIFS(Декларации!$CI:$CI,Декларации!$C:$C,O$2,Декларации!$G:$G,$S7,Декларации!$BR:$BR,1)/1000</f>
        <v>81.913929999999993</v>
      </c>
      <c r="P7" s="49"/>
      <c r="Q7" s="49">
        <f>SUM(D7:O7)</f>
        <v>1495.18914</v>
      </c>
      <c r="S7" s="41" t="s">
        <v>3244</v>
      </c>
    </row>
    <row r="8" spans="1:19" x14ac:dyDescent="0.2">
      <c r="A8" s="41" t="s">
        <v>3322</v>
      </c>
      <c r="B8" s="41" t="s">
        <v>3321</v>
      </c>
      <c r="D8" s="49">
        <f>SUMIFS(Декларации!$CR:$CR,Декларации!$C:$C,D$2,Декларации!$G:$G,$S8,Декларации!$BR:$BR,1)/1000*90</f>
        <v>42517.070999999996</v>
      </c>
      <c r="E8" s="49">
        <f>SUMIFS(Декларации!$CR:$CR,Декларации!$C:$C,E$2,Декларации!$G:$G,$S8,Декларации!$BR:$BR,1)/1000*90</f>
        <v>35326.054800000005</v>
      </c>
      <c r="F8" s="49">
        <f>SUMIFS(Декларации!$CR:$CR,Декларации!$C:$C,F$2,Декларации!$G:$G,$S8,Декларации!$BR:$BR,1)/1000*90</f>
        <v>49728.294000000002</v>
      </c>
      <c r="G8" s="49">
        <f>SUMIFS(Декларации!$CR:$CR,Декларации!$C:$C,G$2,Декларации!$G:$G,$S8,Декларации!$BR:$BR,1)/1000*90</f>
        <v>23009.751900000003</v>
      </c>
      <c r="H8" s="49">
        <f>SUMIFS(Декларации!$CR:$CR,Декларации!$C:$C,H$2,Декларации!$G:$G,$S8,Декларации!$BR:$BR,1)/1000*90</f>
        <v>46028.199599999993</v>
      </c>
      <c r="I8" s="49">
        <f>SUMIFS(Декларации!$CR:$CR,Декларации!$C:$C,I$2,Декларации!$G:$G,$S8,Декларации!$BR:$BR,1)/1000*90</f>
        <v>55344.2238</v>
      </c>
      <c r="J8" s="49">
        <f>SUMIFS(Декларации!$CR:$CR,Декларации!$C:$C,J$2,Декларации!$G:$G,$S8,Декларации!$BR:$BR,1)/1000*90</f>
        <v>21577.475699999999</v>
      </c>
      <c r="K8" s="49">
        <f>SUMIFS(Декларации!$CR:$CR,Декларации!$C:$C,K$2,Декларации!$G:$G,$S8,Декларации!$BR:$BR,1)/1000*90</f>
        <v>40505.250599999999</v>
      </c>
      <c r="L8" s="49">
        <f>SUMIFS(Декларации!$CR:$CR,Декларации!$C:$C,L$2,Декларации!$G:$G,$S8,Декларации!$BR:$BR,1)/1000*90</f>
        <v>18895.847400000002</v>
      </c>
      <c r="M8" s="49">
        <f>SUMIFS(Декларации!$CR:$CR,Декларации!$C:$C,M$2,Декларации!$G:$G,$S8,Декларации!$BR:$BR,1)/1000*90</f>
        <v>21303.7929</v>
      </c>
      <c r="N8" s="49">
        <f>SUMIFS(Декларации!$CR:$CR,Декларации!$C:$C,N$2,Декларации!$G:$G,$S8,Декларации!$BR:$BR,1)/1000*90</f>
        <v>31839.733800000002</v>
      </c>
      <c r="O8" s="49">
        <f>SUMIFS(Декларации!$CR:$CR,Декларации!$C:$C,O$2,Декларации!$G:$G,$S8,Декларации!$BR:$BR,1)/1000*90</f>
        <v>22563.5877</v>
      </c>
      <c r="P8" s="49"/>
      <c r="Q8" s="49">
        <f>SUM(D8:O8)</f>
        <v>408639.28320000001</v>
      </c>
      <c r="S8" s="41" t="s">
        <v>3244</v>
      </c>
    </row>
    <row r="9" spans="1:19" x14ac:dyDescent="0.2"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</row>
    <row r="10" spans="1:19" x14ac:dyDescent="0.2">
      <c r="A10" s="41" t="s">
        <v>3323</v>
      </c>
      <c r="B10" s="41" t="s">
        <v>3303</v>
      </c>
      <c r="D10" s="49">
        <f>'Росстат_Пр-во ЦФО'!D5+'Росстат_Пр-во СЗФО'!D5+'Росстат_Пр-во ЮФО'!D5+'Росстат_Пр-во ЮФО'!D5+'Росстат_Пр-во ЮФО'!D5+'Росстат_Пр-во ПФО'!D5+'Росстат_Пр-во УФО'!D5+'Росстат_Пр-во СФО'!D5+'Росстат_Пр-во ДФО'!D5</f>
        <v>5900.11</v>
      </c>
      <c r="E10" s="49">
        <f>'Росстат_Пр-во ЦФО'!E5+'Росстат_Пр-во СЗФО'!E5+'Росстат_Пр-во ЮФО'!E5+'Росстат_Пр-во ЮФО'!E5+'Росстат_Пр-во ЮФО'!E5+'Росстат_Пр-во ПФО'!E5+'Росстат_Пр-во УФО'!E5+'Росстат_Пр-во СФО'!E5+'Росстат_Пр-во ДФО'!E5</f>
        <v>6852.75</v>
      </c>
      <c r="F10" s="49">
        <f>'Росстат_Пр-во ЦФО'!F5+'Росстат_Пр-во СЗФО'!F5+'Росстат_Пр-во ЮФО'!F5+'Росстат_Пр-во ЮФО'!F5+'Росстат_Пр-во ЮФО'!F5+'Росстат_Пр-во ПФО'!F5+'Росстат_Пр-во УФО'!F5+'Росстат_Пр-во СФО'!F5+'Росстат_Пр-во ДФО'!F5</f>
        <v>7787.9599999999991</v>
      </c>
      <c r="G10" s="49">
        <f>'Росстат_Пр-во ЦФО'!G5+'Росстат_Пр-во СЗФО'!G5+'Росстат_Пр-во ЮФО'!G5+'Росстат_Пр-во ЮФО'!G5+'Росстат_Пр-во ЮФО'!G5+'Росстат_Пр-во ПФО'!G5+'Росстат_Пр-во УФО'!G5+'Росстат_Пр-во СФО'!G5+'Росстат_Пр-во ДФО'!G5</f>
        <v>7668.92</v>
      </c>
      <c r="H10" s="49">
        <f>'Росстат_Пр-во ЦФО'!H5+'Росстат_Пр-во СЗФО'!H5+'Росстат_Пр-во ЮФО'!H5+'Росстат_Пр-во ЮФО'!H5+'Росстат_Пр-во ЮФО'!H5+'Росстат_Пр-во ПФО'!H5+'Росстат_Пр-во УФО'!H5+'Росстат_Пр-во СФО'!H5+'Росстат_Пр-во ДФО'!H5</f>
        <v>8522.5999999999985</v>
      </c>
      <c r="I10" s="49">
        <f>'Росстат_Пр-во ЦФО'!I5+'Росстат_Пр-во СЗФО'!I5+'Росстат_Пр-во ЮФО'!I5+'Росстат_Пр-во ЮФО'!I5+'Росстат_Пр-во ЮФО'!I5+'Росстат_Пр-во ПФО'!I5+'Росстат_Пр-во УФО'!I5+'Росстат_Пр-во СФО'!I5+'Росстат_Пр-во ДФО'!I5</f>
        <v>8773.36</v>
      </c>
      <c r="J10" s="49">
        <f>'Росстат_Пр-во ЦФО'!J5+'Росстат_Пр-во СЗФО'!J5+'Росстат_Пр-во ЮФО'!J5+'Росстат_Пр-во ЮФО'!J5+'Росстат_Пр-во ЮФО'!J5+'Росстат_Пр-во ПФО'!J5+'Росстат_Пр-во УФО'!J5+'Росстат_Пр-во СФО'!J5+'Росстат_Пр-во ДФО'!J5</f>
        <v>8648.69</v>
      </c>
      <c r="K10" s="49">
        <f>'Росстат_Пр-во ЦФО'!K5+'Росстат_Пр-во СЗФО'!K5+'Росстат_Пр-во ЮФО'!K5+'Росстат_Пр-во ЮФО'!K5+'Росстат_Пр-во ЮФО'!K5+'Росстат_Пр-во ПФО'!K5+'Росстат_Пр-во УФО'!K5+'Росстат_Пр-во СФО'!K5+'Росстат_Пр-во ДФО'!K5</f>
        <v>8792.880000000001</v>
      </c>
      <c r="L10" s="49">
        <f>'Росстат_Пр-во ЦФО'!L5+'Росстат_Пр-во СЗФО'!L5+'Росстат_Пр-во ЮФО'!L5+'Росстат_Пр-во ЮФО'!L5+'Росстат_Пр-во ЮФО'!L5+'Росстат_Пр-во ПФО'!L5+'Росстат_Пр-во УФО'!L5+'Росстат_Пр-во СФО'!L5+'Росстат_Пр-во ДФО'!L5</f>
        <v>8946.48</v>
      </c>
      <c r="M10" s="49">
        <f>'Росстат_Пр-во ЦФО'!M5+'Росстат_Пр-во СЗФО'!M5+'Росстат_Пр-во ЮФО'!M5+'Росстат_Пр-во ЮФО'!M5+'Росстат_Пр-во ЮФО'!M5+'Росстат_Пр-во ПФО'!M5+'Росстат_Пр-во УФО'!M5+'Росстат_Пр-во СФО'!M5+'Росстат_Пр-во ДФО'!M5</f>
        <v>9222.73</v>
      </c>
      <c r="N10" s="49">
        <f>'Росстат_Пр-во ЦФО'!N5+'Росстат_Пр-во СЗФО'!N5+'Росстат_Пр-во ЮФО'!N5+'Росстат_Пр-во ЮФО'!N5+'Росстат_Пр-во ЮФО'!N5+'Росстат_Пр-во ПФО'!N5+'Росстат_Пр-во УФО'!N5+'Росстат_Пр-во СФО'!N5+'Росстат_Пр-во ДФО'!N5</f>
        <v>9165.7799999999988</v>
      </c>
      <c r="O10" s="49">
        <f>'Росстат_Пр-во ЦФО'!O5+'Росстат_Пр-во СЗФО'!O5+'Росстат_Пр-во ЮФО'!O5+'Росстат_Пр-во ЮФО'!O5+'Росстат_Пр-во ЮФО'!O5+'Росстат_Пр-во ПФО'!O5+'Росстат_Пр-во УФО'!O5+'Росстат_Пр-во СФО'!O5+'Росстат_Пр-во ДФО'!O5</f>
        <v>9783.2799999999988</v>
      </c>
      <c r="P10" s="49"/>
      <c r="Q10" s="49">
        <f>SUM(D10:O10)</f>
        <v>100065.54</v>
      </c>
    </row>
    <row r="11" spans="1:19" x14ac:dyDescent="0.2">
      <c r="A11" s="41" t="s">
        <v>3323</v>
      </c>
      <c r="B11" s="41" t="s">
        <v>3321</v>
      </c>
      <c r="D11" s="49">
        <f>D10*Росстат_Цены!C5</f>
        <v>1807970.7072999999</v>
      </c>
      <c r="E11" s="49">
        <f>E10*Росстат_Цены!D5</f>
        <v>2077205.58</v>
      </c>
      <c r="F11" s="49">
        <f>F10*Росстат_Цены!E5</f>
        <v>2359440.3615999995</v>
      </c>
      <c r="G11" s="49">
        <f>G10*Росстат_Цены!F5</f>
        <v>2357426.0079999999</v>
      </c>
      <c r="H11" s="49">
        <f>H10*Росстат_Цены!G5</f>
        <v>2617290.46</v>
      </c>
      <c r="I11" s="49">
        <f>I10*Росстат_Цены!H5</f>
        <v>2705528.7568000001</v>
      </c>
      <c r="J11" s="49">
        <f>J10*Росстат_Цены!I5</f>
        <v>2720358.9526000004</v>
      </c>
      <c r="K11" s="49">
        <f>K10*Росстат_Цены!J5</f>
        <v>2914312.1472000005</v>
      </c>
      <c r="L11" s="49">
        <f>L10*Росстат_Цены!K5</f>
        <v>3005659.4207999995</v>
      </c>
      <c r="M11" s="49">
        <f>M10*Росстат_Цены!L5</f>
        <v>3156756.0243999995</v>
      </c>
      <c r="N11" s="49">
        <f>N10*Росстат_Цены!M5</f>
        <v>3160544.2595999995</v>
      </c>
      <c r="O11" s="49">
        <f>O10*Росстат_Цены!N5</f>
        <v>3373470.6095999996</v>
      </c>
      <c r="P11" s="49"/>
      <c r="Q11" s="49">
        <f>SUM(D11:O11)</f>
        <v>32255963.287900001</v>
      </c>
    </row>
    <row r="12" spans="1:19" x14ac:dyDescent="0.2"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9" x14ac:dyDescent="0.2">
      <c r="A13" s="41" t="s">
        <v>3324</v>
      </c>
      <c r="B13" s="41" t="s">
        <v>3303</v>
      </c>
      <c r="D13" s="49">
        <f>D10+D4-D7</f>
        <v>6691.6864499999992</v>
      </c>
      <c r="E13" s="49">
        <f t="shared" ref="E13:O13" si="0">E10+E4-E7</f>
        <v>7392.7224859999997</v>
      </c>
      <c r="F13" s="49">
        <f t="shared" si="0"/>
        <v>8657.0130599999993</v>
      </c>
      <c r="G13" s="49">
        <f t="shared" si="0"/>
        <v>8347.5477520000004</v>
      </c>
      <c r="H13" s="49">
        <f t="shared" si="0"/>
        <v>9013.7676679999986</v>
      </c>
      <c r="I13" s="49">
        <f t="shared" si="0"/>
        <v>9419.3357500000002</v>
      </c>
      <c r="J13" s="49">
        <f t="shared" si="0"/>
        <v>9676.3758200000011</v>
      </c>
      <c r="K13" s="49">
        <f t="shared" si="0"/>
        <v>9511.3800320000009</v>
      </c>
      <c r="L13" s="49">
        <f t="shared" si="0"/>
        <v>9778.0778599999994</v>
      </c>
      <c r="M13" s="49">
        <f t="shared" si="0"/>
        <v>10314.483820000001</v>
      </c>
      <c r="N13" s="49">
        <f t="shared" si="0"/>
        <v>9907.0817879999995</v>
      </c>
      <c r="O13" s="49">
        <f t="shared" si="0"/>
        <v>10693.555969999998</v>
      </c>
      <c r="P13" s="49"/>
      <c r="Q13" s="49">
        <f>SUM(D13:O13)</f>
        <v>109403.028456</v>
      </c>
    </row>
    <row r="14" spans="1:19" x14ac:dyDescent="0.2">
      <c r="A14" s="41" t="s">
        <v>3324</v>
      </c>
      <c r="B14" s="41" t="s">
        <v>3321</v>
      </c>
      <c r="D14" s="49">
        <f>D11+D5-D8</f>
        <v>2029996.6311999999</v>
      </c>
      <c r="E14" s="49">
        <f t="shared" ref="E14:O14" si="1">E11+E5-E8</f>
        <v>2223644.0093999999</v>
      </c>
      <c r="F14" s="49">
        <f t="shared" si="1"/>
        <v>2600445.771699999</v>
      </c>
      <c r="G14" s="49">
        <f t="shared" si="1"/>
        <v>2543942.0935</v>
      </c>
      <c r="H14" s="49">
        <f t="shared" si="1"/>
        <v>2752470.7012</v>
      </c>
      <c r="I14" s="49">
        <f t="shared" si="1"/>
        <v>2890975.2454000004</v>
      </c>
      <c r="J14" s="49">
        <f t="shared" si="1"/>
        <v>3008446.7692000004</v>
      </c>
      <c r="K14" s="49">
        <f t="shared" si="1"/>
        <v>3114885.0051000006</v>
      </c>
      <c r="L14" s="49">
        <f t="shared" si="1"/>
        <v>3236067.7070999998</v>
      </c>
      <c r="M14" s="49">
        <f t="shared" si="1"/>
        <v>3453521.8659999995</v>
      </c>
      <c r="N14" s="49">
        <f t="shared" si="1"/>
        <v>3370028.1911999993</v>
      </c>
      <c r="O14" s="49">
        <f t="shared" si="1"/>
        <v>3625027.1345999995</v>
      </c>
      <c r="P14" s="49"/>
      <c r="Q14" s="49">
        <f>SUM(D14:O14)</f>
        <v>34849451.125600003</v>
      </c>
    </row>
    <row r="16" spans="1:19" x14ac:dyDescent="0.2">
      <c r="A16" s="41" t="s">
        <v>3336</v>
      </c>
      <c r="B16" s="41" t="s">
        <v>3338</v>
      </c>
      <c r="D16" s="48">
        <f>'Продажи Компании'!K22/D13</f>
        <v>0.29816535531154059</v>
      </c>
      <c r="E16" s="48">
        <f>'Продажи Компании'!L22/E13</f>
        <v>0.28047709671789567</v>
      </c>
      <c r="F16" s="48">
        <f>'Продажи Компании'!M22/F13</f>
        <v>0.30984333645799694</v>
      </c>
      <c r="G16" s="48">
        <f>'Продажи Компании'!N22/G13</f>
        <v>0.29249056346710489</v>
      </c>
      <c r="H16" s="48">
        <f>'Продажи Компании'!O22/H13</f>
        <v>0.26935292874099459</v>
      </c>
      <c r="I16" s="48">
        <f>'Продажи Компании'!P22/I13</f>
        <v>0.21891334798257142</v>
      </c>
      <c r="J16" s="48">
        <f>'Продажи Компании'!Q22/J13</f>
        <v>0.23176582707159271</v>
      </c>
      <c r="K16" s="48">
        <f>'Продажи Компании'!R22/K13</f>
        <v>0.26537717705184666</v>
      </c>
      <c r="L16" s="48">
        <f>'Продажи Компании'!S22/L13</f>
        <v>0.23214754693160358</v>
      </c>
      <c r="M16" s="48">
        <f>'Продажи Компании'!T22/M13</f>
        <v>0.26501585533034694</v>
      </c>
      <c r="N16" s="48">
        <f>'Продажи Компании'!U22/N13</f>
        <v>0.24314299412363369</v>
      </c>
      <c r="O16" s="48">
        <f>'Продажи Компании'!V22/O13</f>
        <v>0.18971228915102292</v>
      </c>
      <c r="Q16" s="48">
        <f>'Продажи Компании'!X22/Q13</f>
        <v>0.25493142266722763</v>
      </c>
    </row>
    <row r="17" spans="1:17" x14ac:dyDescent="0.2">
      <c r="A17" s="41" t="s">
        <v>3337</v>
      </c>
      <c r="B17" s="41" t="s">
        <v>3338</v>
      </c>
      <c r="D17" s="48">
        <f>'Продажи Компании'!K64*1000/D14</f>
        <v>0.25886615280062364</v>
      </c>
      <c r="E17" s="48">
        <f>'Продажи Компании'!L64*1000/E14</f>
        <v>0.24111370188771863</v>
      </c>
      <c r="F17" s="48">
        <f>'Продажи Компании'!M64*1000/F14</f>
        <v>0.25364763914150618</v>
      </c>
      <c r="G17" s="48">
        <f>'Продажи Компании'!N64*1000/G14</f>
        <v>0.26663299299134724</v>
      </c>
      <c r="H17" s="48">
        <f>'Продажи Компании'!O64*1000/H14</f>
        <v>0.25230022421283266</v>
      </c>
      <c r="I17" s="48">
        <f>'Продажи Компании'!P64*1000/I14</f>
        <v>0.19598267762078075</v>
      </c>
      <c r="J17" s="48">
        <f>'Продажи Компании'!Q64*1000/J14</f>
        <v>0.20227734602082173</v>
      </c>
      <c r="K17" s="48">
        <f>'Продажи Компании'!R64*1000/K14</f>
        <v>0.21232977417502152</v>
      </c>
      <c r="L17" s="48">
        <f>'Продажи Компании'!S64*1000/L14</f>
        <v>0.1795598579473385</v>
      </c>
      <c r="M17" s="48">
        <f>'Продажи Компании'!T64*1000/M14</f>
        <v>0.20256668687830556</v>
      </c>
      <c r="N17" s="48">
        <f>'Продажи Компании'!U64*1000/N14</f>
        <v>0.20302989370570923</v>
      </c>
      <c r="O17" s="48">
        <f>'Продажи Компании'!V64*1000/O14</f>
        <v>0.1524431185556511</v>
      </c>
      <c r="Q17" s="48">
        <f>'Продажи Компании'!X64*1000/Q14</f>
        <v>0.21371817319338512</v>
      </c>
    </row>
    <row r="19" spans="1:17" x14ac:dyDescent="0.2">
      <c r="A19" s="41" t="s">
        <v>3349</v>
      </c>
    </row>
    <row r="20" spans="1:17" x14ac:dyDescent="0.2">
      <c r="A20" s="41" t="str">
        <f>Sheet2!A17</f>
        <v>БЕЛЬГИЯ</v>
      </c>
    </row>
    <row r="21" spans="1:17" x14ac:dyDescent="0.2">
      <c r="A21" s="41" t="str">
        <f>Sheet2!A18</f>
        <v>ФРАНЦИЯ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D17" sqref="D17"/>
    </sheetView>
  </sheetViews>
  <sheetFormatPr defaultRowHeight="13.8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5"/>
  <sheetViews>
    <sheetView workbookViewId="0">
      <pane xSplit="7" ySplit="1" topLeftCell="H45" activePane="bottomRight" state="frozen"/>
      <selection pane="topRight" activeCell="H1" sqref="H1"/>
      <selection pane="bottomLeft" activeCell="A2" sqref="A2"/>
      <selection pane="bottomRight" activeCell="Q1" sqref="Q1"/>
    </sheetView>
  </sheetViews>
  <sheetFormatPr defaultColWidth="0" defaultRowHeight="11.4" outlineLevelRow="1" x14ac:dyDescent="0.2"/>
  <cols>
    <col min="1" max="1" width="2.36328125" style="23" customWidth="1"/>
    <col min="2" max="5" width="2.26953125" style="23" customWidth="1"/>
    <col min="6" max="6" width="18.81640625" style="23" customWidth="1"/>
    <col min="7" max="7" width="7.90625" style="23" customWidth="1"/>
    <col min="8" max="8" width="10.36328125" style="23" bestFit="1" customWidth="1"/>
    <col min="9" max="10" width="3.90625" style="23" customWidth="1"/>
    <col min="11" max="22" width="7.6328125" style="23" customWidth="1"/>
    <col min="23" max="24" width="7.1796875" style="23" customWidth="1"/>
    <col min="25" max="25" width="8.81640625" style="23" customWidth="1"/>
    <col min="26" max="16384" width="8.81640625" style="23" hidden="1"/>
  </cols>
  <sheetData>
    <row r="1" spans="1:24" x14ac:dyDescent="0.2">
      <c r="A1" s="14"/>
      <c r="B1" s="21" t="s">
        <v>3297</v>
      </c>
      <c r="C1" s="21"/>
      <c r="D1" s="21"/>
      <c r="E1" s="21"/>
      <c r="F1" s="21"/>
      <c r="G1" s="21" t="s">
        <v>3298</v>
      </c>
      <c r="H1" s="21" t="s">
        <v>3299</v>
      </c>
      <c r="I1" s="19"/>
      <c r="J1" s="19"/>
      <c r="K1" s="22">
        <v>44927</v>
      </c>
      <c r="L1" s="22">
        <f>EDATE(K1,1)</f>
        <v>44958</v>
      </c>
      <c r="M1" s="22">
        <f t="shared" ref="M1:V1" si="0">EDATE(L1,1)</f>
        <v>44986</v>
      </c>
      <c r="N1" s="22">
        <f t="shared" si="0"/>
        <v>45017</v>
      </c>
      <c r="O1" s="22">
        <f t="shared" si="0"/>
        <v>45047</v>
      </c>
      <c r="P1" s="22">
        <f t="shared" si="0"/>
        <v>45078</v>
      </c>
      <c r="Q1" s="22">
        <f t="shared" si="0"/>
        <v>45108</v>
      </c>
      <c r="R1" s="22">
        <f t="shared" si="0"/>
        <v>45139</v>
      </c>
      <c r="S1" s="22">
        <f t="shared" si="0"/>
        <v>45170</v>
      </c>
      <c r="T1" s="22">
        <f t="shared" si="0"/>
        <v>45200</v>
      </c>
      <c r="U1" s="22">
        <f t="shared" si="0"/>
        <v>45231</v>
      </c>
      <c r="V1" s="22">
        <f t="shared" si="0"/>
        <v>45261</v>
      </c>
      <c r="W1" s="19"/>
      <c r="X1" s="21">
        <v>2023</v>
      </c>
    </row>
    <row r="2" spans="1:24" x14ac:dyDescent="0.2">
      <c r="B2" s="34" t="s">
        <v>3300</v>
      </c>
      <c r="C2" s="34"/>
      <c r="D2" s="34"/>
      <c r="E2" s="34"/>
      <c r="F2" s="34"/>
      <c r="G2" s="34"/>
      <c r="H2" s="34"/>
      <c r="I2" s="24"/>
      <c r="J2" s="2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24"/>
      <c r="X2" s="34"/>
    </row>
    <row r="3" spans="1:24" outlineLevel="1" x14ac:dyDescent="0.2"/>
    <row r="4" spans="1:24" outlineLevel="1" x14ac:dyDescent="0.2">
      <c r="B4" s="25" t="s">
        <v>3302</v>
      </c>
      <c r="C4" s="26"/>
      <c r="D4" s="26"/>
      <c r="E4" s="26"/>
      <c r="F4" s="26"/>
      <c r="G4" s="25" t="s">
        <v>3303</v>
      </c>
      <c r="H4" s="26"/>
      <c r="I4" s="24"/>
      <c r="J4" s="24"/>
      <c r="K4" s="27">
        <f>K5+K9</f>
        <v>919.943812646899</v>
      </c>
      <c r="L4" s="27">
        <f t="shared" ref="L4:V4" si="1">L5+L9</f>
        <v>919.943812646899</v>
      </c>
      <c r="M4" s="27">
        <f t="shared" si="1"/>
        <v>919.943812646899</v>
      </c>
      <c r="N4" s="27">
        <f t="shared" si="1"/>
        <v>919.943812646899</v>
      </c>
      <c r="O4" s="27">
        <f t="shared" si="1"/>
        <v>919.943812646899</v>
      </c>
      <c r="P4" s="27">
        <f t="shared" si="1"/>
        <v>919.943812646899</v>
      </c>
      <c r="Q4" s="27">
        <f t="shared" si="1"/>
        <v>919.943812646899</v>
      </c>
      <c r="R4" s="27">
        <f t="shared" si="1"/>
        <v>919.943812646899</v>
      </c>
      <c r="S4" s="27">
        <f t="shared" si="1"/>
        <v>919.943812646899</v>
      </c>
      <c r="T4" s="27">
        <f t="shared" si="1"/>
        <v>919.943812646899</v>
      </c>
      <c r="U4" s="27">
        <f t="shared" si="1"/>
        <v>919.943812646899</v>
      </c>
      <c r="V4" s="27">
        <f t="shared" si="1"/>
        <v>919.943812646899</v>
      </c>
      <c r="W4" s="28"/>
      <c r="X4" s="27">
        <f t="shared" ref="X4:X5" si="2">SUM(K4:V4)</f>
        <v>11039.325751762792</v>
      </c>
    </row>
    <row r="5" spans="1:24" s="24" customFormat="1" outlineLevel="1" x14ac:dyDescent="0.2">
      <c r="C5" s="31" t="s">
        <v>3304</v>
      </c>
      <c r="D5" s="31"/>
      <c r="E5" s="31"/>
      <c r="F5" s="31"/>
      <c r="G5" s="31" t="s">
        <v>3303</v>
      </c>
      <c r="H5" s="31"/>
      <c r="K5" s="32">
        <f>K6+K7</f>
        <v>533.23055624831807</v>
      </c>
      <c r="L5" s="32">
        <f t="shared" ref="L5:V5" si="3">L6+L7</f>
        <v>533.23055624831807</v>
      </c>
      <c r="M5" s="32">
        <f t="shared" si="3"/>
        <v>533.23055624831807</v>
      </c>
      <c r="N5" s="32">
        <f t="shared" si="3"/>
        <v>533.23055624831807</v>
      </c>
      <c r="O5" s="32">
        <f t="shared" si="3"/>
        <v>533.23055624831807</v>
      </c>
      <c r="P5" s="32">
        <f t="shared" si="3"/>
        <v>533.23055624831807</v>
      </c>
      <c r="Q5" s="32">
        <f t="shared" si="3"/>
        <v>533.23055624831807</v>
      </c>
      <c r="R5" s="32">
        <f t="shared" si="3"/>
        <v>533.23055624831807</v>
      </c>
      <c r="S5" s="32">
        <f t="shared" si="3"/>
        <v>533.23055624831807</v>
      </c>
      <c r="T5" s="32">
        <f t="shared" si="3"/>
        <v>533.23055624831807</v>
      </c>
      <c r="U5" s="32">
        <f t="shared" si="3"/>
        <v>533.23055624831807</v>
      </c>
      <c r="V5" s="32">
        <f t="shared" si="3"/>
        <v>533.23055624831807</v>
      </c>
      <c r="W5" s="28"/>
      <c r="X5" s="33">
        <f t="shared" si="2"/>
        <v>6398.7666749798163</v>
      </c>
    </row>
    <row r="6" spans="1:24" outlineLevel="1" x14ac:dyDescent="0.2">
      <c r="D6" s="23" t="s">
        <v>3305</v>
      </c>
      <c r="G6" s="23" t="s">
        <v>3303</v>
      </c>
      <c r="K6" s="30">
        <v>221.90827419604418</v>
      </c>
      <c r="L6" s="30">
        <v>221.90827419604418</v>
      </c>
      <c r="M6" s="30">
        <v>221.90827419604418</v>
      </c>
      <c r="N6" s="30">
        <v>221.90827419604418</v>
      </c>
      <c r="O6" s="30">
        <v>221.90827419604418</v>
      </c>
      <c r="P6" s="30">
        <v>221.90827419604418</v>
      </c>
      <c r="Q6" s="30">
        <v>221.90827419604418</v>
      </c>
      <c r="R6" s="30">
        <v>221.90827419604418</v>
      </c>
      <c r="S6" s="30">
        <v>221.90827419604418</v>
      </c>
      <c r="T6" s="30">
        <v>221.90827419604418</v>
      </c>
      <c r="U6" s="30">
        <v>221.90827419604418</v>
      </c>
      <c r="V6" s="30">
        <v>221.90827419604418</v>
      </c>
      <c r="W6" s="29"/>
      <c r="X6" s="35">
        <f>SUM(K6:V6)</f>
        <v>2662.89929035253</v>
      </c>
    </row>
    <row r="7" spans="1:24" outlineLevel="1" x14ac:dyDescent="0.2">
      <c r="D7" s="23" t="s">
        <v>3306</v>
      </c>
      <c r="G7" s="23" t="s">
        <v>3303</v>
      </c>
      <c r="K7" s="30">
        <v>311.32228205227386</v>
      </c>
      <c r="L7" s="30">
        <v>311.32228205227386</v>
      </c>
      <c r="M7" s="30">
        <v>311.32228205227386</v>
      </c>
      <c r="N7" s="30">
        <v>311.32228205227386</v>
      </c>
      <c r="O7" s="30">
        <v>311.32228205227386</v>
      </c>
      <c r="P7" s="30">
        <v>311.32228205227386</v>
      </c>
      <c r="Q7" s="30">
        <v>311.32228205227386</v>
      </c>
      <c r="R7" s="30">
        <v>311.32228205227386</v>
      </c>
      <c r="S7" s="30">
        <v>311.32228205227386</v>
      </c>
      <c r="T7" s="30">
        <v>311.32228205227386</v>
      </c>
      <c r="U7" s="30">
        <v>311.32228205227386</v>
      </c>
      <c r="V7" s="30">
        <v>311.32228205227386</v>
      </c>
      <c r="X7" s="29">
        <f t="shared" ref="X7" si="4">SUM(K7:V7)</f>
        <v>3735.8673846272854</v>
      </c>
    </row>
    <row r="8" spans="1:24" outlineLevel="1" x14ac:dyDescent="0.2"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s="24" customFormat="1" outlineLevel="1" x14ac:dyDescent="0.2">
      <c r="C9" s="31" t="s">
        <v>3307</v>
      </c>
      <c r="D9" s="31"/>
      <c r="E9" s="31"/>
      <c r="F9" s="31"/>
      <c r="G9" s="31" t="s">
        <v>3303</v>
      </c>
      <c r="H9" s="31"/>
      <c r="K9" s="32">
        <f>K10+K11</f>
        <v>386.71325639858088</v>
      </c>
      <c r="L9" s="32">
        <f t="shared" ref="L9:V9" si="5">L10+L11</f>
        <v>386.71325639858088</v>
      </c>
      <c r="M9" s="32">
        <f t="shared" si="5"/>
        <v>386.71325639858088</v>
      </c>
      <c r="N9" s="32">
        <f t="shared" si="5"/>
        <v>386.71325639858088</v>
      </c>
      <c r="O9" s="32">
        <f t="shared" si="5"/>
        <v>386.71325639858088</v>
      </c>
      <c r="P9" s="32">
        <f t="shared" si="5"/>
        <v>386.71325639858088</v>
      </c>
      <c r="Q9" s="32">
        <f t="shared" si="5"/>
        <v>386.71325639858088</v>
      </c>
      <c r="R9" s="32">
        <f t="shared" si="5"/>
        <v>386.71325639858088</v>
      </c>
      <c r="S9" s="32">
        <f t="shared" si="5"/>
        <v>386.71325639858088</v>
      </c>
      <c r="T9" s="32">
        <f t="shared" si="5"/>
        <v>386.71325639858088</v>
      </c>
      <c r="U9" s="32">
        <f t="shared" si="5"/>
        <v>386.71325639858088</v>
      </c>
      <c r="V9" s="32">
        <f t="shared" si="5"/>
        <v>386.71325639858088</v>
      </c>
      <c r="W9" s="28"/>
      <c r="X9" s="33">
        <f t="shared" ref="X9:X20" si="6">SUM(K9:V9)</f>
        <v>4640.5590767829708</v>
      </c>
    </row>
    <row r="10" spans="1:24" outlineLevel="1" x14ac:dyDescent="0.2">
      <c r="D10" s="23" t="s">
        <v>3305</v>
      </c>
      <c r="G10" s="23" t="s">
        <v>3303</v>
      </c>
      <c r="K10" s="30">
        <v>193.72660389281742</v>
      </c>
      <c r="L10" s="30">
        <v>193.72660389281742</v>
      </c>
      <c r="M10" s="30">
        <v>193.72660389281742</v>
      </c>
      <c r="N10" s="30">
        <v>193.72660389281742</v>
      </c>
      <c r="O10" s="30">
        <v>193.72660389281742</v>
      </c>
      <c r="P10" s="30">
        <v>193.72660389281742</v>
      </c>
      <c r="Q10" s="30">
        <v>193.72660389281742</v>
      </c>
      <c r="R10" s="30">
        <v>193.72660389281742</v>
      </c>
      <c r="S10" s="30">
        <v>193.72660389281742</v>
      </c>
      <c r="T10" s="30">
        <v>193.72660389281742</v>
      </c>
      <c r="U10" s="30">
        <v>193.72660389281742</v>
      </c>
      <c r="V10" s="30">
        <v>193.72660389281742</v>
      </c>
      <c r="W10" s="29"/>
      <c r="X10" s="35">
        <f t="shared" si="6"/>
        <v>2324.7192467138088</v>
      </c>
    </row>
    <row r="11" spans="1:24" outlineLevel="1" x14ac:dyDescent="0.2">
      <c r="D11" s="23" t="s">
        <v>3306</v>
      </c>
      <c r="G11" s="23" t="s">
        <v>3303</v>
      </c>
      <c r="K11" s="30">
        <v>192.98665250576346</v>
      </c>
      <c r="L11" s="30">
        <v>192.98665250576346</v>
      </c>
      <c r="M11" s="30">
        <v>192.98665250576346</v>
      </c>
      <c r="N11" s="30">
        <v>192.98665250576346</v>
      </c>
      <c r="O11" s="30">
        <v>192.98665250576346</v>
      </c>
      <c r="P11" s="30">
        <v>192.98665250576346</v>
      </c>
      <c r="Q11" s="30">
        <v>192.98665250576346</v>
      </c>
      <c r="R11" s="30">
        <v>192.98665250576346</v>
      </c>
      <c r="S11" s="30">
        <v>192.98665250576346</v>
      </c>
      <c r="T11" s="30">
        <v>192.98665250576346</v>
      </c>
      <c r="U11" s="30">
        <v>192.98665250576346</v>
      </c>
      <c r="V11" s="30">
        <v>192.98665250576346</v>
      </c>
      <c r="X11" s="29">
        <f t="shared" si="6"/>
        <v>2315.8398300691615</v>
      </c>
    </row>
    <row r="12" spans="1:24" outlineLevel="1" x14ac:dyDescent="0.2"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 outlineLevel="1" x14ac:dyDescent="0.2">
      <c r="B13" s="25" t="s">
        <v>3308</v>
      </c>
      <c r="C13" s="26"/>
      <c r="D13" s="26"/>
      <c r="E13" s="26"/>
      <c r="F13" s="26"/>
      <c r="G13" s="25" t="s">
        <v>3303</v>
      </c>
      <c r="H13" s="26"/>
      <c r="I13" s="24"/>
      <c r="J13" s="24"/>
      <c r="K13" s="27">
        <f>K14+K18</f>
        <v>1075.2852553507726</v>
      </c>
      <c r="L13" s="27">
        <f t="shared" ref="L13" si="7">L14+L18</f>
        <v>1153.5455270674852</v>
      </c>
      <c r="M13" s="27">
        <f t="shared" ref="M13" si="8">M14+M18</f>
        <v>1762.3739976239542</v>
      </c>
      <c r="N13" s="27">
        <f t="shared" ref="N13" si="9">N14+N18</f>
        <v>1521.6351329041458</v>
      </c>
      <c r="O13" s="27">
        <f t="shared" ref="O13" si="10">O14+O18</f>
        <v>1507.9409077197856</v>
      </c>
      <c r="P13" s="27">
        <f t="shared" ref="P13" si="11">P14+P18</f>
        <v>1142.0745121575264</v>
      </c>
      <c r="Q13" s="27">
        <f t="shared" ref="Q13" si="12">Q14+Q18</f>
        <v>1322.7094323309627</v>
      </c>
      <c r="R13" s="27">
        <f t="shared" ref="R13" si="13">R14+R18</f>
        <v>1604.1593701125644</v>
      </c>
      <c r="S13" s="27">
        <f t="shared" ref="S13" si="14">S14+S18</f>
        <v>1350.0129762583247</v>
      </c>
      <c r="T13" s="27">
        <f t="shared" ref="T13" si="15">T14+T18</f>
        <v>1813.5579392014256</v>
      </c>
      <c r="U13" s="27">
        <f t="shared" ref="U13" si="16">U14+U18</f>
        <v>1488.8937163151431</v>
      </c>
      <c r="V13" s="27">
        <f t="shared" ref="V13" si="17">V14+V18</f>
        <v>1108.7551695863881</v>
      </c>
      <c r="W13" s="28"/>
      <c r="X13" s="27">
        <f t="shared" si="6"/>
        <v>16850.943936628475</v>
      </c>
    </row>
    <row r="14" spans="1:24" s="24" customFormat="1" outlineLevel="1" x14ac:dyDescent="0.2">
      <c r="C14" s="31" t="s">
        <v>3304</v>
      </c>
      <c r="D14" s="31"/>
      <c r="E14" s="31"/>
      <c r="F14" s="31"/>
      <c r="G14" s="31" t="s">
        <v>3303</v>
      </c>
      <c r="H14" s="31"/>
      <c r="K14" s="32">
        <f>K15+K16</f>
        <v>429.01237080984606</v>
      </c>
      <c r="L14" s="32">
        <f t="shared" ref="L14" si="18">L15+L16</f>
        <v>521.78334398432787</v>
      </c>
      <c r="M14" s="32">
        <f t="shared" ref="M14" si="19">M15+M16</f>
        <v>641.30919456800916</v>
      </c>
      <c r="N14" s="32">
        <f t="shared" ref="N14" si="20">N15+N16</f>
        <v>531.86452715966993</v>
      </c>
      <c r="O14" s="32">
        <f t="shared" ref="O14" si="21">O15+O16</f>
        <v>603.55109904283995</v>
      </c>
      <c r="P14" s="32">
        <f t="shared" ref="P14" si="22">P15+P16</f>
        <v>441.3044611489147</v>
      </c>
      <c r="Q14" s="32">
        <f t="shared" ref="Q14" si="23">Q15+Q16</f>
        <v>535.61208270592363</v>
      </c>
      <c r="R14" s="32">
        <f t="shared" ref="R14" si="24">R15+R16</f>
        <v>595.24075922149939</v>
      </c>
      <c r="S14" s="32">
        <f t="shared" ref="S14" si="25">S15+S16</f>
        <v>541.50468929593706</v>
      </c>
      <c r="T14" s="32">
        <f t="shared" ref="T14" si="26">T15+T16</f>
        <v>708.60542700280325</v>
      </c>
      <c r="U14" s="32">
        <f t="shared" ref="U14" si="27">U15+U16</f>
        <v>586.8513362765093</v>
      </c>
      <c r="V14" s="32">
        <f t="shared" ref="V14" si="28">V15+V16</f>
        <v>452.46089455021411</v>
      </c>
      <c r="W14" s="28"/>
      <c r="X14" s="33">
        <f t="shared" si="6"/>
        <v>6589.1001857664951</v>
      </c>
    </row>
    <row r="15" spans="1:24" outlineLevel="1" x14ac:dyDescent="0.2">
      <c r="D15" s="23" t="s">
        <v>3305</v>
      </c>
      <c r="G15" s="23" t="s">
        <v>3303</v>
      </c>
      <c r="K15" s="30">
        <v>164.50864445747922</v>
      </c>
      <c r="L15" s="30">
        <v>238.58800939863869</v>
      </c>
      <c r="M15" s="30">
        <v>323.25906307616179</v>
      </c>
      <c r="N15" s="30">
        <v>196.03272046469408</v>
      </c>
      <c r="O15" s="30">
        <v>344.96263648897104</v>
      </c>
      <c r="P15" s="30">
        <v>204.67803145705764</v>
      </c>
      <c r="Q15" s="30">
        <v>272.7116829365869</v>
      </c>
      <c r="R15" s="30">
        <v>270.14438427069854</v>
      </c>
      <c r="S15" s="30">
        <v>258.44966913826897</v>
      </c>
      <c r="T15" s="30">
        <v>352.79026011252245</v>
      </c>
      <c r="U15" s="30">
        <v>282.88535424491766</v>
      </c>
      <c r="V15" s="30">
        <v>295.01212613102956</v>
      </c>
      <c r="W15" s="29"/>
      <c r="X15" s="35">
        <f t="shared" si="6"/>
        <v>3204.0225821770264</v>
      </c>
    </row>
    <row r="16" spans="1:24" outlineLevel="1" x14ac:dyDescent="0.2">
      <c r="D16" s="23" t="s">
        <v>3306</v>
      </c>
      <c r="G16" s="23" t="s">
        <v>3303</v>
      </c>
      <c r="K16" s="30">
        <v>264.50372635236681</v>
      </c>
      <c r="L16" s="30">
        <v>283.19533458568918</v>
      </c>
      <c r="M16" s="30">
        <v>318.05013149184742</v>
      </c>
      <c r="N16" s="30">
        <v>335.83180669497591</v>
      </c>
      <c r="O16" s="30">
        <v>258.58846255386885</v>
      </c>
      <c r="P16" s="30">
        <v>236.62642969185708</v>
      </c>
      <c r="Q16" s="30">
        <v>262.90039976933673</v>
      </c>
      <c r="R16" s="30">
        <v>325.09637495080085</v>
      </c>
      <c r="S16" s="30">
        <v>283.05502015766808</v>
      </c>
      <c r="T16" s="30">
        <v>355.81516689028081</v>
      </c>
      <c r="U16" s="30">
        <v>303.96598203159169</v>
      </c>
      <c r="V16" s="30">
        <v>157.44876841918457</v>
      </c>
      <c r="X16" s="29">
        <f t="shared" si="6"/>
        <v>3385.0776035894678</v>
      </c>
    </row>
    <row r="17" spans="2:24" outlineLevel="1" x14ac:dyDescent="0.2"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2:24" s="24" customFormat="1" outlineLevel="1" x14ac:dyDescent="0.2">
      <c r="C18" s="31" t="s">
        <v>3307</v>
      </c>
      <c r="D18" s="31"/>
      <c r="E18" s="31"/>
      <c r="F18" s="31"/>
      <c r="G18" s="31" t="s">
        <v>3303</v>
      </c>
      <c r="H18" s="31"/>
      <c r="K18" s="32">
        <f>K19+K20</f>
        <v>646.2728845409265</v>
      </c>
      <c r="L18" s="32">
        <f t="shared" ref="L18" si="29">L19+L20</f>
        <v>631.76218308315742</v>
      </c>
      <c r="M18" s="32">
        <f t="shared" ref="M18" si="30">M19+M20</f>
        <v>1121.064803055945</v>
      </c>
      <c r="N18" s="32">
        <f t="shared" ref="N18" si="31">N19+N20</f>
        <v>989.77060574447603</v>
      </c>
      <c r="O18" s="32">
        <f t="shared" ref="O18" si="32">O19+O20</f>
        <v>904.38980867694568</v>
      </c>
      <c r="P18" s="32">
        <f t="shared" ref="P18" si="33">P19+P20</f>
        <v>700.77005100861174</v>
      </c>
      <c r="Q18" s="32">
        <f t="shared" ref="Q18" si="34">Q19+Q20</f>
        <v>787.0973496250391</v>
      </c>
      <c r="R18" s="32">
        <f t="shared" ref="R18" si="35">R19+R20</f>
        <v>1008.9186108910651</v>
      </c>
      <c r="S18" s="32">
        <f t="shared" ref="S18" si="36">S19+S20</f>
        <v>808.5082869623875</v>
      </c>
      <c r="T18" s="32">
        <f t="shared" ref="T18" si="37">T19+T20</f>
        <v>1104.9525121986223</v>
      </c>
      <c r="U18" s="32">
        <f t="shared" ref="U18" si="38">U19+U20</f>
        <v>902.04238003863384</v>
      </c>
      <c r="V18" s="32">
        <f t="shared" ref="V18" si="39">V19+V20</f>
        <v>656.29427503617399</v>
      </c>
      <c r="W18" s="28"/>
      <c r="X18" s="33">
        <f t="shared" si="6"/>
        <v>10261.843750861985</v>
      </c>
    </row>
    <row r="19" spans="2:24" outlineLevel="1" x14ac:dyDescent="0.2">
      <c r="D19" s="23" t="s">
        <v>3305</v>
      </c>
      <c r="G19" s="23" t="s">
        <v>3303</v>
      </c>
      <c r="K19" s="30">
        <v>281.84381471390407</v>
      </c>
      <c r="L19" s="30">
        <v>278.88770089738745</v>
      </c>
      <c r="M19" s="30">
        <v>527.4672947093843</v>
      </c>
      <c r="N19" s="30">
        <v>358.5781400015544</v>
      </c>
      <c r="O19" s="30">
        <v>485.32984906284929</v>
      </c>
      <c r="P19" s="30">
        <v>325.69236260835964</v>
      </c>
      <c r="Q19" s="30">
        <v>447.45604229358901</v>
      </c>
      <c r="R19" s="30">
        <v>496.91692993639833</v>
      </c>
      <c r="S19" s="30">
        <v>310.41882461597294</v>
      </c>
      <c r="T19" s="30">
        <v>621.47671028659749</v>
      </c>
      <c r="U19" s="30">
        <v>462.13505373188173</v>
      </c>
      <c r="V19" s="30">
        <v>418.87951578147869</v>
      </c>
      <c r="W19" s="29"/>
      <c r="X19" s="35">
        <f t="shared" si="6"/>
        <v>5015.0822386393575</v>
      </c>
    </row>
    <row r="20" spans="2:24" outlineLevel="1" x14ac:dyDescent="0.2">
      <c r="D20" s="23" t="s">
        <v>3306</v>
      </c>
      <c r="G20" s="23" t="s">
        <v>3303</v>
      </c>
      <c r="K20" s="30">
        <v>364.42906982702243</v>
      </c>
      <c r="L20" s="30">
        <v>352.87448218577003</v>
      </c>
      <c r="M20" s="30">
        <v>593.59750834656063</v>
      </c>
      <c r="N20" s="30">
        <v>631.19246574292163</v>
      </c>
      <c r="O20" s="30">
        <v>419.05995961409633</v>
      </c>
      <c r="P20" s="30">
        <v>375.07768840025216</v>
      </c>
      <c r="Q20" s="30">
        <v>339.64130733145009</v>
      </c>
      <c r="R20" s="30">
        <v>512.00168095466677</v>
      </c>
      <c r="S20" s="30">
        <v>498.08946234641462</v>
      </c>
      <c r="T20" s="30">
        <v>483.47580191202485</v>
      </c>
      <c r="U20" s="30">
        <v>439.90732630675205</v>
      </c>
      <c r="V20" s="30">
        <v>237.41475925469524</v>
      </c>
      <c r="W20" s="29"/>
      <c r="X20" s="29">
        <f t="shared" si="6"/>
        <v>5246.7615122226271</v>
      </c>
    </row>
    <row r="21" spans="2:24" outlineLevel="1" x14ac:dyDescent="0.2"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2:24" s="24" customFormat="1" outlineLevel="1" x14ac:dyDescent="0.2">
      <c r="B22" s="36" t="s">
        <v>3311</v>
      </c>
      <c r="C22" s="36"/>
      <c r="D22" s="36"/>
      <c r="E22" s="36"/>
      <c r="F22" s="36"/>
      <c r="G22" s="36" t="s">
        <v>3303</v>
      </c>
      <c r="H22" s="36"/>
      <c r="K22" s="37">
        <f>K4+K13</f>
        <v>1995.2290679976716</v>
      </c>
      <c r="L22" s="37">
        <f t="shared" ref="L22:X22" si="40">L4+L13</f>
        <v>2073.4893397143842</v>
      </c>
      <c r="M22" s="37">
        <f t="shared" si="40"/>
        <v>2682.3178102708534</v>
      </c>
      <c r="N22" s="37">
        <f t="shared" si="40"/>
        <v>2441.5789455510449</v>
      </c>
      <c r="O22" s="37">
        <f t="shared" si="40"/>
        <v>2427.8847203666846</v>
      </c>
      <c r="P22" s="37">
        <f t="shared" si="40"/>
        <v>2062.0183248044254</v>
      </c>
      <c r="Q22" s="37">
        <f t="shared" si="40"/>
        <v>2242.6532449778615</v>
      </c>
      <c r="R22" s="37">
        <f t="shared" si="40"/>
        <v>2524.1031827594634</v>
      </c>
      <c r="S22" s="37">
        <f t="shared" si="40"/>
        <v>2269.9567889052237</v>
      </c>
      <c r="T22" s="37">
        <f t="shared" si="40"/>
        <v>2733.5017518483246</v>
      </c>
      <c r="U22" s="37">
        <f t="shared" si="40"/>
        <v>2408.8375289620421</v>
      </c>
      <c r="V22" s="37">
        <f t="shared" si="40"/>
        <v>2028.6989822332871</v>
      </c>
      <c r="W22" s="29"/>
      <c r="X22" s="37">
        <f t="shared" si="40"/>
        <v>27890.269688391265</v>
      </c>
    </row>
    <row r="23" spans="2:24" outlineLevel="1" x14ac:dyDescent="0.2"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 spans="2:24" x14ac:dyDescent="0.2">
      <c r="B24" s="34" t="s">
        <v>3309</v>
      </c>
      <c r="C24" s="34"/>
      <c r="D24" s="34"/>
      <c r="E24" s="34"/>
      <c r="F24" s="34"/>
      <c r="G24" s="34"/>
      <c r="H24" s="34"/>
      <c r="I24" s="24"/>
      <c r="J24" s="2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29"/>
      <c r="X24" s="34"/>
    </row>
    <row r="25" spans="2:24" outlineLevel="1" x14ac:dyDescent="0.2">
      <c r="W25" s="29"/>
    </row>
    <row r="26" spans="2:24" outlineLevel="1" x14ac:dyDescent="0.2">
      <c r="B26" s="25" t="s">
        <v>3302</v>
      </c>
      <c r="C26" s="26"/>
      <c r="D26" s="26"/>
      <c r="E26" s="26"/>
      <c r="F26" s="26"/>
      <c r="G26" s="25"/>
      <c r="H26" s="26"/>
      <c r="I26" s="24"/>
      <c r="J26" s="24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9"/>
      <c r="X26" s="27"/>
    </row>
    <row r="27" spans="2:24" s="24" customFormat="1" outlineLevel="1" x14ac:dyDescent="0.2">
      <c r="C27" s="31" t="s">
        <v>3304</v>
      </c>
      <c r="D27" s="31"/>
      <c r="E27" s="31"/>
      <c r="F27" s="31"/>
      <c r="G27" s="31"/>
      <c r="H27" s="31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29"/>
      <c r="X27" s="33"/>
    </row>
    <row r="28" spans="2:24" outlineLevel="1" x14ac:dyDescent="0.2">
      <c r="D28" s="23" t="s">
        <v>3305</v>
      </c>
      <c r="G28" s="23" t="s">
        <v>3312</v>
      </c>
      <c r="K28" s="30">
        <v>156.82141821555766</v>
      </c>
      <c r="L28" s="30">
        <v>151.98010114962193</v>
      </c>
      <c r="M28" s="30">
        <v>123.71240604202603</v>
      </c>
      <c r="N28" s="30">
        <v>214.142551226297</v>
      </c>
      <c r="O28" s="30">
        <v>143.92072704198074</v>
      </c>
      <c r="P28" s="30">
        <v>220.32397187768044</v>
      </c>
      <c r="Q28" s="30">
        <v>310.21997640052609</v>
      </c>
      <c r="R28" s="30">
        <v>184.65678971327742</v>
      </c>
      <c r="S28" s="30">
        <v>210.24478165140505</v>
      </c>
      <c r="T28" s="30">
        <v>256.07003816347793</v>
      </c>
      <c r="U28" s="30">
        <v>157.76811724546141</v>
      </c>
      <c r="V28" s="30">
        <v>203.15255430930733</v>
      </c>
      <c r="W28" s="29"/>
      <c r="X28" s="35"/>
    </row>
    <row r="29" spans="2:24" outlineLevel="1" x14ac:dyDescent="0.2">
      <c r="D29" s="23" t="s">
        <v>3306</v>
      </c>
      <c r="G29" s="23" t="s">
        <v>3312</v>
      </c>
      <c r="K29" s="30">
        <v>357.15682876935597</v>
      </c>
      <c r="L29" s="30">
        <v>253.52638681182177</v>
      </c>
      <c r="M29" s="30">
        <v>275.29483346745008</v>
      </c>
      <c r="N29" s="30">
        <v>252.21148250058988</v>
      </c>
      <c r="O29" s="30">
        <v>353.69669659875007</v>
      </c>
      <c r="P29" s="30">
        <v>255.53610387726567</v>
      </c>
      <c r="Q29" s="30">
        <v>309.02673216035373</v>
      </c>
      <c r="R29" s="30">
        <v>279.87633953100482</v>
      </c>
      <c r="S29" s="30">
        <v>208.11919201697174</v>
      </c>
      <c r="T29" s="30">
        <v>326.25211542834359</v>
      </c>
      <c r="U29" s="30">
        <v>334.17688124870693</v>
      </c>
      <c r="V29" s="30">
        <v>318.56158776091252</v>
      </c>
      <c r="X29" s="29"/>
    </row>
    <row r="30" spans="2:24" outlineLevel="1" x14ac:dyDescent="0.2"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 spans="2:24" s="24" customFormat="1" outlineLevel="1" x14ac:dyDescent="0.2">
      <c r="C31" s="31" t="s">
        <v>3307</v>
      </c>
      <c r="D31" s="31"/>
      <c r="E31" s="31"/>
      <c r="F31" s="31"/>
      <c r="G31" s="31"/>
      <c r="H31" s="31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28"/>
      <c r="X31" s="33"/>
    </row>
    <row r="32" spans="2:24" outlineLevel="1" x14ac:dyDescent="0.2">
      <c r="D32" s="23" t="s">
        <v>3305</v>
      </c>
      <c r="G32" s="23" t="s">
        <v>3312</v>
      </c>
      <c r="K32" s="30">
        <v>152.22934457258873</v>
      </c>
      <c r="L32" s="30">
        <v>192.9547416928466</v>
      </c>
      <c r="M32" s="30">
        <v>153.77688180037848</v>
      </c>
      <c r="N32" s="30">
        <v>196.44313658153914</v>
      </c>
      <c r="O32" s="30">
        <v>296.33761533930527</v>
      </c>
      <c r="P32" s="30">
        <v>266.12094773829347</v>
      </c>
      <c r="Q32" s="30">
        <v>241.60356104838758</v>
      </c>
      <c r="R32" s="30">
        <v>187.19866840519626</v>
      </c>
      <c r="S32" s="30">
        <v>108.08959549344969</v>
      </c>
      <c r="T32" s="30">
        <v>149.23104455136064</v>
      </c>
      <c r="U32" s="30">
        <v>308.67102310679559</v>
      </c>
      <c r="V32" s="30">
        <v>217.70173131217888</v>
      </c>
      <c r="W32" s="29"/>
      <c r="X32" s="35"/>
    </row>
    <row r="33" spans="2:24" outlineLevel="1" x14ac:dyDescent="0.2">
      <c r="D33" s="23" t="s">
        <v>3306</v>
      </c>
      <c r="G33" s="23" t="s">
        <v>3312</v>
      </c>
      <c r="K33" s="30">
        <v>334.64214899248213</v>
      </c>
      <c r="L33" s="30">
        <v>453.72331583726259</v>
      </c>
      <c r="M33" s="30">
        <v>276.72440230029383</v>
      </c>
      <c r="N33" s="30">
        <v>424.20756557189821</v>
      </c>
      <c r="O33" s="30">
        <v>678.93128400995215</v>
      </c>
      <c r="P33" s="30">
        <v>479.74477986002631</v>
      </c>
      <c r="Q33" s="30">
        <v>386.32653585250887</v>
      </c>
      <c r="R33" s="30">
        <v>493.24091430846028</v>
      </c>
      <c r="S33" s="30">
        <v>449.48909486047228</v>
      </c>
      <c r="T33" s="30">
        <v>422.02649199269092</v>
      </c>
      <c r="U33" s="30">
        <v>572.98115679320711</v>
      </c>
      <c r="V33" s="30">
        <v>563.24297168937176</v>
      </c>
      <c r="X33" s="29"/>
    </row>
    <row r="34" spans="2:24" outlineLevel="1" x14ac:dyDescent="0.2"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2:24" outlineLevel="1" x14ac:dyDescent="0.2">
      <c r="B35" s="25" t="s">
        <v>3308</v>
      </c>
      <c r="C35" s="26"/>
      <c r="D35" s="26"/>
      <c r="E35" s="26"/>
      <c r="F35" s="26"/>
      <c r="G35" s="25"/>
      <c r="H35" s="26"/>
      <c r="I35" s="24"/>
      <c r="J35" s="24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8"/>
      <c r="X35" s="27"/>
    </row>
    <row r="36" spans="2:24" s="24" customFormat="1" outlineLevel="1" x14ac:dyDescent="0.2">
      <c r="C36" s="31" t="s">
        <v>3304</v>
      </c>
      <c r="D36" s="31"/>
      <c r="E36" s="31"/>
      <c r="F36" s="31"/>
      <c r="G36" s="31"/>
      <c r="H36" s="31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28"/>
      <c r="X36" s="33"/>
    </row>
    <row r="37" spans="2:24" outlineLevel="1" x14ac:dyDescent="0.2">
      <c r="D37" s="23" t="s">
        <v>3305</v>
      </c>
      <c r="G37" s="23" t="s">
        <v>3312</v>
      </c>
      <c r="K37" s="30">
        <v>167.11410392225312</v>
      </c>
      <c r="L37" s="30">
        <v>171.17396223697483</v>
      </c>
      <c r="M37" s="30">
        <v>174.57979071149765</v>
      </c>
      <c r="N37" s="30">
        <v>142.18712185204902</v>
      </c>
      <c r="O37" s="30">
        <v>137.7207925416736</v>
      </c>
      <c r="P37" s="30">
        <v>149.05060596777761</v>
      </c>
      <c r="Q37" s="30">
        <v>162.85980441782931</v>
      </c>
      <c r="R37" s="30">
        <v>173.86067581360948</v>
      </c>
      <c r="S37" s="30">
        <v>158.93070131972402</v>
      </c>
      <c r="T37" s="30">
        <v>149.54754105685194</v>
      </c>
      <c r="U37" s="30">
        <v>136.75410819076441</v>
      </c>
      <c r="V37" s="30">
        <v>166.76807236107663</v>
      </c>
      <c r="W37" s="29"/>
      <c r="X37" s="35"/>
    </row>
    <row r="38" spans="2:24" outlineLevel="1" x14ac:dyDescent="0.2">
      <c r="D38" s="23" t="s">
        <v>3306</v>
      </c>
      <c r="G38" s="23" t="s">
        <v>3312</v>
      </c>
      <c r="K38" s="30">
        <v>353.00794281282367</v>
      </c>
      <c r="L38" s="30">
        <v>336.6840242809368</v>
      </c>
      <c r="M38" s="30">
        <v>346.33538136778259</v>
      </c>
      <c r="N38" s="30">
        <v>346.3845234772931</v>
      </c>
      <c r="O38" s="30">
        <v>340.7405171477115</v>
      </c>
      <c r="P38" s="30">
        <v>349.5097105453109</v>
      </c>
      <c r="Q38" s="30">
        <v>357.17669916198491</v>
      </c>
      <c r="R38" s="30">
        <v>329.41837633659429</v>
      </c>
      <c r="S38" s="30">
        <v>360.9930324197727</v>
      </c>
      <c r="T38" s="30">
        <v>336.02544986511714</v>
      </c>
      <c r="U38" s="30">
        <v>341.48219935281827</v>
      </c>
      <c r="V38" s="30">
        <v>356.45510856189452</v>
      </c>
      <c r="X38" s="29"/>
    </row>
    <row r="39" spans="2:24" outlineLevel="1" x14ac:dyDescent="0.2"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</row>
    <row r="40" spans="2:24" s="24" customFormat="1" outlineLevel="1" x14ac:dyDescent="0.2">
      <c r="C40" s="31" t="s">
        <v>3307</v>
      </c>
      <c r="D40" s="31"/>
      <c r="E40" s="31"/>
      <c r="F40" s="31"/>
      <c r="G40" s="31"/>
      <c r="H40" s="31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28"/>
      <c r="X40" s="33"/>
    </row>
    <row r="41" spans="2:24" outlineLevel="1" x14ac:dyDescent="0.2">
      <c r="D41" s="23" t="s">
        <v>3305</v>
      </c>
      <c r="G41" s="23" t="s">
        <v>3312</v>
      </c>
      <c r="K41" s="30">
        <v>135.27529852859669</v>
      </c>
      <c r="L41" s="30">
        <v>144.85024802786435</v>
      </c>
      <c r="M41" s="30">
        <v>161.85606523824802</v>
      </c>
      <c r="N41" s="30">
        <v>162.49086853438567</v>
      </c>
      <c r="O41" s="30">
        <v>150.18898340692382</v>
      </c>
      <c r="P41" s="30">
        <v>152.79492476745926</v>
      </c>
      <c r="Q41" s="30">
        <v>151.22623782160457</v>
      </c>
      <c r="R41" s="30">
        <v>143.67776709031099</v>
      </c>
      <c r="S41" s="30">
        <v>155.28266297479473</v>
      </c>
      <c r="T41" s="30">
        <v>142.32903455547441</v>
      </c>
      <c r="U41" s="30">
        <v>156.41470086442462</v>
      </c>
      <c r="V41" s="30">
        <v>152.53764348237948</v>
      </c>
      <c r="W41" s="29"/>
      <c r="X41" s="35"/>
    </row>
    <row r="42" spans="2:24" outlineLevel="1" x14ac:dyDescent="0.2">
      <c r="D42" s="23" t="s">
        <v>3306</v>
      </c>
      <c r="G42" s="23" t="s">
        <v>3312</v>
      </c>
      <c r="K42" s="30">
        <v>346.9648831161677</v>
      </c>
      <c r="L42" s="30">
        <v>345.64590674333556</v>
      </c>
      <c r="M42" s="30">
        <v>355.93752039451823</v>
      </c>
      <c r="N42" s="30">
        <v>364.18564351158687</v>
      </c>
      <c r="O42" s="30">
        <v>370.95805069880419</v>
      </c>
      <c r="P42" s="30">
        <v>349.31821340293328</v>
      </c>
      <c r="Q42" s="30">
        <v>341.97747461004928</v>
      </c>
      <c r="R42" s="30">
        <v>344.45946310772291</v>
      </c>
      <c r="S42" s="30">
        <v>342.26039147442606</v>
      </c>
      <c r="T42" s="30">
        <v>351.71009060413991</v>
      </c>
      <c r="U42" s="30">
        <v>363.76929627767862</v>
      </c>
      <c r="V42" s="30">
        <v>371.77124085528271</v>
      </c>
      <c r="X42" s="29"/>
    </row>
    <row r="43" spans="2:24" outlineLevel="1" x14ac:dyDescent="0.2"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spans="2:24" x14ac:dyDescent="0.2">
      <c r="B44" s="34" t="s">
        <v>3310</v>
      </c>
      <c r="C44" s="34"/>
      <c r="D44" s="34"/>
      <c r="E44" s="34"/>
      <c r="F44" s="34"/>
      <c r="G44" s="34"/>
      <c r="H44" s="34"/>
      <c r="I44" s="24"/>
      <c r="J44" s="2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24"/>
      <c r="X44" s="34"/>
    </row>
    <row r="45" spans="2:24" outlineLevel="1" x14ac:dyDescent="0.2"/>
    <row r="46" spans="2:24" outlineLevel="1" x14ac:dyDescent="0.2">
      <c r="B46" s="25" t="s">
        <v>3302</v>
      </c>
      <c r="C46" s="26"/>
      <c r="D46" s="26"/>
      <c r="E46" s="26"/>
      <c r="F46" s="26"/>
      <c r="G46" s="25" t="s">
        <v>3313</v>
      </c>
      <c r="H46" s="26"/>
      <c r="I46" s="24"/>
      <c r="J46" s="24"/>
      <c r="K46" s="27">
        <f>K47+K51</f>
        <v>240.06319131449078</v>
      </c>
      <c r="L46" s="27">
        <f t="shared" ref="L46" si="41">L47+L51</f>
        <v>237.59706596139625</v>
      </c>
      <c r="M46" s="27">
        <f t="shared" ref="M46" si="42">M47+M51</f>
        <v>196.35301144871994</v>
      </c>
      <c r="N46" s="27">
        <f t="shared" ref="N46" si="43">N47+N51</f>
        <v>245.96171802177059</v>
      </c>
      <c r="O46" s="27">
        <f t="shared" ref="O46" si="44">O47+O51</f>
        <v>330.48401850629961</v>
      </c>
      <c r="P46" s="27">
        <f t="shared" ref="P46" si="45">P47+P51</f>
        <v>272.58484192158954</v>
      </c>
      <c r="Q46" s="27">
        <f t="shared" ref="Q46" si="46">Q47+Q51</f>
        <v>286.40818935413506</v>
      </c>
      <c r="R46" s="27">
        <f t="shared" ref="R46" si="47">R47+R51</f>
        <v>259.56288545375287</v>
      </c>
      <c r="S46" s="27">
        <f t="shared" ref="S46" si="48">S47+S51</f>
        <v>219.13242445864893</v>
      </c>
      <c r="T46" s="27">
        <f t="shared" ref="T46" si="49">T47+T51</f>
        <v>268.74911675643898</v>
      </c>
      <c r="U46" s="27">
        <f t="shared" ref="U46" si="50">U47+U51</f>
        <v>309.4222643255606</v>
      </c>
      <c r="V46" s="27">
        <f t="shared" ref="V46" si="51">V47+V51</f>
        <v>295.12954592364497</v>
      </c>
      <c r="W46" s="28"/>
      <c r="X46" s="27">
        <f>SUM(K46:V46)</f>
        <v>3161.4482734464477</v>
      </c>
    </row>
    <row r="47" spans="2:24" s="24" customFormat="1" outlineLevel="1" x14ac:dyDescent="0.2">
      <c r="C47" s="31" t="s">
        <v>3304</v>
      </c>
      <c r="D47" s="31"/>
      <c r="E47" s="31"/>
      <c r="F47" s="31"/>
      <c r="G47" s="31" t="s">
        <v>3313</v>
      </c>
      <c r="H47" s="31"/>
      <c r="K47" s="32">
        <f>K48+K49</f>
        <v>145.9908492562196</v>
      </c>
      <c r="L47" s="32">
        <f t="shared" ref="L47" si="52">L48+L49</f>
        <v>112.65405526097669</v>
      </c>
      <c r="M47" s="32">
        <f t="shared" ref="M47" si="53">M48+M49</f>
        <v>113.15822231371352</v>
      </c>
      <c r="N47" s="32">
        <f t="shared" ref="N47" si="54">N48+N49</f>
        <v>126.03905826643633</v>
      </c>
      <c r="O47" s="32">
        <f t="shared" ref="O47" si="55">O48+O49</f>
        <v>142.05086289839949</v>
      </c>
      <c r="P47" s="32">
        <f t="shared" ref="P47" si="56">P48+P49</f>
        <v>128.44579536921111</v>
      </c>
      <c r="Q47" s="32">
        <f t="shared" ref="Q47" si="57">Q48+Q49</f>
        <v>165.04728705549644</v>
      </c>
      <c r="R47" s="32">
        <f t="shared" ref="R47" si="58">R48+R49</f>
        <v>128.10861023908467</v>
      </c>
      <c r="S47" s="32">
        <f t="shared" ref="S47" si="59">S48+S49</f>
        <v>111.44719845258643</v>
      </c>
      <c r="T47" s="32">
        <f t="shared" ref="T47" si="60">T48+T49</f>
        <v>158.39361334170636</v>
      </c>
      <c r="U47" s="32">
        <f t="shared" ref="U47" si="61">U48+U49</f>
        <v>139.04675990055867</v>
      </c>
      <c r="V47" s="32">
        <f t="shared" ref="V47" si="62">V48+V49</f>
        <v>144.25655320121953</v>
      </c>
      <c r="W47" s="28"/>
      <c r="X47" s="33">
        <f>SUM(K47:V47)</f>
        <v>1614.6388655556091</v>
      </c>
    </row>
    <row r="48" spans="2:24" outlineLevel="1" x14ac:dyDescent="0.2">
      <c r="D48" s="23" t="s">
        <v>3305</v>
      </c>
      <c r="G48" s="23" t="s">
        <v>3313</v>
      </c>
      <c r="K48" s="29">
        <f>K6*K28/1000</f>
        <v>34.799970273190482</v>
      </c>
      <c r="L48" s="29">
        <f t="shared" ref="L48:V48" si="63">L6*L28/1000</f>
        <v>33.72564195825283</v>
      </c>
      <c r="M48" s="29">
        <f t="shared" si="63"/>
        <v>27.452806521426265</v>
      </c>
      <c r="N48" s="29">
        <f t="shared" si="63"/>
        <v>47.520003974565554</v>
      </c>
      <c r="O48" s="29">
        <f t="shared" si="63"/>
        <v>31.93720015892589</v>
      </c>
      <c r="P48" s="29">
        <f t="shared" si="63"/>
        <v>48.891712363393836</v>
      </c>
      <c r="Q48" s="29">
        <f t="shared" si="63"/>
        <v>68.840379584178294</v>
      </c>
      <c r="R48" s="29">
        <f t="shared" si="63"/>
        <v>40.976869523855228</v>
      </c>
      <c r="S48" s="29">
        <f t="shared" si="63"/>
        <v>46.655056654987426</v>
      </c>
      <c r="T48" s="29">
        <f t="shared" si="63"/>
        <v>56.824060242172557</v>
      </c>
      <c r="U48" s="29">
        <f t="shared" si="63"/>
        <v>35.010050621099495</v>
      </c>
      <c r="V48" s="29">
        <f t="shared" si="63"/>
        <v>45.081232725296523</v>
      </c>
      <c r="W48" s="29"/>
      <c r="X48" s="35">
        <f>SUM(K48:V48)</f>
        <v>517.71498460134433</v>
      </c>
    </row>
    <row r="49" spans="2:24" outlineLevel="1" x14ac:dyDescent="0.2">
      <c r="D49" s="23" t="s">
        <v>3306</v>
      </c>
      <c r="G49" s="23" t="s">
        <v>3313</v>
      </c>
      <c r="K49" s="29">
        <f t="shared" ref="K49:V49" si="64">K7*K29/1000</f>
        <v>111.19087898302912</v>
      </c>
      <c r="L49" s="29">
        <f t="shared" si="64"/>
        <v>78.928413302723854</v>
      </c>
      <c r="M49" s="29">
        <f t="shared" si="64"/>
        <v>85.705415792287255</v>
      </c>
      <c r="N49" s="29">
        <f t="shared" si="64"/>
        <v>78.519054291870773</v>
      </c>
      <c r="O49" s="29">
        <f t="shared" si="64"/>
        <v>110.1136627394736</v>
      </c>
      <c r="P49" s="29">
        <f t="shared" si="64"/>
        <v>79.554083005817262</v>
      </c>
      <c r="Q49" s="29">
        <f t="shared" si="64"/>
        <v>96.206907471318132</v>
      </c>
      <c r="R49" s="29">
        <f t="shared" si="64"/>
        <v>87.131740715229441</v>
      </c>
      <c r="S49" s="29">
        <f t="shared" si="64"/>
        <v>64.792141797599015</v>
      </c>
      <c r="T49" s="29">
        <f t="shared" si="64"/>
        <v>101.56955309953379</v>
      </c>
      <c r="U49" s="29">
        <f t="shared" si="64"/>
        <v>104.03670927945917</v>
      </c>
      <c r="V49" s="29">
        <f t="shared" si="64"/>
        <v>99.175320475923002</v>
      </c>
      <c r="X49" s="29">
        <f t="shared" ref="X49" si="65">SUM(K49:V49)</f>
        <v>1096.9238809542642</v>
      </c>
    </row>
    <row r="50" spans="2:24" outlineLevel="1" x14ac:dyDescent="0.2"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 spans="2:24" s="24" customFormat="1" outlineLevel="1" x14ac:dyDescent="0.2">
      <c r="C51" s="31" t="s">
        <v>3307</v>
      </c>
      <c r="D51" s="31"/>
      <c r="E51" s="31"/>
      <c r="F51" s="31"/>
      <c r="G51" s="31" t="s">
        <v>3313</v>
      </c>
      <c r="H51" s="31"/>
      <c r="K51" s="32">
        <f>K52+K53</f>
        <v>94.072342058271175</v>
      </c>
      <c r="L51" s="32">
        <f t="shared" ref="L51" si="66">L52+L53</f>
        <v>124.94301070041955</v>
      </c>
      <c r="M51" s="32">
        <f t="shared" ref="M51" si="67">M52+M53</f>
        <v>83.194789135006431</v>
      </c>
      <c r="N51" s="32">
        <f t="shared" ref="N51" si="68">N52+N53</f>
        <v>119.92265975533425</v>
      </c>
      <c r="O51" s="32">
        <f t="shared" ref="O51" si="69">O52+O53</f>
        <v>188.43315560790012</v>
      </c>
      <c r="P51" s="32">
        <f t="shared" ref="P51" si="70">P52+P53</f>
        <v>144.13904655237843</v>
      </c>
      <c r="Q51" s="32">
        <f t="shared" ref="Q51" si="71">Q52+Q53</f>
        <v>121.36090229863862</v>
      </c>
      <c r="R51" s="32">
        <f t="shared" ref="R51" si="72">R52+R53</f>
        <v>131.4542752146682</v>
      </c>
      <c r="S51" s="32">
        <f t="shared" ref="S51" si="73">S52+S53</f>
        <v>107.68522600606249</v>
      </c>
      <c r="T51" s="32">
        <f t="shared" ref="T51" si="74">T52+T53</f>
        <v>110.35550341473264</v>
      </c>
      <c r="U51" s="32">
        <f t="shared" ref="U51" si="75">U52+U53</f>
        <v>170.37550442500191</v>
      </c>
      <c r="V51" s="32">
        <f t="shared" ref="V51" si="76">V52+V53</f>
        <v>150.87299272242541</v>
      </c>
      <c r="W51" s="28"/>
      <c r="X51" s="33">
        <f>SUM(K51:V51)</f>
        <v>1546.8094078908391</v>
      </c>
    </row>
    <row r="52" spans="2:24" outlineLevel="1" x14ac:dyDescent="0.2">
      <c r="D52" s="23" t="s">
        <v>3305</v>
      </c>
      <c r="G52" s="23" t="s">
        <v>3313</v>
      </c>
      <c r="K52" s="29">
        <f>K10*K32/1000</f>
        <v>29.490873936877112</v>
      </c>
      <c r="L52" s="29">
        <f t="shared" ref="L52:V52" si="77">L10*L32/1000</f>
        <v>37.380466813170997</v>
      </c>
      <c r="M52" s="29">
        <f t="shared" si="77"/>
        <v>29.790673068414527</v>
      </c>
      <c r="N52" s="29">
        <f t="shared" si="77"/>
        <v>38.056261707994459</v>
      </c>
      <c r="O52" s="29">
        <f t="shared" si="77"/>
        <v>57.408479825379693</v>
      </c>
      <c r="P52" s="29">
        <f t="shared" si="77"/>
        <v>51.554707430077542</v>
      </c>
      <c r="Q52" s="29">
        <f t="shared" si="77"/>
        <v>46.805037370315112</v>
      </c>
      <c r="R52" s="29">
        <f t="shared" si="77"/>
        <v>36.265362283396328</v>
      </c>
      <c r="S52" s="29">
        <f t="shared" si="77"/>
        <v>20.939830251094392</v>
      </c>
      <c r="T52" s="29">
        <f t="shared" si="77"/>
        <v>28.910023456312832</v>
      </c>
      <c r="U52" s="29">
        <f t="shared" si="77"/>
        <v>59.797789026600881</v>
      </c>
      <c r="V52" s="29">
        <f t="shared" si="77"/>
        <v>42.174617068695042</v>
      </c>
      <c r="W52" s="29"/>
      <c r="X52" s="35">
        <f>SUM(K52:V52)</f>
        <v>478.57412223832893</v>
      </c>
    </row>
    <row r="53" spans="2:24" outlineLevel="1" x14ac:dyDescent="0.2">
      <c r="D53" s="23" t="s">
        <v>3306</v>
      </c>
      <c r="G53" s="23" t="s">
        <v>3313</v>
      </c>
      <c r="K53" s="29">
        <f t="shared" ref="K53:V53" si="78">K11*K33/1000</f>
        <v>64.581468121394067</v>
      </c>
      <c r="L53" s="29">
        <f t="shared" si="78"/>
        <v>87.562543887248552</v>
      </c>
      <c r="M53" s="29">
        <f t="shared" si="78"/>
        <v>53.404116066591897</v>
      </c>
      <c r="N53" s="29">
        <f t="shared" si="78"/>
        <v>81.866398047339786</v>
      </c>
      <c r="O53" s="29">
        <f t="shared" si="78"/>
        <v>131.02467578252043</v>
      </c>
      <c r="P53" s="29">
        <f t="shared" si="78"/>
        <v>92.584339122300875</v>
      </c>
      <c r="Q53" s="29">
        <f t="shared" si="78"/>
        <v>74.555864928323501</v>
      </c>
      <c r="R53" s="29">
        <f t="shared" si="78"/>
        <v>95.188912931271872</v>
      </c>
      <c r="S53" s="29">
        <f t="shared" si="78"/>
        <v>86.745395754968101</v>
      </c>
      <c r="T53" s="29">
        <f t="shared" si="78"/>
        <v>81.44547995841981</v>
      </c>
      <c r="U53" s="29">
        <f t="shared" si="78"/>
        <v>110.57771539840103</v>
      </c>
      <c r="V53" s="29">
        <f t="shared" si="78"/>
        <v>108.69837565373035</v>
      </c>
      <c r="X53" s="29">
        <f t="shared" ref="X53" si="79">SUM(K53:V53)</f>
        <v>1068.2352856525101</v>
      </c>
    </row>
    <row r="54" spans="2:24" outlineLevel="1" x14ac:dyDescent="0.2"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 spans="2:24" outlineLevel="1" x14ac:dyDescent="0.2">
      <c r="B55" s="25" t="s">
        <v>3308</v>
      </c>
      <c r="C55" s="26"/>
      <c r="D55" s="26"/>
      <c r="E55" s="26"/>
      <c r="F55" s="26"/>
      <c r="G55" s="25" t="s">
        <v>3313</v>
      </c>
      <c r="H55" s="26"/>
      <c r="I55" s="24"/>
      <c r="J55" s="24"/>
      <c r="K55" s="27">
        <f>K56+K60</f>
        <v>285.43422680247966</v>
      </c>
      <c r="L55" s="27">
        <f t="shared" ref="L55" si="80">L56+L60</f>
        <v>298.55397282548671</v>
      </c>
      <c r="M55" s="27">
        <f t="shared" ref="M55" si="81">M56+M60</f>
        <v>463.24391925849699</v>
      </c>
      <c r="N55" s="27">
        <f t="shared" ref="N55" si="82">N56+N60</f>
        <v>432.3371763648081</v>
      </c>
      <c r="O55" s="27">
        <f t="shared" ref="O55" si="83">O56+O60</f>
        <v>363.96495654571316</v>
      </c>
      <c r="P55" s="27">
        <f t="shared" ref="P55" si="84">P56+P60</f>
        <v>293.99622760729619</v>
      </c>
      <c r="Q55" s="27">
        <f t="shared" ref="Q55" si="85">Q56+Q60</f>
        <v>322.13243876455675</v>
      </c>
      <c r="R55" s="27">
        <f t="shared" ref="R55" si="86">R56+R60</f>
        <v>401.81994426029098</v>
      </c>
      <c r="S55" s="27">
        <f t="shared" ref="S55" si="87">S56+S60</f>
        <v>361.93543333619652</v>
      </c>
      <c r="T55" s="27">
        <f t="shared" ref="T55" si="88">T56+T60</f>
        <v>430.81936570096445</v>
      </c>
      <c r="U55" s="27">
        <f t="shared" ref="U55" si="89">U56+U60</f>
        <v>374.79420111901879</v>
      </c>
      <c r="V55" s="27">
        <f t="shared" ref="V55" si="90">V56+V60</f>
        <v>257.48089532363485</v>
      </c>
      <c r="W55" s="28"/>
      <c r="X55" s="27">
        <f>SUM(K55:V55)</f>
        <v>4286.512757908944</v>
      </c>
    </row>
    <row r="56" spans="2:24" s="24" customFormat="1" outlineLevel="1" x14ac:dyDescent="0.2">
      <c r="C56" s="31" t="s">
        <v>3304</v>
      </c>
      <c r="D56" s="31"/>
      <c r="E56" s="31"/>
      <c r="F56" s="31"/>
      <c r="G56" s="31" t="s">
        <v>3313</v>
      </c>
      <c r="H56" s="31"/>
      <c r="K56" s="32">
        <f>K57+K58</f>
        <v>120.86363101195126</v>
      </c>
      <c r="L56" s="32">
        <f t="shared" ref="L56" si="91">L57+L58</f>
        <v>136.18739981689379</v>
      </c>
      <c r="M56" s="32">
        <f t="shared" ref="M56" si="92">M57+M58</f>
        <v>166.58651316173354</v>
      </c>
      <c r="N56" s="32">
        <f t="shared" ref="N56" si="93">N57+N58</f>
        <v>144.20026864225977</v>
      </c>
      <c r="O56" s="32">
        <f t="shared" ref="O56" si="94">O57+O58</f>
        <v>135.62009415356323</v>
      </c>
      <c r="P56" s="32">
        <f t="shared" ref="P56" si="95">P57+P58</f>
        <v>113.21061956593762</v>
      </c>
      <c r="Q56" s="32">
        <f t="shared" ref="Q56" si="96">Q57+Q58</f>
        <v>138.31566834348757</v>
      </c>
      <c r="R56" s="32">
        <f t="shared" ref="R56" si="97">R57+R58</f>
        <v>154.06020520576055</v>
      </c>
      <c r="S56" s="32">
        <f t="shared" ref="S56" si="98">S57+S58</f>
        <v>143.25647724035221</v>
      </c>
      <c r="T56" s="32">
        <f t="shared" ref="T56" si="99">T57+T58</f>
        <v>172.32186743177326</v>
      </c>
      <c r="U56" s="32">
        <f t="shared" ref="U56" si="100">U57+U58</f>
        <v>142.48470641257936</v>
      </c>
      <c r="V56" s="32">
        <f t="shared" ref="V56" si="101">V57+V58</f>
        <v>105.32202143781163</v>
      </c>
      <c r="W56" s="28"/>
      <c r="X56" s="33">
        <f>SUM(K56:V56)</f>
        <v>1672.4294724241036</v>
      </c>
    </row>
    <row r="57" spans="2:24" outlineLevel="1" x14ac:dyDescent="0.2">
      <c r="D57" s="23" t="s">
        <v>3305</v>
      </c>
      <c r="G57" s="23" t="s">
        <v>3313</v>
      </c>
      <c r="K57" s="29">
        <f>K15*K37/1000</f>
        <v>27.491714705976175</v>
      </c>
      <c r="L57" s="29">
        <f t="shared" ref="L57:V57" si="102">L15*L37/1000</f>
        <v>40.84005491099758</v>
      </c>
      <c r="M57" s="29">
        <f t="shared" si="102"/>
        <v>56.434499577431147</v>
      </c>
      <c r="N57" s="29">
        <f t="shared" si="102"/>
        <v>27.873328311702121</v>
      </c>
      <c r="O57" s="29">
        <f t="shared" si="102"/>
        <v>47.50852769452635</v>
      </c>
      <c r="P57" s="29">
        <f t="shared" si="102"/>
        <v>30.507384616966291</v>
      </c>
      <c r="Q57" s="29">
        <f t="shared" si="102"/>
        <v>44.413771345509623</v>
      </c>
      <c r="R57" s="29">
        <f t="shared" si="102"/>
        <v>46.967485216555062</v>
      </c>
      <c r="S57" s="29">
        <f t="shared" si="102"/>
        <v>41.075587171995721</v>
      </c>
      <c r="T57" s="29">
        <f t="shared" si="102"/>
        <v>52.758915908634926</v>
      </c>
      <c r="U57" s="29">
        <f t="shared" si="102"/>
        <v>38.685734339992187</v>
      </c>
      <c r="V57" s="29">
        <f t="shared" si="102"/>
        <v>49.198603598014607</v>
      </c>
      <c r="W57" s="29"/>
      <c r="X57" s="35">
        <f>SUM(K57:V57)</f>
        <v>503.75560739830183</v>
      </c>
    </row>
    <row r="58" spans="2:24" outlineLevel="1" x14ac:dyDescent="0.2">
      <c r="D58" s="23" t="s">
        <v>3306</v>
      </c>
      <c r="G58" s="23" t="s">
        <v>3313</v>
      </c>
      <c r="K58" s="29">
        <f t="shared" ref="K58:V58" si="103">K16*K38/1000</f>
        <v>93.371916305975077</v>
      </c>
      <c r="L58" s="29">
        <f t="shared" si="103"/>
        <v>95.347344905896193</v>
      </c>
      <c r="M58" s="29">
        <f t="shared" si="103"/>
        <v>110.15201358430238</v>
      </c>
      <c r="N58" s="29">
        <f t="shared" si="103"/>
        <v>116.32694033055765</v>
      </c>
      <c r="O58" s="29">
        <f t="shared" si="103"/>
        <v>88.111566459036894</v>
      </c>
      <c r="P58" s="29">
        <f t="shared" si="103"/>
        <v>82.703234948971328</v>
      </c>
      <c r="Q58" s="29">
        <f t="shared" si="103"/>
        <v>93.901896997977957</v>
      </c>
      <c r="R58" s="29">
        <f t="shared" si="103"/>
        <v>107.09271998920548</v>
      </c>
      <c r="S58" s="29">
        <f t="shared" si="103"/>
        <v>102.18089006835649</v>
      </c>
      <c r="T58" s="29">
        <f t="shared" si="103"/>
        <v>119.56295152313834</v>
      </c>
      <c r="U58" s="29">
        <f t="shared" si="103"/>
        <v>103.79897207258718</v>
      </c>
      <c r="V58" s="29">
        <f t="shared" si="103"/>
        <v>56.123417839797021</v>
      </c>
      <c r="X58" s="29">
        <f t="shared" ref="X58" si="104">SUM(K58:V58)</f>
        <v>1168.6738650258021</v>
      </c>
    </row>
    <row r="59" spans="2:24" outlineLevel="1" x14ac:dyDescent="0.2"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</row>
    <row r="60" spans="2:24" s="24" customFormat="1" outlineLevel="1" x14ac:dyDescent="0.2">
      <c r="C60" s="31" t="s">
        <v>3307</v>
      </c>
      <c r="D60" s="31"/>
      <c r="E60" s="31"/>
      <c r="F60" s="31"/>
      <c r="G60" s="31" t="s">
        <v>3313</v>
      </c>
      <c r="H60" s="31"/>
      <c r="K60" s="32">
        <f>K61+K62</f>
        <v>164.57059579052842</v>
      </c>
      <c r="L60" s="32">
        <f t="shared" ref="L60" si="105">L61+L62</f>
        <v>162.36657300859292</v>
      </c>
      <c r="M60" s="32">
        <f t="shared" ref="M60" si="106">M61+M62</f>
        <v>296.65740609676345</v>
      </c>
      <c r="N60" s="32">
        <f t="shared" ref="N60" si="107">N61+N62</f>
        <v>288.1369077225483</v>
      </c>
      <c r="O60" s="32">
        <f t="shared" ref="O60" si="108">O61+O62</f>
        <v>228.34486239214993</v>
      </c>
      <c r="P60" s="32">
        <f t="shared" ref="P60" si="109">P61+P62</f>
        <v>180.78560804135859</v>
      </c>
      <c r="Q60" s="32">
        <f t="shared" ref="Q60" si="110">Q61+Q62</f>
        <v>183.81677042106918</v>
      </c>
      <c r="R60" s="32">
        <f t="shared" ref="R60" si="111">R61+R62</f>
        <v>247.7597390545304</v>
      </c>
      <c r="S60" s="32">
        <f t="shared" ref="S60" si="112">S61+S62</f>
        <v>218.67895609584428</v>
      </c>
      <c r="T60" s="32">
        <f t="shared" ref="T60" si="113">T61+T62</f>
        <v>258.49749826919117</v>
      </c>
      <c r="U60" s="32">
        <f t="shared" ref="U60" si="114">U61+U62</f>
        <v>232.30949470643941</v>
      </c>
      <c r="V60" s="32">
        <f t="shared" ref="V60" si="115">V61+V62</f>
        <v>152.15887388582323</v>
      </c>
      <c r="W60" s="28"/>
      <c r="X60" s="33">
        <f>SUM(K60:V60)</f>
        <v>2614.0832854848391</v>
      </c>
    </row>
    <row r="61" spans="2:24" outlineLevel="1" x14ac:dyDescent="0.2">
      <c r="D61" s="23" t="s">
        <v>3305</v>
      </c>
      <c r="G61" s="23" t="s">
        <v>3313</v>
      </c>
      <c r="K61" s="29">
        <f>K19*K41/1000</f>
        <v>38.12650617386187</v>
      </c>
      <c r="L61" s="29">
        <f t="shared" ref="L61:V61" si="116">L19*L41/1000</f>
        <v>40.396952646907422</v>
      </c>
      <c r="M61" s="29">
        <f t="shared" si="116"/>
        <v>85.373780863524303</v>
      </c>
      <c r="N61" s="29">
        <f t="shared" si="116"/>
        <v>58.265673406297118</v>
      </c>
      <c r="O61" s="29">
        <f t="shared" si="116"/>
        <v>72.891196647785122</v>
      </c>
      <c r="P61" s="29">
        <f t="shared" si="116"/>
        <v>49.764140042080378</v>
      </c>
      <c r="Q61" s="29">
        <f t="shared" si="116"/>
        <v>67.667093866604247</v>
      </c>
      <c r="R61" s="29">
        <f t="shared" si="116"/>
        <v>71.395914922634233</v>
      </c>
      <c r="S61" s="29">
        <f t="shared" si="116"/>
        <v>48.202661723874044</v>
      </c>
      <c r="T61" s="29">
        <f t="shared" si="116"/>
        <v>88.454180173803692</v>
      </c>
      <c r="U61" s="29">
        <f t="shared" si="116"/>
        <v>72.284716188437073</v>
      </c>
      <c r="V61" s="29">
        <f t="shared" si="116"/>
        <v>63.89489424034695</v>
      </c>
      <c r="W61" s="29"/>
      <c r="X61" s="35">
        <f>SUM(K61:V61)</f>
        <v>756.71771089615652</v>
      </c>
    </row>
    <row r="62" spans="2:24" outlineLevel="1" x14ac:dyDescent="0.2">
      <c r="D62" s="23" t="s">
        <v>3306</v>
      </c>
      <c r="G62" s="23" t="s">
        <v>3313</v>
      </c>
      <c r="K62" s="29">
        <f t="shared" ref="K62:V62" si="117">K20*K42/1000</f>
        <v>126.44408961666655</v>
      </c>
      <c r="L62" s="29">
        <f t="shared" si="117"/>
        <v>121.96962036168549</v>
      </c>
      <c r="M62" s="29">
        <f t="shared" si="117"/>
        <v>211.28362523323912</v>
      </c>
      <c r="N62" s="29">
        <f t="shared" si="117"/>
        <v>229.87123431625116</v>
      </c>
      <c r="O62" s="29">
        <f t="shared" si="117"/>
        <v>155.4536657443648</v>
      </c>
      <c r="P62" s="29">
        <f t="shared" si="117"/>
        <v>131.0214679992782</v>
      </c>
      <c r="Q62" s="29">
        <f t="shared" si="117"/>
        <v>116.14967655446492</v>
      </c>
      <c r="R62" s="29">
        <f>R20*R42/1000</f>
        <v>176.36382413189617</v>
      </c>
      <c r="S62" s="29">
        <f t="shared" si="117"/>
        <v>170.47629437197025</v>
      </c>
      <c r="T62" s="29">
        <f t="shared" si="117"/>
        <v>170.04331809538746</v>
      </c>
      <c r="U62" s="29">
        <f t="shared" si="117"/>
        <v>160.02477851800234</v>
      </c>
      <c r="V62" s="29">
        <f t="shared" si="117"/>
        <v>88.263979645476269</v>
      </c>
      <c r="X62" s="29">
        <f t="shared" ref="X62:X64" si="118">SUM(K62:V62)</f>
        <v>1857.3655745886824</v>
      </c>
    </row>
    <row r="63" spans="2:24" outlineLevel="1" x14ac:dyDescent="0.2"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</row>
    <row r="64" spans="2:24" s="24" customFormat="1" outlineLevel="1" x14ac:dyDescent="0.2">
      <c r="B64" s="36" t="s">
        <v>3311</v>
      </c>
      <c r="C64" s="36"/>
      <c r="D64" s="36"/>
      <c r="E64" s="36"/>
      <c r="F64" s="36"/>
      <c r="G64" s="36" t="s">
        <v>3313</v>
      </c>
      <c r="H64" s="36"/>
      <c r="K64" s="37">
        <f>K46+K55</f>
        <v>525.49741811697049</v>
      </c>
      <c r="L64" s="37">
        <f t="shared" ref="L64:V64" si="119">L46+L55</f>
        <v>536.15103878688296</v>
      </c>
      <c r="M64" s="37">
        <f t="shared" si="119"/>
        <v>659.59693070721687</v>
      </c>
      <c r="N64" s="37">
        <f t="shared" si="119"/>
        <v>678.2988943865787</v>
      </c>
      <c r="O64" s="37">
        <f t="shared" si="119"/>
        <v>694.44897505201277</v>
      </c>
      <c r="P64" s="37">
        <f t="shared" si="119"/>
        <v>566.58106952888579</v>
      </c>
      <c r="Q64" s="37">
        <f t="shared" si="119"/>
        <v>608.54062811869176</v>
      </c>
      <c r="R64" s="37">
        <f t="shared" si="119"/>
        <v>661.38282971404385</v>
      </c>
      <c r="S64" s="37">
        <f t="shared" si="119"/>
        <v>581.06785779484539</v>
      </c>
      <c r="T64" s="37">
        <f t="shared" si="119"/>
        <v>699.56848245740343</v>
      </c>
      <c r="U64" s="37">
        <f t="shared" si="119"/>
        <v>684.2164654445794</v>
      </c>
      <c r="V64" s="37">
        <f t="shared" si="119"/>
        <v>552.61044124727982</v>
      </c>
      <c r="W64" s="29"/>
      <c r="X64" s="37">
        <f t="shared" si="118"/>
        <v>7447.9610313553912</v>
      </c>
    </row>
    <row r="65" outlineLevel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D2CC-18DF-40DB-A932-24A5091FFA9F}">
  <dimension ref="A1:C20"/>
  <sheetViews>
    <sheetView workbookViewId="0">
      <selection activeCell="A17" sqref="A17"/>
    </sheetView>
  </sheetViews>
  <sheetFormatPr defaultRowHeight="13.8" x14ac:dyDescent="0.25"/>
  <cols>
    <col min="1" max="1" width="35.6328125" bestFit="1" customWidth="1"/>
    <col min="2" max="2" width="36.453125" bestFit="1" customWidth="1"/>
    <col min="3" max="3" width="23.453125" bestFit="1" customWidth="1"/>
  </cols>
  <sheetData>
    <row r="1" spans="1:3" x14ac:dyDescent="0.25">
      <c r="A1" s="50" t="s">
        <v>9</v>
      </c>
      <c r="B1" t="s">
        <v>110</v>
      </c>
    </row>
    <row r="2" spans="1:3" x14ac:dyDescent="0.25">
      <c r="A2" s="50" t="s">
        <v>3340</v>
      </c>
      <c r="B2" t="s">
        <v>3348</v>
      </c>
    </row>
    <row r="3" spans="1:3" x14ac:dyDescent="0.25">
      <c r="A3" s="50" t="s">
        <v>3339</v>
      </c>
      <c r="B3" s="52">
        <v>1</v>
      </c>
    </row>
    <row r="5" spans="1:3" x14ac:dyDescent="0.25">
      <c r="A5" s="50" t="s">
        <v>3344</v>
      </c>
      <c r="B5" t="s">
        <v>3347</v>
      </c>
      <c r="C5" t="s">
        <v>3346</v>
      </c>
    </row>
    <row r="6" spans="1:3" x14ac:dyDescent="0.25">
      <c r="A6" s="51" t="s">
        <v>122</v>
      </c>
      <c r="B6" s="44">
        <v>31975558.07</v>
      </c>
      <c r="C6" s="44">
        <v>10445471.385999994</v>
      </c>
    </row>
    <row r="7" spans="1:3" x14ac:dyDescent="0.25">
      <c r="A7" s="51" t="s">
        <v>123</v>
      </c>
      <c r="B7" s="44">
        <v>972244.4099999998</v>
      </c>
      <c r="C7" s="44">
        <v>256500.38999999996</v>
      </c>
    </row>
    <row r="8" spans="1:3" x14ac:dyDescent="0.25">
      <c r="A8" s="51"/>
      <c r="B8" s="44">
        <v>409165.52999999997</v>
      </c>
      <c r="C8" s="44">
        <v>130705.82000000002</v>
      </c>
    </row>
    <row r="9" spans="1:3" x14ac:dyDescent="0.25">
      <c r="A9" s="51" t="s">
        <v>3345</v>
      </c>
      <c r="B9" s="44">
        <v>33356968.010000002</v>
      </c>
      <c r="C9" s="44">
        <v>10832677.595999995</v>
      </c>
    </row>
    <row r="12" spans="1:3" x14ac:dyDescent="0.25">
      <c r="A12" t="s">
        <v>9</v>
      </c>
      <c r="B12" t="s">
        <v>110</v>
      </c>
    </row>
    <row r="13" spans="1:3" x14ac:dyDescent="0.25">
      <c r="A13" t="s">
        <v>3340</v>
      </c>
      <c r="B13" t="s">
        <v>3348</v>
      </c>
    </row>
    <row r="14" spans="1:3" x14ac:dyDescent="0.25">
      <c r="A14" t="s">
        <v>3339</v>
      </c>
      <c r="B14" s="53">
        <v>1</v>
      </c>
    </row>
    <row r="16" spans="1:3" x14ac:dyDescent="0.25">
      <c r="A16" t="s">
        <v>3344</v>
      </c>
      <c r="B16" t="s">
        <v>3347</v>
      </c>
      <c r="C16" t="s">
        <v>3346</v>
      </c>
    </row>
    <row r="17" spans="1:3" x14ac:dyDescent="0.25">
      <c r="A17" t="s">
        <v>122</v>
      </c>
      <c r="B17">
        <v>31975558.07</v>
      </c>
      <c r="C17">
        <v>10445471.385999994</v>
      </c>
    </row>
    <row r="18" spans="1:3" x14ac:dyDescent="0.25">
      <c r="A18" t="s">
        <v>123</v>
      </c>
      <c r="B18">
        <v>972244.4099999998</v>
      </c>
      <c r="C18">
        <v>256500.38999999996</v>
      </c>
    </row>
    <row r="19" spans="1:3" x14ac:dyDescent="0.25">
      <c r="B19">
        <v>409165.52999999997</v>
      </c>
      <c r="C19">
        <v>130705.82000000002</v>
      </c>
    </row>
    <row r="20" spans="1:3" x14ac:dyDescent="0.25">
      <c r="A20" t="s">
        <v>3345</v>
      </c>
      <c r="B20">
        <v>33356968.010000002</v>
      </c>
      <c r="C20">
        <v>10832677.595999995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0.79998168889431442"/>
  </sheetPr>
  <dimension ref="A1:CZ1033"/>
  <sheetViews>
    <sheetView topLeftCell="A3" zoomScale="70" zoomScaleNormal="70" workbookViewId="0">
      <selection activeCell="A2" sqref="A2:CZ1033"/>
    </sheetView>
  </sheetViews>
  <sheetFormatPr defaultRowHeight="13.8" x14ac:dyDescent="0.25"/>
  <cols>
    <col min="1" max="1" width="6.81640625" customWidth="1"/>
    <col min="2" max="2" width="10.453125" bestFit="1" customWidth="1"/>
    <col min="3" max="3" width="10.453125" customWidth="1"/>
    <col min="4" max="42" width="6.81640625" customWidth="1"/>
    <col min="43" max="43" width="27.36328125" bestFit="1" customWidth="1"/>
    <col min="44" max="69" width="6.81640625" customWidth="1"/>
    <col min="70" max="70" width="9.453125" bestFit="1" customWidth="1"/>
    <col min="71" max="86" width="6.81640625" customWidth="1"/>
    <col min="87" max="87" width="17" bestFit="1" customWidth="1"/>
    <col min="88" max="95" width="6.81640625" customWidth="1"/>
    <col min="96" max="96" width="31.08984375" bestFit="1" customWidth="1"/>
    <col min="97" max="103" width="6.81640625" customWidth="1"/>
  </cols>
  <sheetData>
    <row r="1" spans="1:104" x14ac:dyDescent="0.25">
      <c r="BR1" t="s">
        <v>3341</v>
      </c>
    </row>
    <row r="2" spans="1:104" x14ac:dyDescent="0.25">
      <c r="A2" t="s">
        <v>4</v>
      </c>
      <c r="B2" t="s">
        <v>3318</v>
      </c>
      <c r="C2" s="42" t="s">
        <v>3340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s="4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s="42" t="s">
        <v>3339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s="4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s="42" t="s">
        <v>97</v>
      </c>
      <c r="CS2" t="s">
        <v>98</v>
      </c>
      <c r="CT2" t="s">
        <v>99</v>
      </c>
      <c r="CU2" t="s">
        <v>100</v>
      </c>
      <c r="CV2" t="s">
        <v>101</v>
      </c>
      <c r="CW2" t="s">
        <v>102</v>
      </c>
      <c r="CX2" t="s">
        <v>103</v>
      </c>
      <c r="CY2" t="s">
        <v>104</v>
      </c>
      <c r="CZ2" t="s">
        <v>105</v>
      </c>
    </row>
    <row r="3" spans="1:104" x14ac:dyDescent="0.25">
      <c r="A3" s="8" t="s">
        <v>106</v>
      </c>
      <c r="B3" s="38">
        <v>45117</v>
      </c>
      <c r="C3" s="43">
        <f>IF(YEAR(Таблица1[[#This Row],[Дата]])=2023,MONTH(Таблица1[[#This Row],[Дата]]),0)</f>
        <v>7</v>
      </c>
      <c r="D3" s="8" t="s">
        <v>2619</v>
      </c>
      <c r="E3" s="8" t="s">
        <v>2620</v>
      </c>
      <c r="F3" s="8" t="s">
        <v>2621</v>
      </c>
      <c r="G3" t="s">
        <v>110</v>
      </c>
      <c r="H3" s="8" t="s">
        <v>111</v>
      </c>
      <c r="I3" s="8" t="s">
        <v>112</v>
      </c>
      <c r="J3" s="8" t="s">
        <v>112</v>
      </c>
      <c r="K3" s="8" t="s">
        <v>112</v>
      </c>
      <c r="L3" s="8" t="s">
        <v>2622</v>
      </c>
      <c r="M3" s="8" t="s">
        <v>2623</v>
      </c>
      <c r="N3" s="8" t="s">
        <v>112</v>
      </c>
      <c r="O3" s="8" t="s">
        <v>112</v>
      </c>
      <c r="P3">
        <v>1</v>
      </c>
      <c r="Q3">
        <v>0</v>
      </c>
      <c r="R3">
        <v>1</v>
      </c>
      <c r="S3">
        <v>62</v>
      </c>
      <c r="T3" s="8" t="s">
        <v>2624</v>
      </c>
      <c r="U3" s="8" t="s">
        <v>2625</v>
      </c>
      <c r="V3" s="8" t="s">
        <v>2626</v>
      </c>
      <c r="W3" s="8" t="s">
        <v>2627</v>
      </c>
      <c r="X3" s="8" t="s">
        <v>2628</v>
      </c>
      <c r="Y3" s="8" t="s">
        <v>2629</v>
      </c>
      <c r="Z3" s="8" t="s">
        <v>2624</v>
      </c>
      <c r="AA3" s="8" t="s">
        <v>2625</v>
      </c>
      <c r="AB3" s="8" t="s">
        <v>2626</v>
      </c>
      <c r="AC3" s="8" t="s">
        <v>2627</v>
      </c>
      <c r="AD3" s="8" t="s">
        <v>2628</v>
      </c>
      <c r="AE3" s="8" t="s">
        <v>2629</v>
      </c>
      <c r="AF3" s="8" t="s">
        <v>2163</v>
      </c>
      <c r="AG3" s="8" t="s">
        <v>2164</v>
      </c>
      <c r="AH3">
        <v>15361773.93</v>
      </c>
      <c r="AI3" s="8" t="s">
        <v>2624</v>
      </c>
      <c r="AJ3" s="8" t="s">
        <v>2625</v>
      </c>
      <c r="AK3" s="8" t="s">
        <v>2626</v>
      </c>
      <c r="AL3" s="8" t="s">
        <v>2627</v>
      </c>
      <c r="AM3" s="8" t="s">
        <v>2628</v>
      </c>
      <c r="AN3" s="8" t="s">
        <v>2629</v>
      </c>
      <c r="AO3" s="8" t="s">
        <v>2163</v>
      </c>
      <c r="AP3" s="8" t="s">
        <v>2164</v>
      </c>
      <c r="AQ3" s="8" t="s">
        <v>2164</v>
      </c>
      <c r="AR3" s="8" t="s">
        <v>124</v>
      </c>
      <c r="AS3" s="8" t="s">
        <v>125</v>
      </c>
      <c r="AT3">
        <v>2</v>
      </c>
      <c r="AU3" s="8" t="s">
        <v>126</v>
      </c>
      <c r="AV3" s="8" t="s">
        <v>155</v>
      </c>
      <c r="AW3" s="8" t="s">
        <v>2630</v>
      </c>
      <c r="AX3">
        <v>1</v>
      </c>
      <c r="AY3" s="8" t="s">
        <v>129</v>
      </c>
      <c r="AZ3">
        <v>205407</v>
      </c>
      <c r="BA3">
        <v>15003071</v>
      </c>
      <c r="BB3">
        <v>223684.75</v>
      </c>
      <c r="BC3">
        <v>73.040700000000001</v>
      </c>
      <c r="BD3" s="8" t="s">
        <v>130</v>
      </c>
      <c r="BE3" s="8" t="s">
        <v>746</v>
      </c>
      <c r="BF3" s="8" t="s">
        <v>2631</v>
      </c>
      <c r="BG3" s="8" t="s">
        <v>133</v>
      </c>
      <c r="BH3" s="8" t="s">
        <v>134</v>
      </c>
      <c r="BI3" s="8" t="s">
        <v>112</v>
      </c>
      <c r="BJ3" s="8" t="s">
        <v>112</v>
      </c>
      <c r="BK3" s="8" t="s">
        <v>112</v>
      </c>
      <c r="BL3" s="8" t="s">
        <v>2191</v>
      </c>
      <c r="BM3" s="8" t="s">
        <v>2192</v>
      </c>
      <c r="BN3" s="8" t="s">
        <v>2193</v>
      </c>
      <c r="BO3" s="8" t="s">
        <v>2194</v>
      </c>
      <c r="BP3">
        <v>1</v>
      </c>
      <c r="BQ3" s="8" t="s">
        <v>2632</v>
      </c>
      <c r="BR3" s="45">
        <f>ISNUMBER(SEARCH($BR$1,Таблица1[[#This Row],[31_1 Описание и характеристика товара]]))*1</f>
        <v>0</v>
      </c>
      <c r="BT3" s="8" t="s">
        <v>2622</v>
      </c>
      <c r="BU3">
        <v>62</v>
      </c>
      <c r="BV3">
        <v>0</v>
      </c>
      <c r="BW3">
        <v>383</v>
      </c>
      <c r="BX3" t="s">
        <v>2147</v>
      </c>
      <c r="BY3">
        <v>0</v>
      </c>
      <c r="CA3" s="8" t="s">
        <v>106</v>
      </c>
      <c r="CB3" s="8" t="s">
        <v>2148</v>
      </c>
      <c r="CC3" s="8" t="s">
        <v>112</v>
      </c>
      <c r="CD3" s="8" t="s">
        <v>112</v>
      </c>
      <c r="CE3" s="8" t="s">
        <v>2163</v>
      </c>
      <c r="CF3">
        <v>15554.5</v>
      </c>
      <c r="CG3" t="s">
        <v>144</v>
      </c>
      <c r="CH3">
        <v>4000000</v>
      </c>
      <c r="CI3">
        <v>13783.972</v>
      </c>
      <c r="CJ3">
        <v>0</v>
      </c>
      <c r="CK3" s="8" t="s">
        <v>112</v>
      </c>
      <c r="CL3" s="8" t="s">
        <v>112</v>
      </c>
      <c r="CM3">
        <v>205407</v>
      </c>
      <c r="CN3">
        <v>15003071</v>
      </c>
      <c r="CO3">
        <v>0</v>
      </c>
      <c r="CP3">
        <v>1</v>
      </c>
      <c r="CQ3">
        <v>15361773.93</v>
      </c>
      <c r="CR3">
        <v>223684.75</v>
      </c>
      <c r="CS3" s="8" t="s">
        <v>145</v>
      </c>
      <c r="CT3">
        <v>16.227900000000002</v>
      </c>
      <c r="CU3">
        <v>1069</v>
      </c>
      <c r="CV3" t="s">
        <v>2633</v>
      </c>
      <c r="CX3" t="s">
        <v>2634</v>
      </c>
      <c r="CY3">
        <v>1</v>
      </c>
    </row>
    <row r="4" spans="1:104" x14ac:dyDescent="0.25">
      <c r="A4" s="8" t="s">
        <v>106</v>
      </c>
      <c r="B4" s="38">
        <v>45200</v>
      </c>
      <c r="C4" s="43">
        <f>IF(YEAR(Таблица1[[#This Row],[Дата]])=2023,MONTH(Таблица1[[#This Row],[Дата]]),0)</f>
        <v>10</v>
      </c>
      <c r="D4" s="8" t="s">
        <v>2685</v>
      </c>
      <c r="E4" s="8" t="s">
        <v>2686</v>
      </c>
      <c r="F4" s="8" t="s">
        <v>2687</v>
      </c>
      <c r="G4" t="s">
        <v>110</v>
      </c>
      <c r="H4" s="8" t="s">
        <v>111</v>
      </c>
      <c r="I4" s="8" t="s">
        <v>112</v>
      </c>
      <c r="J4" s="8" t="s">
        <v>112</v>
      </c>
      <c r="K4" s="8" t="s">
        <v>112</v>
      </c>
      <c r="L4" s="8" t="s">
        <v>2688</v>
      </c>
      <c r="M4" s="8" t="s">
        <v>2689</v>
      </c>
      <c r="N4" s="8" t="s">
        <v>112</v>
      </c>
      <c r="O4" s="8" t="s">
        <v>112</v>
      </c>
      <c r="P4">
        <v>1</v>
      </c>
      <c r="Q4">
        <v>0</v>
      </c>
      <c r="R4">
        <v>1</v>
      </c>
      <c r="S4">
        <v>2</v>
      </c>
      <c r="T4" s="8" t="s">
        <v>2690</v>
      </c>
      <c r="U4" s="8" t="s">
        <v>2691</v>
      </c>
      <c r="V4" s="8" t="s">
        <v>2692</v>
      </c>
      <c r="W4" s="8" t="s">
        <v>2693</v>
      </c>
      <c r="X4" s="8" t="s">
        <v>2694</v>
      </c>
      <c r="Y4" s="8" t="s">
        <v>2695</v>
      </c>
      <c r="Z4" s="8" t="s">
        <v>2690</v>
      </c>
      <c r="AA4" s="8" t="s">
        <v>2691</v>
      </c>
      <c r="AB4" s="8" t="s">
        <v>2692</v>
      </c>
      <c r="AC4" s="8" t="s">
        <v>2693</v>
      </c>
      <c r="AD4" s="8" t="s">
        <v>2694</v>
      </c>
      <c r="AE4" s="8" t="s">
        <v>2695</v>
      </c>
      <c r="AF4" s="8" t="s">
        <v>2142</v>
      </c>
      <c r="AG4" s="8" t="s">
        <v>2143</v>
      </c>
      <c r="AH4">
        <v>27470.400000000001</v>
      </c>
      <c r="AI4" s="8" t="s">
        <v>2690</v>
      </c>
      <c r="AJ4" s="8" t="s">
        <v>2691</v>
      </c>
      <c r="AK4" s="8" t="s">
        <v>2692</v>
      </c>
      <c r="AL4" s="8" t="s">
        <v>2693</v>
      </c>
      <c r="AM4" s="8" t="s">
        <v>2694</v>
      </c>
      <c r="AN4" s="8" t="s">
        <v>2695</v>
      </c>
      <c r="AO4" s="8" t="s">
        <v>2142</v>
      </c>
      <c r="AP4" s="8" t="s">
        <v>2143</v>
      </c>
      <c r="AQ4" s="8" t="s">
        <v>2143</v>
      </c>
      <c r="AR4" s="8" t="s">
        <v>124</v>
      </c>
      <c r="AS4" s="8" t="s">
        <v>125</v>
      </c>
      <c r="AT4">
        <v>2</v>
      </c>
      <c r="AU4" s="8" t="s">
        <v>126</v>
      </c>
      <c r="AV4" s="8" t="s">
        <v>2318</v>
      </c>
      <c r="AW4" s="8" t="s">
        <v>2696</v>
      </c>
      <c r="AX4">
        <v>1</v>
      </c>
      <c r="AY4" s="8" t="s">
        <v>2188</v>
      </c>
      <c r="AZ4">
        <v>400</v>
      </c>
      <c r="BA4">
        <v>27470</v>
      </c>
      <c r="BB4">
        <v>400</v>
      </c>
      <c r="BC4">
        <v>68.676000000000002</v>
      </c>
      <c r="BD4" s="8" t="s">
        <v>130</v>
      </c>
      <c r="BE4" s="8" t="s">
        <v>112</v>
      </c>
      <c r="BF4" s="8" t="s">
        <v>2697</v>
      </c>
      <c r="BG4" s="8" t="s">
        <v>133</v>
      </c>
      <c r="BH4" s="8" t="s">
        <v>167</v>
      </c>
      <c r="BI4" s="8" t="s">
        <v>2698</v>
      </c>
      <c r="BJ4" s="8" t="s">
        <v>112</v>
      </c>
      <c r="BK4" s="8" t="s">
        <v>112</v>
      </c>
      <c r="BL4" s="8" t="s">
        <v>2699</v>
      </c>
      <c r="BM4" s="8" t="s">
        <v>2700</v>
      </c>
      <c r="BN4" s="8" t="s">
        <v>2701</v>
      </c>
      <c r="BO4" s="8" t="s">
        <v>2702</v>
      </c>
      <c r="BP4">
        <v>1</v>
      </c>
      <c r="BQ4" s="8" t="s">
        <v>2703</v>
      </c>
      <c r="BR4" s="45">
        <f>ISNUMBER(SEARCH($BR$1,Таблица1[[#This Row],[31_1 Описание и характеристика товара]]))*1</f>
        <v>0</v>
      </c>
      <c r="BT4" s="8" t="s">
        <v>2704</v>
      </c>
      <c r="BU4">
        <v>2</v>
      </c>
      <c r="BV4">
        <v>0</v>
      </c>
      <c r="BW4">
        <v>1</v>
      </c>
      <c r="BX4" t="s">
        <v>2147</v>
      </c>
      <c r="BY4">
        <v>0</v>
      </c>
      <c r="CA4" s="8" t="s">
        <v>106</v>
      </c>
      <c r="CB4" s="8" t="s">
        <v>2148</v>
      </c>
      <c r="CC4" s="8" t="s">
        <v>112</v>
      </c>
      <c r="CD4" s="8" t="s">
        <v>112</v>
      </c>
      <c r="CE4" s="8" t="s">
        <v>2142</v>
      </c>
      <c r="CF4">
        <v>232</v>
      </c>
      <c r="CG4" t="s">
        <v>144</v>
      </c>
      <c r="CH4">
        <v>4000000</v>
      </c>
      <c r="CI4">
        <v>175</v>
      </c>
      <c r="CJ4">
        <v>0</v>
      </c>
      <c r="CK4" s="8" t="s">
        <v>112</v>
      </c>
      <c r="CL4" s="8" t="s">
        <v>112</v>
      </c>
      <c r="CM4">
        <v>400</v>
      </c>
      <c r="CN4">
        <v>27470</v>
      </c>
      <c r="CO4">
        <v>2</v>
      </c>
      <c r="CP4">
        <v>1</v>
      </c>
      <c r="CQ4">
        <v>27470.400000000001</v>
      </c>
      <c r="CR4">
        <v>400</v>
      </c>
      <c r="CS4" s="8" t="s">
        <v>2560</v>
      </c>
      <c r="CT4">
        <v>2.2856999999999998</v>
      </c>
      <c r="CX4" t="s">
        <v>2705</v>
      </c>
      <c r="CY4">
        <v>79</v>
      </c>
    </row>
    <row r="5" spans="1:104" x14ac:dyDescent="0.25">
      <c r="A5" s="8" t="s">
        <v>106</v>
      </c>
      <c r="B5" s="38">
        <v>44990</v>
      </c>
      <c r="C5" s="43">
        <f>IF(YEAR(Таблица1[[#This Row],[Дата]])=2023,MONTH(Таблица1[[#This Row],[Дата]]),0)</f>
        <v>3</v>
      </c>
      <c r="D5" s="8" t="s">
        <v>2946</v>
      </c>
      <c r="E5" s="8" t="s">
        <v>2947</v>
      </c>
      <c r="F5" s="8" t="s">
        <v>2948</v>
      </c>
      <c r="G5" t="s">
        <v>110</v>
      </c>
      <c r="H5" s="8" t="s">
        <v>111</v>
      </c>
      <c r="I5" s="8" t="s">
        <v>112</v>
      </c>
      <c r="J5" s="8" t="s">
        <v>112</v>
      </c>
      <c r="K5" s="8" t="s">
        <v>112</v>
      </c>
      <c r="L5" s="8" t="s">
        <v>2949</v>
      </c>
      <c r="M5" s="8" t="s">
        <v>2950</v>
      </c>
      <c r="N5" s="8" t="s">
        <v>112</v>
      </c>
      <c r="O5" s="8" t="s">
        <v>112</v>
      </c>
      <c r="P5">
        <v>6</v>
      </c>
      <c r="Q5">
        <v>0</v>
      </c>
      <c r="R5">
        <v>14</v>
      </c>
      <c r="S5">
        <v>215</v>
      </c>
      <c r="T5" s="8" t="s">
        <v>2951</v>
      </c>
      <c r="U5" s="8" t="s">
        <v>2952</v>
      </c>
      <c r="V5" s="8" t="s">
        <v>2953</v>
      </c>
      <c r="W5" s="8" t="s">
        <v>2954</v>
      </c>
      <c r="X5" s="8" t="s">
        <v>2955</v>
      </c>
      <c r="Y5" s="8" t="s">
        <v>2956</v>
      </c>
      <c r="Z5" s="8" t="s">
        <v>2951</v>
      </c>
      <c r="AA5" s="8" t="s">
        <v>2952</v>
      </c>
      <c r="AB5" s="8" t="s">
        <v>2953</v>
      </c>
      <c r="AC5" s="8" t="s">
        <v>2954</v>
      </c>
      <c r="AD5" s="8" t="s">
        <v>2955</v>
      </c>
      <c r="AE5" s="8" t="s">
        <v>2956</v>
      </c>
      <c r="AF5" s="8" t="s">
        <v>2569</v>
      </c>
      <c r="AG5" s="8" t="s">
        <v>2570</v>
      </c>
      <c r="AH5">
        <v>4307880.3</v>
      </c>
      <c r="AI5" s="8" t="s">
        <v>2951</v>
      </c>
      <c r="AJ5" s="8" t="s">
        <v>2952</v>
      </c>
      <c r="AK5" s="8" t="s">
        <v>2953</v>
      </c>
      <c r="AL5" s="8" t="s">
        <v>2954</v>
      </c>
      <c r="AM5" s="8" t="s">
        <v>2955</v>
      </c>
      <c r="AN5" s="8" t="s">
        <v>2956</v>
      </c>
      <c r="AO5" s="8" t="s">
        <v>2569</v>
      </c>
      <c r="AP5" s="8" t="s">
        <v>2570</v>
      </c>
      <c r="AQ5" s="8" t="s">
        <v>2570</v>
      </c>
      <c r="AR5" s="8" t="s">
        <v>124</v>
      </c>
      <c r="AS5" s="8" t="s">
        <v>125</v>
      </c>
      <c r="AT5">
        <v>0</v>
      </c>
      <c r="AU5" s="8" t="s">
        <v>106</v>
      </c>
      <c r="AV5" s="8" t="s">
        <v>2957</v>
      </c>
      <c r="AW5" s="8" t="s">
        <v>2958</v>
      </c>
      <c r="AX5">
        <v>1</v>
      </c>
      <c r="AY5" s="8" t="s">
        <v>2188</v>
      </c>
      <c r="AZ5">
        <v>62429.7</v>
      </c>
      <c r="BA5">
        <v>4307880</v>
      </c>
      <c r="BB5">
        <v>62429.7</v>
      </c>
      <c r="BC5">
        <v>69.003699999999895</v>
      </c>
      <c r="BD5" s="8" t="s">
        <v>130</v>
      </c>
      <c r="BE5" s="8" t="s">
        <v>145</v>
      </c>
      <c r="BF5" s="8" t="s">
        <v>2959</v>
      </c>
      <c r="BG5" s="8" t="s">
        <v>133</v>
      </c>
      <c r="BH5" s="8" t="s">
        <v>134</v>
      </c>
      <c r="BI5" s="8" t="s">
        <v>112</v>
      </c>
      <c r="BJ5" s="8" t="s">
        <v>2960</v>
      </c>
      <c r="BK5" s="8" t="s">
        <v>112</v>
      </c>
      <c r="BL5" s="8" t="s">
        <v>2961</v>
      </c>
      <c r="BM5" s="8" t="s">
        <v>2962</v>
      </c>
      <c r="BN5" s="8" t="s">
        <v>2963</v>
      </c>
      <c r="BO5" s="8" t="s">
        <v>2964</v>
      </c>
      <c r="BP5">
        <v>2</v>
      </c>
      <c r="BQ5" s="8" t="s">
        <v>2965</v>
      </c>
      <c r="BR5" s="45">
        <f>ISNUMBER(SEARCH($BR$1,Таблица1[[#This Row],[31_1 Описание и характеристика товара]]))*1</f>
        <v>0</v>
      </c>
      <c r="BT5" s="8" t="s">
        <v>2966</v>
      </c>
      <c r="BU5">
        <v>23</v>
      </c>
      <c r="BV5">
        <v>1</v>
      </c>
      <c r="BW5">
        <v>16</v>
      </c>
      <c r="BX5" t="s">
        <v>2147</v>
      </c>
      <c r="BY5">
        <v>0</v>
      </c>
      <c r="CA5" s="8" t="s">
        <v>596</v>
      </c>
      <c r="CB5" s="8" t="s">
        <v>2148</v>
      </c>
      <c r="CC5" s="8" t="s">
        <v>112</v>
      </c>
      <c r="CD5" s="8" t="s">
        <v>112</v>
      </c>
      <c r="CE5" s="8" t="s">
        <v>2569</v>
      </c>
      <c r="CF5">
        <v>5290.7</v>
      </c>
      <c r="CG5" t="s">
        <v>144</v>
      </c>
      <c r="CH5">
        <v>4000000</v>
      </c>
      <c r="CI5">
        <v>4697.3</v>
      </c>
      <c r="CJ5">
        <v>0</v>
      </c>
      <c r="CK5" s="8" t="s">
        <v>112</v>
      </c>
      <c r="CL5" s="8" t="s">
        <v>112</v>
      </c>
      <c r="CM5">
        <v>32981</v>
      </c>
      <c r="CN5">
        <v>2275811</v>
      </c>
      <c r="CO5">
        <v>0</v>
      </c>
      <c r="CP5">
        <v>1</v>
      </c>
      <c r="CQ5">
        <v>2275811.02999999</v>
      </c>
      <c r="CR5">
        <v>32981</v>
      </c>
      <c r="CS5" s="8" t="s">
        <v>145</v>
      </c>
      <c r="CT5">
        <v>7.0213000000000001</v>
      </c>
      <c r="CX5" t="s">
        <v>2967</v>
      </c>
      <c r="CY5">
        <v>621</v>
      </c>
    </row>
    <row r="6" spans="1:104" x14ac:dyDescent="0.25">
      <c r="A6" s="8" t="s">
        <v>106</v>
      </c>
      <c r="B6" s="38">
        <v>45041</v>
      </c>
      <c r="C6" s="43">
        <f>IF(YEAR(Таблица1[[#This Row],[Дата]])=2023,MONTH(Таблица1[[#This Row],[Дата]]),0)</f>
        <v>4</v>
      </c>
      <c r="D6" s="8" t="s">
        <v>3038</v>
      </c>
      <c r="E6" s="8" t="s">
        <v>2947</v>
      </c>
      <c r="F6" s="8" t="s">
        <v>3039</v>
      </c>
      <c r="G6" t="s">
        <v>110</v>
      </c>
      <c r="H6" s="8" t="s">
        <v>111</v>
      </c>
      <c r="I6" s="8" t="s">
        <v>112</v>
      </c>
      <c r="J6" s="8" t="s">
        <v>112</v>
      </c>
      <c r="K6" s="8" t="s">
        <v>112</v>
      </c>
      <c r="L6" s="8" t="s">
        <v>3040</v>
      </c>
      <c r="M6" s="8" t="s">
        <v>3041</v>
      </c>
      <c r="N6" s="8" t="s">
        <v>112</v>
      </c>
      <c r="O6" s="8" t="s">
        <v>112</v>
      </c>
      <c r="P6">
        <v>1</v>
      </c>
      <c r="Q6">
        <v>0</v>
      </c>
      <c r="R6">
        <v>1</v>
      </c>
      <c r="S6">
        <v>200</v>
      </c>
      <c r="T6" s="8" t="s">
        <v>2982</v>
      </c>
      <c r="U6" s="8" t="s">
        <v>2983</v>
      </c>
      <c r="V6" s="8" t="s">
        <v>2984</v>
      </c>
      <c r="W6" s="8" t="s">
        <v>2985</v>
      </c>
      <c r="X6" s="8" t="s">
        <v>2986</v>
      </c>
      <c r="Y6" s="8" t="s">
        <v>2987</v>
      </c>
      <c r="Z6" s="8" t="s">
        <v>2982</v>
      </c>
      <c r="AA6" s="8" t="s">
        <v>2983</v>
      </c>
      <c r="AB6" s="8" t="s">
        <v>2984</v>
      </c>
      <c r="AC6" s="8" t="s">
        <v>2985</v>
      </c>
      <c r="AD6" s="8" t="s">
        <v>2986</v>
      </c>
      <c r="AE6" s="8" t="s">
        <v>2987</v>
      </c>
      <c r="AF6" s="8" t="s">
        <v>2142</v>
      </c>
      <c r="AG6" s="8" t="s">
        <v>2143</v>
      </c>
      <c r="AH6">
        <v>3570761.54</v>
      </c>
      <c r="AI6" s="8" t="s">
        <v>2982</v>
      </c>
      <c r="AJ6" s="8" t="s">
        <v>2983</v>
      </c>
      <c r="AK6" s="8" t="s">
        <v>2984</v>
      </c>
      <c r="AL6" s="8" t="s">
        <v>2985</v>
      </c>
      <c r="AM6" s="8" t="s">
        <v>2986</v>
      </c>
      <c r="AN6" s="8" t="s">
        <v>2987</v>
      </c>
      <c r="AO6" s="8" t="s">
        <v>2142</v>
      </c>
      <c r="AP6" s="8" t="s">
        <v>2143</v>
      </c>
      <c r="AQ6" s="8" t="s">
        <v>2143</v>
      </c>
      <c r="AR6" s="8" t="s">
        <v>124</v>
      </c>
      <c r="AS6" s="8" t="s">
        <v>125</v>
      </c>
      <c r="AT6">
        <v>0</v>
      </c>
      <c r="AU6" s="8" t="s">
        <v>106</v>
      </c>
      <c r="AV6" s="8" t="s">
        <v>2251</v>
      </c>
      <c r="AW6" s="8" t="s">
        <v>3042</v>
      </c>
      <c r="AX6">
        <v>1</v>
      </c>
      <c r="AY6" s="8" t="s">
        <v>2253</v>
      </c>
      <c r="AZ6">
        <v>364800</v>
      </c>
      <c r="BA6">
        <v>3465469</v>
      </c>
      <c r="BB6">
        <v>55268.27</v>
      </c>
      <c r="BC6">
        <v>92.438199999999895</v>
      </c>
      <c r="BD6" s="8" t="s">
        <v>130</v>
      </c>
      <c r="BE6" s="8" t="s">
        <v>145</v>
      </c>
      <c r="BF6" s="8" t="s">
        <v>3043</v>
      </c>
      <c r="BG6" s="8" t="s">
        <v>133</v>
      </c>
      <c r="BH6" s="8" t="s">
        <v>134</v>
      </c>
      <c r="BI6" s="8" t="s">
        <v>112</v>
      </c>
      <c r="BJ6" s="8" t="s">
        <v>2960</v>
      </c>
      <c r="BK6" s="8" t="s">
        <v>112</v>
      </c>
      <c r="BL6" s="8" t="s">
        <v>2961</v>
      </c>
      <c r="BM6" s="8" t="s">
        <v>3044</v>
      </c>
      <c r="BN6" s="8" t="s">
        <v>3045</v>
      </c>
      <c r="BO6" s="8" t="s">
        <v>2964</v>
      </c>
      <c r="BP6">
        <v>1</v>
      </c>
      <c r="BQ6" s="8" t="s">
        <v>3046</v>
      </c>
      <c r="BR6" s="45">
        <f>ISNUMBER(SEARCH($BR$1,Таблица1[[#This Row],[31_1 Описание и характеристика товара]]))*1</f>
        <v>0</v>
      </c>
      <c r="BT6" s="8" t="s">
        <v>3047</v>
      </c>
      <c r="BU6">
        <v>200</v>
      </c>
      <c r="BV6">
        <v>1</v>
      </c>
      <c r="BW6">
        <v>200</v>
      </c>
      <c r="BX6" t="s">
        <v>2147</v>
      </c>
      <c r="BY6">
        <v>0</v>
      </c>
      <c r="CA6" s="8" t="s">
        <v>106</v>
      </c>
      <c r="CB6" s="8" t="s">
        <v>2148</v>
      </c>
      <c r="CC6" s="8" t="s">
        <v>112</v>
      </c>
      <c r="CD6" s="8" t="s">
        <v>112</v>
      </c>
      <c r="CE6" s="8" t="s">
        <v>2142</v>
      </c>
      <c r="CF6">
        <v>7785</v>
      </c>
      <c r="CG6" t="s">
        <v>144</v>
      </c>
      <c r="CH6">
        <v>4000000</v>
      </c>
      <c r="CI6">
        <v>7325</v>
      </c>
      <c r="CJ6">
        <v>0</v>
      </c>
      <c r="CK6" s="8" t="s">
        <v>112</v>
      </c>
      <c r="CL6" s="8" t="s">
        <v>112</v>
      </c>
      <c r="CM6">
        <v>364800</v>
      </c>
      <c r="CN6">
        <v>3372146</v>
      </c>
      <c r="CO6">
        <v>0</v>
      </c>
      <c r="CP6">
        <v>1</v>
      </c>
      <c r="CQ6">
        <v>3570761.54</v>
      </c>
      <c r="CR6">
        <v>55268.27</v>
      </c>
      <c r="CS6" s="8" t="s">
        <v>145</v>
      </c>
      <c r="CT6">
        <v>7.5452000000000004</v>
      </c>
      <c r="CU6">
        <v>1027</v>
      </c>
      <c r="CV6" t="s">
        <v>2992</v>
      </c>
      <c r="CX6" t="s">
        <v>2993</v>
      </c>
      <c r="CY6">
        <v>215</v>
      </c>
    </row>
    <row r="7" spans="1:104" x14ac:dyDescent="0.25">
      <c r="A7" s="8" t="s">
        <v>126</v>
      </c>
      <c r="B7" s="38">
        <v>45180</v>
      </c>
      <c r="C7" s="43">
        <f>IF(YEAR(Таблица1[[#This Row],[Дата]])=2023,MONTH(Таблица1[[#This Row],[Дата]]),0)</f>
        <v>9</v>
      </c>
      <c r="D7" s="8" t="s">
        <v>3146</v>
      </c>
      <c r="E7" s="8" t="s">
        <v>2947</v>
      </c>
      <c r="F7" s="8" t="s">
        <v>3147</v>
      </c>
      <c r="G7" t="s">
        <v>110</v>
      </c>
      <c r="H7" s="8" t="s">
        <v>2284</v>
      </c>
      <c r="I7" s="8" t="s">
        <v>112</v>
      </c>
      <c r="J7" s="8" t="s">
        <v>112</v>
      </c>
      <c r="K7" s="8" t="s">
        <v>112</v>
      </c>
      <c r="L7" s="8" t="s">
        <v>3148</v>
      </c>
      <c r="M7" s="8" t="s">
        <v>3149</v>
      </c>
      <c r="N7" s="8" t="s">
        <v>112</v>
      </c>
      <c r="O7" s="8" t="s">
        <v>112</v>
      </c>
      <c r="P7">
        <v>3</v>
      </c>
      <c r="Q7">
        <v>0</v>
      </c>
      <c r="R7">
        <v>7</v>
      </c>
      <c r="S7">
        <v>9</v>
      </c>
      <c r="T7" s="8" t="s">
        <v>3150</v>
      </c>
      <c r="U7" s="8" t="s">
        <v>3151</v>
      </c>
      <c r="V7" s="8" t="s">
        <v>3152</v>
      </c>
      <c r="W7" s="8" t="s">
        <v>3153</v>
      </c>
      <c r="X7" s="8" t="s">
        <v>3154</v>
      </c>
      <c r="Y7" s="8" t="s">
        <v>3155</v>
      </c>
      <c r="Z7" s="8" t="s">
        <v>3150</v>
      </c>
      <c r="AA7" s="8" t="s">
        <v>3151</v>
      </c>
      <c r="AB7" s="8" t="s">
        <v>3152</v>
      </c>
      <c r="AC7" s="8" t="s">
        <v>3153</v>
      </c>
      <c r="AD7" s="8" t="s">
        <v>3154</v>
      </c>
      <c r="AE7" s="8" t="s">
        <v>3155</v>
      </c>
      <c r="AF7" s="8" t="s">
        <v>2142</v>
      </c>
      <c r="AG7" s="8" t="s">
        <v>2143</v>
      </c>
      <c r="AH7">
        <v>2159726.1</v>
      </c>
      <c r="AI7" s="8" t="s">
        <v>3150</v>
      </c>
      <c r="AJ7" s="8" t="s">
        <v>3151</v>
      </c>
      <c r="AK7" s="8" t="s">
        <v>3152</v>
      </c>
      <c r="AL7" s="8" t="s">
        <v>3153</v>
      </c>
      <c r="AM7" s="8" t="s">
        <v>3154</v>
      </c>
      <c r="AN7" s="8" t="s">
        <v>3155</v>
      </c>
      <c r="AO7" s="8" t="s">
        <v>2142</v>
      </c>
      <c r="AP7" s="8" t="s">
        <v>2143</v>
      </c>
      <c r="AQ7" s="8" t="s">
        <v>2143</v>
      </c>
      <c r="AR7" s="8" t="s">
        <v>124</v>
      </c>
      <c r="AS7" s="8" t="s">
        <v>125</v>
      </c>
      <c r="AT7">
        <v>1</v>
      </c>
      <c r="AU7" s="8" t="s">
        <v>106</v>
      </c>
      <c r="AV7" s="8" t="s">
        <v>2291</v>
      </c>
      <c r="AW7" s="8" t="s">
        <v>3156</v>
      </c>
      <c r="AX7">
        <v>1</v>
      </c>
      <c r="AY7" s="8" t="s">
        <v>2253</v>
      </c>
      <c r="AZ7">
        <v>233640</v>
      </c>
      <c r="BA7">
        <v>2219496</v>
      </c>
      <c r="BB7">
        <v>33428.26</v>
      </c>
      <c r="BC7">
        <v>92.438199999999895</v>
      </c>
      <c r="BD7" s="8" t="s">
        <v>130</v>
      </c>
      <c r="BE7" s="8" t="s">
        <v>145</v>
      </c>
      <c r="BF7" s="8" t="s">
        <v>112</v>
      </c>
      <c r="BG7" s="8" t="s">
        <v>133</v>
      </c>
      <c r="BH7" s="8" t="s">
        <v>134</v>
      </c>
      <c r="BI7" s="8" t="s">
        <v>112</v>
      </c>
      <c r="BJ7" s="8" t="s">
        <v>3157</v>
      </c>
      <c r="BK7" s="8" t="s">
        <v>112</v>
      </c>
      <c r="BL7" s="8" t="s">
        <v>3158</v>
      </c>
      <c r="BM7" s="8" t="s">
        <v>3159</v>
      </c>
      <c r="BN7" s="8" t="s">
        <v>3160</v>
      </c>
      <c r="BO7" s="8" t="s">
        <v>3161</v>
      </c>
      <c r="BP7">
        <v>3</v>
      </c>
      <c r="BQ7" s="8" t="s">
        <v>3162</v>
      </c>
      <c r="BR7" s="45">
        <f>ISNUMBER(SEARCH($BR$1,Таблица1[[#This Row],[31_1 Описание и характеристика товара]]))*1</f>
        <v>0</v>
      </c>
      <c r="BT7" s="8" t="s">
        <v>3163</v>
      </c>
      <c r="BU7">
        <v>2</v>
      </c>
      <c r="BV7">
        <v>1</v>
      </c>
      <c r="BW7">
        <v>1</v>
      </c>
      <c r="BX7" t="s">
        <v>2147</v>
      </c>
      <c r="BY7">
        <v>0</v>
      </c>
      <c r="CA7" s="8" t="s">
        <v>3164</v>
      </c>
      <c r="CB7" s="8" t="s">
        <v>2148</v>
      </c>
      <c r="CC7" s="8" t="s">
        <v>112</v>
      </c>
      <c r="CD7" s="8" t="s">
        <v>112</v>
      </c>
      <c r="CE7" s="8" t="s">
        <v>2142</v>
      </c>
      <c r="CF7">
        <v>338</v>
      </c>
      <c r="CG7" t="s">
        <v>2302</v>
      </c>
      <c r="CH7">
        <v>7800171</v>
      </c>
      <c r="CI7">
        <v>303</v>
      </c>
      <c r="CJ7">
        <v>0</v>
      </c>
      <c r="CK7" s="8" t="s">
        <v>112</v>
      </c>
      <c r="CL7" s="8" t="s">
        <v>112</v>
      </c>
      <c r="CM7">
        <v>40085</v>
      </c>
      <c r="CN7">
        <v>370539</v>
      </c>
      <c r="CO7">
        <v>0</v>
      </c>
      <c r="CP7">
        <v>1</v>
      </c>
      <c r="CQ7">
        <v>370538.52</v>
      </c>
      <c r="CR7">
        <v>5735.2</v>
      </c>
      <c r="CS7" s="8" t="s">
        <v>145</v>
      </c>
      <c r="CT7">
        <v>18.928100000000001</v>
      </c>
      <c r="CU7">
        <v>860</v>
      </c>
      <c r="CV7" t="s">
        <v>3165</v>
      </c>
      <c r="CX7" t="s">
        <v>3166</v>
      </c>
      <c r="CY7">
        <v>483</v>
      </c>
    </row>
    <row r="8" spans="1:104" x14ac:dyDescent="0.25">
      <c r="A8" s="8" t="s">
        <v>106</v>
      </c>
      <c r="B8" s="38">
        <v>44943</v>
      </c>
      <c r="C8" s="43">
        <f>IF(YEAR(Таблица1[[#This Row],[Дата]])=2023,MONTH(Таблица1[[#This Row],[Дата]]),0)</f>
        <v>1</v>
      </c>
      <c r="D8" s="8" t="s">
        <v>3225</v>
      </c>
      <c r="E8" s="8" t="s">
        <v>2947</v>
      </c>
      <c r="F8" s="8" t="s">
        <v>3226</v>
      </c>
      <c r="G8" t="s">
        <v>110</v>
      </c>
      <c r="H8" s="8" t="s">
        <v>111</v>
      </c>
      <c r="I8" s="8" t="s">
        <v>112</v>
      </c>
      <c r="J8" s="8" t="s">
        <v>112</v>
      </c>
      <c r="K8" s="8" t="s">
        <v>112</v>
      </c>
      <c r="L8" s="8" t="s">
        <v>3227</v>
      </c>
      <c r="M8" s="8" t="s">
        <v>3228</v>
      </c>
      <c r="N8" s="8" t="s">
        <v>112</v>
      </c>
      <c r="O8" s="8" t="s">
        <v>112</v>
      </c>
      <c r="P8">
        <v>1</v>
      </c>
      <c r="Q8">
        <v>0</v>
      </c>
      <c r="R8">
        <v>1</v>
      </c>
      <c r="S8">
        <v>13</v>
      </c>
      <c r="T8" s="8" t="s">
        <v>3229</v>
      </c>
      <c r="U8" s="8" t="s">
        <v>3230</v>
      </c>
      <c r="V8" s="8" t="s">
        <v>3231</v>
      </c>
      <c r="W8" s="8" t="s">
        <v>3232</v>
      </c>
      <c r="X8" s="8" t="s">
        <v>3233</v>
      </c>
      <c r="Y8" s="8" t="s">
        <v>3234</v>
      </c>
      <c r="Z8" s="8" t="s">
        <v>3229</v>
      </c>
      <c r="AA8" s="8" t="s">
        <v>3230</v>
      </c>
      <c r="AB8" s="8" t="s">
        <v>3231</v>
      </c>
      <c r="AC8" s="8" t="s">
        <v>3232</v>
      </c>
      <c r="AD8" s="8" t="s">
        <v>3233</v>
      </c>
      <c r="AE8" s="8" t="s">
        <v>3234</v>
      </c>
      <c r="AF8" s="8" t="s">
        <v>2142</v>
      </c>
      <c r="AG8" s="8" t="s">
        <v>2143</v>
      </c>
      <c r="AH8">
        <v>8357933.7699999902</v>
      </c>
      <c r="AI8" s="8" t="s">
        <v>3229</v>
      </c>
      <c r="AJ8" s="8" t="s">
        <v>3230</v>
      </c>
      <c r="AK8" s="8" t="s">
        <v>3231</v>
      </c>
      <c r="AL8" s="8" t="s">
        <v>3232</v>
      </c>
      <c r="AM8" s="8" t="s">
        <v>3233</v>
      </c>
      <c r="AN8" s="8" t="s">
        <v>3234</v>
      </c>
      <c r="AO8" s="8" t="s">
        <v>2142</v>
      </c>
      <c r="AP8" s="8" t="s">
        <v>2143</v>
      </c>
      <c r="AQ8" s="8" t="s">
        <v>2143</v>
      </c>
      <c r="AR8" s="8" t="s">
        <v>124</v>
      </c>
      <c r="AS8" s="8" t="s">
        <v>125</v>
      </c>
      <c r="AT8">
        <v>0</v>
      </c>
      <c r="AU8" s="8" t="s">
        <v>106</v>
      </c>
      <c r="AV8" s="8" t="s">
        <v>155</v>
      </c>
      <c r="AW8" s="8" t="s">
        <v>3235</v>
      </c>
      <c r="AX8">
        <v>1</v>
      </c>
      <c r="AY8" s="8" t="s">
        <v>129</v>
      </c>
      <c r="AZ8">
        <v>120850</v>
      </c>
      <c r="BA8">
        <v>8151067</v>
      </c>
      <c r="BB8">
        <v>131913.92000000001</v>
      </c>
      <c r="BC8">
        <v>67.447800000000001</v>
      </c>
      <c r="BD8" s="8" t="s">
        <v>130</v>
      </c>
      <c r="BE8" s="8" t="s">
        <v>145</v>
      </c>
      <c r="BF8" s="8" t="s">
        <v>3236</v>
      </c>
      <c r="BG8" s="8" t="s">
        <v>133</v>
      </c>
      <c r="BH8" s="8" t="s">
        <v>134</v>
      </c>
      <c r="BI8" s="8" t="s">
        <v>112</v>
      </c>
      <c r="BJ8" s="8" t="s">
        <v>2960</v>
      </c>
      <c r="BK8" s="8" t="s">
        <v>112</v>
      </c>
      <c r="BL8" s="8" t="s">
        <v>2961</v>
      </c>
      <c r="BM8" s="8" t="s">
        <v>3237</v>
      </c>
      <c r="BN8" s="8" t="s">
        <v>3238</v>
      </c>
      <c r="BO8" s="8" t="s">
        <v>2964</v>
      </c>
      <c r="BP8">
        <v>1</v>
      </c>
      <c r="BQ8" s="8" t="s">
        <v>3239</v>
      </c>
      <c r="BR8" s="45">
        <f>ISNUMBER(SEARCH($BR$1,Таблица1[[#This Row],[31_1 Описание и характеристика товара]]))*1</f>
        <v>0</v>
      </c>
      <c r="BT8" s="8" t="s">
        <v>3227</v>
      </c>
      <c r="BU8">
        <v>13</v>
      </c>
      <c r="BV8">
        <v>1</v>
      </c>
      <c r="BW8">
        <v>1</v>
      </c>
      <c r="BX8" t="s">
        <v>2147</v>
      </c>
      <c r="BY8">
        <v>0</v>
      </c>
      <c r="CA8" s="8" t="s">
        <v>106</v>
      </c>
      <c r="CB8" s="8" t="s">
        <v>2148</v>
      </c>
      <c r="CC8" s="8" t="s">
        <v>2232</v>
      </c>
      <c r="CD8" s="8" t="s">
        <v>112</v>
      </c>
      <c r="CE8" s="8" t="s">
        <v>2142</v>
      </c>
      <c r="CF8">
        <v>3760</v>
      </c>
      <c r="CG8" t="s">
        <v>144</v>
      </c>
      <c r="CH8">
        <v>4000000</v>
      </c>
      <c r="CI8">
        <v>3500</v>
      </c>
      <c r="CJ8">
        <v>0</v>
      </c>
      <c r="CK8" s="8" t="s">
        <v>112</v>
      </c>
      <c r="CL8" s="8" t="s">
        <v>112</v>
      </c>
      <c r="CM8">
        <v>120850</v>
      </c>
      <c r="CN8">
        <v>8151067</v>
      </c>
      <c r="CO8">
        <v>0</v>
      </c>
      <c r="CP8">
        <v>1</v>
      </c>
      <c r="CQ8">
        <v>8357933.7699999902</v>
      </c>
      <c r="CR8">
        <v>131913.92000000001</v>
      </c>
      <c r="CS8" s="8" t="s">
        <v>145</v>
      </c>
      <c r="CT8">
        <v>37.689700000000002</v>
      </c>
      <c r="CU8">
        <v>1067</v>
      </c>
      <c r="CV8" t="s">
        <v>3240</v>
      </c>
      <c r="CX8" t="s">
        <v>3241</v>
      </c>
      <c r="CY8">
        <v>0</v>
      </c>
    </row>
    <row r="9" spans="1:104" x14ac:dyDescent="0.25">
      <c r="A9" s="8" t="s">
        <v>106</v>
      </c>
      <c r="B9" s="38">
        <v>44772</v>
      </c>
      <c r="C9" s="43">
        <f>IF(YEAR(Таблица1[[#This Row],[Дата]])=2023,MONTH(Таблица1[[#This Row],[Дата]]),0)</f>
        <v>0</v>
      </c>
      <c r="D9" s="8" t="s">
        <v>2435</v>
      </c>
      <c r="E9" s="8" t="s">
        <v>2436</v>
      </c>
      <c r="F9" s="8" t="s">
        <v>2437</v>
      </c>
      <c r="G9" t="s">
        <v>110</v>
      </c>
      <c r="H9" s="8" t="s">
        <v>111</v>
      </c>
      <c r="I9" s="8" t="s">
        <v>112</v>
      </c>
      <c r="J9" s="8" t="s">
        <v>112</v>
      </c>
      <c r="K9" s="8" t="s">
        <v>112</v>
      </c>
      <c r="L9" s="8" t="s">
        <v>2438</v>
      </c>
      <c r="M9" s="8" t="s">
        <v>2439</v>
      </c>
      <c r="N9" s="8" t="s">
        <v>112</v>
      </c>
      <c r="O9" s="8" t="s">
        <v>112</v>
      </c>
      <c r="P9">
        <v>1</v>
      </c>
      <c r="Q9">
        <v>0</v>
      </c>
      <c r="R9">
        <v>1</v>
      </c>
      <c r="S9">
        <v>9</v>
      </c>
      <c r="T9" s="8" t="s">
        <v>2440</v>
      </c>
      <c r="U9" s="8" t="s">
        <v>2441</v>
      </c>
      <c r="V9" s="8" t="s">
        <v>2442</v>
      </c>
      <c r="W9" s="8" t="s">
        <v>2443</v>
      </c>
      <c r="X9" s="8" t="s">
        <v>2444</v>
      </c>
      <c r="Y9" s="8" t="s">
        <v>2445</v>
      </c>
      <c r="Z9" s="8" t="s">
        <v>2440</v>
      </c>
      <c r="AA9" s="8" t="s">
        <v>2441</v>
      </c>
      <c r="AB9" s="8" t="s">
        <v>2442</v>
      </c>
      <c r="AC9" s="8" t="s">
        <v>2443</v>
      </c>
      <c r="AD9" s="8" t="s">
        <v>2444</v>
      </c>
      <c r="AE9" s="8" t="s">
        <v>2445</v>
      </c>
      <c r="AF9" s="8" t="s">
        <v>2163</v>
      </c>
      <c r="AG9" s="8" t="s">
        <v>2164</v>
      </c>
      <c r="AH9">
        <v>2536832.64</v>
      </c>
      <c r="AI9" s="8" t="s">
        <v>2440</v>
      </c>
      <c r="AJ9" s="8" t="s">
        <v>2441</v>
      </c>
      <c r="AK9" s="8" t="s">
        <v>2442</v>
      </c>
      <c r="AL9" s="8" t="s">
        <v>2443</v>
      </c>
      <c r="AM9" s="8" t="s">
        <v>2444</v>
      </c>
      <c r="AN9" s="8" t="s">
        <v>2445</v>
      </c>
      <c r="AO9" s="8" t="s">
        <v>2163</v>
      </c>
      <c r="AP9" s="8" t="s">
        <v>2164</v>
      </c>
      <c r="AQ9" s="8" t="s">
        <v>2164</v>
      </c>
      <c r="AR9" s="8" t="s">
        <v>124</v>
      </c>
      <c r="AS9" s="8" t="s">
        <v>125</v>
      </c>
      <c r="AT9">
        <v>2</v>
      </c>
      <c r="AU9" s="8" t="s">
        <v>126</v>
      </c>
      <c r="AV9" s="8" t="s">
        <v>155</v>
      </c>
      <c r="AW9" s="8" t="s">
        <v>2446</v>
      </c>
      <c r="AX9">
        <v>1</v>
      </c>
      <c r="AY9" s="8" t="s">
        <v>129</v>
      </c>
      <c r="AZ9">
        <v>29757</v>
      </c>
      <c r="BA9">
        <v>2207461</v>
      </c>
      <c r="BB9">
        <v>36274.36</v>
      </c>
      <c r="BC9">
        <v>74.182900000000004</v>
      </c>
      <c r="BD9" s="8" t="s">
        <v>130</v>
      </c>
      <c r="BE9" s="8" t="s">
        <v>112</v>
      </c>
      <c r="BF9" s="8" t="s">
        <v>2447</v>
      </c>
      <c r="BG9" s="8" t="s">
        <v>133</v>
      </c>
      <c r="BH9" s="8" t="s">
        <v>167</v>
      </c>
      <c r="BI9" s="8" t="s">
        <v>2448</v>
      </c>
      <c r="BJ9" s="8" t="s">
        <v>112</v>
      </c>
      <c r="BK9" s="8" t="s">
        <v>112</v>
      </c>
      <c r="BL9" s="8" t="s">
        <v>2449</v>
      </c>
      <c r="BM9" s="8" t="s">
        <v>2450</v>
      </c>
      <c r="BN9" s="8" t="s">
        <v>2451</v>
      </c>
      <c r="BO9" s="8" t="s">
        <v>2452</v>
      </c>
      <c r="BP9">
        <v>1</v>
      </c>
      <c r="BQ9" s="8" t="s">
        <v>2453</v>
      </c>
      <c r="BR9" s="45">
        <f>ISNUMBER(SEARCH($BR$1,Таблица1[[#This Row],[31_1 Описание и характеристика товара]]))*1</f>
        <v>0</v>
      </c>
      <c r="BT9" s="8" t="s">
        <v>2454</v>
      </c>
      <c r="BU9">
        <v>9</v>
      </c>
      <c r="BV9">
        <v>0</v>
      </c>
      <c r="BW9">
        <v>7</v>
      </c>
      <c r="BX9" t="s">
        <v>2147</v>
      </c>
      <c r="BY9">
        <v>0</v>
      </c>
      <c r="CA9" s="8" t="s">
        <v>106</v>
      </c>
      <c r="CB9" s="8" t="s">
        <v>2148</v>
      </c>
      <c r="CC9" s="8" t="s">
        <v>112</v>
      </c>
      <c r="CD9" s="8" t="s">
        <v>112</v>
      </c>
      <c r="CE9" s="8" t="s">
        <v>2163</v>
      </c>
      <c r="CF9">
        <v>11797</v>
      </c>
      <c r="CG9" t="s">
        <v>144</v>
      </c>
      <c r="CH9">
        <v>4000000</v>
      </c>
      <c r="CI9">
        <v>11767</v>
      </c>
      <c r="CJ9">
        <v>0</v>
      </c>
      <c r="CK9" s="8" t="s">
        <v>112</v>
      </c>
      <c r="CL9" s="8" t="s">
        <v>112</v>
      </c>
      <c r="CM9">
        <v>29757</v>
      </c>
      <c r="CN9">
        <v>2207461</v>
      </c>
      <c r="CO9">
        <v>0</v>
      </c>
      <c r="CP9">
        <v>1</v>
      </c>
      <c r="CQ9">
        <v>2536832.64</v>
      </c>
      <c r="CR9">
        <v>36274.36</v>
      </c>
      <c r="CS9" s="8" t="s">
        <v>145</v>
      </c>
      <c r="CT9">
        <v>3.0827</v>
      </c>
      <c r="CX9" t="s">
        <v>2455</v>
      </c>
      <c r="CY9">
        <v>0</v>
      </c>
    </row>
    <row r="10" spans="1:104" x14ac:dyDescent="0.25">
      <c r="A10" s="8" t="s">
        <v>106</v>
      </c>
      <c r="B10" s="38">
        <v>45243</v>
      </c>
      <c r="C10" s="43">
        <f>IF(YEAR(Таблица1[[#This Row],[Дата]])=2023,MONTH(Таблица1[[#This Row],[Дата]]),0)</f>
        <v>11</v>
      </c>
      <c r="D10" s="8" t="s">
        <v>2867</v>
      </c>
      <c r="E10" s="8" t="s">
        <v>2868</v>
      </c>
      <c r="F10" s="8" t="s">
        <v>2869</v>
      </c>
      <c r="G10" t="s">
        <v>110</v>
      </c>
      <c r="H10" s="8" t="s">
        <v>111</v>
      </c>
      <c r="I10" s="8" t="s">
        <v>112</v>
      </c>
      <c r="J10" s="8" t="s">
        <v>112</v>
      </c>
      <c r="K10" s="8" t="s">
        <v>112</v>
      </c>
      <c r="L10" s="8" t="s">
        <v>2870</v>
      </c>
      <c r="M10" s="8" t="s">
        <v>2871</v>
      </c>
      <c r="N10" s="8" t="s">
        <v>112</v>
      </c>
      <c r="O10" s="8" t="s">
        <v>112</v>
      </c>
      <c r="P10">
        <v>1</v>
      </c>
      <c r="Q10">
        <v>0</v>
      </c>
      <c r="R10">
        <v>1</v>
      </c>
      <c r="S10">
        <v>595</v>
      </c>
      <c r="T10" s="8" t="s">
        <v>2872</v>
      </c>
      <c r="U10" s="8" t="s">
        <v>2873</v>
      </c>
      <c r="V10" s="8" t="s">
        <v>2874</v>
      </c>
      <c r="W10" s="8" t="s">
        <v>2875</v>
      </c>
      <c r="X10" s="8" t="s">
        <v>2269</v>
      </c>
      <c r="Y10" s="8" t="s">
        <v>2270</v>
      </c>
      <c r="Z10" s="8" t="s">
        <v>2872</v>
      </c>
      <c r="AA10" s="8" t="s">
        <v>2873</v>
      </c>
      <c r="AB10" s="8" t="s">
        <v>2874</v>
      </c>
      <c r="AC10" s="8" t="s">
        <v>2875</v>
      </c>
      <c r="AD10" s="8" t="s">
        <v>2269</v>
      </c>
      <c r="AE10" s="8" t="s">
        <v>2270</v>
      </c>
      <c r="AF10" s="8" t="s">
        <v>2185</v>
      </c>
      <c r="AG10" s="8" t="s">
        <v>2186</v>
      </c>
      <c r="AH10">
        <v>12796878.449999901</v>
      </c>
      <c r="AI10" s="8" t="s">
        <v>2872</v>
      </c>
      <c r="AJ10" s="8" t="s">
        <v>2873</v>
      </c>
      <c r="AK10" s="8" t="s">
        <v>2874</v>
      </c>
      <c r="AL10" s="8" t="s">
        <v>2875</v>
      </c>
      <c r="AM10" s="8" t="s">
        <v>2269</v>
      </c>
      <c r="AN10" s="8" t="s">
        <v>2270</v>
      </c>
      <c r="AO10" s="8" t="s">
        <v>2185</v>
      </c>
      <c r="AP10" s="8" t="s">
        <v>2186</v>
      </c>
      <c r="AQ10" s="8" t="s">
        <v>2186</v>
      </c>
      <c r="AR10" s="8" t="s">
        <v>124</v>
      </c>
      <c r="AS10" s="8" t="s">
        <v>125</v>
      </c>
      <c r="AT10">
        <v>2</v>
      </c>
      <c r="AU10" s="8" t="s">
        <v>126</v>
      </c>
      <c r="AV10" s="8" t="s">
        <v>127</v>
      </c>
      <c r="AW10" s="8" t="s">
        <v>2271</v>
      </c>
      <c r="AX10">
        <v>1</v>
      </c>
      <c r="AY10" s="8" t="s">
        <v>129</v>
      </c>
      <c r="AZ10">
        <v>165890.25</v>
      </c>
      <c r="BA10">
        <v>12456931</v>
      </c>
      <c r="BB10">
        <v>181450.12</v>
      </c>
      <c r="BC10">
        <v>75.091399999999894</v>
      </c>
      <c r="BD10" s="8" t="s">
        <v>130</v>
      </c>
      <c r="BE10" s="8" t="s">
        <v>112</v>
      </c>
      <c r="BF10" s="8" t="s">
        <v>2876</v>
      </c>
      <c r="BG10" s="8" t="s">
        <v>133</v>
      </c>
      <c r="BH10" s="8" t="s">
        <v>167</v>
      </c>
      <c r="BI10" s="8" t="s">
        <v>2877</v>
      </c>
      <c r="BJ10" s="8" t="s">
        <v>112</v>
      </c>
      <c r="BK10" s="8" t="s">
        <v>112</v>
      </c>
      <c r="BL10" s="8" t="s">
        <v>2878</v>
      </c>
      <c r="BM10" s="8" t="s">
        <v>2879</v>
      </c>
      <c r="BN10" s="8" t="s">
        <v>2880</v>
      </c>
      <c r="BO10" s="8" t="s">
        <v>2881</v>
      </c>
      <c r="BP10">
        <v>1</v>
      </c>
      <c r="BQ10" s="8" t="s">
        <v>2882</v>
      </c>
      <c r="BR10" s="45">
        <f>ISNUMBER(SEARCH($BR$1,Таблица1[[#This Row],[31_1 Описание и характеристика товара]]))*1</f>
        <v>0</v>
      </c>
      <c r="BT10" s="8" t="s">
        <v>2279</v>
      </c>
      <c r="BU10">
        <v>595</v>
      </c>
      <c r="BV10">
        <v>0</v>
      </c>
      <c r="BW10">
        <v>595</v>
      </c>
      <c r="BX10" t="s">
        <v>2147</v>
      </c>
      <c r="BY10">
        <v>0</v>
      </c>
      <c r="CA10" s="8" t="s">
        <v>106</v>
      </c>
      <c r="CB10" s="8" t="s">
        <v>2148</v>
      </c>
      <c r="CC10" s="8" t="s">
        <v>112</v>
      </c>
      <c r="CD10" s="8" t="s">
        <v>112</v>
      </c>
      <c r="CE10" s="8" t="s">
        <v>2185</v>
      </c>
      <c r="CF10">
        <v>19367</v>
      </c>
      <c r="CG10" t="s">
        <v>144</v>
      </c>
      <c r="CH10">
        <v>4000000</v>
      </c>
      <c r="CI10">
        <v>17498</v>
      </c>
      <c r="CJ10">
        <v>0</v>
      </c>
      <c r="CK10" s="8" t="s">
        <v>112</v>
      </c>
      <c r="CL10" s="8" t="s">
        <v>112</v>
      </c>
      <c r="CM10">
        <v>165890.25</v>
      </c>
      <c r="CN10">
        <v>12456931</v>
      </c>
      <c r="CO10">
        <v>0</v>
      </c>
      <c r="CP10">
        <v>1</v>
      </c>
      <c r="CQ10">
        <v>12796878.449999901</v>
      </c>
      <c r="CR10">
        <v>181450.12</v>
      </c>
      <c r="CS10" s="8" t="s">
        <v>145</v>
      </c>
      <c r="CT10">
        <v>10.3698</v>
      </c>
      <c r="CU10">
        <v>696</v>
      </c>
      <c r="CV10" t="s">
        <v>2883</v>
      </c>
      <c r="CX10" t="s">
        <v>2884</v>
      </c>
      <c r="CY10">
        <v>113</v>
      </c>
    </row>
    <row r="11" spans="1:104" x14ac:dyDescent="0.25">
      <c r="A11" s="8" t="s">
        <v>106</v>
      </c>
      <c r="B11" s="38">
        <v>45136</v>
      </c>
      <c r="C11" s="43">
        <f>IF(YEAR(Таблица1[[#This Row],[Дата]])=2023,MONTH(Таблица1[[#This Row],[Дата]]),0)</f>
        <v>7</v>
      </c>
      <c r="D11" s="8" t="s">
        <v>2211</v>
      </c>
      <c r="E11" s="8" t="s">
        <v>2212</v>
      </c>
      <c r="F11" s="8" t="s">
        <v>2213</v>
      </c>
      <c r="G11" t="s">
        <v>110</v>
      </c>
      <c r="H11" s="8" t="s">
        <v>111</v>
      </c>
      <c r="I11" s="8" t="s">
        <v>112</v>
      </c>
      <c r="J11" s="8" t="s">
        <v>112</v>
      </c>
      <c r="K11" s="8" t="s">
        <v>112</v>
      </c>
      <c r="L11" s="8" t="s">
        <v>2214</v>
      </c>
      <c r="M11" s="8" t="s">
        <v>2215</v>
      </c>
      <c r="N11" s="8" t="s">
        <v>112</v>
      </c>
      <c r="O11" s="8" t="s">
        <v>112</v>
      </c>
      <c r="P11">
        <v>5</v>
      </c>
      <c r="Q11">
        <v>0</v>
      </c>
      <c r="R11">
        <v>11</v>
      </c>
      <c r="S11">
        <v>383</v>
      </c>
      <c r="T11" s="8" t="s">
        <v>2216</v>
      </c>
      <c r="U11" s="8" t="s">
        <v>2217</v>
      </c>
      <c r="V11" s="8" t="s">
        <v>2218</v>
      </c>
      <c r="W11" s="8" t="s">
        <v>2219</v>
      </c>
      <c r="X11" s="8" t="s">
        <v>2220</v>
      </c>
      <c r="Y11" s="8" t="s">
        <v>2221</v>
      </c>
      <c r="Z11" s="8" t="s">
        <v>2216</v>
      </c>
      <c r="AA11" s="8" t="s">
        <v>2217</v>
      </c>
      <c r="AB11" s="8" t="s">
        <v>2218</v>
      </c>
      <c r="AC11" s="8" t="s">
        <v>2219</v>
      </c>
      <c r="AD11" s="8" t="s">
        <v>2220</v>
      </c>
      <c r="AE11" s="8" t="s">
        <v>2221</v>
      </c>
      <c r="AF11" s="8" t="s">
        <v>2222</v>
      </c>
      <c r="AG11" s="8" t="s">
        <v>2223</v>
      </c>
      <c r="AH11">
        <v>22359772.510000002</v>
      </c>
      <c r="AI11" s="8" t="s">
        <v>2216</v>
      </c>
      <c r="AJ11" s="8" t="s">
        <v>2217</v>
      </c>
      <c r="AK11" s="8" t="s">
        <v>2218</v>
      </c>
      <c r="AL11" s="8" t="s">
        <v>2219</v>
      </c>
      <c r="AM11" s="8" t="s">
        <v>2220</v>
      </c>
      <c r="AN11" s="8" t="s">
        <v>2221</v>
      </c>
      <c r="AO11" s="8" t="s">
        <v>2222</v>
      </c>
      <c r="AP11" s="8" t="s">
        <v>2223</v>
      </c>
      <c r="AQ11" s="8" t="s">
        <v>2223</v>
      </c>
      <c r="AR11" s="8" t="s">
        <v>124</v>
      </c>
      <c r="AS11" s="8" t="s">
        <v>125</v>
      </c>
      <c r="AT11">
        <v>2</v>
      </c>
      <c r="AU11" s="8" t="s">
        <v>126</v>
      </c>
      <c r="AV11" s="8" t="s">
        <v>127</v>
      </c>
      <c r="AW11" s="8" t="s">
        <v>2224</v>
      </c>
      <c r="AX11">
        <v>1</v>
      </c>
      <c r="AY11" s="8" t="s">
        <v>129</v>
      </c>
      <c r="AZ11">
        <v>321360.06</v>
      </c>
      <c r="BA11">
        <v>21996132</v>
      </c>
      <c r="BB11">
        <v>347733.27</v>
      </c>
      <c r="BC11">
        <v>68.447000000000003</v>
      </c>
      <c r="BD11" s="8" t="s">
        <v>130</v>
      </c>
      <c r="BE11" s="8" t="s">
        <v>131</v>
      </c>
      <c r="BF11" s="8" t="s">
        <v>2225</v>
      </c>
      <c r="BG11" s="8" t="s">
        <v>133</v>
      </c>
      <c r="BH11" s="8" t="s">
        <v>134</v>
      </c>
      <c r="BI11" s="8" t="s">
        <v>112</v>
      </c>
      <c r="BJ11" s="8" t="s">
        <v>178</v>
      </c>
      <c r="BK11" s="8" t="s">
        <v>2226</v>
      </c>
      <c r="BL11" s="8" t="s">
        <v>2227</v>
      </c>
      <c r="BM11" s="8" t="s">
        <v>2228</v>
      </c>
      <c r="BN11" s="8" t="s">
        <v>2229</v>
      </c>
      <c r="BO11" s="8" t="s">
        <v>181</v>
      </c>
      <c r="BP11">
        <v>1</v>
      </c>
      <c r="BQ11" s="8" t="s">
        <v>2230</v>
      </c>
      <c r="BR11" s="45">
        <f>ISNUMBER(SEARCH($BR$1,Таблица1[[#This Row],[31_1 Описание и характеристика товара]]))*1</f>
        <v>0</v>
      </c>
      <c r="BT11" s="8" t="s">
        <v>2231</v>
      </c>
      <c r="BU11">
        <v>368</v>
      </c>
      <c r="BV11">
        <v>0</v>
      </c>
      <c r="BW11">
        <v>420</v>
      </c>
      <c r="BX11" t="s">
        <v>2147</v>
      </c>
      <c r="BY11">
        <v>0</v>
      </c>
      <c r="CA11" s="8" t="s">
        <v>106</v>
      </c>
      <c r="CB11" s="8" t="s">
        <v>2148</v>
      </c>
      <c r="CC11" s="8" t="s">
        <v>2232</v>
      </c>
      <c r="CD11" s="8" t="s">
        <v>112</v>
      </c>
      <c r="CE11" s="8" t="s">
        <v>2222</v>
      </c>
      <c r="CF11">
        <v>9487.0750000000007</v>
      </c>
      <c r="CG11" t="s">
        <v>144</v>
      </c>
      <c r="CH11">
        <v>4000000</v>
      </c>
      <c r="CI11">
        <v>8750.8250000000007</v>
      </c>
      <c r="CJ11">
        <v>0</v>
      </c>
      <c r="CK11" s="8" t="s">
        <v>112</v>
      </c>
      <c r="CL11" s="8" t="s">
        <v>112</v>
      </c>
      <c r="CM11">
        <v>133189.06</v>
      </c>
      <c r="CN11">
        <v>9116392</v>
      </c>
      <c r="CO11">
        <v>0</v>
      </c>
      <c r="CP11">
        <v>1</v>
      </c>
      <c r="CQ11">
        <v>9389407.4499999899</v>
      </c>
      <c r="CR11">
        <v>146021.59</v>
      </c>
      <c r="CS11" s="8" t="s">
        <v>145</v>
      </c>
      <c r="CT11">
        <v>16.686599999999999</v>
      </c>
      <c r="CU11">
        <v>1117</v>
      </c>
      <c r="CV11" t="s">
        <v>2233</v>
      </c>
      <c r="CX11" t="s">
        <v>2234</v>
      </c>
      <c r="CY11">
        <v>92</v>
      </c>
    </row>
    <row r="12" spans="1:104" x14ac:dyDescent="0.25">
      <c r="A12" s="8" t="s">
        <v>106</v>
      </c>
      <c r="B12" s="38">
        <v>44995</v>
      </c>
      <c r="C12" s="43">
        <f>IF(YEAR(Таблица1[[#This Row],[Дата]])=2023,MONTH(Таблица1[[#This Row],[Дата]]),0)</f>
        <v>3</v>
      </c>
      <c r="D12" s="8" t="s">
        <v>2260</v>
      </c>
      <c r="E12" s="8" t="s">
        <v>2261</v>
      </c>
      <c r="F12" s="8" t="s">
        <v>2262</v>
      </c>
      <c r="G12" t="s">
        <v>110</v>
      </c>
      <c r="H12" s="8" t="s">
        <v>111</v>
      </c>
      <c r="I12" s="8" t="s">
        <v>112</v>
      </c>
      <c r="J12" s="8" t="s">
        <v>112</v>
      </c>
      <c r="K12" s="8" t="s">
        <v>112</v>
      </c>
      <c r="L12" s="8" t="s">
        <v>2263</v>
      </c>
      <c r="M12" s="8" t="s">
        <v>2264</v>
      </c>
      <c r="N12" s="8" t="s">
        <v>112</v>
      </c>
      <c r="O12" s="8" t="s">
        <v>112</v>
      </c>
      <c r="P12">
        <v>2</v>
      </c>
      <c r="Q12">
        <v>0</v>
      </c>
      <c r="R12">
        <v>4</v>
      </c>
      <c r="S12">
        <v>496</v>
      </c>
      <c r="T12" s="8" t="s">
        <v>2265</v>
      </c>
      <c r="U12" s="8" t="s">
        <v>2266</v>
      </c>
      <c r="V12" s="8" t="s">
        <v>2267</v>
      </c>
      <c r="W12" s="8" t="s">
        <v>2268</v>
      </c>
      <c r="X12" s="8" t="s">
        <v>2269</v>
      </c>
      <c r="Y12" s="8" t="s">
        <v>2270</v>
      </c>
      <c r="Z12" s="8" t="s">
        <v>2265</v>
      </c>
      <c r="AA12" s="8" t="s">
        <v>2266</v>
      </c>
      <c r="AB12" s="8" t="s">
        <v>2267</v>
      </c>
      <c r="AC12" s="8" t="s">
        <v>2268</v>
      </c>
      <c r="AD12" s="8" t="s">
        <v>2269</v>
      </c>
      <c r="AE12" s="8" t="s">
        <v>2270</v>
      </c>
      <c r="AF12" s="8" t="s">
        <v>2185</v>
      </c>
      <c r="AG12" s="8" t="s">
        <v>2186</v>
      </c>
      <c r="AH12">
        <v>11038147.699999901</v>
      </c>
      <c r="AI12" s="8" t="s">
        <v>2265</v>
      </c>
      <c r="AJ12" s="8" t="s">
        <v>2266</v>
      </c>
      <c r="AK12" s="8" t="s">
        <v>2267</v>
      </c>
      <c r="AL12" s="8" t="s">
        <v>2268</v>
      </c>
      <c r="AM12" s="8" t="s">
        <v>2269</v>
      </c>
      <c r="AN12" s="8" t="s">
        <v>2270</v>
      </c>
      <c r="AO12" s="8" t="s">
        <v>2185</v>
      </c>
      <c r="AP12" s="8" t="s">
        <v>2186</v>
      </c>
      <c r="AQ12" s="8" t="s">
        <v>2186</v>
      </c>
      <c r="AR12" s="8" t="s">
        <v>124</v>
      </c>
      <c r="AS12" s="8" t="s">
        <v>125</v>
      </c>
      <c r="AT12">
        <v>0</v>
      </c>
      <c r="AU12" s="8" t="s">
        <v>106</v>
      </c>
      <c r="AV12" s="8" t="s">
        <v>127</v>
      </c>
      <c r="AW12" s="8" t="s">
        <v>2271</v>
      </c>
      <c r="AX12">
        <v>1</v>
      </c>
      <c r="AY12" s="8" t="s">
        <v>129</v>
      </c>
      <c r="AZ12">
        <v>139586.16</v>
      </c>
      <c r="BA12">
        <v>10619227</v>
      </c>
      <c r="BB12">
        <v>153354.9</v>
      </c>
      <c r="BC12">
        <v>76.076499999999896</v>
      </c>
      <c r="BD12" s="8" t="s">
        <v>130</v>
      </c>
      <c r="BE12" s="8" t="s">
        <v>112</v>
      </c>
      <c r="BF12" s="8" t="s">
        <v>2272</v>
      </c>
      <c r="BG12" s="8" t="s">
        <v>133</v>
      </c>
      <c r="BH12" s="8" t="s">
        <v>134</v>
      </c>
      <c r="BI12" s="8" t="s">
        <v>112</v>
      </c>
      <c r="BJ12" s="8" t="s">
        <v>2273</v>
      </c>
      <c r="BK12" s="8" t="s">
        <v>112</v>
      </c>
      <c r="BL12" s="8" t="s">
        <v>2274</v>
      </c>
      <c r="BM12" s="8" t="s">
        <v>2275</v>
      </c>
      <c r="BN12" s="8" t="s">
        <v>2276</v>
      </c>
      <c r="BO12" s="8" t="s">
        <v>2277</v>
      </c>
      <c r="BP12">
        <v>1</v>
      </c>
      <c r="BQ12" s="8" t="s">
        <v>2278</v>
      </c>
      <c r="BR12" s="45">
        <f>ISNUMBER(SEARCH($BR$1,Таблица1[[#This Row],[31_1 Описание и характеристика товара]]))*1</f>
        <v>0</v>
      </c>
      <c r="BT12" s="8" t="s">
        <v>2279</v>
      </c>
      <c r="BU12">
        <v>486</v>
      </c>
      <c r="BV12">
        <v>1</v>
      </c>
      <c r="BW12">
        <v>486</v>
      </c>
      <c r="BX12" t="s">
        <v>2147</v>
      </c>
      <c r="BY12">
        <v>0</v>
      </c>
      <c r="CA12" s="8" t="s">
        <v>106</v>
      </c>
      <c r="CB12" s="8" t="s">
        <v>2148</v>
      </c>
      <c r="CC12" s="8" t="s">
        <v>112</v>
      </c>
      <c r="CD12" s="8" t="s">
        <v>112</v>
      </c>
      <c r="CE12" s="8" t="s">
        <v>2185</v>
      </c>
      <c r="CF12">
        <v>15217.3</v>
      </c>
      <c r="CG12" t="s">
        <v>144</v>
      </c>
      <c r="CH12">
        <v>4000000</v>
      </c>
      <c r="CI12">
        <v>14354.1</v>
      </c>
      <c r="CJ12">
        <v>0</v>
      </c>
      <c r="CK12" s="8" t="s">
        <v>112</v>
      </c>
      <c r="CL12" s="8" t="s">
        <v>112</v>
      </c>
      <c r="CM12">
        <v>133319</v>
      </c>
      <c r="CN12">
        <v>10142443</v>
      </c>
      <c r="CO12">
        <v>0</v>
      </c>
      <c r="CP12">
        <v>1</v>
      </c>
      <c r="CQ12">
        <v>10555045.98</v>
      </c>
      <c r="CR12">
        <v>146643.079999999</v>
      </c>
      <c r="CS12" s="8" t="s">
        <v>145</v>
      </c>
      <c r="CT12">
        <v>10.216100000000001</v>
      </c>
      <c r="CU12">
        <v>727</v>
      </c>
      <c r="CV12" t="s">
        <v>2280</v>
      </c>
      <c r="CX12" t="s">
        <v>2281</v>
      </c>
      <c r="CY12">
        <v>0</v>
      </c>
    </row>
    <row r="13" spans="1:104" x14ac:dyDescent="0.25">
      <c r="A13" s="8" t="s">
        <v>106</v>
      </c>
      <c r="B13" s="38">
        <v>44940</v>
      </c>
      <c r="C13" s="43">
        <f>IF(YEAR(Таблица1[[#This Row],[Дата]])=2023,MONTH(Таблица1[[#This Row],[Дата]]),0)</f>
        <v>1</v>
      </c>
      <c r="D13" s="8" t="s">
        <v>2306</v>
      </c>
      <c r="E13" s="8" t="s">
        <v>2261</v>
      </c>
      <c r="F13" s="8" t="s">
        <v>2307</v>
      </c>
      <c r="G13" t="s">
        <v>110</v>
      </c>
      <c r="H13" s="8" t="s">
        <v>111</v>
      </c>
      <c r="I13" s="8" t="s">
        <v>112</v>
      </c>
      <c r="J13" s="8" t="s">
        <v>112</v>
      </c>
      <c r="K13" s="8" t="s">
        <v>112</v>
      </c>
      <c r="L13" s="8" t="s">
        <v>2263</v>
      </c>
      <c r="M13" s="8" t="s">
        <v>2264</v>
      </c>
      <c r="N13" s="8" t="s">
        <v>112</v>
      </c>
      <c r="O13" s="8" t="s">
        <v>112</v>
      </c>
      <c r="P13">
        <v>1</v>
      </c>
      <c r="Q13">
        <v>0</v>
      </c>
      <c r="R13">
        <v>1</v>
      </c>
      <c r="S13">
        <v>490</v>
      </c>
      <c r="T13" s="8" t="s">
        <v>2265</v>
      </c>
      <c r="U13" s="8" t="s">
        <v>2266</v>
      </c>
      <c r="V13" s="8" t="s">
        <v>2267</v>
      </c>
      <c r="W13" s="8" t="s">
        <v>2268</v>
      </c>
      <c r="X13" s="8" t="s">
        <v>2269</v>
      </c>
      <c r="Y13" s="8" t="s">
        <v>2270</v>
      </c>
      <c r="Z13" s="8" t="s">
        <v>2265</v>
      </c>
      <c r="AA13" s="8" t="s">
        <v>2266</v>
      </c>
      <c r="AB13" s="8" t="s">
        <v>2267</v>
      </c>
      <c r="AC13" s="8" t="s">
        <v>2268</v>
      </c>
      <c r="AD13" s="8" t="s">
        <v>2269</v>
      </c>
      <c r="AE13" s="8" t="s">
        <v>2270</v>
      </c>
      <c r="AF13" s="8" t="s">
        <v>2185</v>
      </c>
      <c r="AG13" s="8" t="s">
        <v>2186</v>
      </c>
      <c r="AH13">
        <v>10222789.710000001</v>
      </c>
      <c r="AI13" s="8" t="s">
        <v>2265</v>
      </c>
      <c r="AJ13" s="8" t="s">
        <v>2266</v>
      </c>
      <c r="AK13" s="8" t="s">
        <v>2267</v>
      </c>
      <c r="AL13" s="8" t="s">
        <v>2268</v>
      </c>
      <c r="AM13" s="8" t="s">
        <v>2269</v>
      </c>
      <c r="AN13" s="8" t="s">
        <v>2270</v>
      </c>
      <c r="AO13" s="8" t="s">
        <v>2185</v>
      </c>
      <c r="AP13" s="8" t="s">
        <v>2186</v>
      </c>
      <c r="AQ13" s="8" t="s">
        <v>2186</v>
      </c>
      <c r="AR13" s="8" t="s">
        <v>124</v>
      </c>
      <c r="AS13" s="8" t="s">
        <v>125</v>
      </c>
      <c r="AT13">
        <v>0</v>
      </c>
      <c r="AU13" s="8" t="s">
        <v>106</v>
      </c>
      <c r="AV13" s="8" t="s">
        <v>127</v>
      </c>
      <c r="AW13" s="8" t="s">
        <v>2271</v>
      </c>
      <c r="AX13">
        <v>1</v>
      </c>
      <c r="AY13" s="8" t="s">
        <v>129</v>
      </c>
      <c r="AZ13">
        <v>129000</v>
      </c>
      <c r="BA13">
        <v>9813869</v>
      </c>
      <c r="BB13">
        <v>142026.98000000001</v>
      </c>
      <c r="BC13">
        <v>76.076499999999896</v>
      </c>
      <c r="BD13" s="8" t="s">
        <v>130</v>
      </c>
      <c r="BE13" s="8" t="s">
        <v>112</v>
      </c>
      <c r="BF13" s="8" t="s">
        <v>2272</v>
      </c>
      <c r="BG13" s="8" t="s">
        <v>133</v>
      </c>
      <c r="BH13" s="8" t="s">
        <v>134</v>
      </c>
      <c r="BI13" s="8" t="s">
        <v>112</v>
      </c>
      <c r="BJ13" s="8" t="s">
        <v>2273</v>
      </c>
      <c r="BK13" s="8" t="s">
        <v>112</v>
      </c>
      <c r="BL13" s="8" t="s">
        <v>2274</v>
      </c>
      <c r="BM13" s="8" t="s">
        <v>2275</v>
      </c>
      <c r="BN13" s="8" t="s">
        <v>2276</v>
      </c>
      <c r="BO13" s="8" t="s">
        <v>2277</v>
      </c>
      <c r="BP13">
        <v>1</v>
      </c>
      <c r="BQ13" s="8" t="s">
        <v>2278</v>
      </c>
      <c r="BR13" s="45">
        <f>ISNUMBER(SEARCH($BR$1,Таблица1[[#This Row],[31_1 Описание и характеристика товара]]))*1</f>
        <v>0</v>
      </c>
      <c r="BT13" s="8" t="s">
        <v>2279</v>
      </c>
      <c r="BU13">
        <v>490</v>
      </c>
      <c r="BV13">
        <v>1</v>
      </c>
      <c r="BW13">
        <v>490</v>
      </c>
      <c r="BX13" t="s">
        <v>2147</v>
      </c>
      <c r="BY13">
        <v>0</v>
      </c>
      <c r="CA13" s="8" t="s">
        <v>106</v>
      </c>
      <c r="CB13" s="8" t="s">
        <v>2148</v>
      </c>
      <c r="CC13" s="8" t="s">
        <v>112</v>
      </c>
      <c r="CD13" s="8" t="s">
        <v>112</v>
      </c>
      <c r="CE13" s="8" t="s">
        <v>2185</v>
      </c>
      <c r="CF13">
        <v>15034</v>
      </c>
      <c r="CG13" t="s">
        <v>144</v>
      </c>
      <c r="CH13">
        <v>4000000</v>
      </c>
      <c r="CI13">
        <v>14207</v>
      </c>
      <c r="CJ13">
        <v>0</v>
      </c>
      <c r="CK13" s="8" t="s">
        <v>112</v>
      </c>
      <c r="CL13" s="8" t="s">
        <v>112</v>
      </c>
      <c r="CM13">
        <v>129000</v>
      </c>
      <c r="CN13">
        <v>9813869</v>
      </c>
      <c r="CO13">
        <v>0</v>
      </c>
      <c r="CP13">
        <v>1</v>
      </c>
      <c r="CQ13">
        <v>10222789.710000001</v>
      </c>
      <c r="CR13">
        <v>142026.98000000001</v>
      </c>
      <c r="CS13" s="8" t="s">
        <v>145</v>
      </c>
      <c r="CT13">
        <v>9.9969999999999999</v>
      </c>
      <c r="CU13">
        <v>727</v>
      </c>
      <c r="CV13" t="s">
        <v>2280</v>
      </c>
      <c r="CX13" t="s">
        <v>2281</v>
      </c>
      <c r="CY13">
        <v>0</v>
      </c>
    </row>
    <row r="14" spans="1:104" x14ac:dyDescent="0.25">
      <c r="A14" s="8" t="s">
        <v>106</v>
      </c>
      <c r="B14" s="38">
        <v>44610</v>
      </c>
      <c r="C14" s="43">
        <f>IF(YEAR(Таблица1[[#This Row],[Дата]])=2023,MONTH(Таблица1[[#This Row],[Дата]]),0)</f>
        <v>0</v>
      </c>
      <c r="D14" s="8" t="s">
        <v>2469</v>
      </c>
      <c r="E14" s="8" t="s">
        <v>2261</v>
      </c>
      <c r="F14" s="8" t="s">
        <v>2470</v>
      </c>
      <c r="G14" t="s">
        <v>110</v>
      </c>
      <c r="H14" s="8" t="s">
        <v>111</v>
      </c>
      <c r="I14" s="8" t="s">
        <v>112</v>
      </c>
      <c r="J14" s="8" t="s">
        <v>112</v>
      </c>
      <c r="K14" s="8" t="s">
        <v>112</v>
      </c>
      <c r="L14" s="8" t="s">
        <v>2471</v>
      </c>
      <c r="M14" s="8" t="s">
        <v>2472</v>
      </c>
      <c r="N14" s="8" t="s">
        <v>112</v>
      </c>
      <c r="O14" s="8" t="s">
        <v>112</v>
      </c>
      <c r="P14">
        <v>2</v>
      </c>
      <c r="Q14">
        <v>0</v>
      </c>
      <c r="R14">
        <v>4</v>
      </c>
      <c r="S14">
        <v>471</v>
      </c>
      <c r="T14" s="8" t="s">
        <v>2473</v>
      </c>
      <c r="U14" s="8" t="s">
        <v>2474</v>
      </c>
      <c r="V14" s="8" t="s">
        <v>2475</v>
      </c>
      <c r="W14" s="8" t="s">
        <v>2476</v>
      </c>
      <c r="X14" s="8" t="s">
        <v>119</v>
      </c>
      <c r="Y14" s="8" t="s">
        <v>2477</v>
      </c>
      <c r="Z14" s="8" t="s">
        <v>2473</v>
      </c>
      <c r="AA14" s="8" t="s">
        <v>2474</v>
      </c>
      <c r="AB14" s="8" t="s">
        <v>2475</v>
      </c>
      <c r="AC14" s="8" t="s">
        <v>2476</v>
      </c>
      <c r="AD14" s="8" t="s">
        <v>119</v>
      </c>
      <c r="AE14" s="8" t="s">
        <v>2477</v>
      </c>
      <c r="AF14" s="8" t="s">
        <v>2185</v>
      </c>
      <c r="AG14" s="8" t="s">
        <v>2186</v>
      </c>
      <c r="AH14">
        <v>9189223.8900000006</v>
      </c>
      <c r="AI14" s="8" t="s">
        <v>2473</v>
      </c>
      <c r="AJ14" s="8" t="s">
        <v>2474</v>
      </c>
      <c r="AK14" s="8" t="s">
        <v>2475</v>
      </c>
      <c r="AL14" s="8" t="s">
        <v>2476</v>
      </c>
      <c r="AM14" s="8" t="s">
        <v>119</v>
      </c>
      <c r="AN14" s="8" t="s">
        <v>2477</v>
      </c>
      <c r="AO14" s="8" t="s">
        <v>2185</v>
      </c>
      <c r="AP14" s="8" t="s">
        <v>2186</v>
      </c>
      <c r="AQ14" s="8" t="s">
        <v>2186</v>
      </c>
      <c r="AR14" s="8" t="s">
        <v>124</v>
      </c>
      <c r="AS14" s="8" t="s">
        <v>125</v>
      </c>
      <c r="AT14">
        <v>0</v>
      </c>
      <c r="AU14" s="8" t="s">
        <v>106</v>
      </c>
      <c r="AV14" s="8" t="s">
        <v>155</v>
      </c>
      <c r="AW14" s="8" t="s">
        <v>2478</v>
      </c>
      <c r="AX14">
        <v>1</v>
      </c>
      <c r="AY14" s="8" t="s">
        <v>2188</v>
      </c>
      <c r="AZ14">
        <v>131226.62</v>
      </c>
      <c r="BA14">
        <v>9012119</v>
      </c>
      <c r="BB14">
        <v>133805.46</v>
      </c>
      <c r="BC14">
        <v>68.676000000000002</v>
      </c>
      <c r="BD14" s="8" t="s">
        <v>130</v>
      </c>
      <c r="BE14" s="8" t="s">
        <v>112</v>
      </c>
      <c r="BF14" s="8" t="s">
        <v>2479</v>
      </c>
      <c r="BG14" s="8" t="s">
        <v>133</v>
      </c>
      <c r="BH14" s="8" t="s">
        <v>2480</v>
      </c>
      <c r="BI14" s="8" t="s">
        <v>112</v>
      </c>
      <c r="BJ14" s="8" t="s">
        <v>2481</v>
      </c>
      <c r="BK14" s="8" t="s">
        <v>112</v>
      </c>
      <c r="BL14" s="8" t="s">
        <v>2274</v>
      </c>
      <c r="BM14" s="8" t="s">
        <v>2482</v>
      </c>
      <c r="BN14" s="8" t="s">
        <v>2483</v>
      </c>
      <c r="BO14" s="8" t="s">
        <v>2277</v>
      </c>
      <c r="BP14">
        <v>1</v>
      </c>
      <c r="BQ14" s="8" t="s">
        <v>2484</v>
      </c>
      <c r="BR14" s="45">
        <f>ISNUMBER(SEARCH($BR$1,Таблица1[[#This Row],[31_1 Описание и характеристика товара]]))*1</f>
        <v>0</v>
      </c>
      <c r="BT14" s="8" t="s">
        <v>2485</v>
      </c>
      <c r="BU14">
        <v>305</v>
      </c>
      <c r="BV14">
        <v>1</v>
      </c>
      <c r="BW14">
        <v>305</v>
      </c>
      <c r="BX14" t="s">
        <v>2147</v>
      </c>
      <c r="BY14">
        <v>0</v>
      </c>
      <c r="CA14" s="8" t="s">
        <v>106</v>
      </c>
      <c r="CB14" s="8" t="s">
        <v>2148</v>
      </c>
      <c r="CC14" s="8" t="s">
        <v>112</v>
      </c>
      <c r="CD14" s="8" t="s">
        <v>112</v>
      </c>
      <c r="CE14" s="8" t="s">
        <v>2185</v>
      </c>
      <c r="CF14">
        <v>10190</v>
      </c>
      <c r="CG14" t="s">
        <v>144</v>
      </c>
      <c r="CH14">
        <v>4000000</v>
      </c>
      <c r="CI14">
        <v>9677</v>
      </c>
      <c r="CJ14">
        <v>0</v>
      </c>
      <c r="CK14" s="8" t="s">
        <v>112</v>
      </c>
      <c r="CL14" s="8" t="s">
        <v>112</v>
      </c>
      <c r="CM14">
        <v>111308.47</v>
      </c>
      <c r="CN14">
        <v>7644220</v>
      </c>
      <c r="CO14">
        <v>0</v>
      </c>
      <c r="CP14">
        <v>1</v>
      </c>
      <c r="CQ14">
        <v>7811476.8200000003</v>
      </c>
      <c r="CR14">
        <v>113743.91</v>
      </c>
      <c r="CS14" s="8" t="s">
        <v>145</v>
      </c>
      <c r="CT14">
        <v>11.754</v>
      </c>
      <c r="CU14">
        <v>1405</v>
      </c>
      <c r="CV14">
        <v>140</v>
      </c>
      <c r="CX14" t="s">
        <v>2486</v>
      </c>
      <c r="CY14">
        <v>308</v>
      </c>
    </row>
    <row r="15" spans="1:104" x14ac:dyDescent="0.25">
      <c r="A15" s="8" t="s">
        <v>106</v>
      </c>
      <c r="B15" s="38">
        <v>44860</v>
      </c>
      <c r="C15" s="43">
        <f>IF(YEAR(Таблица1[[#This Row],[Дата]])=2023,MONTH(Таблица1[[#This Row],[Дата]]),0)</f>
        <v>0</v>
      </c>
      <c r="D15" s="8" t="s">
        <v>2517</v>
      </c>
      <c r="E15" s="8" t="s">
        <v>2261</v>
      </c>
      <c r="F15" s="8" t="s">
        <v>2518</v>
      </c>
      <c r="G15" t="s">
        <v>110</v>
      </c>
      <c r="H15" s="8" t="s">
        <v>111</v>
      </c>
      <c r="I15" s="8" t="s">
        <v>112</v>
      </c>
      <c r="J15" s="8" t="s">
        <v>112</v>
      </c>
      <c r="K15" s="8" t="s">
        <v>112</v>
      </c>
      <c r="L15" s="8" t="s">
        <v>2519</v>
      </c>
      <c r="M15" s="8" t="s">
        <v>2520</v>
      </c>
      <c r="N15" s="8" t="s">
        <v>112</v>
      </c>
      <c r="O15" s="8" t="s">
        <v>112</v>
      </c>
      <c r="P15">
        <v>2</v>
      </c>
      <c r="Q15">
        <v>0</v>
      </c>
      <c r="R15">
        <v>2</v>
      </c>
      <c r="S15">
        <v>11</v>
      </c>
      <c r="T15" s="8" t="s">
        <v>2473</v>
      </c>
      <c r="U15" s="8" t="s">
        <v>2474</v>
      </c>
      <c r="V15" s="8" t="s">
        <v>2475</v>
      </c>
      <c r="W15" s="8" t="s">
        <v>2521</v>
      </c>
      <c r="X15" s="8" t="s">
        <v>119</v>
      </c>
      <c r="Y15" s="8" t="s">
        <v>2477</v>
      </c>
      <c r="Z15" s="8" t="s">
        <v>2473</v>
      </c>
      <c r="AA15" s="8" t="s">
        <v>2474</v>
      </c>
      <c r="AB15" s="8" t="s">
        <v>2475</v>
      </c>
      <c r="AC15" s="8" t="s">
        <v>2521</v>
      </c>
      <c r="AD15" s="8" t="s">
        <v>119</v>
      </c>
      <c r="AE15" s="8" t="s">
        <v>2477</v>
      </c>
      <c r="AF15" s="8" t="s">
        <v>2185</v>
      </c>
      <c r="AG15" s="8" t="s">
        <v>2186</v>
      </c>
      <c r="AH15">
        <v>2934124.67</v>
      </c>
      <c r="AI15" s="8" t="s">
        <v>2473</v>
      </c>
      <c r="AJ15" s="8" t="s">
        <v>2474</v>
      </c>
      <c r="AK15" s="8" t="s">
        <v>2475</v>
      </c>
      <c r="AL15" s="8" t="s">
        <v>2521</v>
      </c>
      <c r="AM15" s="8" t="s">
        <v>119</v>
      </c>
      <c r="AN15" s="8" t="s">
        <v>2477</v>
      </c>
      <c r="AO15" s="8" t="s">
        <v>2185</v>
      </c>
      <c r="AP15" s="8" t="s">
        <v>2186</v>
      </c>
      <c r="AQ15" s="8" t="s">
        <v>2186</v>
      </c>
      <c r="AR15" s="8" t="s">
        <v>124</v>
      </c>
      <c r="AS15" s="8" t="s">
        <v>125</v>
      </c>
      <c r="AT15">
        <v>0</v>
      </c>
      <c r="AU15" s="8" t="s">
        <v>106</v>
      </c>
      <c r="AV15" s="8" t="s">
        <v>155</v>
      </c>
      <c r="AW15" s="8" t="s">
        <v>2187</v>
      </c>
      <c r="AX15">
        <v>1</v>
      </c>
      <c r="AY15" s="8" t="s">
        <v>2188</v>
      </c>
      <c r="AZ15">
        <v>41551.64</v>
      </c>
      <c r="BA15">
        <v>2853600</v>
      </c>
      <c r="BB15">
        <v>42724.17</v>
      </c>
      <c r="BC15">
        <v>68.676000000000002</v>
      </c>
      <c r="BD15" s="8" t="s">
        <v>130</v>
      </c>
      <c r="BE15" s="8" t="s">
        <v>112</v>
      </c>
      <c r="BF15" s="8" t="s">
        <v>2522</v>
      </c>
      <c r="BG15" s="8" t="s">
        <v>133</v>
      </c>
      <c r="BH15" s="8" t="s">
        <v>2480</v>
      </c>
      <c r="BI15" s="8" t="s">
        <v>112</v>
      </c>
      <c r="BJ15" s="8" t="s">
        <v>2481</v>
      </c>
      <c r="BK15" s="8" t="s">
        <v>112</v>
      </c>
      <c r="BL15" s="8" t="s">
        <v>2274</v>
      </c>
      <c r="BM15" s="8" t="s">
        <v>2482</v>
      </c>
      <c r="BN15" s="8" t="s">
        <v>2483</v>
      </c>
      <c r="BO15" s="8" t="s">
        <v>2277</v>
      </c>
      <c r="BP15">
        <v>1</v>
      </c>
      <c r="BQ15" s="8" t="s">
        <v>2523</v>
      </c>
      <c r="BR15" s="45">
        <f>ISNUMBER(SEARCH($BR$1,Таблица1[[#This Row],[31_1 Описание и характеристика товара]]))*1</f>
        <v>0</v>
      </c>
      <c r="BT15" s="8" t="s">
        <v>2524</v>
      </c>
      <c r="BU15">
        <v>10</v>
      </c>
      <c r="BV15">
        <v>1</v>
      </c>
      <c r="BW15">
        <v>10</v>
      </c>
      <c r="BX15" t="s">
        <v>2147</v>
      </c>
      <c r="BY15">
        <v>0</v>
      </c>
      <c r="CA15" s="8" t="s">
        <v>106</v>
      </c>
      <c r="CB15" s="8" t="s">
        <v>2148</v>
      </c>
      <c r="CC15" s="8" t="s">
        <v>112</v>
      </c>
      <c r="CD15" s="8" t="s">
        <v>112</v>
      </c>
      <c r="CE15" s="8" t="s">
        <v>2185</v>
      </c>
      <c r="CF15">
        <v>1815</v>
      </c>
      <c r="CG15" t="s">
        <v>144</v>
      </c>
      <c r="CH15">
        <v>4000000</v>
      </c>
      <c r="CI15">
        <v>1794</v>
      </c>
      <c r="CJ15">
        <v>0</v>
      </c>
      <c r="CK15" s="8" t="s">
        <v>112</v>
      </c>
      <c r="CL15" s="8" t="s">
        <v>112</v>
      </c>
      <c r="CM15">
        <v>13718.04</v>
      </c>
      <c r="CN15">
        <v>942100</v>
      </c>
      <c r="CO15">
        <v>0</v>
      </c>
      <c r="CP15">
        <v>1</v>
      </c>
      <c r="CQ15">
        <v>971889.59</v>
      </c>
      <c r="CR15">
        <v>14151.81</v>
      </c>
      <c r="CS15" s="8" t="s">
        <v>145</v>
      </c>
      <c r="CT15">
        <v>7.8883999999999999</v>
      </c>
      <c r="CU15">
        <v>1405</v>
      </c>
      <c r="CV15">
        <v>140</v>
      </c>
      <c r="CX15" t="s">
        <v>2486</v>
      </c>
      <c r="CY15">
        <v>145</v>
      </c>
    </row>
    <row r="16" spans="1:104" x14ac:dyDescent="0.25">
      <c r="A16" s="8" t="s">
        <v>106</v>
      </c>
      <c r="B16" s="38">
        <v>45112</v>
      </c>
      <c r="C16" s="43">
        <f>IF(YEAR(Таблица1[[#This Row],[Дата]])=2023,MONTH(Таблица1[[#This Row],[Дата]]),0)</f>
        <v>7</v>
      </c>
      <c r="D16" s="8" t="s">
        <v>2600</v>
      </c>
      <c r="E16" s="8" t="s">
        <v>2261</v>
      </c>
      <c r="F16" s="8" t="s">
        <v>2601</v>
      </c>
      <c r="G16" t="s">
        <v>110</v>
      </c>
      <c r="H16" s="8" t="s">
        <v>111</v>
      </c>
      <c r="I16" s="8" t="s">
        <v>112</v>
      </c>
      <c r="J16" s="8" t="s">
        <v>112</v>
      </c>
      <c r="K16" s="8" t="s">
        <v>112</v>
      </c>
      <c r="L16" s="8" t="s">
        <v>2602</v>
      </c>
      <c r="M16" s="8" t="s">
        <v>2603</v>
      </c>
      <c r="N16" s="8" t="s">
        <v>112</v>
      </c>
      <c r="O16" s="8" t="s">
        <v>112</v>
      </c>
      <c r="P16">
        <v>1</v>
      </c>
      <c r="Q16">
        <v>0</v>
      </c>
      <c r="R16">
        <v>1</v>
      </c>
      <c r="S16">
        <v>1</v>
      </c>
      <c r="T16" s="8" t="s">
        <v>2473</v>
      </c>
      <c r="U16" s="8" t="s">
        <v>2474</v>
      </c>
      <c r="V16" s="8" t="s">
        <v>2475</v>
      </c>
      <c r="W16" s="8" t="s">
        <v>2476</v>
      </c>
      <c r="X16" s="8" t="s">
        <v>119</v>
      </c>
      <c r="Y16" s="8" t="s">
        <v>2477</v>
      </c>
      <c r="Z16" s="8" t="s">
        <v>2473</v>
      </c>
      <c r="AA16" s="8" t="s">
        <v>2474</v>
      </c>
      <c r="AB16" s="8" t="s">
        <v>2475</v>
      </c>
      <c r="AC16" s="8" t="s">
        <v>2476</v>
      </c>
      <c r="AD16" s="8" t="s">
        <v>119</v>
      </c>
      <c r="AE16" s="8" t="s">
        <v>2477</v>
      </c>
      <c r="AF16" s="8" t="s">
        <v>2185</v>
      </c>
      <c r="AG16" s="8" t="s">
        <v>2186</v>
      </c>
      <c r="AH16">
        <v>323452.87</v>
      </c>
      <c r="AI16" s="8" t="s">
        <v>2473</v>
      </c>
      <c r="AJ16" s="8" t="s">
        <v>2474</v>
      </c>
      <c r="AK16" s="8" t="s">
        <v>2475</v>
      </c>
      <c r="AL16" s="8" t="s">
        <v>2476</v>
      </c>
      <c r="AM16" s="8" t="s">
        <v>119</v>
      </c>
      <c r="AN16" s="8" t="s">
        <v>2477</v>
      </c>
      <c r="AO16" s="8" t="s">
        <v>2185</v>
      </c>
      <c r="AP16" s="8" t="s">
        <v>2186</v>
      </c>
      <c r="AQ16" s="8" t="s">
        <v>2186</v>
      </c>
      <c r="AR16" s="8" t="s">
        <v>124</v>
      </c>
      <c r="AS16" s="8" t="s">
        <v>125</v>
      </c>
      <c r="AT16">
        <v>0</v>
      </c>
      <c r="AU16" s="8" t="s">
        <v>106</v>
      </c>
      <c r="AV16" s="8" t="s">
        <v>155</v>
      </c>
      <c r="AW16" s="8" t="s">
        <v>2187</v>
      </c>
      <c r="AX16">
        <v>1</v>
      </c>
      <c r="AY16" s="8" t="s">
        <v>2425</v>
      </c>
      <c r="AZ16">
        <v>85900</v>
      </c>
      <c r="BA16">
        <v>314829</v>
      </c>
      <c r="BB16">
        <v>4709.84</v>
      </c>
      <c r="BC16">
        <v>36.786099999999898</v>
      </c>
      <c r="BD16" s="8" t="s">
        <v>130</v>
      </c>
      <c r="BE16" s="8" t="s">
        <v>112</v>
      </c>
      <c r="BF16" s="8" t="s">
        <v>2604</v>
      </c>
      <c r="BG16" s="8" t="s">
        <v>133</v>
      </c>
      <c r="BH16" s="8" t="s">
        <v>2480</v>
      </c>
      <c r="BI16" s="8" t="s">
        <v>112</v>
      </c>
      <c r="BJ16" s="8" t="s">
        <v>2481</v>
      </c>
      <c r="BK16" s="8" t="s">
        <v>112</v>
      </c>
      <c r="BL16" s="8" t="s">
        <v>2274</v>
      </c>
      <c r="BM16" s="8" t="s">
        <v>2482</v>
      </c>
      <c r="BN16" s="8" t="s">
        <v>2483</v>
      </c>
      <c r="BO16" s="8" t="s">
        <v>2277</v>
      </c>
      <c r="BP16">
        <v>1</v>
      </c>
      <c r="BQ16" s="8" t="s">
        <v>2605</v>
      </c>
      <c r="BR16" s="45">
        <f>ISNUMBER(SEARCH($BR$1,Таблица1[[#This Row],[31_1 Описание и характеристика товара]]))*1</f>
        <v>0</v>
      </c>
      <c r="BT16" s="8" t="s">
        <v>2606</v>
      </c>
      <c r="BU16">
        <v>1</v>
      </c>
      <c r="BV16">
        <v>1</v>
      </c>
      <c r="BW16">
        <v>5</v>
      </c>
      <c r="BX16" t="s">
        <v>2147</v>
      </c>
      <c r="BY16">
        <v>0</v>
      </c>
      <c r="CA16" s="8" t="s">
        <v>106</v>
      </c>
      <c r="CB16" s="8" t="s">
        <v>2148</v>
      </c>
      <c r="CC16" s="8" t="s">
        <v>112</v>
      </c>
      <c r="CD16" s="8" t="s">
        <v>112</v>
      </c>
      <c r="CE16" s="8" t="s">
        <v>2185</v>
      </c>
      <c r="CF16">
        <v>444</v>
      </c>
      <c r="CG16" t="s">
        <v>144</v>
      </c>
      <c r="CH16">
        <v>4000000</v>
      </c>
      <c r="CI16">
        <v>415</v>
      </c>
      <c r="CJ16">
        <v>0</v>
      </c>
      <c r="CK16" s="8" t="s">
        <v>112</v>
      </c>
      <c r="CL16" s="8" t="s">
        <v>112</v>
      </c>
      <c r="CM16">
        <v>85900</v>
      </c>
      <c r="CN16">
        <v>314829</v>
      </c>
      <c r="CO16">
        <v>0</v>
      </c>
      <c r="CP16">
        <v>1</v>
      </c>
      <c r="CQ16">
        <v>323452.87</v>
      </c>
      <c r="CR16">
        <v>4709.84</v>
      </c>
      <c r="CS16" s="8" t="s">
        <v>145</v>
      </c>
      <c r="CT16">
        <v>11.349</v>
      </c>
      <c r="CU16">
        <v>1405</v>
      </c>
      <c r="CV16">
        <v>140</v>
      </c>
      <c r="CX16" t="s">
        <v>2486</v>
      </c>
      <c r="CY16">
        <v>151</v>
      </c>
    </row>
    <row r="17" spans="1:103" x14ac:dyDescent="0.25">
      <c r="A17" s="8" t="s">
        <v>106</v>
      </c>
      <c r="B17" s="38">
        <v>44931</v>
      </c>
      <c r="C17" s="43">
        <f>IF(YEAR(Таблица1[[#This Row],[Дата]])=2023,MONTH(Таблица1[[#This Row],[Дата]]),0)</f>
        <v>1</v>
      </c>
      <c r="D17" s="8" t="s">
        <v>2905</v>
      </c>
      <c r="E17" s="8" t="s">
        <v>2261</v>
      </c>
      <c r="F17" s="8" t="s">
        <v>2906</v>
      </c>
      <c r="G17" t="s">
        <v>110</v>
      </c>
      <c r="H17" s="8" t="s">
        <v>111</v>
      </c>
      <c r="I17" s="8" t="s">
        <v>112</v>
      </c>
      <c r="J17" s="8" t="s">
        <v>112</v>
      </c>
      <c r="K17" s="8" t="s">
        <v>112</v>
      </c>
      <c r="L17" s="8" t="s">
        <v>2887</v>
      </c>
      <c r="M17" s="8" t="s">
        <v>2907</v>
      </c>
      <c r="N17" s="8" t="s">
        <v>112</v>
      </c>
      <c r="O17" s="8" t="s">
        <v>112</v>
      </c>
      <c r="P17">
        <v>1</v>
      </c>
      <c r="R17">
        <v>1</v>
      </c>
      <c r="S17">
        <v>28</v>
      </c>
      <c r="T17" s="8" t="s">
        <v>2136</v>
      </c>
      <c r="U17" s="8" t="s">
        <v>2137</v>
      </c>
      <c r="V17" s="8" t="s">
        <v>2141</v>
      </c>
      <c r="W17" s="8" t="s">
        <v>2889</v>
      </c>
      <c r="X17" s="8" t="s">
        <v>119</v>
      </c>
      <c r="Y17" s="8" t="s">
        <v>2140</v>
      </c>
      <c r="Z17" s="8" t="s">
        <v>2136</v>
      </c>
      <c r="AA17" s="8" t="s">
        <v>2137</v>
      </c>
      <c r="AB17" s="8" t="s">
        <v>2141</v>
      </c>
      <c r="AC17" s="8" t="s">
        <v>2889</v>
      </c>
      <c r="AD17" s="8" t="s">
        <v>119</v>
      </c>
      <c r="AE17" s="8" t="s">
        <v>2140</v>
      </c>
      <c r="AF17" s="8" t="s">
        <v>2185</v>
      </c>
      <c r="AG17" s="8" t="s">
        <v>2186</v>
      </c>
      <c r="AH17">
        <v>7119229.6600000001</v>
      </c>
      <c r="AI17" s="8" t="s">
        <v>2136</v>
      </c>
      <c r="AJ17" s="8" t="s">
        <v>2137</v>
      </c>
      <c r="AK17" s="8" t="s">
        <v>2141</v>
      </c>
      <c r="AL17" s="8" t="s">
        <v>2889</v>
      </c>
      <c r="AM17" s="8" t="s">
        <v>119</v>
      </c>
      <c r="AN17" s="8" t="s">
        <v>2140</v>
      </c>
      <c r="AO17" s="8" t="s">
        <v>2185</v>
      </c>
      <c r="AP17" s="8" t="s">
        <v>2186</v>
      </c>
      <c r="AQ17" s="8" t="s">
        <v>2186</v>
      </c>
      <c r="AR17" s="8" t="s">
        <v>124</v>
      </c>
      <c r="AS17" s="8" t="s">
        <v>125</v>
      </c>
      <c r="AU17" s="8" t="s">
        <v>106</v>
      </c>
      <c r="AV17" s="8" t="s">
        <v>127</v>
      </c>
      <c r="AW17" s="8" t="s">
        <v>2890</v>
      </c>
      <c r="AX17">
        <v>1</v>
      </c>
      <c r="AY17" s="8" t="s">
        <v>129</v>
      </c>
      <c r="AZ17">
        <v>91116.479999999894</v>
      </c>
      <c r="BA17">
        <v>6842064</v>
      </c>
      <c r="BB17">
        <v>100945.33</v>
      </c>
      <c r="BC17">
        <v>75.091399999999894</v>
      </c>
      <c r="BD17" s="8" t="s">
        <v>130</v>
      </c>
      <c r="BE17" s="8" t="s">
        <v>746</v>
      </c>
      <c r="BF17" s="8" t="s">
        <v>2891</v>
      </c>
      <c r="BG17" s="8" t="s">
        <v>133</v>
      </c>
      <c r="BH17" s="8" t="s">
        <v>134</v>
      </c>
      <c r="BI17" s="8" t="s">
        <v>112</v>
      </c>
      <c r="BJ17" s="8" t="s">
        <v>2481</v>
      </c>
      <c r="BK17" s="8" t="s">
        <v>112</v>
      </c>
      <c r="BL17" s="8" t="s">
        <v>2274</v>
      </c>
      <c r="BM17" s="8" t="s">
        <v>2482</v>
      </c>
      <c r="BN17" s="8" t="s">
        <v>2908</v>
      </c>
      <c r="BO17" s="8" t="s">
        <v>2277</v>
      </c>
      <c r="BP17">
        <v>1</v>
      </c>
      <c r="BQ17" s="8" t="s">
        <v>2909</v>
      </c>
      <c r="BR17" s="45">
        <f>ISNUMBER(SEARCH($BR$1,Таблица1[[#This Row],[31_1 Описание и характеристика товара]]))*1</f>
        <v>0</v>
      </c>
      <c r="BT17" s="8" t="s">
        <v>2887</v>
      </c>
      <c r="BU17">
        <v>28</v>
      </c>
      <c r="BV17">
        <v>1</v>
      </c>
      <c r="BW17">
        <v>336</v>
      </c>
      <c r="BX17" t="s">
        <v>2147</v>
      </c>
      <c r="CA17" s="8" t="s">
        <v>106</v>
      </c>
      <c r="CB17" s="8" t="s">
        <v>2148</v>
      </c>
      <c r="CC17" s="8" t="s">
        <v>112</v>
      </c>
      <c r="CD17" s="8" t="s">
        <v>112</v>
      </c>
      <c r="CE17" s="8" t="s">
        <v>2185</v>
      </c>
      <c r="CF17">
        <v>10836</v>
      </c>
      <c r="CG17" t="s">
        <v>144</v>
      </c>
      <c r="CH17">
        <v>4000000</v>
      </c>
      <c r="CI17">
        <v>10416</v>
      </c>
      <c r="CK17" s="8" t="s">
        <v>112</v>
      </c>
      <c r="CL17" s="8" t="s">
        <v>112</v>
      </c>
      <c r="CM17">
        <v>91116.479999999894</v>
      </c>
      <c r="CN17">
        <v>6842064</v>
      </c>
      <c r="CO17">
        <v>0</v>
      </c>
      <c r="CP17">
        <v>1</v>
      </c>
      <c r="CQ17">
        <v>7119229.6600000001</v>
      </c>
      <c r="CR17">
        <v>100945.33</v>
      </c>
      <c r="CS17" s="8" t="s">
        <v>145</v>
      </c>
      <c r="CT17">
        <v>9.6913999999999998</v>
      </c>
      <c r="CU17">
        <v>1168</v>
      </c>
      <c r="CV17" t="s">
        <v>2894</v>
      </c>
      <c r="CX17" t="s">
        <v>2910</v>
      </c>
      <c r="CY17">
        <v>0</v>
      </c>
    </row>
    <row r="18" spans="1:103" x14ac:dyDescent="0.25">
      <c r="A18" s="8" t="s">
        <v>106</v>
      </c>
      <c r="B18" s="38">
        <v>45164</v>
      </c>
      <c r="C18" s="43">
        <f>IF(YEAR(Таблица1[[#This Row],[Дата]])=2023,MONTH(Таблица1[[#This Row],[Дата]]),0)</f>
        <v>8</v>
      </c>
      <c r="D18" s="8" t="s">
        <v>2885</v>
      </c>
      <c r="E18" s="8" t="s">
        <v>2261</v>
      </c>
      <c r="F18" s="8" t="s">
        <v>2886</v>
      </c>
      <c r="G18" t="s">
        <v>110</v>
      </c>
      <c r="H18" s="8" t="s">
        <v>111</v>
      </c>
      <c r="I18" s="8" t="s">
        <v>112</v>
      </c>
      <c r="J18" s="8" t="s">
        <v>112</v>
      </c>
      <c r="K18" s="8" t="s">
        <v>112</v>
      </c>
      <c r="L18" s="8" t="s">
        <v>2887</v>
      </c>
      <c r="M18" s="8" t="s">
        <v>2888</v>
      </c>
      <c r="N18" s="8" t="s">
        <v>112</v>
      </c>
      <c r="O18" s="8" t="s">
        <v>112</v>
      </c>
      <c r="P18">
        <v>1</v>
      </c>
      <c r="Q18">
        <v>0</v>
      </c>
      <c r="R18">
        <v>1</v>
      </c>
      <c r="S18">
        <v>28</v>
      </c>
      <c r="T18" s="8" t="s">
        <v>2136</v>
      </c>
      <c r="U18" s="8" t="s">
        <v>2137</v>
      </c>
      <c r="V18" s="8" t="s">
        <v>2141</v>
      </c>
      <c r="W18" s="8" t="s">
        <v>2889</v>
      </c>
      <c r="X18" s="8" t="s">
        <v>119</v>
      </c>
      <c r="Y18" s="8" t="s">
        <v>2140</v>
      </c>
      <c r="Z18" s="8" t="s">
        <v>2136</v>
      </c>
      <c r="AA18" s="8" t="s">
        <v>2137</v>
      </c>
      <c r="AB18" s="8" t="s">
        <v>2141</v>
      </c>
      <c r="AC18" s="8" t="s">
        <v>2889</v>
      </c>
      <c r="AD18" s="8" t="s">
        <v>119</v>
      </c>
      <c r="AE18" s="8" t="s">
        <v>2140</v>
      </c>
      <c r="AF18" s="8" t="s">
        <v>2185</v>
      </c>
      <c r="AG18" s="8" t="s">
        <v>2186</v>
      </c>
      <c r="AH18">
        <v>7084237.0599999903</v>
      </c>
      <c r="AI18" s="8" t="s">
        <v>2136</v>
      </c>
      <c r="AJ18" s="8" t="s">
        <v>2137</v>
      </c>
      <c r="AK18" s="8" t="s">
        <v>2141</v>
      </c>
      <c r="AL18" s="8" t="s">
        <v>2889</v>
      </c>
      <c r="AM18" s="8" t="s">
        <v>119</v>
      </c>
      <c r="AN18" s="8" t="s">
        <v>2140</v>
      </c>
      <c r="AO18" s="8" t="s">
        <v>2185</v>
      </c>
      <c r="AP18" s="8" t="s">
        <v>2186</v>
      </c>
      <c r="AQ18" s="8" t="s">
        <v>2186</v>
      </c>
      <c r="AR18" s="8" t="s">
        <v>124</v>
      </c>
      <c r="AS18" s="8" t="s">
        <v>125</v>
      </c>
      <c r="AT18">
        <v>0</v>
      </c>
      <c r="AU18" s="8" t="s">
        <v>106</v>
      </c>
      <c r="AV18" s="8" t="s">
        <v>127</v>
      </c>
      <c r="AW18" s="8" t="s">
        <v>2890</v>
      </c>
      <c r="AX18">
        <v>1</v>
      </c>
      <c r="AY18" s="8" t="s">
        <v>129</v>
      </c>
      <c r="AZ18">
        <v>90650.48</v>
      </c>
      <c r="BA18">
        <v>6807071</v>
      </c>
      <c r="BB18">
        <v>100449.16</v>
      </c>
      <c r="BC18">
        <v>75.091399999999894</v>
      </c>
      <c r="BD18" s="8" t="s">
        <v>130</v>
      </c>
      <c r="BE18" s="8" t="s">
        <v>746</v>
      </c>
      <c r="BF18" s="8" t="s">
        <v>2891</v>
      </c>
      <c r="BG18" s="8" t="s">
        <v>133</v>
      </c>
      <c r="BH18" s="8" t="s">
        <v>134</v>
      </c>
      <c r="BI18" s="8" t="s">
        <v>112</v>
      </c>
      <c r="BJ18" s="8" t="s">
        <v>2481</v>
      </c>
      <c r="BK18" s="8" t="s">
        <v>112</v>
      </c>
      <c r="BL18" s="8" t="s">
        <v>2274</v>
      </c>
      <c r="BM18" s="8" t="s">
        <v>2482</v>
      </c>
      <c r="BN18" s="8" t="s">
        <v>2892</v>
      </c>
      <c r="BO18" s="8" t="s">
        <v>2277</v>
      </c>
      <c r="BP18">
        <v>1</v>
      </c>
      <c r="BQ18" s="8" t="s">
        <v>2893</v>
      </c>
      <c r="BR18" s="45">
        <f>ISNUMBER(SEARCH($BR$1,Таблица1[[#This Row],[31_1 Описание и характеристика товара]]))*1</f>
        <v>0</v>
      </c>
      <c r="BT18" s="8" t="s">
        <v>2887</v>
      </c>
      <c r="BU18">
        <v>28</v>
      </c>
      <c r="BV18">
        <v>1</v>
      </c>
      <c r="BW18">
        <v>336</v>
      </c>
      <c r="BX18" t="s">
        <v>2147</v>
      </c>
      <c r="BY18">
        <v>0</v>
      </c>
      <c r="CA18" s="8" t="s">
        <v>106</v>
      </c>
      <c r="CB18" s="8" t="s">
        <v>2148</v>
      </c>
      <c r="CC18" s="8" t="s">
        <v>112</v>
      </c>
      <c r="CD18" s="8" t="s">
        <v>112</v>
      </c>
      <c r="CE18" s="8" t="s">
        <v>2185</v>
      </c>
      <c r="CF18">
        <v>10836</v>
      </c>
      <c r="CG18" t="s">
        <v>144</v>
      </c>
      <c r="CH18">
        <v>4000000</v>
      </c>
      <c r="CI18">
        <v>10416</v>
      </c>
      <c r="CJ18">
        <v>0</v>
      </c>
      <c r="CK18" s="8" t="s">
        <v>112</v>
      </c>
      <c r="CL18" s="8" t="s">
        <v>112</v>
      </c>
      <c r="CM18">
        <v>90650.48</v>
      </c>
      <c r="CN18">
        <v>6807071</v>
      </c>
      <c r="CO18">
        <v>0</v>
      </c>
      <c r="CP18">
        <v>1</v>
      </c>
      <c r="CQ18">
        <v>7084237.0599999903</v>
      </c>
      <c r="CR18">
        <v>100449.16</v>
      </c>
      <c r="CS18" s="8" t="s">
        <v>145</v>
      </c>
      <c r="CT18">
        <v>9.6437000000000008</v>
      </c>
      <c r="CU18">
        <v>1168</v>
      </c>
      <c r="CV18" t="s">
        <v>2894</v>
      </c>
      <c r="CX18" t="s">
        <v>2895</v>
      </c>
      <c r="CY18">
        <v>0</v>
      </c>
    </row>
    <row r="19" spans="1:103" x14ac:dyDescent="0.25">
      <c r="A19" s="8" t="s">
        <v>106</v>
      </c>
      <c r="B19" s="38">
        <v>45048</v>
      </c>
      <c r="C19" s="43">
        <f>IF(YEAR(Таблица1[[#This Row],[Дата]])=2023,MONTH(Таблица1[[#This Row],[Дата]]),0)</f>
        <v>5</v>
      </c>
      <c r="D19" s="8" t="s">
        <v>2938</v>
      </c>
      <c r="E19" s="8" t="s">
        <v>2261</v>
      </c>
      <c r="F19" s="8" t="s">
        <v>2939</v>
      </c>
      <c r="G19" t="s">
        <v>110</v>
      </c>
      <c r="H19" s="8" t="s">
        <v>111</v>
      </c>
      <c r="I19" s="8" t="s">
        <v>112</v>
      </c>
      <c r="J19" s="8" t="s">
        <v>112</v>
      </c>
      <c r="K19" s="8" t="s">
        <v>112</v>
      </c>
      <c r="L19" s="8" t="s">
        <v>2940</v>
      </c>
      <c r="M19" s="8" t="s">
        <v>2941</v>
      </c>
      <c r="N19" s="8" t="s">
        <v>112</v>
      </c>
      <c r="O19" s="8" t="s">
        <v>112</v>
      </c>
      <c r="P19">
        <v>1</v>
      </c>
      <c r="Q19">
        <v>0</v>
      </c>
      <c r="R19">
        <v>1</v>
      </c>
      <c r="S19">
        <v>28</v>
      </c>
      <c r="T19" s="8" t="s">
        <v>2136</v>
      </c>
      <c r="U19" s="8" t="s">
        <v>2137</v>
      </c>
      <c r="V19" s="8" t="s">
        <v>2141</v>
      </c>
      <c r="W19" s="8" t="s">
        <v>2942</v>
      </c>
      <c r="X19" s="8" t="s">
        <v>119</v>
      </c>
      <c r="Y19" s="8" t="s">
        <v>2140</v>
      </c>
      <c r="Z19" s="8" t="s">
        <v>2136</v>
      </c>
      <c r="AA19" s="8" t="s">
        <v>2137</v>
      </c>
      <c r="AB19" s="8" t="s">
        <v>2141</v>
      </c>
      <c r="AC19" s="8" t="s">
        <v>2942</v>
      </c>
      <c r="AD19" s="8" t="s">
        <v>119</v>
      </c>
      <c r="AE19" s="8" t="s">
        <v>2140</v>
      </c>
      <c r="AF19" s="8" t="s">
        <v>2185</v>
      </c>
      <c r="AG19" s="8" t="s">
        <v>2186</v>
      </c>
      <c r="AH19">
        <v>6935230.4199999897</v>
      </c>
      <c r="AI19" s="8" t="s">
        <v>2136</v>
      </c>
      <c r="AJ19" s="8" t="s">
        <v>2137</v>
      </c>
      <c r="AK19" s="8" t="s">
        <v>2141</v>
      </c>
      <c r="AL19" s="8" t="s">
        <v>2942</v>
      </c>
      <c r="AM19" s="8" t="s">
        <v>119</v>
      </c>
      <c r="AN19" s="8" t="s">
        <v>2140</v>
      </c>
      <c r="AO19" s="8" t="s">
        <v>2185</v>
      </c>
      <c r="AP19" s="8" t="s">
        <v>2186</v>
      </c>
      <c r="AQ19" s="8" t="s">
        <v>2186</v>
      </c>
      <c r="AR19" s="8" t="s">
        <v>124</v>
      </c>
      <c r="AS19" s="8" t="s">
        <v>125</v>
      </c>
      <c r="AT19">
        <v>0</v>
      </c>
      <c r="AU19" s="8" t="s">
        <v>106</v>
      </c>
      <c r="AV19" s="8" t="s">
        <v>127</v>
      </c>
      <c r="AW19" s="8" t="s">
        <v>2890</v>
      </c>
      <c r="AX19">
        <v>1</v>
      </c>
      <c r="AY19" s="8" t="s">
        <v>129</v>
      </c>
      <c r="AZ19">
        <v>91116.479999999894</v>
      </c>
      <c r="BA19">
        <v>6682382</v>
      </c>
      <c r="BB19">
        <v>100505.2</v>
      </c>
      <c r="BC19">
        <v>73.338899999999896</v>
      </c>
      <c r="BD19" s="8" t="s">
        <v>130</v>
      </c>
      <c r="BE19" s="8" t="s">
        <v>746</v>
      </c>
      <c r="BF19" s="8" t="s">
        <v>2891</v>
      </c>
      <c r="BG19" s="8" t="s">
        <v>133</v>
      </c>
      <c r="BH19" s="8" t="s">
        <v>134</v>
      </c>
      <c r="BI19" s="8" t="s">
        <v>112</v>
      </c>
      <c r="BJ19" s="8" t="s">
        <v>2481</v>
      </c>
      <c r="BK19" s="8" t="s">
        <v>112</v>
      </c>
      <c r="BL19" s="8" t="s">
        <v>2274</v>
      </c>
      <c r="BM19" s="8" t="s">
        <v>2482</v>
      </c>
      <c r="BN19" s="8" t="s">
        <v>2943</v>
      </c>
      <c r="BO19" s="8" t="s">
        <v>2277</v>
      </c>
      <c r="BP19">
        <v>1</v>
      </c>
      <c r="BQ19" s="8" t="s">
        <v>2806</v>
      </c>
      <c r="BR19" s="45">
        <f>ISNUMBER(SEARCH($BR$1,Таблица1[[#This Row],[31_1 Описание и характеристика товара]]))*1</f>
        <v>0</v>
      </c>
      <c r="BT19" s="8" t="s">
        <v>2887</v>
      </c>
      <c r="BU19">
        <v>28</v>
      </c>
      <c r="BV19">
        <v>1</v>
      </c>
      <c r="BW19">
        <v>336</v>
      </c>
      <c r="BX19" t="s">
        <v>2147</v>
      </c>
      <c r="BY19">
        <v>0</v>
      </c>
      <c r="CA19" s="8" t="s">
        <v>106</v>
      </c>
      <c r="CB19" s="8" t="s">
        <v>2148</v>
      </c>
      <c r="CC19" s="8" t="s">
        <v>112</v>
      </c>
      <c r="CD19" s="8" t="s">
        <v>112</v>
      </c>
      <c r="CE19" s="8" t="s">
        <v>2185</v>
      </c>
      <c r="CF19">
        <v>10836</v>
      </c>
      <c r="CG19" t="s">
        <v>144</v>
      </c>
      <c r="CH19">
        <v>4000000</v>
      </c>
      <c r="CI19">
        <v>10836</v>
      </c>
      <c r="CJ19">
        <v>0</v>
      </c>
      <c r="CK19" s="8" t="s">
        <v>112</v>
      </c>
      <c r="CL19" s="8" t="s">
        <v>112</v>
      </c>
      <c r="CM19">
        <v>91116.479999999894</v>
      </c>
      <c r="CN19">
        <v>6682382</v>
      </c>
      <c r="CO19">
        <v>0</v>
      </c>
      <c r="CP19">
        <v>1</v>
      </c>
      <c r="CQ19">
        <v>6935230.4199999897</v>
      </c>
      <c r="CR19">
        <v>100505.2</v>
      </c>
      <c r="CS19" s="8" t="s">
        <v>145</v>
      </c>
      <c r="CT19">
        <v>9.2751000000000001</v>
      </c>
      <c r="CU19">
        <v>897</v>
      </c>
      <c r="CV19" t="s">
        <v>2944</v>
      </c>
      <c r="CX19" t="s">
        <v>2945</v>
      </c>
      <c r="CY19">
        <v>0</v>
      </c>
    </row>
    <row r="20" spans="1:103" x14ac:dyDescent="0.25">
      <c r="A20" s="8" t="s">
        <v>106</v>
      </c>
      <c r="B20" s="38">
        <v>44928</v>
      </c>
      <c r="C20" s="43">
        <f>IF(YEAR(Таблица1[[#This Row],[Дата]])=2023,MONTH(Таблица1[[#This Row],[Дата]]),0)</f>
        <v>1</v>
      </c>
      <c r="D20" s="8" t="s">
        <v>2978</v>
      </c>
      <c r="E20" s="8" t="s">
        <v>2261</v>
      </c>
      <c r="F20" s="8" t="s">
        <v>2979</v>
      </c>
      <c r="G20" t="s">
        <v>110</v>
      </c>
      <c r="H20" s="8" t="s">
        <v>111</v>
      </c>
      <c r="I20" s="8" t="s">
        <v>112</v>
      </c>
      <c r="J20" s="8" t="s">
        <v>112</v>
      </c>
      <c r="K20" s="8" t="s">
        <v>112</v>
      </c>
      <c r="L20" s="8" t="s">
        <v>2980</v>
      </c>
      <c r="M20" s="8" t="s">
        <v>2981</v>
      </c>
      <c r="N20" s="8" t="s">
        <v>112</v>
      </c>
      <c r="O20" s="8" t="s">
        <v>112</v>
      </c>
      <c r="P20">
        <v>1</v>
      </c>
      <c r="Q20">
        <v>0</v>
      </c>
      <c r="R20">
        <v>1</v>
      </c>
      <c r="S20">
        <v>404</v>
      </c>
      <c r="T20" s="8" t="s">
        <v>2982</v>
      </c>
      <c r="U20" s="8" t="s">
        <v>2983</v>
      </c>
      <c r="V20" s="8" t="s">
        <v>2984</v>
      </c>
      <c r="W20" s="8" t="s">
        <v>2985</v>
      </c>
      <c r="X20" s="8" t="s">
        <v>2986</v>
      </c>
      <c r="Y20" s="8" t="s">
        <v>2987</v>
      </c>
      <c r="Z20" s="8" t="s">
        <v>2982</v>
      </c>
      <c r="AA20" s="8" t="s">
        <v>2983</v>
      </c>
      <c r="AB20" s="8" t="s">
        <v>2984</v>
      </c>
      <c r="AC20" s="8" t="s">
        <v>2985</v>
      </c>
      <c r="AD20" s="8" t="s">
        <v>2986</v>
      </c>
      <c r="AE20" s="8" t="s">
        <v>2987</v>
      </c>
      <c r="AF20" s="8" t="s">
        <v>2185</v>
      </c>
      <c r="AG20" s="8" t="s">
        <v>2186</v>
      </c>
      <c r="AH20">
        <v>8329581.8200000003</v>
      </c>
      <c r="AI20" s="8" t="s">
        <v>2982</v>
      </c>
      <c r="AJ20" s="8" t="s">
        <v>2983</v>
      </c>
      <c r="AK20" s="8" t="s">
        <v>2984</v>
      </c>
      <c r="AL20" s="8" t="s">
        <v>2985</v>
      </c>
      <c r="AM20" s="8" t="s">
        <v>2986</v>
      </c>
      <c r="AN20" s="8" t="s">
        <v>2987</v>
      </c>
      <c r="AO20" s="8" t="s">
        <v>2185</v>
      </c>
      <c r="AP20" s="8" t="s">
        <v>2186</v>
      </c>
      <c r="AQ20" s="8" t="s">
        <v>2186</v>
      </c>
      <c r="AR20" s="8" t="s">
        <v>124</v>
      </c>
      <c r="AS20" s="8" t="s">
        <v>125</v>
      </c>
      <c r="AT20">
        <v>1</v>
      </c>
      <c r="AU20" s="8" t="s">
        <v>106</v>
      </c>
      <c r="AV20" s="8" t="s">
        <v>2957</v>
      </c>
      <c r="AW20" s="8" t="s">
        <v>2275</v>
      </c>
      <c r="AX20">
        <v>1</v>
      </c>
      <c r="AY20" s="8" t="s">
        <v>129</v>
      </c>
      <c r="AZ20">
        <v>117950</v>
      </c>
      <c r="BA20">
        <v>8329582</v>
      </c>
      <c r="BB20">
        <v>125544.96000000001</v>
      </c>
      <c r="BC20">
        <v>70.619600000000005</v>
      </c>
      <c r="BD20" s="8" t="s">
        <v>130</v>
      </c>
      <c r="BE20" s="8" t="s">
        <v>145</v>
      </c>
      <c r="BF20" s="8" t="s">
        <v>2988</v>
      </c>
      <c r="BG20" s="8" t="s">
        <v>133</v>
      </c>
      <c r="BH20" s="8" t="s">
        <v>2480</v>
      </c>
      <c r="BI20" s="8" t="s">
        <v>112</v>
      </c>
      <c r="BJ20" s="8" t="s">
        <v>2481</v>
      </c>
      <c r="BK20" s="8" t="s">
        <v>112</v>
      </c>
      <c r="BL20" s="8" t="s">
        <v>2274</v>
      </c>
      <c r="BM20" s="8" t="s">
        <v>2482</v>
      </c>
      <c r="BN20" s="8" t="s">
        <v>2989</v>
      </c>
      <c r="BO20" s="8" t="s">
        <v>2277</v>
      </c>
      <c r="BP20">
        <v>1</v>
      </c>
      <c r="BQ20" s="8" t="s">
        <v>2990</v>
      </c>
      <c r="BR20" s="45">
        <f>ISNUMBER(SEARCH($BR$1,Таблица1[[#This Row],[31_1 Описание и характеристика товара]]))*1</f>
        <v>0</v>
      </c>
      <c r="BT20" s="8" t="s">
        <v>2991</v>
      </c>
      <c r="BU20">
        <v>404</v>
      </c>
      <c r="BV20">
        <v>1</v>
      </c>
      <c r="BW20">
        <v>404</v>
      </c>
      <c r="BX20" t="s">
        <v>2147</v>
      </c>
      <c r="BY20">
        <v>0</v>
      </c>
      <c r="CA20" s="8" t="s">
        <v>106</v>
      </c>
      <c r="CB20" s="8" t="s">
        <v>2148</v>
      </c>
      <c r="CC20" s="8" t="s">
        <v>112</v>
      </c>
      <c r="CD20" s="8" t="s">
        <v>112</v>
      </c>
      <c r="CE20" s="8" t="s">
        <v>2185</v>
      </c>
      <c r="CF20">
        <v>14050</v>
      </c>
      <c r="CG20" t="s">
        <v>144</v>
      </c>
      <c r="CH20">
        <v>4000000</v>
      </c>
      <c r="CI20">
        <v>14050</v>
      </c>
      <c r="CJ20">
        <v>0</v>
      </c>
      <c r="CK20" s="8" t="s">
        <v>112</v>
      </c>
      <c r="CL20" s="8" t="s">
        <v>112</v>
      </c>
      <c r="CM20">
        <v>117950</v>
      </c>
      <c r="CN20">
        <v>8329582</v>
      </c>
      <c r="CO20">
        <v>0</v>
      </c>
      <c r="CP20">
        <v>1</v>
      </c>
      <c r="CQ20">
        <v>8329581.8200000003</v>
      </c>
      <c r="CR20">
        <v>125544.96000000001</v>
      </c>
      <c r="CS20" s="8" t="s">
        <v>145</v>
      </c>
      <c r="CT20">
        <v>8.9356000000000009</v>
      </c>
      <c r="CU20">
        <v>1027</v>
      </c>
      <c r="CV20" t="s">
        <v>2992</v>
      </c>
      <c r="CX20" t="s">
        <v>2993</v>
      </c>
      <c r="CY20">
        <v>201</v>
      </c>
    </row>
    <row r="21" spans="1:103" x14ac:dyDescent="0.25">
      <c r="A21" s="8" t="s">
        <v>106</v>
      </c>
      <c r="B21" s="38">
        <v>45162</v>
      </c>
      <c r="C21" s="43">
        <f>IF(YEAR(Таблица1[[#This Row],[Дата]])=2023,MONTH(Таблица1[[#This Row],[Дата]]),0)</f>
        <v>8</v>
      </c>
      <c r="D21" s="8" t="s">
        <v>3071</v>
      </c>
      <c r="E21" s="8" t="s">
        <v>2261</v>
      </c>
      <c r="F21" s="8" t="s">
        <v>3072</v>
      </c>
      <c r="G21" t="s">
        <v>110</v>
      </c>
      <c r="H21" s="8" t="s">
        <v>111</v>
      </c>
      <c r="I21" s="8" t="s">
        <v>112</v>
      </c>
      <c r="J21" s="8" t="s">
        <v>112</v>
      </c>
      <c r="K21" s="8" t="s">
        <v>112</v>
      </c>
      <c r="L21" s="8" t="s">
        <v>3073</v>
      </c>
      <c r="M21" s="8" t="s">
        <v>3074</v>
      </c>
      <c r="N21" s="8" t="s">
        <v>112</v>
      </c>
      <c r="O21" s="8" t="s">
        <v>112</v>
      </c>
      <c r="P21">
        <v>2</v>
      </c>
      <c r="Q21">
        <v>0</v>
      </c>
      <c r="R21">
        <v>2</v>
      </c>
      <c r="S21">
        <v>650</v>
      </c>
      <c r="T21" s="8" t="s">
        <v>3075</v>
      </c>
      <c r="U21" s="8" t="s">
        <v>3076</v>
      </c>
      <c r="V21" s="8" t="s">
        <v>3077</v>
      </c>
      <c r="W21" s="8" t="s">
        <v>3078</v>
      </c>
      <c r="X21" s="8" t="s">
        <v>3079</v>
      </c>
      <c r="Y21" s="8" t="s">
        <v>3080</v>
      </c>
      <c r="Z21" s="8" t="s">
        <v>3075</v>
      </c>
      <c r="AA21" s="8" t="s">
        <v>3076</v>
      </c>
      <c r="AB21" s="8" t="s">
        <v>3077</v>
      </c>
      <c r="AC21" s="8" t="s">
        <v>3078</v>
      </c>
      <c r="AD21" s="8" t="s">
        <v>3079</v>
      </c>
      <c r="AE21" s="8" t="s">
        <v>3080</v>
      </c>
      <c r="AF21" s="8" t="s">
        <v>2185</v>
      </c>
      <c r="AG21" s="8" t="s">
        <v>2186</v>
      </c>
      <c r="AH21">
        <v>9550855.9800000004</v>
      </c>
      <c r="AI21" s="8" t="s">
        <v>3075</v>
      </c>
      <c r="AJ21" s="8" t="s">
        <v>3076</v>
      </c>
      <c r="AK21" s="8" t="s">
        <v>3077</v>
      </c>
      <c r="AL21" s="8" t="s">
        <v>3078</v>
      </c>
      <c r="AM21" s="8" t="s">
        <v>3079</v>
      </c>
      <c r="AN21" s="8" t="s">
        <v>3080</v>
      </c>
      <c r="AO21" s="8" t="s">
        <v>2185</v>
      </c>
      <c r="AP21" s="8" t="s">
        <v>2186</v>
      </c>
      <c r="AQ21" s="8" t="s">
        <v>2186</v>
      </c>
      <c r="AR21" s="8" t="s">
        <v>124</v>
      </c>
      <c r="AS21" s="8" t="s">
        <v>125</v>
      </c>
      <c r="AT21">
        <v>0</v>
      </c>
      <c r="AU21" s="8" t="s">
        <v>106</v>
      </c>
      <c r="AV21" s="8" t="s">
        <v>127</v>
      </c>
      <c r="AW21" s="8" t="s">
        <v>2271</v>
      </c>
      <c r="AX21">
        <v>1</v>
      </c>
      <c r="AY21" s="8" t="s">
        <v>129</v>
      </c>
      <c r="AZ21">
        <v>133881</v>
      </c>
      <c r="BA21">
        <v>9208308</v>
      </c>
      <c r="BB21">
        <v>147828.22</v>
      </c>
      <c r="BC21">
        <v>68.779799999999895</v>
      </c>
      <c r="BD21" s="8" t="s">
        <v>130</v>
      </c>
      <c r="BE21" s="8" t="s">
        <v>112</v>
      </c>
      <c r="BF21" s="8" t="s">
        <v>3081</v>
      </c>
      <c r="BG21" s="8" t="s">
        <v>133</v>
      </c>
      <c r="BH21" s="8" t="s">
        <v>134</v>
      </c>
      <c r="BI21" s="8" t="s">
        <v>112</v>
      </c>
      <c r="BJ21" s="8" t="s">
        <v>2273</v>
      </c>
      <c r="BK21" s="8" t="s">
        <v>112</v>
      </c>
      <c r="BL21" s="8" t="s">
        <v>2274</v>
      </c>
      <c r="BM21" s="8" t="s">
        <v>2275</v>
      </c>
      <c r="BN21" s="8" t="s">
        <v>2276</v>
      </c>
      <c r="BO21" s="8" t="s">
        <v>2277</v>
      </c>
      <c r="BP21">
        <v>1</v>
      </c>
      <c r="BQ21" s="8" t="s">
        <v>3082</v>
      </c>
      <c r="BR21" s="45">
        <f>ISNUMBER(SEARCH($BR$1,Таблица1[[#This Row],[31_1 Описание и характеристика товара]]))*1</f>
        <v>0</v>
      </c>
      <c r="BT21" s="8" t="s">
        <v>2279</v>
      </c>
      <c r="BU21">
        <v>490</v>
      </c>
      <c r="BV21">
        <v>1</v>
      </c>
      <c r="BW21">
        <v>490</v>
      </c>
      <c r="BX21" t="s">
        <v>2147</v>
      </c>
      <c r="BY21">
        <v>0</v>
      </c>
      <c r="CA21" s="8" t="s">
        <v>106</v>
      </c>
      <c r="CB21" s="8" t="s">
        <v>2148</v>
      </c>
      <c r="CC21" s="8" t="s">
        <v>112</v>
      </c>
      <c r="CD21" s="8" t="s">
        <v>112</v>
      </c>
      <c r="CE21" s="8" t="s">
        <v>2185</v>
      </c>
      <c r="CF21">
        <v>15242</v>
      </c>
      <c r="CG21" t="s">
        <v>144</v>
      </c>
      <c r="CH21">
        <v>4000000</v>
      </c>
      <c r="CI21">
        <v>14378.1</v>
      </c>
      <c r="CJ21">
        <v>0</v>
      </c>
      <c r="CK21" s="8" t="s">
        <v>112</v>
      </c>
      <c r="CL21" s="8" t="s">
        <v>112</v>
      </c>
      <c r="CM21">
        <v>132281</v>
      </c>
      <c r="CN21">
        <v>9098261</v>
      </c>
      <c r="CO21">
        <v>0</v>
      </c>
      <c r="CP21">
        <v>1</v>
      </c>
      <c r="CQ21">
        <v>9437070.3200000003</v>
      </c>
      <c r="CR21">
        <v>146067.04</v>
      </c>
      <c r="CS21" s="8" t="s">
        <v>145</v>
      </c>
      <c r="CT21">
        <v>10.159000000000001</v>
      </c>
      <c r="CU21">
        <v>727</v>
      </c>
      <c r="CV21" t="s">
        <v>3083</v>
      </c>
      <c r="CX21" t="s">
        <v>2281</v>
      </c>
      <c r="CY21">
        <v>18</v>
      </c>
    </row>
    <row r="22" spans="1:103" x14ac:dyDescent="0.25">
      <c r="A22" s="8" t="s">
        <v>106</v>
      </c>
      <c r="B22" s="38">
        <v>45241</v>
      </c>
      <c r="C22" s="43">
        <f>IF(YEAR(Таблица1[[#This Row],[Дата]])=2023,MONTH(Таблица1[[#This Row],[Дата]]),0)</f>
        <v>11</v>
      </c>
      <c r="D22" s="8" t="s">
        <v>3125</v>
      </c>
      <c r="E22" s="8" t="s">
        <v>2261</v>
      </c>
      <c r="F22" s="8" t="s">
        <v>3126</v>
      </c>
      <c r="G22" t="s">
        <v>110</v>
      </c>
      <c r="H22" s="8" t="s">
        <v>111</v>
      </c>
      <c r="I22" s="8" t="s">
        <v>112</v>
      </c>
      <c r="J22" s="8" t="s">
        <v>112</v>
      </c>
      <c r="K22" s="8" t="s">
        <v>112</v>
      </c>
      <c r="L22" s="8" t="s">
        <v>3073</v>
      </c>
      <c r="M22" s="8" t="s">
        <v>3127</v>
      </c>
      <c r="N22" s="8" t="s">
        <v>112</v>
      </c>
      <c r="O22" s="8" t="s">
        <v>112</v>
      </c>
      <c r="P22">
        <v>1</v>
      </c>
      <c r="Q22">
        <v>0</v>
      </c>
      <c r="R22">
        <v>1</v>
      </c>
      <c r="S22">
        <v>490</v>
      </c>
      <c r="T22" s="8" t="s">
        <v>2265</v>
      </c>
      <c r="U22" s="8" t="s">
        <v>2266</v>
      </c>
      <c r="V22" s="8" t="s">
        <v>2267</v>
      </c>
      <c r="W22" s="8" t="s">
        <v>2268</v>
      </c>
      <c r="X22" s="8" t="s">
        <v>2269</v>
      </c>
      <c r="Y22" s="8" t="s">
        <v>2270</v>
      </c>
      <c r="Z22" s="8" t="s">
        <v>2265</v>
      </c>
      <c r="AA22" s="8" t="s">
        <v>2266</v>
      </c>
      <c r="AB22" s="8" t="s">
        <v>2267</v>
      </c>
      <c r="AC22" s="8" t="s">
        <v>2268</v>
      </c>
      <c r="AD22" s="8" t="s">
        <v>2269</v>
      </c>
      <c r="AE22" s="8" t="s">
        <v>2270</v>
      </c>
      <c r="AF22" s="8" t="s">
        <v>2185</v>
      </c>
      <c r="AG22" s="8" t="s">
        <v>2186</v>
      </c>
      <c r="AH22">
        <v>9458278.3699999899</v>
      </c>
      <c r="AI22" s="8" t="s">
        <v>2265</v>
      </c>
      <c r="AJ22" s="8" t="s">
        <v>2266</v>
      </c>
      <c r="AK22" s="8" t="s">
        <v>2267</v>
      </c>
      <c r="AL22" s="8" t="s">
        <v>2268</v>
      </c>
      <c r="AM22" s="8" t="s">
        <v>2269</v>
      </c>
      <c r="AN22" s="8" t="s">
        <v>2270</v>
      </c>
      <c r="AO22" s="8" t="s">
        <v>2185</v>
      </c>
      <c r="AP22" s="8" t="s">
        <v>2186</v>
      </c>
      <c r="AQ22" s="8" t="s">
        <v>2186</v>
      </c>
      <c r="AR22" s="8" t="s">
        <v>124</v>
      </c>
      <c r="AS22" s="8" t="s">
        <v>125</v>
      </c>
      <c r="AT22">
        <v>0</v>
      </c>
      <c r="AU22" s="8" t="s">
        <v>106</v>
      </c>
      <c r="AV22" s="8" t="s">
        <v>127</v>
      </c>
      <c r="AW22" s="8" t="s">
        <v>2271</v>
      </c>
      <c r="AX22">
        <v>1</v>
      </c>
      <c r="AY22" s="8" t="s">
        <v>129</v>
      </c>
      <c r="AZ22">
        <v>132535</v>
      </c>
      <c r="BA22">
        <v>9115731</v>
      </c>
      <c r="BB22">
        <v>146395.299999999</v>
      </c>
      <c r="BC22">
        <v>68.779799999999895</v>
      </c>
      <c r="BD22" s="8" t="s">
        <v>130</v>
      </c>
      <c r="BE22" s="8" t="s">
        <v>112</v>
      </c>
      <c r="BF22" s="8" t="s">
        <v>2272</v>
      </c>
      <c r="BG22" s="8" t="s">
        <v>133</v>
      </c>
      <c r="BH22" s="8" t="s">
        <v>134</v>
      </c>
      <c r="BI22" s="8" t="s">
        <v>112</v>
      </c>
      <c r="BJ22" s="8" t="s">
        <v>2273</v>
      </c>
      <c r="BK22" s="8" t="s">
        <v>112</v>
      </c>
      <c r="BL22" s="8" t="s">
        <v>2274</v>
      </c>
      <c r="BM22" s="8" t="s">
        <v>2275</v>
      </c>
      <c r="BN22" s="8" t="s">
        <v>2276</v>
      </c>
      <c r="BO22" s="8" t="s">
        <v>2277</v>
      </c>
      <c r="BP22">
        <v>1</v>
      </c>
      <c r="BQ22" s="8" t="s">
        <v>3082</v>
      </c>
      <c r="BR22" s="45">
        <f>ISNUMBER(SEARCH($BR$1,Таблица1[[#This Row],[31_1 Описание и характеристика товара]]))*1</f>
        <v>0</v>
      </c>
      <c r="BT22" s="8" t="s">
        <v>2279</v>
      </c>
      <c r="BU22">
        <v>490</v>
      </c>
      <c r="BV22">
        <v>1</v>
      </c>
      <c r="BW22">
        <v>490</v>
      </c>
      <c r="BX22" t="s">
        <v>2147</v>
      </c>
      <c r="BY22">
        <v>0</v>
      </c>
      <c r="CA22" s="8" t="s">
        <v>106</v>
      </c>
      <c r="CB22" s="8" t="s">
        <v>2148</v>
      </c>
      <c r="CC22" s="8" t="s">
        <v>112</v>
      </c>
      <c r="CD22" s="8" t="s">
        <v>112</v>
      </c>
      <c r="CE22" s="8" t="s">
        <v>2185</v>
      </c>
      <c r="CF22">
        <v>15616.2</v>
      </c>
      <c r="CG22" t="s">
        <v>144</v>
      </c>
      <c r="CH22">
        <v>4000000</v>
      </c>
      <c r="CI22">
        <v>14756.8</v>
      </c>
      <c r="CJ22">
        <v>0</v>
      </c>
      <c r="CK22" s="8" t="s">
        <v>112</v>
      </c>
      <c r="CL22" s="8" t="s">
        <v>112</v>
      </c>
      <c r="CM22">
        <v>132535</v>
      </c>
      <c r="CN22">
        <v>9115731</v>
      </c>
      <c r="CO22">
        <v>0</v>
      </c>
      <c r="CP22">
        <v>1</v>
      </c>
      <c r="CQ22">
        <v>9458278.3699999899</v>
      </c>
      <c r="CR22">
        <v>146395.299999999</v>
      </c>
      <c r="CS22" s="8" t="s">
        <v>145</v>
      </c>
      <c r="CT22">
        <v>9.9205000000000005</v>
      </c>
      <c r="CU22">
        <v>727</v>
      </c>
      <c r="CV22" t="s">
        <v>2280</v>
      </c>
      <c r="CX22" t="s">
        <v>2281</v>
      </c>
      <c r="CY22">
        <v>0</v>
      </c>
    </row>
    <row r="23" spans="1:103" x14ac:dyDescent="0.25">
      <c r="A23" s="8" t="s">
        <v>106</v>
      </c>
      <c r="B23" s="38">
        <v>45205</v>
      </c>
      <c r="C23" s="43">
        <f>IF(YEAR(Таблица1[[#This Row],[Дата]])=2023,MONTH(Таблица1[[#This Row],[Дата]]),0)</f>
        <v>10</v>
      </c>
      <c r="D23" s="8" t="s">
        <v>3170</v>
      </c>
      <c r="E23" s="8" t="s">
        <v>2261</v>
      </c>
      <c r="F23" s="8" t="s">
        <v>3171</v>
      </c>
      <c r="G23" t="s">
        <v>110</v>
      </c>
      <c r="H23" s="8" t="s">
        <v>111</v>
      </c>
      <c r="I23" s="8" t="s">
        <v>112</v>
      </c>
      <c r="J23" s="8" t="s">
        <v>112</v>
      </c>
      <c r="K23" s="8" t="s">
        <v>112</v>
      </c>
      <c r="L23" s="8" t="s">
        <v>2606</v>
      </c>
      <c r="M23" s="8" t="s">
        <v>3172</v>
      </c>
      <c r="N23" s="8" t="s">
        <v>112</v>
      </c>
      <c r="O23" s="8" t="s">
        <v>112</v>
      </c>
      <c r="P23">
        <v>3</v>
      </c>
      <c r="Q23">
        <v>0</v>
      </c>
      <c r="R23">
        <v>5</v>
      </c>
      <c r="S23">
        <v>6</v>
      </c>
      <c r="T23" s="8" t="s">
        <v>3173</v>
      </c>
      <c r="U23" s="8" t="s">
        <v>3174</v>
      </c>
      <c r="V23" s="8" t="s">
        <v>3175</v>
      </c>
      <c r="W23" s="8" t="s">
        <v>3176</v>
      </c>
      <c r="X23" s="8" t="s">
        <v>435</v>
      </c>
      <c r="Y23" s="8" t="s">
        <v>2184</v>
      </c>
      <c r="Z23" s="8" t="s">
        <v>3173</v>
      </c>
      <c r="AA23" s="8" t="s">
        <v>3174</v>
      </c>
      <c r="AB23" s="8" t="s">
        <v>3175</v>
      </c>
      <c r="AC23" s="8" t="s">
        <v>3176</v>
      </c>
      <c r="AD23" s="8" t="s">
        <v>435</v>
      </c>
      <c r="AE23" s="8" t="s">
        <v>2184</v>
      </c>
      <c r="AF23" s="8" t="s">
        <v>2185</v>
      </c>
      <c r="AG23" s="8" t="s">
        <v>2186</v>
      </c>
      <c r="AH23">
        <v>2970657.96</v>
      </c>
      <c r="AI23" s="8" t="s">
        <v>3173</v>
      </c>
      <c r="AJ23" s="8" t="s">
        <v>3174</v>
      </c>
      <c r="AK23" s="8" t="s">
        <v>3175</v>
      </c>
      <c r="AL23" s="8" t="s">
        <v>3176</v>
      </c>
      <c r="AM23" s="8" t="s">
        <v>435</v>
      </c>
      <c r="AN23" s="8" t="s">
        <v>2184</v>
      </c>
      <c r="AO23" s="8" t="s">
        <v>2185</v>
      </c>
      <c r="AP23" s="8" t="s">
        <v>2186</v>
      </c>
      <c r="AQ23" s="8" t="s">
        <v>2186</v>
      </c>
      <c r="AR23" s="8" t="s">
        <v>124</v>
      </c>
      <c r="AS23" s="8" t="s">
        <v>125</v>
      </c>
      <c r="AT23">
        <v>2</v>
      </c>
      <c r="AU23" s="8" t="s">
        <v>106</v>
      </c>
      <c r="AV23" s="8" t="s">
        <v>127</v>
      </c>
      <c r="AW23" s="8" t="s">
        <v>3177</v>
      </c>
      <c r="AX23">
        <v>1</v>
      </c>
      <c r="AY23" s="8" t="s">
        <v>129</v>
      </c>
      <c r="AZ23">
        <v>39317</v>
      </c>
      <c r="BA23">
        <v>2704215</v>
      </c>
      <c r="BB23">
        <v>45979.86</v>
      </c>
      <c r="BC23">
        <v>68.779799999999895</v>
      </c>
      <c r="BD23" s="8" t="s">
        <v>130</v>
      </c>
      <c r="BE23" s="8" t="s">
        <v>111</v>
      </c>
      <c r="BF23" s="8" t="s">
        <v>3178</v>
      </c>
      <c r="BG23" s="8" t="s">
        <v>133</v>
      </c>
      <c r="BH23" s="8" t="s">
        <v>167</v>
      </c>
      <c r="BI23" s="8" t="s">
        <v>3179</v>
      </c>
      <c r="BJ23" s="8" t="s">
        <v>112</v>
      </c>
      <c r="BK23" s="8" t="s">
        <v>112</v>
      </c>
      <c r="BL23" s="8" t="s">
        <v>2274</v>
      </c>
      <c r="BM23" s="8" t="s">
        <v>2482</v>
      </c>
      <c r="BN23" s="8" t="s">
        <v>3180</v>
      </c>
      <c r="BO23" s="8" t="s">
        <v>3181</v>
      </c>
      <c r="BP23">
        <v>1</v>
      </c>
      <c r="BQ23" s="8" t="s">
        <v>3182</v>
      </c>
      <c r="BR23" s="45">
        <f>ISNUMBER(SEARCH($BR$1,Таблица1[[#This Row],[31_1 Описание и характеристика товара]]))*1</f>
        <v>0</v>
      </c>
      <c r="BT23" s="8" t="s">
        <v>3183</v>
      </c>
      <c r="BU23">
        <v>6</v>
      </c>
      <c r="BV23">
        <v>1</v>
      </c>
      <c r="BW23">
        <v>21</v>
      </c>
      <c r="BX23" t="s">
        <v>2147</v>
      </c>
      <c r="BY23">
        <v>0</v>
      </c>
      <c r="CA23" s="8" t="s">
        <v>106</v>
      </c>
      <c r="CB23" s="8" t="s">
        <v>2148</v>
      </c>
      <c r="CC23" s="8" t="s">
        <v>112</v>
      </c>
      <c r="CD23" s="8" t="s">
        <v>112</v>
      </c>
      <c r="CE23" s="8" t="s">
        <v>2185</v>
      </c>
      <c r="CF23">
        <v>1898</v>
      </c>
      <c r="CG23" t="s">
        <v>144</v>
      </c>
      <c r="CH23">
        <v>4000000</v>
      </c>
      <c r="CI23">
        <v>1898</v>
      </c>
      <c r="CJ23">
        <v>0</v>
      </c>
      <c r="CK23" s="8" t="s">
        <v>112</v>
      </c>
      <c r="CL23" s="8" t="s">
        <v>112</v>
      </c>
      <c r="CM23">
        <v>34888.730000000003</v>
      </c>
      <c r="CN23">
        <v>2399640</v>
      </c>
      <c r="CO23">
        <v>0</v>
      </c>
      <c r="CP23">
        <v>1</v>
      </c>
      <c r="CQ23">
        <v>2647292.54999999</v>
      </c>
      <c r="CR23">
        <v>40974.81</v>
      </c>
      <c r="CS23" s="8" t="s">
        <v>145</v>
      </c>
      <c r="CT23">
        <v>21.5884</v>
      </c>
      <c r="CU23">
        <v>905</v>
      </c>
      <c r="CV23" t="s">
        <v>3184</v>
      </c>
      <c r="CX23" t="s">
        <v>3185</v>
      </c>
      <c r="CY23">
        <v>145</v>
      </c>
    </row>
    <row r="24" spans="1:103" x14ac:dyDescent="0.25">
      <c r="A24" s="8" t="s">
        <v>106</v>
      </c>
      <c r="B24" s="38">
        <v>45073</v>
      </c>
      <c r="C24" s="43">
        <f>IF(YEAR(Таблица1[[#This Row],[Дата]])=2023,MONTH(Таблица1[[#This Row],[Дата]]),0)</f>
        <v>5</v>
      </c>
      <c r="D24" s="8" t="s">
        <v>3213</v>
      </c>
      <c r="E24" s="8" t="s">
        <v>2261</v>
      </c>
      <c r="F24" s="8" t="s">
        <v>3214</v>
      </c>
      <c r="G24" t="s">
        <v>110</v>
      </c>
      <c r="H24" s="8" t="s">
        <v>111</v>
      </c>
      <c r="I24" s="8" t="s">
        <v>112</v>
      </c>
      <c r="J24" s="8" t="s">
        <v>112</v>
      </c>
      <c r="K24" s="8" t="s">
        <v>112</v>
      </c>
      <c r="L24" s="8" t="s">
        <v>2178</v>
      </c>
      <c r="M24" s="8" t="s">
        <v>3215</v>
      </c>
      <c r="N24" s="8" t="s">
        <v>112</v>
      </c>
      <c r="O24" s="8" t="s">
        <v>112</v>
      </c>
      <c r="P24">
        <v>1</v>
      </c>
      <c r="Q24">
        <v>0</v>
      </c>
      <c r="R24">
        <v>1</v>
      </c>
      <c r="S24">
        <v>81</v>
      </c>
      <c r="T24" s="8" t="s">
        <v>2391</v>
      </c>
      <c r="U24" s="8" t="s">
        <v>2392</v>
      </c>
      <c r="V24" s="8" t="s">
        <v>2393</v>
      </c>
      <c r="W24" s="8" t="s">
        <v>3216</v>
      </c>
      <c r="X24" s="8" t="s">
        <v>119</v>
      </c>
      <c r="Y24" s="8" t="s">
        <v>2395</v>
      </c>
      <c r="Z24" s="8" t="s">
        <v>2391</v>
      </c>
      <c r="AA24" s="8" t="s">
        <v>2392</v>
      </c>
      <c r="AB24" s="8" t="s">
        <v>2393</v>
      </c>
      <c r="AC24" s="8" t="s">
        <v>3216</v>
      </c>
      <c r="AD24" s="8" t="s">
        <v>119</v>
      </c>
      <c r="AE24" s="8" t="s">
        <v>2395</v>
      </c>
      <c r="AF24" s="8" t="s">
        <v>2185</v>
      </c>
      <c r="AG24" s="8" t="s">
        <v>2186</v>
      </c>
      <c r="AH24">
        <v>4140372.89</v>
      </c>
      <c r="AI24" s="8" t="s">
        <v>2391</v>
      </c>
      <c r="AJ24" s="8" t="s">
        <v>2392</v>
      </c>
      <c r="AK24" s="8" t="s">
        <v>2393</v>
      </c>
      <c r="AL24" s="8" t="s">
        <v>3216</v>
      </c>
      <c r="AM24" s="8" t="s">
        <v>119</v>
      </c>
      <c r="AN24" s="8" t="s">
        <v>2395</v>
      </c>
      <c r="AO24" s="8" t="s">
        <v>2185</v>
      </c>
      <c r="AP24" s="8" t="s">
        <v>2186</v>
      </c>
      <c r="AQ24" s="8" t="s">
        <v>2186</v>
      </c>
      <c r="AR24" s="8" t="s">
        <v>124</v>
      </c>
      <c r="AS24" s="8" t="s">
        <v>125</v>
      </c>
      <c r="AT24">
        <v>0</v>
      </c>
      <c r="AU24" s="8" t="s">
        <v>106</v>
      </c>
      <c r="AV24" s="8" t="s">
        <v>127</v>
      </c>
      <c r="AW24" s="8" t="s">
        <v>2187</v>
      </c>
      <c r="AX24">
        <v>1</v>
      </c>
      <c r="AY24" s="8" t="s">
        <v>129</v>
      </c>
      <c r="AZ24">
        <v>56815.8</v>
      </c>
      <c r="BA24">
        <v>3907779</v>
      </c>
      <c r="BB24">
        <v>64084.72</v>
      </c>
      <c r="BC24">
        <v>68.779799999999895</v>
      </c>
      <c r="BD24" s="8" t="s">
        <v>130</v>
      </c>
      <c r="BE24" s="8" t="s">
        <v>112</v>
      </c>
      <c r="BF24" s="8" t="s">
        <v>3217</v>
      </c>
      <c r="BG24" s="8" t="s">
        <v>133</v>
      </c>
      <c r="BH24" s="8" t="s">
        <v>134</v>
      </c>
      <c r="BI24" s="8" t="s">
        <v>112</v>
      </c>
      <c r="BJ24" s="8" t="s">
        <v>2481</v>
      </c>
      <c r="BK24" s="8" t="s">
        <v>112</v>
      </c>
      <c r="BL24" s="8" t="s">
        <v>2274</v>
      </c>
      <c r="BM24" s="8" t="s">
        <v>2275</v>
      </c>
      <c r="BN24" s="8" t="s">
        <v>3218</v>
      </c>
      <c r="BO24" s="8" t="s">
        <v>2277</v>
      </c>
      <c r="BP24">
        <v>1</v>
      </c>
      <c r="BQ24" s="8" t="s">
        <v>3219</v>
      </c>
      <c r="BR24" s="45">
        <f>ISNUMBER(SEARCH($BR$1,Таблица1[[#This Row],[31_1 Описание и характеристика товара]]))*1</f>
        <v>0</v>
      </c>
      <c r="BT24" s="8" t="s">
        <v>2178</v>
      </c>
      <c r="BU24">
        <v>81</v>
      </c>
      <c r="BV24">
        <v>1</v>
      </c>
      <c r="BW24">
        <v>81</v>
      </c>
      <c r="BX24" t="s">
        <v>2147</v>
      </c>
      <c r="BY24">
        <v>0</v>
      </c>
      <c r="CA24" s="8" t="s">
        <v>106</v>
      </c>
      <c r="CB24" s="8" t="s">
        <v>2467</v>
      </c>
      <c r="CC24" s="8" t="s">
        <v>112</v>
      </c>
      <c r="CD24" s="8" t="s">
        <v>112</v>
      </c>
      <c r="CE24" s="8" t="s">
        <v>2185</v>
      </c>
      <c r="CF24">
        <v>18138</v>
      </c>
      <c r="CG24" t="s">
        <v>144</v>
      </c>
      <c r="CH24">
        <v>4000000</v>
      </c>
      <c r="CI24">
        <v>16385</v>
      </c>
      <c r="CJ24">
        <v>0</v>
      </c>
      <c r="CK24" s="8" t="s">
        <v>112</v>
      </c>
      <c r="CL24" s="8" t="s">
        <v>112</v>
      </c>
      <c r="CM24">
        <v>56815.8</v>
      </c>
      <c r="CN24">
        <v>3907779</v>
      </c>
      <c r="CO24">
        <v>0</v>
      </c>
      <c r="CP24">
        <v>1</v>
      </c>
      <c r="CQ24">
        <v>4140372.89</v>
      </c>
      <c r="CR24">
        <v>64084.72</v>
      </c>
      <c r="CS24" s="8" t="s">
        <v>145</v>
      </c>
      <c r="CT24">
        <v>3.9112</v>
      </c>
      <c r="CU24">
        <v>1371</v>
      </c>
      <c r="CV24" t="s">
        <v>3220</v>
      </c>
      <c r="CX24" t="s">
        <v>3221</v>
      </c>
      <c r="CY24">
        <v>0</v>
      </c>
    </row>
    <row r="25" spans="1:103" x14ac:dyDescent="0.25">
      <c r="A25" s="8" t="s">
        <v>106</v>
      </c>
      <c r="B25" s="38">
        <v>45131</v>
      </c>
      <c r="C25" s="43">
        <f>IF(YEAR(Таблица1[[#This Row],[Дата]])=2023,MONTH(Таблица1[[#This Row],[Дата]]),0)</f>
        <v>7</v>
      </c>
      <c r="D25" s="8" t="s">
        <v>2308</v>
      </c>
      <c r="E25" s="8" t="s">
        <v>427</v>
      </c>
      <c r="F25" s="8" t="s">
        <v>2309</v>
      </c>
      <c r="G25" t="s">
        <v>110</v>
      </c>
      <c r="H25" s="8" t="s">
        <v>111</v>
      </c>
      <c r="I25" s="8" t="s">
        <v>112</v>
      </c>
      <c r="J25" s="8" t="s">
        <v>112</v>
      </c>
      <c r="K25" s="8" t="s">
        <v>112</v>
      </c>
      <c r="L25" s="8" t="s">
        <v>2310</v>
      </c>
      <c r="M25" s="8" t="s">
        <v>2311</v>
      </c>
      <c r="N25" s="8" t="s">
        <v>112</v>
      </c>
      <c r="O25" s="8" t="s">
        <v>112</v>
      </c>
      <c r="P25">
        <v>4</v>
      </c>
      <c r="Q25">
        <v>0</v>
      </c>
      <c r="R25">
        <v>8</v>
      </c>
      <c r="S25">
        <v>356</v>
      </c>
      <c r="T25" s="8" t="s">
        <v>2312</v>
      </c>
      <c r="U25" s="8" t="s">
        <v>2313</v>
      </c>
      <c r="V25" s="8" t="s">
        <v>2314</v>
      </c>
      <c r="W25" s="8" t="s">
        <v>2315</v>
      </c>
      <c r="X25" s="8" t="s">
        <v>2316</v>
      </c>
      <c r="Y25" s="8" t="s">
        <v>2317</v>
      </c>
      <c r="Z25" s="8" t="s">
        <v>2312</v>
      </c>
      <c r="AA25" s="8" t="s">
        <v>2313</v>
      </c>
      <c r="AB25" s="8" t="s">
        <v>2314</v>
      </c>
      <c r="AC25" s="8" t="s">
        <v>2315</v>
      </c>
      <c r="AD25" s="8" t="s">
        <v>2316</v>
      </c>
      <c r="AE25" s="8" t="s">
        <v>2317</v>
      </c>
      <c r="AF25" s="8" t="s">
        <v>2163</v>
      </c>
      <c r="AG25" s="8" t="s">
        <v>2164</v>
      </c>
      <c r="AH25">
        <v>9937252.4199999906</v>
      </c>
      <c r="AI25" s="8" t="s">
        <v>2312</v>
      </c>
      <c r="AJ25" s="8" t="s">
        <v>2313</v>
      </c>
      <c r="AK25" s="8" t="s">
        <v>2314</v>
      </c>
      <c r="AL25" s="8" t="s">
        <v>2315</v>
      </c>
      <c r="AM25" s="8" t="s">
        <v>2316</v>
      </c>
      <c r="AN25" s="8" t="s">
        <v>2317</v>
      </c>
      <c r="AO25" s="8" t="s">
        <v>2163</v>
      </c>
      <c r="AP25" s="8" t="s">
        <v>2164</v>
      </c>
      <c r="AQ25" s="8" t="s">
        <v>2164</v>
      </c>
      <c r="AR25" s="8" t="s">
        <v>124</v>
      </c>
      <c r="AS25" s="8" t="s">
        <v>125</v>
      </c>
      <c r="AT25">
        <v>2</v>
      </c>
      <c r="AU25" s="8" t="s">
        <v>126</v>
      </c>
      <c r="AV25" s="8" t="s">
        <v>2318</v>
      </c>
      <c r="AW25" s="8" t="s">
        <v>2227</v>
      </c>
      <c r="AX25">
        <v>1</v>
      </c>
      <c r="AY25" s="8" t="s">
        <v>129</v>
      </c>
      <c r="AZ25">
        <v>130621.84</v>
      </c>
      <c r="BA25">
        <v>9937252</v>
      </c>
      <c r="BB25">
        <v>138059.97</v>
      </c>
      <c r="BC25">
        <v>76.076499999999896</v>
      </c>
      <c r="BD25" s="8" t="s">
        <v>130</v>
      </c>
      <c r="BE25" s="8" t="s">
        <v>112</v>
      </c>
      <c r="BF25" s="8" t="s">
        <v>2319</v>
      </c>
      <c r="BG25" s="8" t="s">
        <v>133</v>
      </c>
      <c r="BH25" s="8" t="s">
        <v>134</v>
      </c>
      <c r="BI25" s="8" t="s">
        <v>112</v>
      </c>
      <c r="BJ25" s="8" t="s">
        <v>2320</v>
      </c>
      <c r="BK25" s="8" t="s">
        <v>112</v>
      </c>
      <c r="BL25" s="8" t="s">
        <v>2321</v>
      </c>
      <c r="BM25" s="8" t="s">
        <v>2322</v>
      </c>
      <c r="BN25" s="8" t="s">
        <v>2323</v>
      </c>
      <c r="BO25" s="8" t="s">
        <v>2324</v>
      </c>
      <c r="BP25">
        <v>1</v>
      </c>
      <c r="BQ25" s="8" t="s">
        <v>2325</v>
      </c>
      <c r="BR25" s="45">
        <f>ISNUMBER(SEARCH($BR$1,Таблица1[[#This Row],[31_1 Описание и характеристика товара]]))*1</f>
        <v>0</v>
      </c>
      <c r="BT25" s="8" t="s">
        <v>2326</v>
      </c>
      <c r="BU25">
        <v>300</v>
      </c>
      <c r="BV25">
        <v>0</v>
      </c>
      <c r="BW25">
        <v>301</v>
      </c>
      <c r="BX25" t="s">
        <v>2147</v>
      </c>
      <c r="BY25">
        <v>0</v>
      </c>
      <c r="CA25" s="8" t="s">
        <v>106</v>
      </c>
      <c r="CB25" s="8" t="s">
        <v>2148</v>
      </c>
      <c r="CC25" s="8" t="s">
        <v>112</v>
      </c>
      <c r="CD25" s="8" t="s">
        <v>112</v>
      </c>
      <c r="CE25" s="8" t="s">
        <v>2163</v>
      </c>
      <c r="CF25">
        <v>9065.4</v>
      </c>
      <c r="CG25" t="s">
        <v>144</v>
      </c>
      <c r="CH25">
        <v>4000000</v>
      </c>
      <c r="CI25">
        <v>9065.4</v>
      </c>
      <c r="CJ25">
        <v>0</v>
      </c>
      <c r="CK25" s="8" t="s">
        <v>112</v>
      </c>
      <c r="CL25" s="8" t="s">
        <v>112</v>
      </c>
      <c r="CM25">
        <v>100251.28</v>
      </c>
      <c r="CN25">
        <v>7626767</v>
      </c>
      <c r="CO25">
        <v>0</v>
      </c>
      <c r="CP25">
        <v>1</v>
      </c>
      <c r="CQ25">
        <v>7626766.5</v>
      </c>
      <c r="CR25">
        <v>105959.98</v>
      </c>
      <c r="CS25" s="8" t="s">
        <v>145</v>
      </c>
      <c r="CT25">
        <v>11.6884</v>
      </c>
      <c r="CU25">
        <v>53</v>
      </c>
      <c r="CV25" t="s">
        <v>2327</v>
      </c>
      <c r="CX25" t="s">
        <v>2328</v>
      </c>
      <c r="CY25">
        <v>0</v>
      </c>
    </row>
    <row r="26" spans="1:103" x14ac:dyDescent="0.25">
      <c r="A26" s="8" t="s">
        <v>106</v>
      </c>
      <c r="B26" s="38">
        <v>45017</v>
      </c>
      <c r="C26" s="43">
        <f>IF(YEAR(Таблица1[[#This Row],[Дата]])=2023,MONTH(Таблица1[[#This Row],[Дата]]),0)</f>
        <v>4</v>
      </c>
      <c r="D26" s="8" t="s">
        <v>2367</v>
      </c>
      <c r="E26" s="8" t="s">
        <v>427</v>
      </c>
      <c r="F26" s="8" t="s">
        <v>2368</v>
      </c>
      <c r="G26" t="s">
        <v>110</v>
      </c>
      <c r="H26" s="8" t="s">
        <v>111</v>
      </c>
      <c r="I26" s="8" t="s">
        <v>112</v>
      </c>
      <c r="J26" s="8" t="s">
        <v>112</v>
      </c>
      <c r="K26" s="8" t="s">
        <v>112</v>
      </c>
      <c r="L26" s="8" t="s">
        <v>2369</v>
      </c>
      <c r="M26" s="8" t="s">
        <v>2370</v>
      </c>
      <c r="N26" s="8" t="s">
        <v>112</v>
      </c>
      <c r="O26" s="8" t="s">
        <v>112</v>
      </c>
      <c r="P26">
        <v>10</v>
      </c>
      <c r="Q26">
        <v>0</v>
      </c>
      <c r="R26">
        <v>26</v>
      </c>
      <c r="S26">
        <v>751</v>
      </c>
      <c r="T26" s="8" t="s">
        <v>2239</v>
      </c>
      <c r="U26" s="8" t="s">
        <v>2240</v>
      </c>
      <c r="V26" s="8" t="s">
        <v>2371</v>
      </c>
      <c r="W26" s="8" t="s">
        <v>2372</v>
      </c>
      <c r="X26" s="8" t="s">
        <v>2243</v>
      </c>
      <c r="Y26" s="8" t="s">
        <v>2244</v>
      </c>
      <c r="Z26" s="8" t="s">
        <v>2373</v>
      </c>
      <c r="AA26" s="8" t="s">
        <v>2374</v>
      </c>
      <c r="AB26" s="8" t="s">
        <v>2375</v>
      </c>
      <c r="AC26" s="8" t="s">
        <v>2376</v>
      </c>
      <c r="AD26" s="8" t="s">
        <v>2316</v>
      </c>
      <c r="AE26" s="8" t="s">
        <v>2377</v>
      </c>
      <c r="AF26" s="8" t="s">
        <v>2142</v>
      </c>
      <c r="AG26" s="8" t="s">
        <v>2143</v>
      </c>
      <c r="AH26">
        <v>9277052.0199999902</v>
      </c>
      <c r="AI26" s="8" t="s">
        <v>2373</v>
      </c>
      <c r="AJ26" s="8" t="s">
        <v>2374</v>
      </c>
      <c r="AK26" s="8" t="s">
        <v>2375</v>
      </c>
      <c r="AL26" s="8" t="s">
        <v>2376</v>
      </c>
      <c r="AM26" s="8" t="s">
        <v>2316</v>
      </c>
      <c r="AN26" s="8" t="s">
        <v>2377</v>
      </c>
      <c r="AO26" s="8" t="s">
        <v>2142</v>
      </c>
      <c r="AP26" s="8" t="s">
        <v>2143</v>
      </c>
      <c r="AQ26" s="8" t="s">
        <v>2143</v>
      </c>
      <c r="AR26" s="8" t="s">
        <v>124</v>
      </c>
      <c r="AS26" s="8" t="s">
        <v>125</v>
      </c>
      <c r="AT26">
        <v>1</v>
      </c>
      <c r="AU26" s="8" t="s">
        <v>106</v>
      </c>
      <c r="AV26" s="8" t="s">
        <v>155</v>
      </c>
      <c r="AW26" s="8" t="s">
        <v>2378</v>
      </c>
      <c r="AX26">
        <v>0</v>
      </c>
      <c r="AY26" s="8" t="s">
        <v>2253</v>
      </c>
      <c r="AZ26">
        <v>893291.9</v>
      </c>
      <c r="BA26">
        <v>9064144</v>
      </c>
      <c r="BB26">
        <v>130065.3</v>
      </c>
      <c r="BC26">
        <v>10.1469</v>
      </c>
      <c r="BD26" s="8" t="s">
        <v>130</v>
      </c>
      <c r="BE26" s="8" t="s">
        <v>145</v>
      </c>
      <c r="BF26" s="8" t="s">
        <v>2379</v>
      </c>
      <c r="BG26" s="8" t="s">
        <v>133</v>
      </c>
      <c r="BH26" s="8" t="s">
        <v>167</v>
      </c>
      <c r="BI26" s="8" t="s">
        <v>2255</v>
      </c>
      <c r="BJ26" s="8" t="s">
        <v>112</v>
      </c>
      <c r="BK26" s="8" t="s">
        <v>112</v>
      </c>
      <c r="BL26" s="8" t="s">
        <v>2380</v>
      </c>
      <c r="BM26" s="8" t="s">
        <v>2381</v>
      </c>
      <c r="BN26" s="8" t="s">
        <v>2382</v>
      </c>
      <c r="BO26" s="8" t="s">
        <v>161</v>
      </c>
      <c r="BP26">
        <v>1</v>
      </c>
      <c r="BQ26" s="8" t="s">
        <v>2383</v>
      </c>
      <c r="BR26" s="45">
        <f>ISNUMBER(SEARCH($BR$1,Таблица1[[#This Row],[31_1 Описание и характеристика товара]]))*1</f>
        <v>0</v>
      </c>
      <c r="BT26" s="8" t="s">
        <v>2384</v>
      </c>
      <c r="BU26">
        <v>579</v>
      </c>
      <c r="BV26">
        <v>1</v>
      </c>
      <c r="BW26">
        <v>579</v>
      </c>
      <c r="BX26" t="s">
        <v>2147</v>
      </c>
      <c r="BY26">
        <v>0</v>
      </c>
      <c r="CA26" s="8" t="s">
        <v>106</v>
      </c>
      <c r="CB26" s="8" t="s">
        <v>2148</v>
      </c>
      <c r="CC26" s="8" t="s">
        <v>112</v>
      </c>
      <c r="CD26" s="8" t="s">
        <v>112</v>
      </c>
      <c r="CE26" s="8" t="s">
        <v>2142</v>
      </c>
      <c r="CF26">
        <v>13179.9</v>
      </c>
      <c r="CG26" t="s">
        <v>144</v>
      </c>
      <c r="CH26">
        <v>4000000</v>
      </c>
      <c r="CI26">
        <v>13179.9</v>
      </c>
      <c r="CJ26">
        <v>0</v>
      </c>
      <c r="CK26" s="8" t="s">
        <v>112</v>
      </c>
      <c r="CL26" s="8" t="s">
        <v>112</v>
      </c>
      <c r="CM26">
        <v>698493</v>
      </c>
      <c r="CN26">
        <v>7087539</v>
      </c>
      <c r="CO26">
        <v>0</v>
      </c>
      <c r="CP26">
        <v>1</v>
      </c>
      <c r="CQ26">
        <v>7266624.9100000001</v>
      </c>
      <c r="CR26">
        <v>101878.9</v>
      </c>
      <c r="CS26" s="8" t="s">
        <v>145</v>
      </c>
      <c r="CT26">
        <v>7.7298999999999998</v>
      </c>
      <c r="CU26">
        <v>1075</v>
      </c>
      <c r="CV26" t="s">
        <v>2385</v>
      </c>
      <c r="CX26" t="s">
        <v>2386</v>
      </c>
      <c r="CY26">
        <v>200</v>
      </c>
    </row>
    <row r="27" spans="1:103" x14ac:dyDescent="0.25">
      <c r="A27" s="8" t="s">
        <v>126</v>
      </c>
      <c r="B27" s="38">
        <v>44777</v>
      </c>
      <c r="C27" s="43">
        <f>IF(YEAR(Таблица1[[#This Row],[Дата]])=2023,MONTH(Таблица1[[#This Row],[Дата]]),0)</f>
        <v>0</v>
      </c>
      <c r="D27" s="8" t="s">
        <v>2415</v>
      </c>
      <c r="E27" s="8" t="s">
        <v>427</v>
      </c>
      <c r="F27" s="8" t="s">
        <v>2416</v>
      </c>
      <c r="G27" t="s">
        <v>110</v>
      </c>
      <c r="H27" s="8" t="s">
        <v>111</v>
      </c>
      <c r="I27" s="8" t="s">
        <v>112</v>
      </c>
      <c r="J27" s="8" t="s">
        <v>112</v>
      </c>
      <c r="K27" s="8" t="s">
        <v>112</v>
      </c>
      <c r="L27" s="8" t="s">
        <v>2417</v>
      </c>
      <c r="M27" s="8" t="s">
        <v>2418</v>
      </c>
      <c r="N27" s="8" t="s">
        <v>112</v>
      </c>
      <c r="O27" s="8" t="s">
        <v>112</v>
      </c>
      <c r="P27">
        <v>1</v>
      </c>
      <c r="Q27">
        <v>0</v>
      </c>
      <c r="R27">
        <v>1</v>
      </c>
      <c r="S27">
        <v>3</v>
      </c>
      <c r="T27" s="8" t="s">
        <v>2419</v>
      </c>
      <c r="U27" s="8" t="s">
        <v>2420</v>
      </c>
      <c r="V27" s="8" t="s">
        <v>2421</v>
      </c>
      <c r="W27" s="8" t="s">
        <v>2422</v>
      </c>
      <c r="X27" s="8" t="s">
        <v>435</v>
      </c>
      <c r="Y27" s="8" t="s">
        <v>2423</v>
      </c>
      <c r="Z27" s="8" t="s">
        <v>2419</v>
      </c>
      <c r="AA27" s="8" t="s">
        <v>2420</v>
      </c>
      <c r="AB27" s="8" t="s">
        <v>2421</v>
      </c>
      <c r="AC27" s="8" t="s">
        <v>2422</v>
      </c>
      <c r="AD27" s="8" t="s">
        <v>435</v>
      </c>
      <c r="AE27" s="8" t="s">
        <v>2423</v>
      </c>
      <c r="AF27" s="8" t="s">
        <v>2185</v>
      </c>
      <c r="AG27" s="8" t="s">
        <v>2186</v>
      </c>
      <c r="AH27">
        <v>2335756.83</v>
      </c>
      <c r="AI27" s="8" t="s">
        <v>2419</v>
      </c>
      <c r="AJ27" s="8" t="s">
        <v>2420</v>
      </c>
      <c r="AK27" s="8" t="s">
        <v>2421</v>
      </c>
      <c r="AL27" s="8" t="s">
        <v>2422</v>
      </c>
      <c r="AM27" s="8" t="s">
        <v>435</v>
      </c>
      <c r="AN27" s="8" t="s">
        <v>2423</v>
      </c>
      <c r="AO27" s="8" t="s">
        <v>2185</v>
      </c>
      <c r="AP27" s="8" t="s">
        <v>2186</v>
      </c>
      <c r="AQ27" s="8" t="s">
        <v>2186</v>
      </c>
      <c r="AR27" s="8" t="s">
        <v>124</v>
      </c>
      <c r="AS27" s="8" t="s">
        <v>125</v>
      </c>
      <c r="AT27">
        <v>2</v>
      </c>
      <c r="AU27" s="8" t="s">
        <v>126</v>
      </c>
      <c r="AV27" s="8" t="s">
        <v>127</v>
      </c>
      <c r="AW27" s="8" t="s">
        <v>2424</v>
      </c>
      <c r="AX27">
        <v>1</v>
      </c>
      <c r="AY27" s="8" t="s">
        <v>2425</v>
      </c>
      <c r="AZ27">
        <v>532800</v>
      </c>
      <c r="BA27">
        <v>1994515</v>
      </c>
      <c r="BB27">
        <v>33399.160000000003</v>
      </c>
      <c r="BC27">
        <v>37.434600000000003</v>
      </c>
      <c r="BD27" s="8" t="s">
        <v>130</v>
      </c>
      <c r="BE27" s="8" t="s">
        <v>145</v>
      </c>
      <c r="BF27" s="8" t="s">
        <v>112</v>
      </c>
      <c r="BG27" s="8" t="s">
        <v>133</v>
      </c>
      <c r="BH27" s="8" t="s">
        <v>167</v>
      </c>
      <c r="BI27" s="8" t="s">
        <v>2426</v>
      </c>
      <c r="BJ27" s="8" t="s">
        <v>112</v>
      </c>
      <c r="BK27" s="8" t="s">
        <v>112</v>
      </c>
      <c r="BL27" s="8" t="s">
        <v>2427</v>
      </c>
      <c r="BM27" s="8" t="s">
        <v>2428</v>
      </c>
      <c r="BN27" s="8" t="s">
        <v>2429</v>
      </c>
      <c r="BO27" s="8" t="s">
        <v>2430</v>
      </c>
      <c r="BP27">
        <v>1</v>
      </c>
      <c r="BQ27" s="8" t="s">
        <v>2431</v>
      </c>
      <c r="BR27" s="45">
        <f>ISNUMBER(SEARCH($BR$1,Таблица1[[#This Row],[31_1 Описание и характеристика товара]]))*1</f>
        <v>0</v>
      </c>
      <c r="BT27" s="8" t="s">
        <v>2432</v>
      </c>
      <c r="BU27">
        <v>3</v>
      </c>
      <c r="BV27">
        <v>0</v>
      </c>
      <c r="BW27">
        <v>3</v>
      </c>
      <c r="BX27" t="s">
        <v>2147</v>
      </c>
      <c r="BY27">
        <v>0</v>
      </c>
      <c r="CA27" s="8" t="s">
        <v>106</v>
      </c>
      <c r="CB27" s="8" t="s">
        <v>2148</v>
      </c>
      <c r="CC27" s="8" t="s">
        <v>112</v>
      </c>
      <c r="CD27" s="8" t="s">
        <v>112</v>
      </c>
      <c r="CE27" s="8" t="s">
        <v>2185</v>
      </c>
      <c r="CF27">
        <v>1875</v>
      </c>
      <c r="CG27" t="s">
        <v>144</v>
      </c>
      <c r="CH27">
        <v>4000064</v>
      </c>
      <c r="CI27">
        <v>1410</v>
      </c>
      <c r="CJ27">
        <v>0</v>
      </c>
      <c r="CK27" s="8" t="s">
        <v>112</v>
      </c>
      <c r="CL27" s="8" t="s">
        <v>112</v>
      </c>
      <c r="CM27">
        <v>532800</v>
      </c>
      <c r="CN27">
        <v>1994515</v>
      </c>
      <c r="CO27">
        <v>0</v>
      </c>
      <c r="CP27">
        <v>1</v>
      </c>
      <c r="CQ27">
        <v>2335756.83</v>
      </c>
      <c r="CR27">
        <v>33399.160000000003</v>
      </c>
      <c r="CS27" s="8" t="s">
        <v>145</v>
      </c>
      <c r="CT27">
        <v>23.6873</v>
      </c>
      <c r="CU27">
        <v>1446</v>
      </c>
      <c r="CV27" t="s">
        <v>2433</v>
      </c>
      <c r="CX27" t="s">
        <v>2434</v>
      </c>
      <c r="CY27">
        <v>44</v>
      </c>
    </row>
    <row r="28" spans="1:103" x14ac:dyDescent="0.25">
      <c r="A28" s="8" t="s">
        <v>106</v>
      </c>
      <c r="B28" s="38">
        <v>44574</v>
      </c>
      <c r="C28" s="43">
        <f>IF(YEAR(Таблица1[[#This Row],[Дата]])=2023,MONTH(Таблица1[[#This Row],[Дата]]),0)</f>
        <v>0</v>
      </c>
      <c r="D28" s="8" t="s">
        <v>2525</v>
      </c>
      <c r="E28" s="8" t="s">
        <v>427</v>
      </c>
      <c r="F28" s="8" t="s">
        <v>2526</v>
      </c>
      <c r="G28" t="s">
        <v>110</v>
      </c>
      <c r="H28" s="8" t="s">
        <v>111</v>
      </c>
      <c r="I28" s="8" t="s">
        <v>112</v>
      </c>
      <c r="J28" s="8" t="s">
        <v>112</v>
      </c>
      <c r="K28" s="8" t="s">
        <v>112</v>
      </c>
      <c r="L28" s="8" t="s">
        <v>2527</v>
      </c>
      <c r="M28" s="8" t="s">
        <v>2528</v>
      </c>
      <c r="N28" s="8" t="s">
        <v>112</v>
      </c>
      <c r="O28" s="8" t="s">
        <v>112</v>
      </c>
      <c r="P28">
        <v>2</v>
      </c>
      <c r="R28">
        <v>2</v>
      </c>
      <c r="S28">
        <v>535</v>
      </c>
      <c r="T28" s="8" t="s">
        <v>2529</v>
      </c>
      <c r="U28" s="8" t="s">
        <v>2530</v>
      </c>
      <c r="V28" s="8" t="s">
        <v>2531</v>
      </c>
      <c r="W28" s="8" t="s">
        <v>2532</v>
      </c>
      <c r="X28" s="8" t="s">
        <v>435</v>
      </c>
      <c r="Y28" s="8" t="s">
        <v>2533</v>
      </c>
      <c r="Z28" s="8" t="s">
        <v>2373</v>
      </c>
      <c r="AA28" s="8" t="s">
        <v>2374</v>
      </c>
      <c r="AB28" s="8" t="s">
        <v>2375</v>
      </c>
      <c r="AC28" s="8" t="s">
        <v>2376</v>
      </c>
      <c r="AD28" s="8" t="s">
        <v>2316</v>
      </c>
      <c r="AE28" s="8" t="s">
        <v>2377</v>
      </c>
      <c r="AF28" s="8" t="s">
        <v>2142</v>
      </c>
      <c r="AG28" s="8" t="s">
        <v>2143</v>
      </c>
      <c r="AH28">
        <v>7766209.3899999904</v>
      </c>
      <c r="AI28" s="8" t="s">
        <v>2373</v>
      </c>
      <c r="AJ28" s="8" t="s">
        <v>2374</v>
      </c>
      <c r="AK28" s="8" t="s">
        <v>2375</v>
      </c>
      <c r="AL28" s="8" t="s">
        <v>2376</v>
      </c>
      <c r="AM28" s="8" t="s">
        <v>2316</v>
      </c>
      <c r="AN28" s="8" t="s">
        <v>2377</v>
      </c>
      <c r="AO28" s="8" t="s">
        <v>2142</v>
      </c>
      <c r="AP28" s="8" t="s">
        <v>2143</v>
      </c>
      <c r="AQ28" s="8" t="s">
        <v>2143</v>
      </c>
      <c r="AR28" s="8" t="s">
        <v>124</v>
      </c>
      <c r="AS28" s="8" t="s">
        <v>125</v>
      </c>
      <c r="AT28">
        <v>1</v>
      </c>
      <c r="AU28" s="8" t="s">
        <v>106</v>
      </c>
      <c r="AV28" s="8" t="s">
        <v>155</v>
      </c>
      <c r="AW28" s="8" t="s">
        <v>2534</v>
      </c>
      <c r="AY28" s="8" t="s">
        <v>2253</v>
      </c>
      <c r="AZ28">
        <v>770914.75</v>
      </c>
      <c r="BA28">
        <v>7503575</v>
      </c>
      <c r="BB28">
        <v>113084.77</v>
      </c>
      <c r="BC28">
        <v>97.588399999999893</v>
      </c>
      <c r="BD28" s="8" t="s">
        <v>130</v>
      </c>
      <c r="BE28" s="8" t="s">
        <v>145</v>
      </c>
      <c r="BF28" s="8" t="s">
        <v>2535</v>
      </c>
      <c r="BG28" s="8" t="s">
        <v>133</v>
      </c>
      <c r="BH28" s="8" t="s">
        <v>2294</v>
      </c>
      <c r="BI28" s="8" t="s">
        <v>112</v>
      </c>
      <c r="BJ28" s="8" t="s">
        <v>2536</v>
      </c>
      <c r="BK28" s="8" t="s">
        <v>112</v>
      </c>
      <c r="BL28" s="8" t="s">
        <v>2537</v>
      </c>
      <c r="BM28" s="8" t="s">
        <v>2538</v>
      </c>
      <c r="BN28" s="8" t="s">
        <v>2539</v>
      </c>
      <c r="BO28" s="8" t="s">
        <v>2540</v>
      </c>
      <c r="BP28">
        <v>1</v>
      </c>
      <c r="BQ28" s="8" t="s">
        <v>2541</v>
      </c>
      <c r="BR28" s="45">
        <f>ISNUMBER(SEARCH($BR$1,Таблица1[[#This Row],[31_1 Описание и характеристика товара]]))*1</f>
        <v>0</v>
      </c>
      <c r="BT28" s="8" t="s">
        <v>2542</v>
      </c>
      <c r="BU28">
        <v>485</v>
      </c>
      <c r="BV28">
        <v>1</v>
      </c>
      <c r="BW28">
        <v>485</v>
      </c>
      <c r="BX28" t="s">
        <v>2147</v>
      </c>
      <c r="CA28" s="8" t="s">
        <v>106</v>
      </c>
      <c r="CB28" s="8" t="s">
        <v>2148</v>
      </c>
      <c r="CC28" s="8" t="s">
        <v>112</v>
      </c>
      <c r="CD28" s="8" t="s">
        <v>112</v>
      </c>
      <c r="CE28" s="8" t="s">
        <v>2142</v>
      </c>
      <c r="CF28">
        <v>10427.5</v>
      </c>
      <c r="CG28" t="s">
        <v>144</v>
      </c>
      <c r="CH28">
        <v>4000000</v>
      </c>
      <c r="CI28">
        <v>10427.5</v>
      </c>
      <c r="CK28" s="8" t="s">
        <v>112</v>
      </c>
      <c r="CL28" s="8" t="s">
        <v>112</v>
      </c>
      <c r="CM28">
        <v>697114.75</v>
      </c>
      <c r="CN28">
        <v>6785255</v>
      </c>
      <c r="CO28">
        <v>0</v>
      </c>
      <c r="CP28">
        <v>1</v>
      </c>
      <c r="CQ28">
        <v>7030117.4299999904</v>
      </c>
      <c r="CR28">
        <v>102366.44</v>
      </c>
      <c r="CS28" s="8" t="s">
        <v>145</v>
      </c>
      <c r="CT28">
        <v>9.8170000000000002</v>
      </c>
      <c r="CU28">
        <v>1075</v>
      </c>
      <c r="CV28" t="s">
        <v>2385</v>
      </c>
      <c r="CX28" t="s">
        <v>2543</v>
      </c>
      <c r="CY28">
        <v>82</v>
      </c>
    </row>
    <row r="29" spans="1:103" x14ac:dyDescent="0.25">
      <c r="A29" s="8" t="s">
        <v>106</v>
      </c>
      <c r="B29" s="38">
        <v>45229</v>
      </c>
      <c r="C29" s="43">
        <f>IF(YEAR(Таблица1[[#This Row],[Дата]])=2023,MONTH(Таблица1[[#This Row],[Дата]]),0)</f>
        <v>10</v>
      </c>
      <c r="D29" s="8" t="s">
        <v>2610</v>
      </c>
      <c r="E29" s="8" t="s">
        <v>427</v>
      </c>
      <c r="F29" s="8" t="s">
        <v>2611</v>
      </c>
      <c r="G29" t="s">
        <v>110</v>
      </c>
      <c r="H29" s="8" t="s">
        <v>111</v>
      </c>
      <c r="I29" s="8" t="s">
        <v>112</v>
      </c>
      <c r="J29" s="8" t="s">
        <v>112</v>
      </c>
      <c r="K29" s="8" t="s">
        <v>112</v>
      </c>
      <c r="L29" s="8" t="s">
        <v>2612</v>
      </c>
      <c r="M29" s="8" t="s">
        <v>2613</v>
      </c>
      <c r="N29" s="8" t="s">
        <v>112</v>
      </c>
      <c r="O29" s="8" t="s">
        <v>112</v>
      </c>
      <c r="P29">
        <v>1</v>
      </c>
      <c r="Q29">
        <v>0</v>
      </c>
      <c r="R29">
        <v>1</v>
      </c>
      <c r="S29">
        <v>667</v>
      </c>
      <c r="T29" s="8" t="s">
        <v>2312</v>
      </c>
      <c r="U29" s="8" t="s">
        <v>2313</v>
      </c>
      <c r="V29" s="8" t="s">
        <v>2314</v>
      </c>
      <c r="W29" s="8" t="s">
        <v>2315</v>
      </c>
      <c r="X29" s="8" t="s">
        <v>2316</v>
      </c>
      <c r="Y29" s="8" t="s">
        <v>2317</v>
      </c>
      <c r="Z29" s="8" t="s">
        <v>2312</v>
      </c>
      <c r="AA29" s="8" t="s">
        <v>2313</v>
      </c>
      <c r="AB29" s="8" t="s">
        <v>2314</v>
      </c>
      <c r="AC29" s="8" t="s">
        <v>2315</v>
      </c>
      <c r="AD29" s="8" t="s">
        <v>2316</v>
      </c>
      <c r="AE29" s="8" t="s">
        <v>2317</v>
      </c>
      <c r="AF29" s="8" t="s">
        <v>2163</v>
      </c>
      <c r="AG29" s="8" t="s">
        <v>2164</v>
      </c>
      <c r="AH29">
        <v>15296818.1199999</v>
      </c>
      <c r="AI29" s="8" t="s">
        <v>2312</v>
      </c>
      <c r="AJ29" s="8" t="s">
        <v>2313</v>
      </c>
      <c r="AK29" s="8" t="s">
        <v>2314</v>
      </c>
      <c r="AL29" s="8" t="s">
        <v>2315</v>
      </c>
      <c r="AM29" s="8" t="s">
        <v>2316</v>
      </c>
      <c r="AN29" s="8" t="s">
        <v>2317</v>
      </c>
      <c r="AO29" s="8" t="s">
        <v>2163</v>
      </c>
      <c r="AP29" s="8" t="s">
        <v>2164</v>
      </c>
      <c r="AQ29" s="8" t="s">
        <v>2164</v>
      </c>
      <c r="AR29" s="8" t="s">
        <v>124</v>
      </c>
      <c r="AS29" s="8" t="s">
        <v>125</v>
      </c>
      <c r="AT29">
        <v>2</v>
      </c>
      <c r="AU29" s="8" t="s">
        <v>126</v>
      </c>
      <c r="AV29" s="8" t="s">
        <v>2318</v>
      </c>
      <c r="AW29" s="8" t="s">
        <v>2227</v>
      </c>
      <c r="AX29">
        <v>1</v>
      </c>
      <c r="AY29" s="8" t="s">
        <v>129</v>
      </c>
      <c r="AZ29">
        <v>209428.69</v>
      </c>
      <c r="BA29">
        <v>15296818</v>
      </c>
      <c r="BB29">
        <v>222738.92</v>
      </c>
      <c r="BC29">
        <v>73.040700000000001</v>
      </c>
      <c r="BD29" s="8" t="s">
        <v>130</v>
      </c>
      <c r="BE29" s="8" t="s">
        <v>112</v>
      </c>
      <c r="BF29" s="8" t="s">
        <v>2319</v>
      </c>
      <c r="BG29" s="8" t="s">
        <v>133</v>
      </c>
      <c r="BH29" s="8" t="s">
        <v>134</v>
      </c>
      <c r="BI29" s="8" t="s">
        <v>112</v>
      </c>
      <c r="BJ29" s="8" t="s">
        <v>2320</v>
      </c>
      <c r="BK29" s="8" t="s">
        <v>112</v>
      </c>
      <c r="BL29" s="8" t="s">
        <v>2321</v>
      </c>
      <c r="BM29" s="8" t="s">
        <v>2322</v>
      </c>
      <c r="BN29" s="8" t="s">
        <v>2323</v>
      </c>
      <c r="BO29" s="8" t="s">
        <v>2324</v>
      </c>
      <c r="BP29">
        <v>1</v>
      </c>
      <c r="BQ29" s="8" t="s">
        <v>2325</v>
      </c>
      <c r="BR29" s="45">
        <f>ISNUMBER(SEARCH($BR$1,Таблица1[[#This Row],[31_1 Описание и характеристика товара]]))*1</f>
        <v>0</v>
      </c>
      <c r="BT29" s="8" t="s">
        <v>2326</v>
      </c>
      <c r="BU29">
        <v>667</v>
      </c>
      <c r="BV29">
        <v>0</v>
      </c>
      <c r="BW29">
        <v>667</v>
      </c>
      <c r="BX29" t="s">
        <v>2147</v>
      </c>
      <c r="BY29">
        <v>0</v>
      </c>
      <c r="CA29" s="8" t="s">
        <v>106</v>
      </c>
      <c r="CB29" s="8" t="s">
        <v>2148</v>
      </c>
      <c r="CC29" s="8" t="s">
        <v>112</v>
      </c>
      <c r="CD29" s="8" t="s">
        <v>112</v>
      </c>
      <c r="CE29" s="8" t="s">
        <v>2163</v>
      </c>
      <c r="CF29">
        <v>19944.8</v>
      </c>
      <c r="CG29" t="s">
        <v>144</v>
      </c>
      <c r="CH29">
        <v>4000000</v>
      </c>
      <c r="CI29">
        <v>19944.8</v>
      </c>
      <c r="CJ29">
        <v>0</v>
      </c>
      <c r="CK29" s="8" t="s">
        <v>112</v>
      </c>
      <c r="CL29" s="8" t="s">
        <v>112</v>
      </c>
      <c r="CM29">
        <v>209428.69</v>
      </c>
      <c r="CN29">
        <v>15296818</v>
      </c>
      <c r="CO29">
        <v>0</v>
      </c>
      <c r="CP29">
        <v>1</v>
      </c>
      <c r="CQ29">
        <v>15296818.1199999</v>
      </c>
      <c r="CR29">
        <v>222738.92</v>
      </c>
      <c r="CS29" s="8" t="s">
        <v>145</v>
      </c>
      <c r="CT29">
        <v>11.1678</v>
      </c>
      <c r="CU29">
        <v>53</v>
      </c>
      <c r="CV29" t="s">
        <v>2327</v>
      </c>
      <c r="CX29" t="s">
        <v>2328</v>
      </c>
      <c r="CY29">
        <v>0</v>
      </c>
    </row>
    <row r="30" spans="1:103" x14ac:dyDescent="0.25">
      <c r="A30" s="8" t="s">
        <v>126</v>
      </c>
      <c r="B30" s="38">
        <v>45135</v>
      </c>
      <c r="C30" s="43">
        <f>IF(YEAR(Таблица1[[#This Row],[Дата]])=2023,MONTH(Таблица1[[#This Row],[Дата]]),0)</f>
        <v>7</v>
      </c>
      <c r="D30" s="8" t="s">
        <v>2706</v>
      </c>
      <c r="E30" s="8" t="s">
        <v>427</v>
      </c>
      <c r="F30" s="8" t="s">
        <v>2707</v>
      </c>
      <c r="G30" t="s">
        <v>110</v>
      </c>
      <c r="H30" s="8" t="s">
        <v>111</v>
      </c>
      <c r="I30" s="8" t="s">
        <v>112</v>
      </c>
      <c r="J30" s="8" t="s">
        <v>112</v>
      </c>
      <c r="K30" s="8" t="s">
        <v>112</v>
      </c>
      <c r="L30" s="8" t="s">
        <v>2527</v>
      </c>
      <c r="M30" s="8" t="s">
        <v>2528</v>
      </c>
      <c r="N30" s="8" t="s">
        <v>112</v>
      </c>
      <c r="O30" s="8" t="s">
        <v>112</v>
      </c>
      <c r="P30">
        <v>2</v>
      </c>
      <c r="Q30">
        <v>0</v>
      </c>
      <c r="R30">
        <v>2</v>
      </c>
      <c r="S30">
        <v>535</v>
      </c>
      <c r="T30" s="8" t="s">
        <v>2529</v>
      </c>
      <c r="U30" s="8" t="s">
        <v>2530</v>
      </c>
      <c r="V30" s="8" t="s">
        <v>2531</v>
      </c>
      <c r="W30" s="8" t="s">
        <v>2532</v>
      </c>
      <c r="X30" s="8" t="s">
        <v>435</v>
      </c>
      <c r="Y30" s="8" t="s">
        <v>2533</v>
      </c>
      <c r="Z30" s="8" t="s">
        <v>2373</v>
      </c>
      <c r="AA30" s="8" t="s">
        <v>2374</v>
      </c>
      <c r="AB30" s="8" t="s">
        <v>2375</v>
      </c>
      <c r="AC30" s="8" t="s">
        <v>2376</v>
      </c>
      <c r="AD30" s="8" t="s">
        <v>2316</v>
      </c>
      <c r="AE30" s="8" t="s">
        <v>2377</v>
      </c>
      <c r="AF30" s="8" t="s">
        <v>2142</v>
      </c>
      <c r="AG30" s="8" t="s">
        <v>2143</v>
      </c>
      <c r="AH30">
        <v>7766209.3899999904</v>
      </c>
      <c r="AI30" s="8" t="s">
        <v>2373</v>
      </c>
      <c r="AJ30" s="8" t="s">
        <v>2374</v>
      </c>
      <c r="AK30" s="8" t="s">
        <v>2375</v>
      </c>
      <c r="AL30" s="8" t="s">
        <v>2376</v>
      </c>
      <c r="AM30" s="8" t="s">
        <v>2316</v>
      </c>
      <c r="AN30" s="8" t="s">
        <v>2377</v>
      </c>
      <c r="AO30" s="8" t="s">
        <v>2142</v>
      </c>
      <c r="AP30" s="8" t="s">
        <v>2143</v>
      </c>
      <c r="AQ30" s="8" t="s">
        <v>2143</v>
      </c>
      <c r="AR30" s="8" t="s">
        <v>124</v>
      </c>
      <c r="AS30" s="8" t="s">
        <v>125</v>
      </c>
      <c r="AT30">
        <v>1</v>
      </c>
      <c r="AU30" s="8" t="s">
        <v>106</v>
      </c>
      <c r="AV30" s="8" t="s">
        <v>155</v>
      </c>
      <c r="AW30" s="8" t="s">
        <v>2534</v>
      </c>
      <c r="AX30">
        <v>0</v>
      </c>
      <c r="AY30" s="8" t="s">
        <v>2253</v>
      </c>
      <c r="AZ30">
        <v>770914.75</v>
      </c>
      <c r="BA30">
        <v>7523234</v>
      </c>
      <c r="BB30">
        <v>113084.77</v>
      </c>
      <c r="BC30">
        <v>97.588399999999893</v>
      </c>
      <c r="BD30" s="8" t="s">
        <v>130</v>
      </c>
      <c r="BE30" s="8" t="s">
        <v>145</v>
      </c>
      <c r="BF30" s="8" t="s">
        <v>2535</v>
      </c>
      <c r="BG30" s="8" t="s">
        <v>133</v>
      </c>
      <c r="BH30" s="8" t="s">
        <v>2294</v>
      </c>
      <c r="BI30" s="8" t="s">
        <v>112</v>
      </c>
      <c r="BJ30" s="8" t="s">
        <v>2536</v>
      </c>
      <c r="BK30" s="8" t="s">
        <v>112</v>
      </c>
      <c r="BL30" s="8" t="s">
        <v>2537</v>
      </c>
      <c r="BM30" s="8" t="s">
        <v>2538</v>
      </c>
      <c r="BN30" s="8" t="s">
        <v>2539</v>
      </c>
      <c r="BO30" s="8" t="s">
        <v>2540</v>
      </c>
      <c r="BP30">
        <v>1</v>
      </c>
      <c r="BQ30" s="8" t="s">
        <v>2541</v>
      </c>
      <c r="BR30" s="45">
        <f>ISNUMBER(SEARCH($BR$1,Таблица1[[#This Row],[31_1 Описание и характеристика товара]]))*1</f>
        <v>0</v>
      </c>
      <c r="BT30" s="8" t="s">
        <v>2542</v>
      </c>
      <c r="BU30">
        <v>485</v>
      </c>
      <c r="BV30">
        <v>1</v>
      </c>
      <c r="BW30">
        <v>485</v>
      </c>
      <c r="BX30" t="s">
        <v>2147</v>
      </c>
      <c r="BY30">
        <v>0</v>
      </c>
      <c r="CA30" s="8" t="s">
        <v>106</v>
      </c>
      <c r="CB30" s="8" t="s">
        <v>2148</v>
      </c>
      <c r="CC30" s="8" t="s">
        <v>112</v>
      </c>
      <c r="CD30" s="8" t="s">
        <v>112</v>
      </c>
      <c r="CE30" s="8" t="s">
        <v>2142</v>
      </c>
      <c r="CF30">
        <v>10427.5</v>
      </c>
      <c r="CG30" t="s">
        <v>144</v>
      </c>
      <c r="CH30">
        <v>4000000</v>
      </c>
      <c r="CI30">
        <v>10427.5</v>
      </c>
      <c r="CJ30">
        <v>0</v>
      </c>
      <c r="CK30" s="8" t="s">
        <v>112</v>
      </c>
      <c r="CL30" s="8" t="s">
        <v>112</v>
      </c>
      <c r="CM30">
        <v>697114.75</v>
      </c>
      <c r="CN30">
        <v>7152397</v>
      </c>
      <c r="CP30">
        <v>1</v>
      </c>
      <c r="CQ30">
        <v>7030117.4299999904</v>
      </c>
      <c r="CR30">
        <v>102366.44</v>
      </c>
      <c r="CS30" s="8" t="s">
        <v>2708</v>
      </c>
      <c r="CT30">
        <v>9.8170000000000002</v>
      </c>
      <c r="CU30">
        <v>1075</v>
      </c>
      <c r="CV30" t="s">
        <v>2385</v>
      </c>
      <c r="CX30" t="s">
        <v>2543</v>
      </c>
      <c r="CY30">
        <v>175</v>
      </c>
    </row>
    <row r="31" spans="1:103" x14ac:dyDescent="0.25">
      <c r="A31" s="8" t="s">
        <v>106</v>
      </c>
      <c r="B31" s="38">
        <v>45003</v>
      </c>
      <c r="C31" s="43">
        <f>IF(YEAR(Таблица1[[#This Row],[Дата]])=2023,MONTH(Таблица1[[#This Row],[Дата]]),0)</f>
        <v>3</v>
      </c>
      <c r="D31" s="8" t="s">
        <v>2820</v>
      </c>
      <c r="E31" s="8" t="s">
        <v>427</v>
      </c>
      <c r="F31" s="8" t="s">
        <v>2821</v>
      </c>
      <c r="G31" t="s">
        <v>110</v>
      </c>
      <c r="H31" s="8" t="s">
        <v>111</v>
      </c>
      <c r="I31" s="8" t="s">
        <v>112</v>
      </c>
      <c r="J31" s="8" t="s">
        <v>112</v>
      </c>
      <c r="K31" s="8" t="s">
        <v>112</v>
      </c>
      <c r="L31" s="8" t="s">
        <v>2310</v>
      </c>
      <c r="M31" s="8" t="s">
        <v>2311</v>
      </c>
      <c r="N31" s="8" t="s">
        <v>112</v>
      </c>
      <c r="O31" s="8" t="s">
        <v>112</v>
      </c>
      <c r="P31">
        <v>2</v>
      </c>
      <c r="Q31">
        <v>0</v>
      </c>
      <c r="R31">
        <v>2</v>
      </c>
      <c r="S31">
        <v>602</v>
      </c>
      <c r="T31" s="8" t="s">
        <v>2312</v>
      </c>
      <c r="U31" s="8" t="s">
        <v>2313</v>
      </c>
      <c r="V31" s="8" t="s">
        <v>2314</v>
      </c>
      <c r="W31" s="8" t="s">
        <v>2315</v>
      </c>
      <c r="X31" s="8" t="s">
        <v>2316</v>
      </c>
      <c r="Y31" s="8" t="s">
        <v>2317</v>
      </c>
      <c r="Z31" s="8" t="s">
        <v>2312</v>
      </c>
      <c r="AA31" s="8" t="s">
        <v>2313</v>
      </c>
      <c r="AB31" s="8" t="s">
        <v>2314</v>
      </c>
      <c r="AC31" s="8" t="s">
        <v>2315</v>
      </c>
      <c r="AD31" s="8" t="s">
        <v>2316</v>
      </c>
      <c r="AE31" s="8" t="s">
        <v>2317</v>
      </c>
      <c r="AF31" s="8" t="s">
        <v>2163</v>
      </c>
      <c r="AG31" s="8" t="s">
        <v>2164</v>
      </c>
      <c r="AH31">
        <v>15865610.02</v>
      </c>
      <c r="AI31" s="8" t="s">
        <v>2312</v>
      </c>
      <c r="AJ31" s="8" t="s">
        <v>2313</v>
      </c>
      <c r="AK31" s="8" t="s">
        <v>2314</v>
      </c>
      <c r="AL31" s="8" t="s">
        <v>2315</v>
      </c>
      <c r="AM31" s="8" t="s">
        <v>2316</v>
      </c>
      <c r="AN31" s="8" t="s">
        <v>2317</v>
      </c>
      <c r="AO31" s="8" t="s">
        <v>2163</v>
      </c>
      <c r="AP31" s="8" t="s">
        <v>2164</v>
      </c>
      <c r="AQ31" s="8" t="s">
        <v>2164</v>
      </c>
      <c r="AR31" s="8" t="s">
        <v>124</v>
      </c>
      <c r="AS31" s="8" t="s">
        <v>125</v>
      </c>
      <c r="AT31">
        <v>2</v>
      </c>
      <c r="AU31" s="8" t="s">
        <v>126</v>
      </c>
      <c r="AV31" s="8" t="s">
        <v>2318</v>
      </c>
      <c r="AW31" s="8" t="s">
        <v>2227</v>
      </c>
      <c r="AX31">
        <v>1</v>
      </c>
      <c r="AY31" s="8" t="s">
        <v>129</v>
      </c>
      <c r="AZ31">
        <v>207002.32</v>
      </c>
      <c r="BA31">
        <v>15865610</v>
      </c>
      <c r="BB31">
        <v>219956.72</v>
      </c>
      <c r="BC31">
        <v>76.644599999999897</v>
      </c>
      <c r="BD31" s="8" t="s">
        <v>130</v>
      </c>
      <c r="BE31" s="8" t="s">
        <v>112</v>
      </c>
      <c r="BF31" s="8" t="s">
        <v>2319</v>
      </c>
      <c r="BG31" s="8" t="s">
        <v>133</v>
      </c>
      <c r="BH31" s="8" t="s">
        <v>134</v>
      </c>
      <c r="BI31" s="8" t="s">
        <v>112</v>
      </c>
      <c r="BJ31" s="8" t="s">
        <v>2320</v>
      </c>
      <c r="BK31" s="8" t="s">
        <v>112</v>
      </c>
      <c r="BL31" s="8" t="s">
        <v>2321</v>
      </c>
      <c r="BM31" s="8" t="s">
        <v>2322</v>
      </c>
      <c r="BN31" s="8" t="s">
        <v>2323</v>
      </c>
      <c r="BO31" s="8" t="s">
        <v>2324</v>
      </c>
      <c r="BP31">
        <v>1</v>
      </c>
      <c r="BQ31" s="8" t="s">
        <v>2325</v>
      </c>
      <c r="BR31" s="45">
        <f>ISNUMBER(SEARCH($BR$1,Таблица1[[#This Row],[31_1 Описание и характеристика товара]]))*1</f>
        <v>0</v>
      </c>
      <c r="BT31" s="8" t="s">
        <v>2326</v>
      </c>
      <c r="BU31">
        <v>600</v>
      </c>
      <c r="BV31">
        <v>0</v>
      </c>
      <c r="BW31">
        <v>600</v>
      </c>
      <c r="BX31" t="s">
        <v>2147</v>
      </c>
      <c r="BY31">
        <v>0</v>
      </c>
      <c r="CA31" s="8" t="s">
        <v>106</v>
      </c>
      <c r="CB31" s="8" t="s">
        <v>2148</v>
      </c>
      <c r="CC31" s="8" t="s">
        <v>112</v>
      </c>
      <c r="CD31" s="8" t="s">
        <v>112</v>
      </c>
      <c r="CE31" s="8" t="s">
        <v>2163</v>
      </c>
      <c r="CF31">
        <v>18609.2</v>
      </c>
      <c r="CG31" t="s">
        <v>144</v>
      </c>
      <c r="CH31">
        <v>4000000</v>
      </c>
      <c r="CI31">
        <v>18609.2</v>
      </c>
      <c r="CJ31">
        <v>0</v>
      </c>
      <c r="CK31" s="8" t="s">
        <v>112</v>
      </c>
      <c r="CL31" s="8" t="s">
        <v>112</v>
      </c>
      <c r="CM31">
        <v>203660.87</v>
      </c>
      <c r="CN31">
        <v>15609506</v>
      </c>
      <c r="CO31">
        <v>0</v>
      </c>
      <c r="CP31">
        <v>1</v>
      </c>
      <c r="CQ31">
        <v>15609505.92</v>
      </c>
      <c r="CR31">
        <v>216406.16</v>
      </c>
      <c r="CS31" s="8" t="s">
        <v>145</v>
      </c>
      <c r="CT31">
        <v>11.629</v>
      </c>
      <c r="CU31">
        <v>53</v>
      </c>
      <c r="CV31" t="s">
        <v>2327</v>
      </c>
      <c r="CX31" t="s">
        <v>2328</v>
      </c>
      <c r="CY31">
        <v>0</v>
      </c>
    </row>
    <row r="32" spans="1:103" x14ac:dyDescent="0.25">
      <c r="A32" s="8" t="s">
        <v>106</v>
      </c>
      <c r="B32" s="38">
        <v>45282</v>
      </c>
      <c r="C32" s="43">
        <f>IF(YEAR(Таблица1[[#This Row],[Дата]])=2023,MONTH(Таблица1[[#This Row],[Дата]]),0)</f>
        <v>12</v>
      </c>
      <c r="D32" s="8" t="s">
        <v>2911</v>
      </c>
      <c r="E32" s="8" t="s">
        <v>427</v>
      </c>
      <c r="F32" s="8" t="s">
        <v>2912</v>
      </c>
      <c r="G32" t="s">
        <v>110</v>
      </c>
      <c r="H32" s="8" t="s">
        <v>111</v>
      </c>
      <c r="I32" s="8" t="s">
        <v>112</v>
      </c>
      <c r="J32" s="8" t="s">
        <v>112</v>
      </c>
      <c r="K32" s="8" t="s">
        <v>112</v>
      </c>
      <c r="L32" s="8" t="s">
        <v>2369</v>
      </c>
      <c r="M32" s="8" t="s">
        <v>2370</v>
      </c>
      <c r="N32" s="8" t="s">
        <v>112</v>
      </c>
      <c r="O32" s="8" t="s">
        <v>112</v>
      </c>
      <c r="P32">
        <v>1</v>
      </c>
      <c r="Q32">
        <v>0</v>
      </c>
      <c r="R32">
        <v>1</v>
      </c>
      <c r="S32">
        <v>672</v>
      </c>
      <c r="T32" s="8" t="s">
        <v>2529</v>
      </c>
      <c r="U32" s="8" t="s">
        <v>2530</v>
      </c>
      <c r="V32" s="8" t="s">
        <v>2913</v>
      </c>
      <c r="W32" s="8" t="s">
        <v>2532</v>
      </c>
      <c r="X32" s="8" t="s">
        <v>435</v>
      </c>
      <c r="Y32" s="8" t="s">
        <v>2533</v>
      </c>
      <c r="Z32" s="8" t="s">
        <v>2373</v>
      </c>
      <c r="AA32" s="8" t="s">
        <v>2374</v>
      </c>
      <c r="AB32" s="8" t="s">
        <v>2375</v>
      </c>
      <c r="AC32" s="8" t="s">
        <v>2376</v>
      </c>
      <c r="AD32" s="8" t="s">
        <v>2316</v>
      </c>
      <c r="AE32" s="8" t="s">
        <v>2377</v>
      </c>
      <c r="AF32" s="8" t="s">
        <v>2142</v>
      </c>
      <c r="AG32" s="8" t="s">
        <v>2143</v>
      </c>
      <c r="AH32">
        <v>8392053.2699999902</v>
      </c>
      <c r="AI32" s="8" t="s">
        <v>2373</v>
      </c>
      <c r="AJ32" s="8" t="s">
        <v>2374</v>
      </c>
      <c r="AK32" s="8" t="s">
        <v>2375</v>
      </c>
      <c r="AL32" s="8" t="s">
        <v>2376</v>
      </c>
      <c r="AM32" s="8" t="s">
        <v>2316</v>
      </c>
      <c r="AN32" s="8" t="s">
        <v>2377</v>
      </c>
      <c r="AO32" s="8" t="s">
        <v>2142</v>
      </c>
      <c r="AP32" s="8" t="s">
        <v>2143</v>
      </c>
      <c r="AQ32" s="8" t="s">
        <v>2143</v>
      </c>
      <c r="AR32" s="8" t="s">
        <v>124</v>
      </c>
      <c r="AS32" s="8" t="s">
        <v>125</v>
      </c>
      <c r="AT32">
        <v>1</v>
      </c>
      <c r="AU32" s="8" t="s">
        <v>106</v>
      </c>
      <c r="AV32" s="8" t="s">
        <v>155</v>
      </c>
      <c r="AW32" s="8" t="s">
        <v>2378</v>
      </c>
      <c r="AX32">
        <v>0</v>
      </c>
      <c r="AY32" s="8" t="s">
        <v>2253</v>
      </c>
      <c r="AZ32">
        <v>810636</v>
      </c>
      <c r="BA32">
        <v>8174129</v>
      </c>
      <c r="BB32">
        <v>118993.01</v>
      </c>
      <c r="BC32">
        <v>10.083600000000001</v>
      </c>
      <c r="BD32" s="8" t="s">
        <v>130</v>
      </c>
      <c r="BE32" s="8" t="s">
        <v>145</v>
      </c>
      <c r="BF32" s="8" t="s">
        <v>2379</v>
      </c>
      <c r="BG32" s="8" t="s">
        <v>133</v>
      </c>
      <c r="BH32" s="8" t="s">
        <v>2294</v>
      </c>
      <c r="BI32" s="8" t="s">
        <v>112</v>
      </c>
      <c r="BJ32" s="8" t="s">
        <v>2536</v>
      </c>
      <c r="BK32" s="8" t="s">
        <v>112</v>
      </c>
      <c r="BL32" s="8" t="s">
        <v>2537</v>
      </c>
      <c r="BM32" s="8" t="s">
        <v>2538</v>
      </c>
      <c r="BN32" s="8" t="s">
        <v>2539</v>
      </c>
      <c r="BO32" s="8" t="s">
        <v>2540</v>
      </c>
      <c r="BP32">
        <v>1</v>
      </c>
      <c r="BQ32" s="8" t="s">
        <v>2383</v>
      </c>
      <c r="BR32" s="45">
        <f>ISNUMBER(SEARCH($BR$1,Таблица1[[#This Row],[31_1 Описание и характеристика товара]]))*1</f>
        <v>0</v>
      </c>
      <c r="BT32" s="8" t="s">
        <v>2384</v>
      </c>
      <c r="BU32">
        <v>672</v>
      </c>
      <c r="BV32">
        <v>1</v>
      </c>
      <c r="BW32">
        <v>672</v>
      </c>
      <c r="BX32" t="s">
        <v>2147</v>
      </c>
      <c r="BY32">
        <v>0</v>
      </c>
      <c r="CA32" s="8" t="s">
        <v>106</v>
      </c>
      <c r="CB32" s="8" t="s">
        <v>2148</v>
      </c>
      <c r="CC32" s="8" t="s">
        <v>112</v>
      </c>
      <c r="CD32" s="8" t="s">
        <v>112</v>
      </c>
      <c r="CE32" s="8" t="s">
        <v>2142</v>
      </c>
      <c r="CF32">
        <v>15296.6</v>
      </c>
      <c r="CG32" t="s">
        <v>144</v>
      </c>
      <c r="CH32">
        <v>4000000</v>
      </c>
      <c r="CI32">
        <v>15296.6</v>
      </c>
      <c r="CJ32">
        <v>0</v>
      </c>
      <c r="CK32" s="8" t="s">
        <v>112</v>
      </c>
      <c r="CL32" s="8" t="s">
        <v>112</v>
      </c>
      <c r="CM32">
        <v>810636</v>
      </c>
      <c r="CN32">
        <v>8174129</v>
      </c>
      <c r="CO32">
        <v>0</v>
      </c>
      <c r="CP32">
        <v>1</v>
      </c>
      <c r="CQ32">
        <v>8392053.2699999902</v>
      </c>
      <c r="CR32">
        <v>118993.01</v>
      </c>
      <c r="CS32" s="8" t="s">
        <v>145</v>
      </c>
      <c r="CT32">
        <v>7.7789999999999999</v>
      </c>
      <c r="CU32">
        <v>1075</v>
      </c>
      <c r="CV32" t="s">
        <v>2385</v>
      </c>
      <c r="CX32" t="s">
        <v>2386</v>
      </c>
      <c r="CY32">
        <v>0</v>
      </c>
    </row>
    <row r="33" spans="1:103" x14ac:dyDescent="0.25">
      <c r="A33" s="8" t="s">
        <v>106</v>
      </c>
      <c r="B33" s="38">
        <v>45078</v>
      </c>
      <c r="C33" s="43">
        <f>IF(YEAR(Таблица1[[#This Row],[Дата]])=2023,MONTH(Таблица1[[#This Row],[Дата]]),0)</f>
        <v>6</v>
      </c>
      <c r="D33" s="8" t="s">
        <v>2827</v>
      </c>
      <c r="E33" s="8" t="s">
        <v>427</v>
      </c>
      <c r="F33" s="8" t="s">
        <v>2828</v>
      </c>
      <c r="G33" t="s">
        <v>110</v>
      </c>
      <c r="H33" s="8" t="s">
        <v>111</v>
      </c>
      <c r="I33" s="8" t="s">
        <v>112</v>
      </c>
      <c r="J33" s="8" t="s">
        <v>112</v>
      </c>
      <c r="K33" s="8" t="s">
        <v>112</v>
      </c>
      <c r="L33" s="8" t="s">
        <v>2829</v>
      </c>
      <c r="M33" s="8" t="s">
        <v>2830</v>
      </c>
      <c r="N33" s="8" t="s">
        <v>112</v>
      </c>
      <c r="O33" s="8" t="s">
        <v>112</v>
      </c>
      <c r="P33">
        <v>2</v>
      </c>
      <c r="Q33">
        <v>0</v>
      </c>
      <c r="R33">
        <v>2</v>
      </c>
      <c r="S33">
        <v>116</v>
      </c>
      <c r="T33" s="8" t="s">
        <v>2180</v>
      </c>
      <c r="U33" s="8" t="s">
        <v>2181</v>
      </c>
      <c r="V33" s="8" t="s">
        <v>2182</v>
      </c>
      <c r="W33" s="8" t="s">
        <v>2183</v>
      </c>
      <c r="X33" s="8" t="s">
        <v>435</v>
      </c>
      <c r="Y33" s="8" t="s">
        <v>2184</v>
      </c>
      <c r="Z33" s="8" t="s">
        <v>2180</v>
      </c>
      <c r="AA33" s="8" t="s">
        <v>2181</v>
      </c>
      <c r="AB33" s="8" t="s">
        <v>2182</v>
      </c>
      <c r="AC33" s="8" t="s">
        <v>2183</v>
      </c>
      <c r="AD33" s="8" t="s">
        <v>435</v>
      </c>
      <c r="AE33" s="8" t="s">
        <v>2184</v>
      </c>
      <c r="AF33" s="8" t="s">
        <v>2185</v>
      </c>
      <c r="AG33" s="8" t="s">
        <v>2186</v>
      </c>
      <c r="AH33">
        <v>11282557.939999901</v>
      </c>
      <c r="AI33" s="8" t="s">
        <v>2180</v>
      </c>
      <c r="AJ33" s="8" t="s">
        <v>2181</v>
      </c>
      <c r="AK33" s="8" t="s">
        <v>2182</v>
      </c>
      <c r="AL33" s="8" t="s">
        <v>2183</v>
      </c>
      <c r="AM33" s="8" t="s">
        <v>435</v>
      </c>
      <c r="AN33" s="8" t="s">
        <v>2184</v>
      </c>
      <c r="AO33" s="8" t="s">
        <v>2185</v>
      </c>
      <c r="AP33" s="8" t="s">
        <v>2186</v>
      </c>
      <c r="AQ33" s="8" t="s">
        <v>2186</v>
      </c>
      <c r="AR33" s="8" t="s">
        <v>124</v>
      </c>
      <c r="AS33" s="8" t="s">
        <v>125</v>
      </c>
      <c r="AT33">
        <v>2</v>
      </c>
      <c r="AU33" s="8" t="s">
        <v>126</v>
      </c>
      <c r="AV33" s="8" t="s">
        <v>155</v>
      </c>
      <c r="AW33" s="8" t="s">
        <v>2831</v>
      </c>
      <c r="AX33">
        <v>1</v>
      </c>
      <c r="AY33" s="8" t="s">
        <v>129</v>
      </c>
      <c r="AZ33">
        <v>145651</v>
      </c>
      <c r="BA33">
        <v>10937138</v>
      </c>
      <c r="BB33">
        <v>159978.20000000001</v>
      </c>
      <c r="BC33">
        <v>75.091399999999894</v>
      </c>
      <c r="BD33" s="8" t="s">
        <v>130</v>
      </c>
      <c r="BE33" s="8" t="s">
        <v>112</v>
      </c>
      <c r="BF33" s="8" t="s">
        <v>2832</v>
      </c>
      <c r="BG33" s="8" t="s">
        <v>133</v>
      </c>
      <c r="BH33" s="8" t="s">
        <v>167</v>
      </c>
      <c r="BI33" s="8" t="s">
        <v>2190</v>
      </c>
      <c r="BJ33" s="8" t="s">
        <v>112</v>
      </c>
      <c r="BK33" s="8" t="s">
        <v>112</v>
      </c>
      <c r="BL33" s="8" t="s">
        <v>2191</v>
      </c>
      <c r="BM33" s="8" t="s">
        <v>2192</v>
      </c>
      <c r="BN33" s="8" t="s">
        <v>2193</v>
      </c>
      <c r="BO33" s="8" t="s">
        <v>2194</v>
      </c>
      <c r="BP33">
        <v>1</v>
      </c>
      <c r="BQ33" s="8" t="s">
        <v>2833</v>
      </c>
      <c r="BR33" s="45">
        <f>ISNUMBER(SEARCH($BR$1,Таблица1[[#This Row],[31_1 Описание и характеристика товара]]))*1</f>
        <v>0</v>
      </c>
      <c r="BT33" s="8" t="s">
        <v>2834</v>
      </c>
      <c r="BU33">
        <v>116</v>
      </c>
      <c r="BV33">
        <v>0</v>
      </c>
      <c r="BW33">
        <v>400</v>
      </c>
      <c r="BX33" t="s">
        <v>2147</v>
      </c>
      <c r="BY33">
        <v>0</v>
      </c>
      <c r="CA33" s="8" t="s">
        <v>106</v>
      </c>
      <c r="CB33" s="8" t="s">
        <v>2148</v>
      </c>
      <c r="CC33" s="8" t="s">
        <v>112</v>
      </c>
      <c r="CD33" s="8" t="s">
        <v>112</v>
      </c>
      <c r="CE33" s="8" t="s">
        <v>2185</v>
      </c>
      <c r="CF33">
        <v>13886.58</v>
      </c>
      <c r="CG33" t="s">
        <v>144</v>
      </c>
      <c r="CH33">
        <v>4000000</v>
      </c>
      <c r="CI33">
        <v>13707</v>
      </c>
      <c r="CJ33">
        <v>0</v>
      </c>
      <c r="CK33" s="8" t="s">
        <v>112</v>
      </c>
      <c r="CL33" s="8" t="s">
        <v>112</v>
      </c>
      <c r="CM33">
        <v>141360</v>
      </c>
      <c r="CN33">
        <v>10614920</v>
      </c>
      <c r="CO33">
        <v>0</v>
      </c>
      <c r="CP33">
        <v>1</v>
      </c>
      <c r="CQ33">
        <v>10935625.91</v>
      </c>
      <c r="CR33">
        <v>155058.96</v>
      </c>
      <c r="CS33" s="8" t="s">
        <v>145</v>
      </c>
      <c r="CT33">
        <v>11.3124</v>
      </c>
      <c r="CU33">
        <v>1075</v>
      </c>
      <c r="CV33" t="s">
        <v>2197</v>
      </c>
      <c r="CX33" t="s">
        <v>2386</v>
      </c>
      <c r="CY33">
        <v>200</v>
      </c>
    </row>
    <row r="34" spans="1:103" x14ac:dyDescent="0.25">
      <c r="A34" s="8" t="s">
        <v>106</v>
      </c>
      <c r="B34" s="38">
        <v>44989</v>
      </c>
      <c r="C34" s="43">
        <f>IF(YEAR(Таблица1[[#This Row],[Дата]])=2023,MONTH(Таблица1[[#This Row],[Дата]]),0)</f>
        <v>3</v>
      </c>
      <c r="D34" s="8" t="s">
        <v>2968</v>
      </c>
      <c r="E34" s="8" t="s">
        <v>427</v>
      </c>
      <c r="F34" s="8" t="s">
        <v>2969</v>
      </c>
      <c r="G34" t="s">
        <v>110</v>
      </c>
      <c r="H34" s="8" t="s">
        <v>111</v>
      </c>
      <c r="I34" s="8" t="s">
        <v>112</v>
      </c>
      <c r="J34" s="8" t="s">
        <v>112</v>
      </c>
      <c r="K34" s="8" t="s">
        <v>112</v>
      </c>
      <c r="L34" s="8" t="s">
        <v>2970</v>
      </c>
      <c r="M34" s="8" t="s">
        <v>2311</v>
      </c>
      <c r="N34" s="8" t="s">
        <v>112</v>
      </c>
      <c r="O34" s="8" t="s">
        <v>112</v>
      </c>
      <c r="P34">
        <v>4</v>
      </c>
      <c r="Q34">
        <v>0</v>
      </c>
      <c r="R34">
        <v>9</v>
      </c>
      <c r="S34">
        <v>53</v>
      </c>
      <c r="T34" s="8" t="s">
        <v>2312</v>
      </c>
      <c r="U34" s="8" t="s">
        <v>2313</v>
      </c>
      <c r="V34" s="8" t="s">
        <v>2314</v>
      </c>
      <c r="W34" s="8" t="s">
        <v>2315</v>
      </c>
      <c r="X34" s="8" t="s">
        <v>2316</v>
      </c>
      <c r="Y34" s="8" t="s">
        <v>2317</v>
      </c>
      <c r="Z34" s="8" t="s">
        <v>2312</v>
      </c>
      <c r="AA34" s="8" t="s">
        <v>2313</v>
      </c>
      <c r="AB34" s="8" t="s">
        <v>2314</v>
      </c>
      <c r="AC34" s="8" t="s">
        <v>2315</v>
      </c>
      <c r="AD34" s="8" t="s">
        <v>2316</v>
      </c>
      <c r="AE34" s="8" t="s">
        <v>2317</v>
      </c>
      <c r="AF34" s="8" t="s">
        <v>2163</v>
      </c>
      <c r="AG34" s="8" t="s">
        <v>2164</v>
      </c>
      <c r="AH34">
        <v>7416706.4900000002</v>
      </c>
      <c r="AI34" s="8" t="s">
        <v>2312</v>
      </c>
      <c r="AJ34" s="8" t="s">
        <v>2313</v>
      </c>
      <c r="AK34" s="8" t="s">
        <v>2314</v>
      </c>
      <c r="AL34" s="8" t="s">
        <v>2315</v>
      </c>
      <c r="AM34" s="8" t="s">
        <v>2316</v>
      </c>
      <c r="AN34" s="8" t="s">
        <v>2317</v>
      </c>
      <c r="AO34" s="8" t="s">
        <v>2163</v>
      </c>
      <c r="AP34" s="8" t="s">
        <v>2164</v>
      </c>
      <c r="AQ34" s="8" t="s">
        <v>2971</v>
      </c>
      <c r="AR34" s="8" t="s">
        <v>124</v>
      </c>
      <c r="AS34" s="8" t="s">
        <v>125</v>
      </c>
      <c r="AT34">
        <v>2</v>
      </c>
      <c r="AU34" s="8" t="s">
        <v>126</v>
      </c>
      <c r="AV34" s="8" t="s">
        <v>2318</v>
      </c>
      <c r="AW34" s="8" t="s">
        <v>2227</v>
      </c>
      <c r="AX34">
        <v>1</v>
      </c>
      <c r="AY34" s="8" t="s">
        <v>129</v>
      </c>
      <c r="AZ34">
        <v>101129.23</v>
      </c>
      <c r="BA34">
        <v>7416706</v>
      </c>
      <c r="BB34">
        <v>107482.72</v>
      </c>
      <c r="BC34">
        <v>73.338899999999896</v>
      </c>
      <c r="BD34" s="8" t="s">
        <v>130</v>
      </c>
      <c r="BE34" s="8" t="s">
        <v>112</v>
      </c>
      <c r="BF34" s="8" t="s">
        <v>2319</v>
      </c>
      <c r="BG34" s="8" t="s">
        <v>133</v>
      </c>
      <c r="BH34" s="8" t="s">
        <v>134</v>
      </c>
      <c r="BI34" s="8" t="s">
        <v>112</v>
      </c>
      <c r="BJ34" s="8" t="s">
        <v>2320</v>
      </c>
      <c r="BK34" s="8" t="s">
        <v>112</v>
      </c>
      <c r="BL34" s="8" t="s">
        <v>2321</v>
      </c>
      <c r="BM34" s="8" t="s">
        <v>2322</v>
      </c>
      <c r="BN34" s="8" t="s">
        <v>2323</v>
      </c>
      <c r="BO34" s="8" t="s">
        <v>2324</v>
      </c>
      <c r="BP34">
        <v>4</v>
      </c>
      <c r="BQ34" s="8" t="s">
        <v>2972</v>
      </c>
      <c r="BR34" s="45">
        <f>ISNUMBER(SEARCH($BR$1,Таблица1[[#This Row],[31_1 Описание и характеристика товара]]))*1</f>
        <v>0</v>
      </c>
      <c r="BT34" s="8" t="s">
        <v>2973</v>
      </c>
      <c r="BU34">
        <v>1</v>
      </c>
      <c r="BV34">
        <v>0</v>
      </c>
      <c r="BW34">
        <v>2</v>
      </c>
      <c r="BX34" t="s">
        <v>2147</v>
      </c>
      <c r="BY34">
        <v>0</v>
      </c>
      <c r="CA34" s="8" t="s">
        <v>2899</v>
      </c>
      <c r="CB34" s="8" t="s">
        <v>2148</v>
      </c>
      <c r="CC34" s="8" t="s">
        <v>112</v>
      </c>
      <c r="CD34" s="8" t="s">
        <v>112</v>
      </c>
      <c r="CE34" s="8" t="s">
        <v>2974</v>
      </c>
      <c r="CF34">
        <v>260</v>
      </c>
      <c r="CG34" t="s">
        <v>144</v>
      </c>
      <c r="CH34">
        <v>4000000</v>
      </c>
      <c r="CI34">
        <v>260</v>
      </c>
      <c r="CJ34">
        <v>0</v>
      </c>
      <c r="CK34" s="8" t="s">
        <v>112</v>
      </c>
      <c r="CL34" s="8" t="s">
        <v>112</v>
      </c>
      <c r="CM34">
        <v>4777.04</v>
      </c>
      <c r="CN34">
        <v>350343</v>
      </c>
      <c r="CO34">
        <v>0</v>
      </c>
      <c r="CP34">
        <v>1</v>
      </c>
      <c r="CQ34">
        <v>350342.86</v>
      </c>
      <c r="CR34">
        <v>5077.16</v>
      </c>
      <c r="CS34" s="8" t="s">
        <v>145</v>
      </c>
      <c r="CT34">
        <v>19.5275</v>
      </c>
      <c r="CU34">
        <v>53</v>
      </c>
      <c r="CV34" t="s">
        <v>2327</v>
      </c>
      <c r="CX34" t="s">
        <v>2975</v>
      </c>
      <c r="CY34">
        <v>0</v>
      </c>
    </row>
    <row r="35" spans="1:103" x14ac:dyDescent="0.25">
      <c r="A35" s="8" t="s">
        <v>106</v>
      </c>
      <c r="B35" s="38">
        <v>45024</v>
      </c>
      <c r="C35" s="43">
        <f>IF(YEAR(Таблица1[[#This Row],[Дата]])=2023,MONTH(Таблица1[[#This Row],[Дата]]),0)</f>
        <v>4</v>
      </c>
      <c r="D35" s="8" t="s">
        <v>2968</v>
      </c>
      <c r="E35" s="8" t="s">
        <v>427</v>
      </c>
      <c r="F35" s="8" t="s">
        <v>2969</v>
      </c>
      <c r="G35" t="s">
        <v>110</v>
      </c>
      <c r="H35" s="8" t="s">
        <v>111</v>
      </c>
      <c r="I35" s="8" t="s">
        <v>112</v>
      </c>
      <c r="J35" s="8" t="s">
        <v>112</v>
      </c>
      <c r="K35" s="8" t="s">
        <v>112</v>
      </c>
      <c r="L35" s="8" t="s">
        <v>2970</v>
      </c>
      <c r="M35" s="8" t="s">
        <v>2311</v>
      </c>
      <c r="N35" s="8" t="s">
        <v>112</v>
      </c>
      <c r="O35" s="8" t="s">
        <v>112</v>
      </c>
      <c r="P35">
        <v>4</v>
      </c>
      <c r="Q35">
        <v>0</v>
      </c>
      <c r="R35">
        <v>9</v>
      </c>
      <c r="S35">
        <v>53</v>
      </c>
      <c r="T35" s="8" t="s">
        <v>2312</v>
      </c>
      <c r="U35" s="8" t="s">
        <v>2313</v>
      </c>
      <c r="V35" s="8" t="s">
        <v>2314</v>
      </c>
      <c r="W35" s="8" t="s">
        <v>2315</v>
      </c>
      <c r="X35" s="8" t="s">
        <v>2316</v>
      </c>
      <c r="Y35" s="8" t="s">
        <v>2317</v>
      </c>
      <c r="Z35" s="8" t="s">
        <v>2312</v>
      </c>
      <c r="AA35" s="8" t="s">
        <v>2313</v>
      </c>
      <c r="AB35" s="8" t="s">
        <v>2314</v>
      </c>
      <c r="AC35" s="8" t="s">
        <v>2315</v>
      </c>
      <c r="AD35" s="8" t="s">
        <v>2316</v>
      </c>
      <c r="AE35" s="8" t="s">
        <v>2317</v>
      </c>
      <c r="AF35" s="8" t="s">
        <v>2163</v>
      </c>
      <c r="AG35" s="8" t="s">
        <v>2164</v>
      </c>
      <c r="AH35">
        <v>7416706.4900000002</v>
      </c>
      <c r="AI35" s="8" t="s">
        <v>2312</v>
      </c>
      <c r="AJ35" s="8" t="s">
        <v>2313</v>
      </c>
      <c r="AK35" s="8" t="s">
        <v>2314</v>
      </c>
      <c r="AL35" s="8" t="s">
        <v>2315</v>
      </c>
      <c r="AM35" s="8" t="s">
        <v>2316</v>
      </c>
      <c r="AN35" s="8" t="s">
        <v>2317</v>
      </c>
      <c r="AO35" s="8" t="s">
        <v>2163</v>
      </c>
      <c r="AP35" s="8" t="s">
        <v>2164</v>
      </c>
      <c r="AQ35" s="8" t="s">
        <v>2164</v>
      </c>
      <c r="AR35" s="8" t="s">
        <v>124</v>
      </c>
      <c r="AS35" s="8" t="s">
        <v>125</v>
      </c>
      <c r="AT35">
        <v>2</v>
      </c>
      <c r="AU35" s="8" t="s">
        <v>126</v>
      </c>
      <c r="AV35" s="8" t="s">
        <v>2318</v>
      </c>
      <c r="AW35" s="8" t="s">
        <v>2227</v>
      </c>
      <c r="AX35">
        <v>1</v>
      </c>
      <c r="AY35" s="8" t="s">
        <v>129</v>
      </c>
      <c r="AZ35">
        <v>101129.23</v>
      </c>
      <c r="BA35">
        <v>7416706</v>
      </c>
      <c r="BB35">
        <v>107482.72</v>
      </c>
      <c r="BC35">
        <v>73.338899999999896</v>
      </c>
      <c r="BD35" s="8" t="s">
        <v>130</v>
      </c>
      <c r="BE35" s="8" t="s">
        <v>112</v>
      </c>
      <c r="BF35" s="8" t="s">
        <v>2319</v>
      </c>
      <c r="BG35" s="8" t="s">
        <v>133</v>
      </c>
      <c r="BH35" s="8" t="s">
        <v>134</v>
      </c>
      <c r="BI35" s="8" t="s">
        <v>112</v>
      </c>
      <c r="BJ35" s="8" t="s">
        <v>2320</v>
      </c>
      <c r="BK35" s="8" t="s">
        <v>112</v>
      </c>
      <c r="BL35" s="8" t="s">
        <v>2321</v>
      </c>
      <c r="BM35" s="8" t="s">
        <v>2322</v>
      </c>
      <c r="BN35" s="8" t="s">
        <v>2323</v>
      </c>
      <c r="BO35" s="8" t="s">
        <v>2324</v>
      </c>
      <c r="BP35">
        <v>1</v>
      </c>
      <c r="BQ35" s="8" t="s">
        <v>2977</v>
      </c>
      <c r="BR35" s="45">
        <f>ISNUMBER(SEARCH($BR$1,Таблица1[[#This Row],[31_1 Описание и характеристика товара]]))*1</f>
        <v>0</v>
      </c>
      <c r="BT35" s="8" t="s">
        <v>2326</v>
      </c>
      <c r="BU35">
        <v>5</v>
      </c>
      <c r="BV35">
        <v>0</v>
      </c>
      <c r="BW35">
        <v>5</v>
      </c>
      <c r="BX35" t="s">
        <v>2147</v>
      </c>
      <c r="BY35">
        <v>0</v>
      </c>
      <c r="CA35" s="8" t="s">
        <v>106</v>
      </c>
      <c r="CB35" s="8" t="s">
        <v>2148</v>
      </c>
      <c r="CC35" s="8" t="s">
        <v>112</v>
      </c>
      <c r="CD35" s="8" t="s">
        <v>112</v>
      </c>
      <c r="CE35" s="8" t="s">
        <v>2163</v>
      </c>
      <c r="CF35">
        <v>3529</v>
      </c>
      <c r="CG35" t="s">
        <v>144</v>
      </c>
      <c r="CH35">
        <v>4000000</v>
      </c>
      <c r="CI35">
        <v>3375</v>
      </c>
      <c r="CJ35">
        <v>0</v>
      </c>
      <c r="CK35" s="8" t="s">
        <v>112</v>
      </c>
      <c r="CL35" s="8" t="s">
        <v>112</v>
      </c>
      <c r="CM35">
        <v>52413.64</v>
      </c>
      <c r="CN35">
        <v>3843959</v>
      </c>
      <c r="CO35">
        <v>0</v>
      </c>
      <c r="CP35">
        <v>1</v>
      </c>
      <c r="CQ35">
        <v>3843958.7</v>
      </c>
      <c r="CR35">
        <v>55706.559999999903</v>
      </c>
      <c r="CS35" s="8" t="s">
        <v>145</v>
      </c>
      <c r="CT35">
        <v>16.505600000000001</v>
      </c>
      <c r="CU35">
        <v>53</v>
      </c>
      <c r="CV35" t="s">
        <v>2327</v>
      </c>
      <c r="CX35" t="s">
        <v>2975</v>
      </c>
      <c r="CY35">
        <v>0</v>
      </c>
    </row>
    <row r="36" spans="1:103" x14ac:dyDescent="0.25">
      <c r="A36" s="8" t="s">
        <v>106</v>
      </c>
      <c r="B36" s="38">
        <v>45132</v>
      </c>
      <c r="C36" s="43">
        <f>IF(YEAR(Таблица1[[#This Row],[Дата]])=2023,MONTH(Таблица1[[#This Row],[Дата]]),0)</f>
        <v>7</v>
      </c>
      <c r="D36" s="8" t="s">
        <v>2968</v>
      </c>
      <c r="E36" s="8" t="s">
        <v>427</v>
      </c>
      <c r="F36" s="8" t="s">
        <v>2969</v>
      </c>
      <c r="G36" t="s">
        <v>110</v>
      </c>
      <c r="H36" s="8" t="s">
        <v>111</v>
      </c>
      <c r="I36" s="8" t="s">
        <v>112</v>
      </c>
      <c r="J36" s="8" t="s">
        <v>112</v>
      </c>
      <c r="K36" s="8" t="s">
        <v>112</v>
      </c>
      <c r="L36" s="8" t="s">
        <v>2970</v>
      </c>
      <c r="M36" s="8" t="s">
        <v>2311</v>
      </c>
      <c r="N36" s="8" t="s">
        <v>112</v>
      </c>
      <c r="O36" s="8" t="s">
        <v>112</v>
      </c>
      <c r="P36">
        <v>4</v>
      </c>
      <c r="Q36">
        <v>0</v>
      </c>
      <c r="R36">
        <v>9</v>
      </c>
      <c r="S36">
        <v>53</v>
      </c>
      <c r="T36" s="8" t="s">
        <v>2312</v>
      </c>
      <c r="U36" s="8" t="s">
        <v>2313</v>
      </c>
      <c r="V36" s="8" t="s">
        <v>2314</v>
      </c>
      <c r="W36" s="8" t="s">
        <v>2315</v>
      </c>
      <c r="X36" s="8" t="s">
        <v>2316</v>
      </c>
      <c r="Y36" s="8" t="s">
        <v>2317</v>
      </c>
      <c r="Z36" s="8" t="s">
        <v>2312</v>
      </c>
      <c r="AA36" s="8" t="s">
        <v>2313</v>
      </c>
      <c r="AB36" s="8" t="s">
        <v>2314</v>
      </c>
      <c r="AC36" s="8" t="s">
        <v>2315</v>
      </c>
      <c r="AD36" s="8" t="s">
        <v>2316</v>
      </c>
      <c r="AE36" s="8" t="s">
        <v>2317</v>
      </c>
      <c r="AF36" s="8" t="s">
        <v>2163</v>
      </c>
      <c r="AG36" s="8" t="s">
        <v>2164</v>
      </c>
      <c r="AH36">
        <v>7416706.4900000002</v>
      </c>
      <c r="AI36" s="8" t="s">
        <v>2312</v>
      </c>
      <c r="AJ36" s="8" t="s">
        <v>2313</v>
      </c>
      <c r="AK36" s="8" t="s">
        <v>2314</v>
      </c>
      <c r="AL36" s="8" t="s">
        <v>2315</v>
      </c>
      <c r="AM36" s="8" t="s">
        <v>2316</v>
      </c>
      <c r="AN36" s="8" t="s">
        <v>2317</v>
      </c>
      <c r="AO36" s="8" t="s">
        <v>2163</v>
      </c>
      <c r="AP36" s="8" t="s">
        <v>2164</v>
      </c>
      <c r="AQ36" s="8" t="s">
        <v>2164</v>
      </c>
      <c r="AR36" s="8" t="s">
        <v>124</v>
      </c>
      <c r="AS36" s="8" t="s">
        <v>125</v>
      </c>
      <c r="AT36">
        <v>2</v>
      </c>
      <c r="AU36" s="8" t="s">
        <v>126</v>
      </c>
      <c r="AV36" s="8" t="s">
        <v>2318</v>
      </c>
      <c r="AW36" s="8" t="s">
        <v>2227</v>
      </c>
      <c r="AX36">
        <v>1</v>
      </c>
      <c r="AY36" s="8" t="s">
        <v>129</v>
      </c>
      <c r="AZ36">
        <v>101129.23</v>
      </c>
      <c r="BA36">
        <v>7416706</v>
      </c>
      <c r="BB36">
        <v>107482.72</v>
      </c>
      <c r="BC36">
        <v>73.338899999999896</v>
      </c>
      <c r="BD36" s="8" t="s">
        <v>130</v>
      </c>
      <c r="BE36" s="8" t="s">
        <v>112</v>
      </c>
      <c r="BF36" s="8" t="s">
        <v>2319</v>
      </c>
      <c r="BG36" s="8" t="s">
        <v>133</v>
      </c>
      <c r="BH36" s="8" t="s">
        <v>134</v>
      </c>
      <c r="BI36" s="8" t="s">
        <v>112</v>
      </c>
      <c r="BJ36" s="8" t="s">
        <v>2320</v>
      </c>
      <c r="BK36" s="8" t="s">
        <v>112</v>
      </c>
      <c r="BL36" s="8" t="s">
        <v>2321</v>
      </c>
      <c r="BM36" s="8" t="s">
        <v>2322</v>
      </c>
      <c r="BN36" s="8" t="s">
        <v>2323</v>
      </c>
      <c r="BO36" s="8" t="s">
        <v>2324</v>
      </c>
      <c r="BP36">
        <v>2</v>
      </c>
      <c r="BQ36" s="8" t="s">
        <v>2976</v>
      </c>
      <c r="BR36" s="45">
        <f>ISNUMBER(SEARCH($BR$1,Таблица1[[#This Row],[31_1 Описание и характеристика товара]]))*1</f>
        <v>0</v>
      </c>
      <c r="BT36" s="8" t="s">
        <v>2326</v>
      </c>
      <c r="BU36">
        <v>8</v>
      </c>
      <c r="BV36">
        <v>0</v>
      </c>
      <c r="BW36">
        <v>14</v>
      </c>
      <c r="BX36" t="s">
        <v>2147</v>
      </c>
      <c r="BY36">
        <v>0</v>
      </c>
      <c r="CA36" s="8" t="s">
        <v>596</v>
      </c>
      <c r="CB36" s="8" t="s">
        <v>2148</v>
      </c>
      <c r="CC36" s="8" t="s">
        <v>112</v>
      </c>
      <c r="CD36" s="8" t="s">
        <v>112</v>
      </c>
      <c r="CE36" s="8" t="s">
        <v>2163</v>
      </c>
      <c r="CF36">
        <v>1540</v>
      </c>
      <c r="CG36" t="s">
        <v>144</v>
      </c>
      <c r="CH36">
        <v>4000000</v>
      </c>
      <c r="CI36">
        <v>1540</v>
      </c>
      <c r="CJ36">
        <v>0</v>
      </c>
      <c r="CK36" s="8" t="s">
        <v>112</v>
      </c>
      <c r="CL36" s="8" t="s">
        <v>112</v>
      </c>
      <c r="CM36">
        <v>35032.910000000003</v>
      </c>
      <c r="CN36">
        <v>2569275</v>
      </c>
      <c r="CO36">
        <v>0</v>
      </c>
      <c r="CP36">
        <v>1</v>
      </c>
      <c r="CQ36">
        <v>2569275.08</v>
      </c>
      <c r="CR36">
        <v>37233.870000000003</v>
      </c>
      <c r="CS36" s="8" t="s">
        <v>145</v>
      </c>
      <c r="CT36">
        <v>24.177800000000001</v>
      </c>
      <c r="CU36">
        <v>53</v>
      </c>
      <c r="CV36" t="s">
        <v>2327</v>
      </c>
      <c r="CX36" t="s">
        <v>2975</v>
      </c>
      <c r="CY36">
        <v>0</v>
      </c>
    </row>
    <row r="37" spans="1:103" x14ac:dyDescent="0.25">
      <c r="A37" s="8" t="s">
        <v>106</v>
      </c>
      <c r="B37" s="38">
        <v>45181</v>
      </c>
      <c r="C37" s="43">
        <f>IF(YEAR(Таблица1[[#This Row],[Дата]])=2023,MONTH(Таблица1[[#This Row],[Дата]]),0)</f>
        <v>9</v>
      </c>
      <c r="D37" s="8" t="s">
        <v>2931</v>
      </c>
      <c r="E37" s="8" t="s">
        <v>427</v>
      </c>
      <c r="F37" s="8" t="s">
        <v>2932</v>
      </c>
      <c r="G37" t="s">
        <v>110</v>
      </c>
      <c r="H37" s="8" t="s">
        <v>111</v>
      </c>
      <c r="I37" s="8" t="s">
        <v>112</v>
      </c>
      <c r="J37" s="8" t="s">
        <v>112</v>
      </c>
      <c r="K37" s="8" t="s">
        <v>112</v>
      </c>
      <c r="L37" s="8" t="s">
        <v>2933</v>
      </c>
      <c r="M37" s="8" t="s">
        <v>2311</v>
      </c>
      <c r="N37" s="8" t="s">
        <v>112</v>
      </c>
      <c r="O37" s="8" t="s">
        <v>112</v>
      </c>
      <c r="P37">
        <v>4</v>
      </c>
      <c r="Q37">
        <v>0</v>
      </c>
      <c r="R37">
        <v>10</v>
      </c>
      <c r="S37">
        <v>360</v>
      </c>
      <c r="T37" s="8" t="s">
        <v>2312</v>
      </c>
      <c r="U37" s="8" t="s">
        <v>2313</v>
      </c>
      <c r="V37" s="8" t="s">
        <v>2314</v>
      </c>
      <c r="W37" s="8" t="s">
        <v>2315</v>
      </c>
      <c r="X37" s="8" t="s">
        <v>2316</v>
      </c>
      <c r="Y37" s="8" t="s">
        <v>2317</v>
      </c>
      <c r="Z37" s="8" t="s">
        <v>2312</v>
      </c>
      <c r="AA37" s="8" t="s">
        <v>2313</v>
      </c>
      <c r="AB37" s="8" t="s">
        <v>2314</v>
      </c>
      <c r="AC37" s="8" t="s">
        <v>2315</v>
      </c>
      <c r="AD37" s="8" t="s">
        <v>2316</v>
      </c>
      <c r="AE37" s="8" t="s">
        <v>2317</v>
      </c>
      <c r="AF37" s="8" t="s">
        <v>2163</v>
      </c>
      <c r="AG37" s="8" t="s">
        <v>2164</v>
      </c>
      <c r="AH37">
        <v>10762487.970000001</v>
      </c>
      <c r="AI37" s="8" t="s">
        <v>2312</v>
      </c>
      <c r="AJ37" s="8" t="s">
        <v>2313</v>
      </c>
      <c r="AK37" s="8" t="s">
        <v>2314</v>
      </c>
      <c r="AL37" s="8" t="s">
        <v>2315</v>
      </c>
      <c r="AM37" s="8" t="s">
        <v>2316</v>
      </c>
      <c r="AN37" s="8" t="s">
        <v>2317</v>
      </c>
      <c r="AO37" s="8" t="s">
        <v>2934</v>
      </c>
      <c r="AP37" s="8" t="s">
        <v>2935</v>
      </c>
      <c r="AQ37" s="8" t="s">
        <v>2164</v>
      </c>
      <c r="AR37" s="8" t="s">
        <v>124</v>
      </c>
      <c r="AS37" s="8" t="s">
        <v>125</v>
      </c>
      <c r="AT37">
        <v>2</v>
      </c>
      <c r="AU37" s="8" t="s">
        <v>126</v>
      </c>
      <c r="AV37" s="8" t="s">
        <v>2318</v>
      </c>
      <c r="AW37" s="8" t="s">
        <v>2227</v>
      </c>
      <c r="AX37">
        <v>1</v>
      </c>
      <c r="AY37" s="8" t="s">
        <v>129</v>
      </c>
      <c r="AZ37">
        <v>146750.06</v>
      </c>
      <c r="BA37">
        <v>10762488</v>
      </c>
      <c r="BB37">
        <v>155969.71</v>
      </c>
      <c r="BC37">
        <v>73.338899999999896</v>
      </c>
      <c r="BD37" s="8" t="s">
        <v>130</v>
      </c>
      <c r="BE37" s="8" t="s">
        <v>112</v>
      </c>
      <c r="BF37" s="8" t="s">
        <v>2319</v>
      </c>
      <c r="BG37" s="8" t="s">
        <v>133</v>
      </c>
      <c r="BH37" s="8" t="s">
        <v>134</v>
      </c>
      <c r="BI37" s="8" t="s">
        <v>112</v>
      </c>
      <c r="BJ37" s="8" t="s">
        <v>2320</v>
      </c>
      <c r="BK37" s="8" t="s">
        <v>112</v>
      </c>
      <c r="BL37" s="8" t="s">
        <v>2321</v>
      </c>
      <c r="BM37" s="8" t="s">
        <v>2322</v>
      </c>
      <c r="BN37" s="8" t="s">
        <v>2323</v>
      </c>
      <c r="BO37" s="8" t="s">
        <v>2324</v>
      </c>
      <c r="BP37">
        <v>1</v>
      </c>
      <c r="BQ37" s="8" t="s">
        <v>2325</v>
      </c>
      <c r="BR37" s="45">
        <f>ISNUMBER(SEARCH($BR$1,Таблица1[[#This Row],[31_1 Описание и характеристика товара]]))*1</f>
        <v>0</v>
      </c>
      <c r="BT37" s="8" t="s">
        <v>2326</v>
      </c>
      <c r="BU37">
        <v>328</v>
      </c>
      <c r="BV37">
        <v>0</v>
      </c>
      <c r="BW37">
        <v>328</v>
      </c>
      <c r="BX37" t="s">
        <v>2147</v>
      </c>
      <c r="BY37">
        <v>0</v>
      </c>
      <c r="CA37" s="8" t="s">
        <v>106</v>
      </c>
      <c r="CB37" s="8" t="s">
        <v>2148</v>
      </c>
      <c r="CC37" s="8" t="s">
        <v>112</v>
      </c>
      <c r="CD37" s="8" t="s">
        <v>112</v>
      </c>
      <c r="CE37" s="8" t="s">
        <v>2163</v>
      </c>
      <c r="CF37">
        <v>9807.2999999999902</v>
      </c>
      <c r="CG37" t="s">
        <v>144</v>
      </c>
      <c r="CH37">
        <v>4000000</v>
      </c>
      <c r="CI37">
        <v>9807.2999999999902</v>
      </c>
      <c r="CJ37">
        <v>0</v>
      </c>
      <c r="CK37" s="8" t="s">
        <v>112</v>
      </c>
      <c r="CL37" s="8" t="s">
        <v>112</v>
      </c>
      <c r="CM37">
        <v>114186.64</v>
      </c>
      <c r="CN37">
        <v>8374323</v>
      </c>
      <c r="CO37">
        <v>0</v>
      </c>
      <c r="CP37">
        <v>1</v>
      </c>
      <c r="CQ37">
        <v>8374322.5700000003</v>
      </c>
      <c r="CR37">
        <v>121360.49</v>
      </c>
      <c r="CS37" s="8" t="s">
        <v>145</v>
      </c>
      <c r="CT37">
        <v>12.374499999999999</v>
      </c>
      <c r="CU37">
        <v>53</v>
      </c>
      <c r="CV37" t="s">
        <v>2327</v>
      </c>
      <c r="CX37" t="s">
        <v>2328</v>
      </c>
      <c r="CY37">
        <v>0</v>
      </c>
    </row>
    <row r="38" spans="1:103" x14ac:dyDescent="0.25">
      <c r="A38" s="8" t="s">
        <v>106</v>
      </c>
      <c r="B38" s="38">
        <v>44961</v>
      </c>
      <c r="C38" s="43">
        <f>IF(YEAR(Таблица1[[#This Row],[Дата]])=2023,MONTH(Таблица1[[#This Row],[Дата]]),0)</f>
        <v>2</v>
      </c>
      <c r="D38" s="8" t="s">
        <v>3189</v>
      </c>
      <c r="E38" s="8" t="s">
        <v>427</v>
      </c>
      <c r="F38" s="8" t="s">
        <v>3190</v>
      </c>
      <c r="G38" t="s">
        <v>110</v>
      </c>
      <c r="H38" s="8" t="s">
        <v>111</v>
      </c>
      <c r="I38" s="8" t="s">
        <v>112</v>
      </c>
      <c r="J38" s="8" t="s">
        <v>112</v>
      </c>
      <c r="K38" s="8" t="s">
        <v>112</v>
      </c>
      <c r="L38" s="8" t="s">
        <v>2310</v>
      </c>
      <c r="M38" s="8" t="s">
        <v>2311</v>
      </c>
      <c r="N38" s="8" t="s">
        <v>112</v>
      </c>
      <c r="O38" s="8" t="s">
        <v>112</v>
      </c>
      <c r="P38">
        <v>2</v>
      </c>
      <c r="Q38">
        <v>0</v>
      </c>
      <c r="R38">
        <v>2</v>
      </c>
      <c r="S38">
        <v>501</v>
      </c>
      <c r="T38" s="8" t="s">
        <v>2312</v>
      </c>
      <c r="U38" s="8" t="s">
        <v>2313</v>
      </c>
      <c r="V38" s="8" t="s">
        <v>2314</v>
      </c>
      <c r="W38" s="8" t="s">
        <v>2315</v>
      </c>
      <c r="X38" s="8" t="s">
        <v>2316</v>
      </c>
      <c r="Y38" s="8" t="s">
        <v>2317</v>
      </c>
      <c r="Z38" s="8" t="s">
        <v>2312</v>
      </c>
      <c r="AA38" s="8" t="s">
        <v>2313</v>
      </c>
      <c r="AB38" s="8" t="s">
        <v>2314</v>
      </c>
      <c r="AC38" s="8" t="s">
        <v>2315</v>
      </c>
      <c r="AD38" s="8" t="s">
        <v>2316</v>
      </c>
      <c r="AE38" s="8" t="s">
        <v>2317</v>
      </c>
      <c r="AF38" s="8" t="s">
        <v>2163</v>
      </c>
      <c r="AG38" s="8" t="s">
        <v>2164</v>
      </c>
      <c r="AH38">
        <v>11840329.77</v>
      </c>
      <c r="AI38" s="8" t="s">
        <v>2312</v>
      </c>
      <c r="AJ38" s="8" t="s">
        <v>2313</v>
      </c>
      <c r="AK38" s="8" t="s">
        <v>2314</v>
      </c>
      <c r="AL38" s="8" t="s">
        <v>2315</v>
      </c>
      <c r="AM38" s="8" t="s">
        <v>2316</v>
      </c>
      <c r="AN38" s="8" t="s">
        <v>2317</v>
      </c>
      <c r="AO38" s="8" t="s">
        <v>2163</v>
      </c>
      <c r="AP38" s="8" t="s">
        <v>2164</v>
      </c>
      <c r="AQ38" s="8" t="s">
        <v>2164</v>
      </c>
      <c r="AR38" s="8" t="s">
        <v>124</v>
      </c>
      <c r="AS38" s="8" t="s">
        <v>125</v>
      </c>
      <c r="AT38">
        <v>2</v>
      </c>
      <c r="AU38" s="8" t="s">
        <v>126</v>
      </c>
      <c r="AV38" s="8" t="s">
        <v>2318</v>
      </c>
      <c r="AW38" s="8" t="s">
        <v>2227</v>
      </c>
      <c r="AX38">
        <v>1</v>
      </c>
      <c r="AY38" s="8" t="s">
        <v>129</v>
      </c>
      <c r="AZ38">
        <v>172148.36</v>
      </c>
      <c r="BA38">
        <v>11840330</v>
      </c>
      <c r="BB38">
        <v>183264.71</v>
      </c>
      <c r="BC38">
        <v>68.779799999999895</v>
      </c>
      <c r="BD38" s="8" t="s">
        <v>130</v>
      </c>
      <c r="BE38" s="8" t="s">
        <v>112</v>
      </c>
      <c r="BF38" s="8" t="s">
        <v>2319</v>
      </c>
      <c r="BG38" s="8" t="s">
        <v>133</v>
      </c>
      <c r="BH38" s="8" t="s">
        <v>167</v>
      </c>
      <c r="BI38" s="8" t="s">
        <v>3191</v>
      </c>
      <c r="BJ38" s="8" t="s">
        <v>112</v>
      </c>
      <c r="BK38" s="8" t="s">
        <v>3192</v>
      </c>
      <c r="BL38" s="8" t="s">
        <v>2321</v>
      </c>
      <c r="BM38" s="8" t="s">
        <v>2322</v>
      </c>
      <c r="BN38" s="8" t="s">
        <v>2323</v>
      </c>
      <c r="BO38" s="8" t="s">
        <v>2324</v>
      </c>
      <c r="BP38">
        <v>2</v>
      </c>
      <c r="BQ38" s="8" t="s">
        <v>2325</v>
      </c>
      <c r="BR38" s="45">
        <f>ISNUMBER(SEARCH($BR$1,Таблица1[[#This Row],[31_1 Описание и характеристика товара]]))*1</f>
        <v>0</v>
      </c>
      <c r="BT38" s="8" t="s">
        <v>2326</v>
      </c>
      <c r="BU38">
        <v>489</v>
      </c>
      <c r="BV38">
        <v>0</v>
      </c>
      <c r="BW38">
        <v>489</v>
      </c>
      <c r="BX38" t="s">
        <v>2147</v>
      </c>
      <c r="BY38">
        <v>0</v>
      </c>
      <c r="CA38" s="8" t="s">
        <v>596</v>
      </c>
      <c r="CB38" s="8" t="s">
        <v>2148</v>
      </c>
      <c r="CC38" s="8" t="s">
        <v>112</v>
      </c>
      <c r="CD38" s="8" t="s">
        <v>112</v>
      </c>
      <c r="CE38" s="8" t="s">
        <v>2163</v>
      </c>
      <c r="CF38">
        <v>14860</v>
      </c>
      <c r="CG38" t="s">
        <v>144</v>
      </c>
      <c r="CH38">
        <v>4000000</v>
      </c>
      <c r="CI38">
        <v>14860</v>
      </c>
      <c r="CJ38">
        <v>0</v>
      </c>
      <c r="CK38" s="8" t="s">
        <v>112</v>
      </c>
      <c r="CL38" s="8" t="s">
        <v>112</v>
      </c>
      <c r="CM38">
        <v>160002.84</v>
      </c>
      <c r="CN38">
        <v>11004963</v>
      </c>
      <c r="CO38">
        <v>0</v>
      </c>
      <c r="CP38">
        <v>1</v>
      </c>
      <c r="CQ38">
        <v>11004963.33</v>
      </c>
      <c r="CR38">
        <v>170334.9</v>
      </c>
      <c r="CS38" s="8" t="s">
        <v>145</v>
      </c>
      <c r="CT38">
        <v>11.4626</v>
      </c>
      <c r="CU38">
        <v>53</v>
      </c>
      <c r="CV38" t="s">
        <v>2327</v>
      </c>
      <c r="CX38" t="s">
        <v>2328</v>
      </c>
      <c r="CY38">
        <v>27</v>
      </c>
    </row>
    <row r="39" spans="1:103" x14ac:dyDescent="0.25">
      <c r="A39" s="8" t="s">
        <v>106</v>
      </c>
      <c r="B39" s="38">
        <v>45215</v>
      </c>
      <c r="C39" s="43">
        <f>IF(YEAR(Таблица1[[#This Row],[Дата]])=2023,MONTH(Таблица1[[#This Row],[Дата]]),0)</f>
        <v>10</v>
      </c>
      <c r="D39" s="8" t="s">
        <v>2176</v>
      </c>
      <c r="E39" s="8" t="s">
        <v>427</v>
      </c>
      <c r="F39" s="8" t="s">
        <v>2177</v>
      </c>
      <c r="G39" t="s">
        <v>110</v>
      </c>
      <c r="H39" s="8" t="s">
        <v>111</v>
      </c>
      <c r="I39" s="8" t="s">
        <v>112</v>
      </c>
      <c r="J39" s="8" t="s">
        <v>112</v>
      </c>
      <c r="K39" s="8" t="s">
        <v>112</v>
      </c>
      <c r="L39" s="8" t="s">
        <v>2178</v>
      </c>
      <c r="M39" s="8" t="s">
        <v>2179</v>
      </c>
      <c r="N39" s="8" t="s">
        <v>112</v>
      </c>
      <c r="O39" s="8" t="s">
        <v>112</v>
      </c>
      <c r="P39">
        <v>1</v>
      </c>
      <c r="Q39">
        <v>0</v>
      </c>
      <c r="R39">
        <v>1</v>
      </c>
      <c r="S39">
        <v>4</v>
      </c>
      <c r="T39" s="8" t="s">
        <v>2180</v>
      </c>
      <c r="U39" s="8" t="s">
        <v>2181</v>
      </c>
      <c r="V39" s="8" t="s">
        <v>2182</v>
      </c>
      <c r="W39" s="8" t="s">
        <v>2183</v>
      </c>
      <c r="X39" s="8" t="s">
        <v>435</v>
      </c>
      <c r="Y39" s="8" t="s">
        <v>2184</v>
      </c>
      <c r="Z39" s="8" t="s">
        <v>2180</v>
      </c>
      <c r="AA39" s="8" t="s">
        <v>2181</v>
      </c>
      <c r="AB39" s="8" t="s">
        <v>2182</v>
      </c>
      <c r="AC39" s="8" t="s">
        <v>2183</v>
      </c>
      <c r="AD39" s="8" t="s">
        <v>435</v>
      </c>
      <c r="AE39" s="8" t="s">
        <v>2184</v>
      </c>
      <c r="AF39" s="8" t="s">
        <v>2185</v>
      </c>
      <c r="AG39" s="8" t="s">
        <v>2186</v>
      </c>
      <c r="AH39">
        <v>1170030.0900000001</v>
      </c>
      <c r="AI39" s="8" t="s">
        <v>2180</v>
      </c>
      <c r="AJ39" s="8" t="s">
        <v>2181</v>
      </c>
      <c r="AK39" s="8" t="s">
        <v>2182</v>
      </c>
      <c r="AL39" s="8" t="s">
        <v>2183</v>
      </c>
      <c r="AM39" s="8" t="s">
        <v>435</v>
      </c>
      <c r="AN39" s="8" t="s">
        <v>2184</v>
      </c>
      <c r="AO39" s="8" t="s">
        <v>2185</v>
      </c>
      <c r="AP39" s="8" t="s">
        <v>2186</v>
      </c>
      <c r="AQ39" s="8" t="s">
        <v>2186</v>
      </c>
      <c r="AR39" s="8" t="s">
        <v>124</v>
      </c>
      <c r="AS39" s="8" t="s">
        <v>125</v>
      </c>
      <c r="AT39">
        <v>1</v>
      </c>
      <c r="AU39" s="8" t="s">
        <v>126</v>
      </c>
      <c r="AV39" s="8" t="s">
        <v>127</v>
      </c>
      <c r="AW39" s="8" t="s">
        <v>2187</v>
      </c>
      <c r="AX39">
        <v>1</v>
      </c>
      <c r="AY39" s="8" t="s">
        <v>2188</v>
      </c>
      <c r="AZ39">
        <v>15096</v>
      </c>
      <c r="BA39">
        <v>970695</v>
      </c>
      <c r="BB39">
        <v>18196</v>
      </c>
      <c r="BC39">
        <v>64.301500000000004</v>
      </c>
      <c r="BD39" s="8" t="s">
        <v>130</v>
      </c>
      <c r="BE39" s="8" t="s">
        <v>112</v>
      </c>
      <c r="BF39" s="8" t="s">
        <v>2189</v>
      </c>
      <c r="BG39" s="8" t="s">
        <v>133</v>
      </c>
      <c r="BH39" s="8" t="s">
        <v>167</v>
      </c>
      <c r="BI39" s="8" t="s">
        <v>2190</v>
      </c>
      <c r="BJ39" s="8" t="s">
        <v>112</v>
      </c>
      <c r="BK39" s="8" t="s">
        <v>112</v>
      </c>
      <c r="BL39" s="8" t="s">
        <v>2191</v>
      </c>
      <c r="BM39" s="8" t="s">
        <v>2192</v>
      </c>
      <c r="BN39" s="8" t="s">
        <v>2193</v>
      </c>
      <c r="BO39" s="8" t="s">
        <v>2194</v>
      </c>
      <c r="BP39">
        <v>1</v>
      </c>
      <c r="BQ39" s="8" t="s">
        <v>2195</v>
      </c>
      <c r="BR39" s="45">
        <f>ISNUMBER(SEARCH($BR$1,Таблица1[[#This Row],[31_1 Описание и характеристика товара]]))*1</f>
        <v>0</v>
      </c>
      <c r="BT39" s="8" t="s">
        <v>2196</v>
      </c>
      <c r="BU39">
        <v>4</v>
      </c>
      <c r="BV39">
        <v>0</v>
      </c>
      <c r="BW39">
        <v>4</v>
      </c>
      <c r="BX39" t="s">
        <v>2147</v>
      </c>
      <c r="BY39">
        <v>0</v>
      </c>
      <c r="CA39" s="8" t="s">
        <v>106</v>
      </c>
      <c r="CB39" s="8" t="s">
        <v>2148</v>
      </c>
      <c r="CC39" s="8" t="s">
        <v>112</v>
      </c>
      <c r="CD39" s="8" t="s">
        <v>112</v>
      </c>
      <c r="CE39" s="8" t="s">
        <v>2185</v>
      </c>
      <c r="CF39">
        <v>1300</v>
      </c>
      <c r="CG39" t="s">
        <v>144</v>
      </c>
      <c r="CH39">
        <v>4000000</v>
      </c>
      <c r="CI39">
        <v>1200</v>
      </c>
      <c r="CJ39">
        <v>0</v>
      </c>
      <c r="CK39" s="8" t="s">
        <v>112</v>
      </c>
      <c r="CL39" s="8" t="s">
        <v>112</v>
      </c>
      <c r="CM39">
        <v>15096</v>
      </c>
      <c r="CN39">
        <v>970695</v>
      </c>
      <c r="CO39">
        <v>0</v>
      </c>
      <c r="CP39">
        <v>1</v>
      </c>
      <c r="CQ39">
        <v>1170030.0900000001</v>
      </c>
      <c r="CR39">
        <v>18196</v>
      </c>
      <c r="CS39" s="8" t="s">
        <v>145</v>
      </c>
      <c r="CT39">
        <v>15.1633</v>
      </c>
      <c r="CU39">
        <v>1075</v>
      </c>
      <c r="CV39" t="s">
        <v>2197</v>
      </c>
      <c r="CX39" t="s">
        <v>2198</v>
      </c>
      <c r="CY39">
        <v>0</v>
      </c>
    </row>
    <row r="40" spans="1:103" x14ac:dyDescent="0.25">
      <c r="A40" t="s">
        <v>106</v>
      </c>
      <c r="B40" s="38">
        <v>45060</v>
      </c>
      <c r="C40" s="43">
        <f>IF(YEAR(Таблица1[[#This Row],[Дата]])=2023,MONTH(Таблица1[[#This Row],[Дата]]),0)</f>
        <v>5</v>
      </c>
      <c r="D40" t="s">
        <v>451</v>
      </c>
      <c r="E40" t="s">
        <v>427</v>
      </c>
      <c r="F40" t="s">
        <v>452</v>
      </c>
      <c r="G40" t="s">
        <v>110</v>
      </c>
      <c r="H40" t="s">
        <v>111</v>
      </c>
      <c r="I40" t="s">
        <v>112</v>
      </c>
      <c r="J40" t="s">
        <v>112</v>
      </c>
      <c r="K40" t="s">
        <v>112</v>
      </c>
      <c r="L40" t="s">
        <v>429</v>
      </c>
      <c r="M40" t="s">
        <v>430</v>
      </c>
      <c r="N40" t="s">
        <v>112</v>
      </c>
      <c r="O40" t="s">
        <v>112</v>
      </c>
      <c r="P40">
        <v>1</v>
      </c>
      <c r="Q40">
        <v>0</v>
      </c>
      <c r="R40">
        <v>1</v>
      </c>
      <c r="S40">
        <v>27</v>
      </c>
      <c r="T40" t="s">
        <v>431</v>
      </c>
      <c r="U40" t="s">
        <v>432</v>
      </c>
      <c r="V40" t="s">
        <v>433</v>
      </c>
      <c r="W40" t="s">
        <v>434</v>
      </c>
      <c r="X40" t="s">
        <v>435</v>
      </c>
      <c r="Y40" t="s">
        <v>436</v>
      </c>
      <c r="Z40" t="s">
        <v>431</v>
      </c>
      <c r="AA40" t="s">
        <v>432</v>
      </c>
      <c r="AB40" t="s">
        <v>433</v>
      </c>
      <c r="AC40" t="s">
        <v>434</v>
      </c>
      <c r="AD40" t="s">
        <v>435</v>
      </c>
      <c r="AE40" t="s">
        <v>436</v>
      </c>
      <c r="AF40" t="s">
        <v>437</v>
      </c>
      <c r="AG40" t="s">
        <v>438</v>
      </c>
      <c r="AH40">
        <v>2443275.0299999998</v>
      </c>
      <c r="AI40" t="s">
        <v>431</v>
      </c>
      <c r="AJ40" t="s">
        <v>432</v>
      </c>
      <c r="AK40" t="s">
        <v>433</v>
      </c>
      <c r="AL40" t="s">
        <v>434</v>
      </c>
      <c r="AM40" t="s">
        <v>435</v>
      </c>
      <c r="AN40" t="s">
        <v>436</v>
      </c>
      <c r="AO40" t="s">
        <v>121</v>
      </c>
      <c r="AP40" t="s">
        <v>122</v>
      </c>
      <c r="AQ40" t="s">
        <v>123</v>
      </c>
      <c r="AR40" t="s">
        <v>124</v>
      </c>
      <c r="AS40" t="s">
        <v>125</v>
      </c>
      <c r="AT40">
        <v>2</v>
      </c>
      <c r="AU40" t="s">
        <v>106</v>
      </c>
      <c r="AV40" t="s">
        <v>127</v>
      </c>
      <c r="AW40" t="s">
        <v>128</v>
      </c>
      <c r="AX40">
        <v>1</v>
      </c>
      <c r="AY40" t="s">
        <v>129</v>
      </c>
      <c r="AZ40">
        <v>29190.6</v>
      </c>
      <c r="BA40">
        <v>2239923</v>
      </c>
      <c r="BB40">
        <v>34713.160000000003</v>
      </c>
      <c r="BC40">
        <v>76.734399999999994</v>
      </c>
      <c r="BD40" t="s">
        <v>130</v>
      </c>
      <c r="BE40" t="s">
        <v>131</v>
      </c>
      <c r="BF40" t="s">
        <v>440</v>
      </c>
      <c r="BG40" t="s">
        <v>133</v>
      </c>
      <c r="BH40" t="s">
        <v>134</v>
      </c>
      <c r="BI40" t="s">
        <v>112</v>
      </c>
      <c r="BJ40" t="s">
        <v>178</v>
      </c>
      <c r="BK40" t="s">
        <v>112</v>
      </c>
      <c r="BL40" t="s">
        <v>125</v>
      </c>
      <c r="BM40" t="s">
        <v>179</v>
      </c>
      <c r="BN40" t="s">
        <v>180</v>
      </c>
      <c r="BO40" t="s">
        <v>181</v>
      </c>
      <c r="BP40">
        <v>1</v>
      </c>
      <c r="BQ40" t="s">
        <v>453</v>
      </c>
      <c r="BR40" s="45">
        <f>ISNUMBER(SEARCH($BR$1,Таблица1[[#This Row],[31_1 Описание и характеристика товара]]))*1</f>
        <v>1</v>
      </c>
      <c r="BT40" t="s">
        <v>141</v>
      </c>
      <c r="BU40">
        <v>27</v>
      </c>
      <c r="BV40">
        <v>1</v>
      </c>
      <c r="BW40">
        <v>0</v>
      </c>
      <c r="BY40">
        <v>0</v>
      </c>
      <c r="CA40" t="s">
        <v>106</v>
      </c>
      <c r="CB40" t="s">
        <v>142</v>
      </c>
      <c r="CC40" t="s">
        <v>112</v>
      </c>
      <c r="CD40" t="s">
        <v>112</v>
      </c>
      <c r="CE40" t="s">
        <v>143</v>
      </c>
      <c r="CF40">
        <v>10395</v>
      </c>
      <c r="CG40" t="s">
        <v>144</v>
      </c>
      <c r="CH40">
        <v>4000000</v>
      </c>
      <c r="CI40">
        <v>10053</v>
      </c>
      <c r="CJ40">
        <v>0</v>
      </c>
      <c r="CK40" t="s">
        <v>112</v>
      </c>
      <c r="CL40" t="s">
        <v>112</v>
      </c>
      <c r="CM40">
        <v>29190.6</v>
      </c>
      <c r="CN40">
        <v>2239923</v>
      </c>
      <c r="CO40">
        <v>0</v>
      </c>
      <c r="CP40">
        <v>1</v>
      </c>
      <c r="CQ40">
        <v>2443275.0299999998</v>
      </c>
      <c r="CR40">
        <v>34713.160000000003</v>
      </c>
      <c r="CS40" t="s">
        <v>145</v>
      </c>
      <c r="CT40">
        <v>34713.008999999998</v>
      </c>
      <c r="CU40">
        <v>3.4529999999999998</v>
      </c>
      <c r="CX40" t="s">
        <v>442</v>
      </c>
      <c r="CY40">
        <v>35</v>
      </c>
    </row>
    <row r="41" spans="1:103" x14ac:dyDescent="0.25">
      <c r="A41" t="s">
        <v>106</v>
      </c>
      <c r="B41" s="38">
        <v>45046</v>
      </c>
      <c r="C41" s="43">
        <f>IF(YEAR(Таблица1[[#This Row],[Дата]])=2023,MONTH(Таблица1[[#This Row],[Дата]]),0)</f>
        <v>4</v>
      </c>
      <c r="D41" t="s">
        <v>457</v>
      </c>
      <c r="E41" t="s">
        <v>427</v>
      </c>
      <c r="F41" t="s">
        <v>458</v>
      </c>
      <c r="G41" t="s">
        <v>110</v>
      </c>
      <c r="H41" t="s">
        <v>111</v>
      </c>
      <c r="I41" t="s">
        <v>112</v>
      </c>
      <c r="J41" t="s">
        <v>112</v>
      </c>
      <c r="K41" t="s">
        <v>112</v>
      </c>
      <c r="L41" t="s">
        <v>429</v>
      </c>
      <c r="M41" t="s">
        <v>430</v>
      </c>
      <c r="N41" t="s">
        <v>112</v>
      </c>
      <c r="O41" t="s">
        <v>112</v>
      </c>
      <c r="P41">
        <v>1</v>
      </c>
      <c r="Q41">
        <v>0</v>
      </c>
      <c r="R41">
        <v>1</v>
      </c>
      <c r="S41">
        <v>28</v>
      </c>
      <c r="T41" t="s">
        <v>431</v>
      </c>
      <c r="U41" t="s">
        <v>432</v>
      </c>
      <c r="V41" t="s">
        <v>433</v>
      </c>
      <c r="W41" t="s">
        <v>434</v>
      </c>
      <c r="X41" t="s">
        <v>435</v>
      </c>
      <c r="Y41" t="s">
        <v>436</v>
      </c>
      <c r="Z41" t="s">
        <v>431</v>
      </c>
      <c r="AA41" t="s">
        <v>432</v>
      </c>
      <c r="AB41" t="s">
        <v>433</v>
      </c>
      <c r="AC41" t="s">
        <v>434</v>
      </c>
      <c r="AD41" t="s">
        <v>435</v>
      </c>
      <c r="AE41" t="s">
        <v>436</v>
      </c>
      <c r="AF41" t="s">
        <v>437</v>
      </c>
      <c r="AG41" t="s">
        <v>438</v>
      </c>
      <c r="AH41">
        <v>2400858.5499999998</v>
      </c>
      <c r="AI41" t="s">
        <v>431</v>
      </c>
      <c r="AJ41" t="s">
        <v>432</v>
      </c>
      <c r="AK41" t="s">
        <v>433</v>
      </c>
      <c r="AL41" t="s">
        <v>434</v>
      </c>
      <c r="AM41" t="s">
        <v>435</v>
      </c>
      <c r="AN41" t="s">
        <v>436</v>
      </c>
      <c r="AO41" t="s">
        <v>121</v>
      </c>
      <c r="AP41" t="s">
        <v>122</v>
      </c>
      <c r="AQ41" t="s">
        <v>123</v>
      </c>
      <c r="AR41" t="s">
        <v>124</v>
      </c>
      <c r="AS41" t="s">
        <v>125</v>
      </c>
      <c r="AT41">
        <v>2</v>
      </c>
      <c r="AU41" t="s">
        <v>106</v>
      </c>
      <c r="AV41" t="s">
        <v>127</v>
      </c>
      <c r="AW41" t="s">
        <v>439</v>
      </c>
      <c r="AX41">
        <v>1</v>
      </c>
      <c r="AY41" t="s">
        <v>129</v>
      </c>
      <c r="AZ41">
        <v>28637.83</v>
      </c>
      <c r="BA41">
        <v>2197507</v>
      </c>
      <c r="BB41">
        <v>34110.519999999997</v>
      </c>
      <c r="BC41">
        <v>76.734399999999994</v>
      </c>
      <c r="BD41" t="s">
        <v>130</v>
      </c>
      <c r="BE41" t="s">
        <v>111</v>
      </c>
      <c r="BF41" t="s">
        <v>440</v>
      </c>
      <c r="BG41" t="s">
        <v>133</v>
      </c>
      <c r="BH41" t="s">
        <v>134</v>
      </c>
      <c r="BI41" t="s">
        <v>112</v>
      </c>
      <c r="BJ41" t="s">
        <v>178</v>
      </c>
      <c r="BK41" t="s">
        <v>112</v>
      </c>
      <c r="BL41" t="s">
        <v>125</v>
      </c>
      <c r="BM41" t="s">
        <v>179</v>
      </c>
      <c r="BN41" t="s">
        <v>180</v>
      </c>
      <c r="BO41" t="s">
        <v>181</v>
      </c>
      <c r="BP41">
        <v>1</v>
      </c>
      <c r="BQ41" t="s">
        <v>459</v>
      </c>
      <c r="BR41" s="45">
        <f>ISNUMBER(SEARCH($BR$1,Таблица1[[#This Row],[31_1 Описание и характеристика товара]]))*1</f>
        <v>1</v>
      </c>
      <c r="BT41" t="s">
        <v>141</v>
      </c>
      <c r="BU41">
        <v>28</v>
      </c>
      <c r="BV41">
        <v>1</v>
      </c>
      <c r="BW41">
        <v>0</v>
      </c>
      <c r="BY41">
        <v>0</v>
      </c>
      <c r="CA41" t="s">
        <v>106</v>
      </c>
      <c r="CB41" t="s">
        <v>142</v>
      </c>
      <c r="CC41" t="s">
        <v>112</v>
      </c>
      <c r="CD41" t="s">
        <v>112</v>
      </c>
      <c r="CE41" t="s">
        <v>143</v>
      </c>
      <c r="CF41">
        <v>11234.15</v>
      </c>
      <c r="CG41" t="s">
        <v>144</v>
      </c>
      <c r="CH41">
        <v>4000000</v>
      </c>
      <c r="CI41">
        <v>10978.95</v>
      </c>
      <c r="CJ41">
        <v>0</v>
      </c>
      <c r="CK41" t="s">
        <v>112</v>
      </c>
      <c r="CL41" t="s">
        <v>112</v>
      </c>
      <c r="CM41">
        <v>28637.83</v>
      </c>
      <c r="CN41">
        <v>2197507</v>
      </c>
      <c r="CO41">
        <v>0</v>
      </c>
      <c r="CP41">
        <v>1</v>
      </c>
      <c r="CQ41">
        <v>2400858.5499999998</v>
      </c>
      <c r="CR41">
        <v>34110.519999999997</v>
      </c>
      <c r="CS41" t="s">
        <v>145</v>
      </c>
      <c r="CT41">
        <v>34110.499755000004</v>
      </c>
      <c r="CU41">
        <v>3.1069</v>
      </c>
      <c r="CX41" t="s">
        <v>442</v>
      </c>
      <c r="CY41">
        <v>204</v>
      </c>
    </row>
    <row r="42" spans="1:103" x14ac:dyDescent="0.25">
      <c r="A42" t="s">
        <v>106</v>
      </c>
      <c r="B42" s="38">
        <v>45179</v>
      </c>
      <c r="C42" s="43">
        <f>IF(YEAR(Таблица1[[#This Row],[Дата]])=2023,MONTH(Таблица1[[#This Row],[Дата]]),0)</f>
        <v>9</v>
      </c>
      <c r="D42" t="s">
        <v>454</v>
      </c>
      <c r="E42" t="s">
        <v>427</v>
      </c>
      <c r="F42" t="s">
        <v>455</v>
      </c>
      <c r="G42" t="s">
        <v>110</v>
      </c>
      <c r="H42" t="s">
        <v>111</v>
      </c>
      <c r="I42" t="s">
        <v>112</v>
      </c>
      <c r="J42" t="s">
        <v>112</v>
      </c>
      <c r="K42" t="s">
        <v>112</v>
      </c>
      <c r="L42" t="s">
        <v>429</v>
      </c>
      <c r="M42" t="s">
        <v>430</v>
      </c>
      <c r="N42" t="s">
        <v>112</v>
      </c>
      <c r="O42" t="s">
        <v>112</v>
      </c>
      <c r="P42">
        <v>1</v>
      </c>
      <c r="Q42">
        <v>0</v>
      </c>
      <c r="R42">
        <v>1</v>
      </c>
      <c r="S42">
        <v>33</v>
      </c>
      <c r="T42" t="s">
        <v>431</v>
      </c>
      <c r="U42" t="s">
        <v>432</v>
      </c>
      <c r="V42" t="s">
        <v>433</v>
      </c>
      <c r="W42" t="s">
        <v>434</v>
      </c>
      <c r="X42" t="s">
        <v>435</v>
      </c>
      <c r="Y42" t="s">
        <v>436</v>
      </c>
      <c r="Z42" t="s">
        <v>431</v>
      </c>
      <c r="AA42" t="s">
        <v>432</v>
      </c>
      <c r="AB42" t="s">
        <v>433</v>
      </c>
      <c r="AC42" t="s">
        <v>434</v>
      </c>
      <c r="AD42" t="s">
        <v>435</v>
      </c>
      <c r="AE42" t="s">
        <v>436</v>
      </c>
      <c r="AF42" t="s">
        <v>437</v>
      </c>
      <c r="AG42" t="s">
        <v>438</v>
      </c>
      <c r="AH42">
        <v>2707379.33</v>
      </c>
      <c r="AI42" t="s">
        <v>431</v>
      </c>
      <c r="AJ42" t="s">
        <v>432</v>
      </c>
      <c r="AK42" t="s">
        <v>433</v>
      </c>
      <c r="AL42" t="s">
        <v>434</v>
      </c>
      <c r="AM42" t="s">
        <v>435</v>
      </c>
      <c r="AN42" t="s">
        <v>436</v>
      </c>
      <c r="AO42" t="s">
        <v>121</v>
      </c>
      <c r="AP42" t="s">
        <v>122</v>
      </c>
      <c r="AQ42" t="s">
        <v>123</v>
      </c>
      <c r="AR42" t="s">
        <v>124</v>
      </c>
      <c r="AS42" t="s">
        <v>125</v>
      </c>
      <c r="AT42">
        <v>2</v>
      </c>
      <c r="AU42" t="s">
        <v>106</v>
      </c>
      <c r="AV42" t="s">
        <v>127</v>
      </c>
      <c r="AW42" t="s">
        <v>439</v>
      </c>
      <c r="AX42">
        <v>1</v>
      </c>
      <c r="AY42" t="s">
        <v>129</v>
      </c>
      <c r="AZ42">
        <v>32270.04</v>
      </c>
      <c r="BA42">
        <v>2476222</v>
      </c>
      <c r="BB42">
        <v>38465.449999999997</v>
      </c>
      <c r="BC42">
        <v>76.734399999999994</v>
      </c>
      <c r="BD42" t="s">
        <v>130</v>
      </c>
      <c r="BE42" t="s">
        <v>111</v>
      </c>
      <c r="BF42" t="s">
        <v>440</v>
      </c>
      <c r="BG42" t="s">
        <v>133</v>
      </c>
      <c r="BH42" t="s">
        <v>167</v>
      </c>
      <c r="BI42" t="s">
        <v>330</v>
      </c>
      <c r="BJ42" t="s">
        <v>112</v>
      </c>
      <c r="BK42" t="s">
        <v>112</v>
      </c>
      <c r="BL42" t="s">
        <v>125</v>
      </c>
      <c r="BM42" t="s">
        <v>331</v>
      </c>
      <c r="BN42" t="s">
        <v>332</v>
      </c>
      <c r="BO42" t="s">
        <v>181</v>
      </c>
      <c r="BP42">
        <v>1</v>
      </c>
      <c r="BQ42" t="s">
        <v>456</v>
      </c>
      <c r="BR42" s="45">
        <f>ISNUMBER(SEARCH($BR$1,Таблица1[[#This Row],[31_1 Описание и характеристика товара]]))*1</f>
        <v>1</v>
      </c>
      <c r="BT42" t="s">
        <v>141</v>
      </c>
      <c r="BU42">
        <v>33</v>
      </c>
      <c r="BV42">
        <v>1</v>
      </c>
      <c r="BW42">
        <v>0</v>
      </c>
      <c r="BY42">
        <v>0</v>
      </c>
      <c r="CA42" t="s">
        <v>106</v>
      </c>
      <c r="CB42" t="s">
        <v>142</v>
      </c>
      <c r="CC42" t="s">
        <v>112</v>
      </c>
      <c r="CD42" t="s">
        <v>112</v>
      </c>
      <c r="CE42" t="s">
        <v>143</v>
      </c>
      <c r="CF42">
        <v>12173.04</v>
      </c>
      <c r="CG42" t="s">
        <v>144</v>
      </c>
      <c r="CH42">
        <v>4000000</v>
      </c>
      <c r="CI42">
        <v>11790.24</v>
      </c>
      <c r="CJ42">
        <v>0</v>
      </c>
      <c r="CK42" t="s">
        <v>112</v>
      </c>
      <c r="CL42" t="s">
        <v>112</v>
      </c>
      <c r="CM42">
        <v>32270.04</v>
      </c>
      <c r="CN42">
        <v>2476222</v>
      </c>
      <c r="CO42">
        <v>0</v>
      </c>
      <c r="CP42">
        <v>1</v>
      </c>
      <c r="CQ42">
        <v>2707379.33</v>
      </c>
      <c r="CR42">
        <v>38465.449999999997</v>
      </c>
      <c r="CS42" t="s">
        <v>145</v>
      </c>
      <c r="CT42">
        <v>38465.658000000003</v>
      </c>
      <c r="CU42">
        <v>3.2625000000000002</v>
      </c>
      <c r="CX42" t="s">
        <v>442</v>
      </c>
      <c r="CY42">
        <v>108</v>
      </c>
    </row>
    <row r="43" spans="1:103" x14ac:dyDescent="0.25">
      <c r="A43" t="s">
        <v>106</v>
      </c>
      <c r="B43" s="38">
        <v>44964</v>
      </c>
      <c r="C43" s="43">
        <f>IF(YEAR(Таблица1[[#This Row],[Дата]])=2023,MONTH(Таблица1[[#This Row],[Дата]]),0)</f>
        <v>2</v>
      </c>
      <c r="D43" t="s">
        <v>426</v>
      </c>
      <c r="E43" t="s">
        <v>427</v>
      </c>
      <c r="F43" t="s">
        <v>428</v>
      </c>
      <c r="G43" t="s">
        <v>110</v>
      </c>
      <c r="H43" t="s">
        <v>111</v>
      </c>
      <c r="I43" t="s">
        <v>112</v>
      </c>
      <c r="J43" t="s">
        <v>112</v>
      </c>
      <c r="K43" t="s">
        <v>112</v>
      </c>
      <c r="L43" t="s">
        <v>429</v>
      </c>
      <c r="M43" t="s">
        <v>430</v>
      </c>
      <c r="N43" t="s">
        <v>112</v>
      </c>
      <c r="O43" t="s">
        <v>112</v>
      </c>
      <c r="P43">
        <v>1</v>
      </c>
      <c r="Q43">
        <v>0</v>
      </c>
      <c r="R43">
        <v>1</v>
      </c>
      <c r="S43">
        <v>33</v>
      </c>
      <c r="T43" t="s">
        <v>431</v>
      </c>
      <c r="U43" t="s">
        <v>432</v>
      </c>
      <c r="V43" t="s">
        <v>433</v>
      </c>
      <c r="W43" t="s">
        <v>434</v>
      </c>
      <c r="X43" t="s">
        <v>435</v>
      </c>
      <c r="Y43" t="s">
        <v>436</v>
      </c>
      <c r="Z43" t="s">
        <v>431</v>
      </c>
      <c r="AA43" t="s">
        <v>432</v>
      </c>
      <c r="AB43" t="s">
        <v>433</v>
      </c>
      <c r="AC43" t="s">
        <v>434</v>
      </c>
      <c r="AD43" t="s">
        <v>435</v>
      </c>
      <c r="AE43" t="s">
        <v>436</v>
      </c>
      <c r="AF43" t="s">
        <v>437</v>
      </c>
      <c r="AG43" t="s">
        <v>438</v>
      </c>
      <c r="AH43">
        <v>2455798.08</v>
      </c>
      <c r="AI43" t="s">
        <v>431</v>
      </c>
      <c r="AJ43" t="s">
        <v>432</v>
      </c>
      <c r="AK43" t="s">
        <v>433</v>
      </c>
      <c r="AL43" t="s">
        <v>434</v>
      </c>
      <c r="AM43" t="s">
        <v>435</v>
      </c>
      <c r="AN43" t="s">
        <v>436</v>
      </c>
      <c r="AO43" t="s">
        <v>121</v>
      </c>
      <c r="AP43" t="s">
        <v>122</v>
      </c>
      <c r="AQ43" t="s">
        <v>123</v>
      </c>
      <c r="AR43" t="s">
        <v>124</v>
      </c>
      <c r="AS43" t="s">
        <v>125</v>
      </c>
      <c r="AT43">
        <v>2</v>
      </c>
      <c r="AU43" t="s">
        <v>106</v>
      </c>
      <c r="AV43" t="s">
        <v>127</v>
      </c>
      <c r="AW43" t="s">
        <v>439</v>
      </c>
      <c r="AX43">
        <v>1</v>
      </c>
      <c r="AY43" t="s">
        <v>129</v>
      </c>
      <c r="AZ43">
        <v>29353.8</v>
      </c>
      <c r="BA43">
        <v>2252446</v>
      </c>
      <c r="BB43">
        <v>34891.08</v>
      </c>
      <c r="BC43">
        <v>76.734399999999994</v>
      </c>
      <c r="BD43" t="s">
        <v>130</v>
      </c>
      <c r="BE43" t="s">
        <v>111</v>
      </c>
      <c r="BF43" t="s">
        <v>440</v>
      </c>
      <c r="BG43" t="s">
        <v>133</v>
      </c>
      <c r="BH43" t="s">
        <v>134</v>
      </c>
      <c r="BI43" t="s">
        <v>112</v>
      </c>
      <c r="BJ43" t="s">
        <v>178</v>
      </c>
      <c r="BK43" t="s">
        <v>112</v>
      </c>
      <c r="BL43" t="s">
        <v>125</v>
      </c>
      <c r="BM43" t="s">
        <v>179</v>
      </c>
      <c r="BN43" t="s">
        <v>180</v>
      </c>
      <c r="BO43" t="s">
        <v>181</v>
      </c>
      <c r="BP43">
        <v>1</v>
      </c>
      <c r="BQ43" t="s">
        <v>441</v>
      </c>
      <c r="BR43" s="45">
        <f>ISNUMBER(SEARCH($BR$1,Таблица1[[#This Row],[31_1 Описание и характеристика товара]]))*1</f>
        <v>1</v>
      </c>
      <c r="BT43" t="s">
        <v>141</v>
      </c>
      <c r="BU43">
        <v>33</v>
      </c>
      <c r="BV43">
        <v>1</v>
      </c>
      <c r="BW43">
        <v>0</v>
      </c>
      <c r="BY43">
        <v>0</v>
      </c>
      <c r="CA43" t="s">
        <v>106</v>
      </c>
      <c r="CB43" t="s">
        <v>142</v>
      </c>
      <c r="CC43" t="s">
        <v>112</v>
      </c>
      <c r="CD43" t="s">
        <v>112</v>
      </c>
      <c r="CE43" t="s">
        <v>143</v>
      </c>
      <c r="CF43">
        <v>13311</v>
      </c>
      <c r="CG43" t="s">
        <v>144</v>
      </c>
      <c r="CH43">
        <v>4000000</v>
      </c>
      <c r="CI43">
        <v>13311</v>
      </c>
      <c r="CJ43">
        <v>0</v>
      </c>
      <c r="CK43" t="s">
        <v>112</v>
      </c>
      <c r="CL43" t="s">
        <v>112</v>
      </c>
      <c r="CM43">
        <v>29353.8</v>
      </c>
      <c r="CN43">
        <v>2252446</v>
      </c>
      <c r="CO43">
        <v>0</v>
      </c>
      <c r="CP43">
        <v>1</v>
      </c>
      <c r="CQ43">
        <v>2455798.08</v>
      </c>
      <c r="CR43">
        <v>34891.08</v>
      </c>
      <c r="CS43" t="s">
        <v>145</v>
      </c>
      <c r="CT43">
        <v>34890.7932</v>
      </c>
      <c r="CU43">
        <v>2.6212</v>
      </c>
      <c r="CX43" t="s">
        <v>442</v>
      </c>
      <c r="CY43">
        <v>44</v>
      </c>
    </row>
    <row r="44" spans="1:103" x14ac:dyDescent="0.25">
      <c r="A44" t="s">
        <v>106</v>
      </c>
      <c r="B44" s="38">
        <v>45174</v>
      </c>
      <c r="C44" s="43">
        <f>IF(YEAR(Таблица1[[#This Row],[Дата]])=2023,MONTH(Таблица1[[#This Row],[Дата]]),0)</f>
        <v>9</v>
      </c>
      <c r="D44" t="s">
        <v>443</v>
      </c>
      <c r="E44" t="s">
        <v>427</v>
      </c>
      <c r="F44" t="s">
        <v>444</v>
      </c>
      <c r="G44" t="s">
        <v>110</v>
      </c>
      <c r="H44" t="s">
        <v>111</v>
      </c>
      <c r="I44" t="s">
        <v>112</v>
      </c>
      <c r="J44" t="s">
        <v>112</v>
      </c>
      <c r="K44" t="s">
        <v>112</v>
      </c>
      <c r="L44" t="s">
        <v>429</v>
      </c>
      <c r="M44" t="s">
        <v>430</v>
      </c>
      <c r="N44" t="s">
        <v>112</v>
      </c>
      <c r="O44" t="s">
        <v>112</v>
      </c>
      <c r="P44">
        <v>1</v>
      </c>
      <c r="Q44">
        <v>0</v>
      </c>
      <c r="R44">
        <v>1</v>
      </c>
      <c r="S44">
        <v>33</v>
      </c>
      <c r="T44" t="s">
        <v>431</v>
      </c>
      <c r="U44" t="s">
        <v>432</v>
      </c>
      <c r="V44" t="s">
        <v>433</v>
      </c>
      <c r="W44" t="s">
        <v>434</v>
      </c>
      <c r="X44" t="s">
        <v>435</v>
      </c>
      <c r="Y44" t="s">
        <v>436</v>
      </c>
      <c r="Z44" t="s">
        <v>431</v>
      </c>
      <c r="AA44" t="s">
        <v>432</v>
      </c>
      <c r="AB44" t="s">
        <v>433</v>
      </c>
      <c r="AC44" t="s">
        <v>434</v>
      </c>
      <c r="AD44" t="s">
        <v>435</v>
      </c>
      <c r="AE44" t="s">
        <v>436</v>
      </c>
      <c r="AF44" t="s">
        <v>437</v>
      </c>
      <c r="AG44" t="s">
        <v>438</v>
      </c>
      <c r="AH44">
        <v>2609711.94</v>
      </c>
      <c r="AI44" t="s">
        <v>431</v>
      </c>
      <c r="AJ44" t="s">
        <v>432</v>
      </c>
      <c r="AK44" t="s">
        <v>433</v>
      </c>
      <c r="AL44" t="s">
        <v>434</v>
      </c>
      <c r="AM44" t="s">
        <v>435</v>
      </c>
      <c r="AN44" t="s">
        <v>436</v>
      </c>
      <c r="AO44" t="s">
        <v>121</v>
      </c>
      <c r="AP44" t="s">
        <v>122</v>
      </c>
      <c r="AQ44" t="s">
        <v>123</v>
      </c>
      <c r="AR44" t="s">
        <v>124</v>
      </c>
      <c r="AS44" t="s">
        <v>125</v>
      </c>
      <c r="AT44">
        <v>2</v>
      </c>
      <c r="AU44" t="s">
        <v>106</v>
      </c>
      <c r="AV44" t="s">
        <v>127</v>
      </c>
      <c r="AW44" t="s">
        <v>439</v>
      </c>
      <c r="AX44">
        <v>1</v>
      </c>
      <c r="AY44" t="s">
        <v>129</v>
      </c>
      <c r="AZ44">
        <v>31359.599999999999</v>
      </c>
      <c r="BA44">
        <v>2406360</v>
      </c>
      <c r="BB44">
        <v>37077.83</v>
      </c>
      <c r="BC44">
        <v>76.734399999999994</v>
      </c>
      <c r="BD44" t="s">
        <v>130</v>
      </c>
      <c r="BE44" t="s">
        <v>111</v>
      </c>
      <c r="BF44" t="s">
        <v>440</v>
      </c>
      <c r="BG44" t="s">
        <v>133</v>
      </c>
      <c r="BH44" t="s">
        <v>134</v>
      </c>
      <c r="BI44" t="s">
        <v>112</v>
      </c>
      <c r="BJ44" t="s">
        <v>178</v>
      </c>
      <c r="BK44" t="s">
        <v>112</v>
      </c>
      <c r="BL44" t="s">
        <v>125</v>
      </c>
      <c r="BM44" t="s">
        <v>179</v>
      </c>
      <c r="BN44" t="s">
        <v>180</v>
      </c>
      <c r="BO44" t="s">
        <v>181</v>
      </c>
      <c r="BP44">
        <v>1</v>
      </c>
      <c r="BQ44" t="s">
        <v>445</v>
      </c>
      <c r="BR44" s="45">
        <f>ISNUMBER(SEARCH($BR$1,Таблица1[[#This Row],[31_1 Описание и характеристика товара]]))*1</f>
        <v>1</v>
      </c>
      <c r="BT44" t="s">
        <v>141</v>
      </c>
      <c r="BU44">
        <v>33</v>
      </c>
      <c r="BV44">
        <v>1</v>
      </c>
      <c r="BW44">
        <v>0</v>
      </c>
      <c r="BY44">
        <v>0</v>
      </c>
      <c r="CA44" t="s">
        <v>106</v>
      </c>
      <c r="CB44" t="s">
        <v>142</v>
      </c>
      <c r="CC44" t="s">
        <v>112</v>
      </c>
      <c r="CD44" t="s">
        <v>112</v>
      </c>
      <c r="CE44" t="s">
        <v>143</v>
      </c>
      <c r="CF44">
        <v>11829.6</v>
      </c>
      <c r="CG44" t="s">
        <v>144</v>
      </c>
      <c r="CH44">
        <v>4000000</v>
      </c>
      <c r="CI44">
        <v>11457.6</v>
      </c>
      <c r="CJ44">
        <v>0</v>
      </c>
      <c r="CK44" t="s">
        <v>112</v>
      </c>
      <c r="CL44" t="s">
        <v>112</v>
      </c>
      <c r="CM44">
        <v>31359.599999999999</v>
      </c>
      <c r="CN44">
        <v>2406360</v>
      </c>
      <c r="CO44">
        <v>0</v>
      </c>
      <c r="CP44">
        <v>1</v>
      </c>
      <c r="CQ44">
        <v>2609711.94</v>
      </c>
      <c r="CR44">
        <v>37077.83</v>
      </c>
      <c r="CS44" t="s">
        <v>145</v>
      </c>
      <c r="CT44">
        <v>37077.939360000004</v>
      </c>
      <c r="CU44">
        <v>3.2361</v>
      </c>
      <c r="CX44" t="s">
        <v>442</v>
      </c>
      <c r="CY44">
        <v>200</v>
      </c>
    </row>
    <row r="45" spans="1:103" x14ac:dyDescent="0.25">
      <c r="A45" s="8" t="s">
        <v>106</v>
      </c>
      <c r="B45" s="38">
        <v>45208</v>
      </c>
      <c r="C45" s="43">
        <f>IF(YEAR(Таблица1[[#This Row],[Дата]])=2023,MONTH(Таблица1[[#This Row],[Дата]]),0)</f>
        <v>10</v>
      </c>
      <c r="D45" s="8" t="s">
        <v>2132</v>
      </c>
      <c r="E45" s="8" t="s">
        <v>108</v>
      </c>
      <c r="F45" s="8" t="s">
        <v>2133</v>
      </c>
      <c r="G45" t="s">
        <v>110</v>
      </c>
      <c r="H45" s="8" t="s">
        <v>111</v>
      </c>
      <c r="I45" s="8" t="s">
        <v>112</v>
      </c>
      <c r="J45" s="8" t="s">
        <v>112</v>
      </c>
      <c r="K45" s="8" t="s">
        <v>112</v>
      </c>
      <c r="L45" s="8" t="s">
        <v>2134</v>
      </c>
      <c r="M45" s="8" t="s">
        <v>2135</v>
      </c>
      <c r="N45" s="8" t="s">
        <v>112</v>
      </c>
      <c r="O45" s="8" t="s">
        <v>112</v>
      </c>
      <c r="P45">
        <v>1</v>
      </c>
      <c r="Q45">
        <v>0</v>
      </c>
      <c r="R45">
        <v>1</v>
      </c>
      <c r="S45">
        <v>56</v>
      </c>
      <c r="T45" s="8" t="s">
        <v>2136</v>
      </c>
      <c r="U45" s="8" t="s">
        <v>2137</v>
      </c>
      <c r="V45" s="8" t="s">
        <v>2138</v>
      </c>
      <c r="W45" s="8" t="s">
        <v>2139</v>
      </c>
      <c r="X45" s="8" t="s">
        <v>119</v>
      </c>
      <c r="Y45" s="8" t="s">
        <v>2140</v>
      </c>
      <c r="Z45" s="8" t="s">
        <v>2136</v>
      </c>
      <c r="AA45" s="8" t="s">
        <v>2137</v>
      </c>
      <c r="AB45" s="8" t="s">
        <v>2141</v>
      </c>
      <c r="AC45" s="8" t="s">
        <v>2139</v>
      </c>
      <c r="AD45" s="8" t="s">
        <v>119</v>
      </c>
      <c r="AE45" s="8" t="s">
        <v>2140</v>
      </c>
      <c r="AF45" s="8" t="s">
        <v>2142</v>
      </c>
      <c r="AG45" s="8" t="s">
        <v>2143</v>
      </c>
      <c r="AH45">
        <v>7849865.3899999904</v>
      </c>
      <c r="AI45" s="8" t="s">
        <v>2136</v>
      </c>
      <c r="AJ45" s="8" t="s">
        <v>2137</v>
      </c>
      <c r="AK45" s="8" t="s">
        <v>2141</v>
      </c>
      <c r="AL45" s="8" t="s">
        <v>2139</v>
      </c>
      <c r="AM45" s="8" t="s">
        <v>119</v>
      </c>
      <c r="AN45" s="8" t="s">
        <v>2140</v>
      </c>
      <c r="AO45" s="8" t="s">
        <v>2142</v>
      </c>
      <c r="AP45" s="8" t="s">
        <v>2143</v>
      </c>
      <c r="AQ45" s="8" t="s">
        <v>2143</v>
      </c>
      <c r="AR45" s="8" t="s">
        <v>124</v>
      </c>
      <c r="AS45" s="8" t="s">
        <v>125</v>
      </c>
      <c r="AT45">
        <v>1</v>
      </c>
      <c r="AU45" s="8" t="s">
        <v>106</v>
      </c>
      <c r="AV45" s="8" t="s">
        <v>127</v>
      </c>
      <c r="AW45" s="8" t="s">
        <v>2144</v>
      </c>
      <c r="AX45">
        <v>0</v>
      </c>
      <c r="AY45" s="8" t="s">
        <v>129</v>
      </c>
      <c r="AZ45">
        <v>99667.32</v>
      </c>
      <c r="BA45">
        <v>7540361</v>
      </c>
      <c r="BB45">
        <v>111602.85</v>
      </c>
      <c r="BC45">
        <v>75.655299999999897</v>
      </c>
      <c r="BD45" s="8" t="s">
        <v>130</v>
      </c>
      <c r="BE45" s="8" t="s">
        <v>111</v>
      </c>
      <c r="BF45" s="8" t="s">
        <v>2145</v>
      </c>
      <c r="BG45" s="8" t="s">
        <v>133</v>
      </c>
      <c r="BH45" s="8" t="s">
        <v>167</v>
      </c>
      <c r="BI45" s="8" t="s">
        <v>168</v>
      </c>
      <c r="BJ45" s="8" t="s">
        <v>112</v>
      </c>
      <c r="BK45" s="8" t="s">
        <v>112</v>
      </c>
      <c r="BL45" s="8" t="s">
        <v>169</v>
      </c>
      <c r="BM45" s="8" t="s">
        <v>159</v>
      </c>
      <c r="BN45" s="8" t="s">
        <v>160</v>
      </c>
      <c r="BO45" s="8" t="s">
        <v>161</v>
      </c>
      <c r="BP45">
        <v>1</v>
      </c>
      <c r="BQ45" s="8" t="s">
        <v>2146</v>
      </c>
      <c r="BR45" s="45">
        <f>ISNUMBER(SEARCH($BR$1,Таблица1[[#This Row],[31_1 Описание и характеристика товара]]))*1</f>
        <v>0</v>
      </c>
      <c r="BT45" s="8" t="s">
        <v>2134</v>
      </c>
      <c r="BU45">
        <v>56</v>
      </c>
      <c r="BV45">
        <v>1</v>
      </c>
      <c r="BW45">
        <v>388</v>
      </c>
      <c r="BX45" t="s">
        <v>2147</v>
      </c>
      <c r="BY45">
        <v>0</v>
      </c>
      <c r="CA45" s="8" t="s">
        <v>106</v>
      </c>
      <c r="CB45" s="8" t="s">
        <v>2148</v>
      </c>
      <c r="CC45" s="8" t="s">
        <v>112</v>
      </c>
      <c r="CD45" s="8" t="s">
        <v>112</v>
      </c>
      <c r="CE45" s="8" t="s">
        <v>2142</v>
      </c>
      <c r="CF45">
        <v>11524</v>
      </c>
      <c r="CG45" t="s">
        <v>144</v>
      </c>
      <c r="CH45">
        <v>4000000</v>
      </c>
      <c r="CI45">
        <v>11252</v>
      </c>
      <c r="CJ45">
        <v>0</v>
      </c>
      <c r="CK45" s="8" t="s">
        <v>112</v>
      </c>
      <c r="CL45" s="8" t="s">
        <v>112</v>
      </c>
      <c r="CM45">
        <v>99667.32</v>
      </c>
      <c r="CN45">
        <v>7540361</v>
      </c>
      <c r="CO45">
        <v>0</v>
      </c>
      <c r="CP45">
        <v>1</v>
      </c>
      <c r="CQ45">
        <v>7849865.3899999904</v>
      </c>
      <c r="CR45">
        <v>111602.85</v>
      </c>
      <c r="CS45" s="8" t="s">
        <v>145</v>
      </c>
      <c r="CT45">
        <v>9.9184999999999999</v>
      </c>
      <c r="CU45">
        <v>1053</v>
      </c>
      <c r="CV45" t="s">
        <v>2149</v>
      </c>
      <c r="CX45" t="s">
        <v>2150</v>
      </c>
      <c r="CY45">
        <v>0</v>
      </c>
    </row>
    <row r="46" spans="1:103" x14ac:dyDescent="0.25">
      <c r="A46" s="8" t="s">
        <v>106</v>
      </c>
      <c r="B46" s="38">
        <v>45043</v>
      </c>
      <c r="C46" s="43">
        <f>IF(YEAR(Таблица1[[#This Row],[Дата]])=2023,MONTH(Таблица1[[#This Row],[Дата]]),0)</f>
        <v>4</v>
      </c>
      <c r="D46" s="8" t="s">
        <v>2151</v>
      </c>
      <c r="E46" s="8" t="s">
        <v>108</v>
      </c>
      <c r="F46" s="8" t="s">
        <v>2152</v>
      </c>
      <c r="G46" t="s">
        <v>110</v>
      </c>
      <c r="H46" s="8" t="s">
        <v>111</v>
      </c>
      <c r="I46" s="8" t="s">
        <v>112</v>
      </c>
      <c r="J46" s="8" t="s">
        <v>112</v>
      </c>
      <c r="K46" s="8" t="s">
        <v>112</v>
      </c>
      <c r="L46" s="8" t="s">
        <v>2134</v>
      </c>
      <c r="M46" s="8" t="s">
        <v>2135</v>
      </c>
      <c r="N46" s="8" t="s">
        <v>112</v>
      </c>
      <c r="O46" s="8" t="s">
        <v>112</v>
      </c>
      <c r="P46">
        <v>1</v>
      </c>
      <c r="Q46">
        <v>0</v>
      </c>
      <c r="R46">
        <v>1</v>
      </c>
      <c r="S46">
        <v>52</v>
      </c>
      <c r="T46" s="8" t="s">
        <v>2136</v>
      </c>
      <c r="U46" s="8" t="s">
        <v>2137</v>
      </c>
      <c r="V46" s="8" t="s">
        <v>2138</v>
      </c>
      <c r="W46" s="8" t="s">
        <v>2139</v>
      </c>
      <c r="X46" s="8" t="s">
        <v>119</v>
      </c>
      <c r="Y46" s="8" t="s">
        <v>2140</v>
      </c>
      <c r="Z46" s="8" t="s">
        <v>2136</v>
      </c>
      <c r="AA46" s="8" t="s">
        <v>2137</v>
      </c>
      <c r="AB46" s="8" t="s">
        <v>2141</v>
      </c>
      <c r="AC46" s="8" t="s">
        <v>2139</v>
      </c>
      <c r="AD46" s="8" t="s">
        <v>119</v>
      </c>
      <c r="AE46" s="8" t="s">
        <v>2140</v>
      </c>
      <c r="AF46" s="8" t="s">
        <v>2142</v>
      </c>
      <c r="AG46" s="8" t="s">
        <v>2143</v>
      </c>
      <c r="AH46">
        <v>7107262.3300000001</v>
      </c>
      <c r="AI46" s="8" t="s">
        <v>2136</v>
      </c>
      <c r="AJ46" s="8" t="s">
        <v>2137</v>
      </c>
      <c r="AK46" s="8" t="s">
        <v>2141</v>
      </c>
      <c r="AL46" s="8" t="s">
        <v>2139</v>
      </c>
      <c r="AM46" s="8" t="s">
        <v>119</v>
      </c>
      <c r="AN46" s="8" t="s">
        <v>2140</v>
      </c>
      <c r="AO46" s="8" t="s">
        <v>2142</v>
      </c>
      <c r="AP46" s="8" t="s">
        <v>2143</v>
      </c>
      <c r="AQ46" s="8" t="s">
        <v>2143</v>
      </c>
      <c r="AR46" s="8" t="s">
        <v>124</v>
      </c>
      <c r="AS46" s="8" t="s">
        <v>125</v>
      </c>
      <c r="AT46">
        <v>1</v>
      </c>
      <c r="AU46" s="8" t="s">
        <v>106</v>
      </c>
      <c r="AV46" s="8" t="s">
        <v>127</v>
      </c>
      <c r="AW46" s="8" t="s">
        <v>2144</v>
      </c>
      <c r="AX46">
        <v>0</v>
      </c>
      <c r="AY46" s="8" t="s">
        <v>129</v>
      </c>
      <c r="AZ46">
        <v>89851.71</v>
      </c>
      <c r="BA46">
        <v>6797758</v>
      </c>
      <c r="BB46">
        <v>101045.14</v>
      </c>
      <c r="BC46">
        <v>75.655299999999897</v>
      </c>
      <c r="BD46" s="8" t="s">
        <v>130</v>
      </c>
      <c r="BE46" s="8" t="s">
        <v>111</v>
      </c>
      <c r="BF46" s="8" t="s">
        <v>2145</v>
      </c>
      <c r="BG46" s="8" t="s">
        <v>133</v>
      </c>
      <c r="BH46" s="8" t="s">
        <v>167</v>
      </c>
      <c r="BI46" s="8" t="s">
        <v>168</v>
      </c>
      <c r="BJ46" s="8" t="s">
        <v>112</v>
      </c>
      <c r="BK46" s="8" t="s">
        <v>112</v>
      </c>
      <c r="BL46" s="8" t="s">
        <v>169</v>
      </c>
      <c r="BM46" s="8" t="s">
        <v>159</v>
      </c>
      <c r="BN46" s="8" t="s">
        <v>160</v>
      </c>
      <c r="BO46" s="8" t="s">
        <v>161</v>
      </c>
      <c r="BP46">
        <v>1</v>
      </c>
      <c r="BQ46" s="8" t="s">
        <v>2146</v>
      </c>
      <c r="BR46" s="45">
        <f>ISNUMBER(SEARCH($BR$1,Таблица1[[#This Row],[31_1 Описание и характеристика товара]]))*1</f>
        <v>0</v>
      </c>
      <c r="BT46" s="8" t="s">
        <v>2134</v>
      </c>
      <c r="BU46">
        <v>52</v>
      </c>
      <c r="BV46">
        <v>1</v>
      </c>
      <c r="BW46">
        <v>324</v>
      </c>
      <c r="BX46" t="s">
        <v>2147</v>
      </c>
      <c r="BY46">
        <v>0</v>
      </c>
      <c r="CA46" s="8" t="s">
        <v>106</v>
      </c>
      <c r="CB46" s="8" t="s">
        <v>2148</v>
      </c>
      <c r="CC46" s="8" t="s">
        <v>112</v>
      </c>
      <c r="CD46" s="8" t="s">
        <v>112</v>
      </c>
      <c r="CE46" s="8" t="s">
        <v>2142</v>
      </c>
      <c r="CF46">
        <v>10656</v>
      </c>
      <c r="CG46" t="s">
        <v>144</v>
      </c>
      <c r="CH46">
        <v>4000000</v>
      </c>
      <c r="CI46">
        <v>10196</v>
      </c>
      <c r="CJ46">
        <v>0</v>
      </c>
      <c r="CK46" s="8" t="s">
        <v>112</v>
      </c>
      <c r="CL46" s="8" t="s">
        <v>112</v>
      </c>
      <c r="CM46">
        <v>89851.71</v>
      </c>
      <c r="CN46">
        <v>6797758</v>
      </c>
      <c r="CO46">
        <v>0</v>
      </c>
      <c r="CP46">
        <v>1</v>
      </c>
      <c r="CQ46">
        <v>7107262.3300000001</v>
      </c>
      <c r="CR46">
        <v>101045.14</v>
      </c>
      <c r="CS46" s="8" t="s">
        <v>145</v>
      </c>
      <c r="CT46">
        <v>9.9102999999999994</v>
      </c>
      <c r="CU46">
        <v>1053</v>
      </c>
      <c r="CV46" t="s">
        <v>2149</v>
      </c>
      <c r="CX46" t="s">
        <v>2150</v>
      </c>
      <c r="CY46">
        <v>0</v>
      </c>
    </row>
    <row r="47" spans="1:103" x14ac:dyDescent="0.25">
      <c r="A47" s="8" t="s">
        <v>106</v>
      </c>
      <c r="B47" s="38">
        <v>44985</v>
      </c>
      <c r="C47" s="43">
        <f>IF(YEAR(Таблица1[[#This Row],[Дата]])=2023,MONTH(Таблица1[[#This Row],[Дата]]),0)</f>
        <v>2</v>
      </c>
      <c r="D47" s="8" t="s">
        <v>2153</v>
      </c>
      <c r="E47" s="8" t="s">
        <v>108</v>
      </c>
      <c r="F47" s="8" t="s">
        <v>2154</v>
      </c>
      <c r="G47" t="s">
        <v>110</v>
      </c>
      <c r="H47" s="8" t="s">
        <v>111</v>
      </c>
      <c r="I47" s="8" t="s">
        <v>112</v>
      </c>
      <c r="J47" s="8" t="s">
        <v>112</v>
      </c>
      <c r="K47" s="8" t="s">
        <v>112</v>
      </c>
      <c r="L47" s="8" t="s">
        <v>2134</v>
      </c>
      <c r="M47" s="8" t="s">
        <v>2135</v>
      </c>
      <c r="N47" s="8" t="s">
        <v>112</v>
      </c>
      <c r="O47" s="8" t="s">
        <v>112</v>
      </c>
      <c r="P47">
        <v>1</v>
      </c>
      <c r="Q47">
        <v>0</v>
      </c>
      <c r="R47">
        <v>1</v>
      </c>
      <c r="S47">
        <v>52</v>
      </c>
      <c r="T47" s="8" t="s">
        <v>2136</v>
      </c>
      <c r="U47" s="8" t="s">
        <v>2137</v>
      </c>
      <c r="V47" s="8" t="s">
        <v>2138</v>
      </c>
      <c r="W47" s="8" t="s">
        <v>2139</v>
      </c>
      <c r="X47" s="8" t="s">
        <v>119</v>
      </c>
      <c r="Y47" s="8" t="s">
        <v>2140</v>
      </c>
      <c r="Z47" s="8" t="s">
        <v>2136</v>
      </c>
      <c r="AA47" s="8" t="s">
        <v>2137</v>
      </c>
      <c r="AB47" s="8" t="s">
        <v>2141</v>
      </c>
      <c r="AC47" s="8" t="s">
        <v>2139</v>
      </c>
      <c r="AD47" s="8" t="s">
        <v>119</v>
      </c>
      <c r="AE47" s="8" t="s">
        <v>2140</v>
      </c>
      <c r="AF47" s="8" t="s">
        <v>2142</v>
      </c>
      <c r="AG47" s="8" t="s">
        <v>2143</v>
      </c>
      <c r="AH47">
        <v>6989252.75</v>
      </c>
      <c r="AI47" s="8" t="s">
        <v>2136</v>
      </c>
      <c r="AJ47" s="8" t="s">
        <v>2137</v>
      </c>
      <c r="AK47" s="8" t="s">
        <v>2141</v>
      </c>
      <c r="AL47" s="8" t="s">
        <v>2139</v>
      </c>
      <c r="AM47" s="8" t="s">
        <v>119</v>
      </c>
      <c r="AN47" s="8" t="s">
        <v>2140</v>
      </c>
      <c r="AO47" s="8" t="s">
        <v>2142</v>
      </c>
      <c r="AP47" s="8" t="s">
        <v>2143</v>
      </c>
      <c r="AQ47" s="8" t="s">
        <v>2143</v>
      </c>
      <c r="AR47" s="8" t="s">
        <v>124</v>
      </c>
      <c r="AS47" s="8" t="s">
        <v>125</v>
      </c>
      <c r="AT47">
        <v>1</v>
      </c>
      <c r="AU47" s="8" t="s">
        <v>106</v>
      </c>
      <c r="AV47" s="8" t="s">
        <v>127</v>
      </c>
      <c r="AW47" s="8" t="s">
        <v>2144</v>
      </c>
      <c r="AX47">
        <v>0</v>
      </c>
      <c r="AY47" s="8" t="s">
        <v>129</v>
      </c>
      <c r="AZ47">
        <v>88291.87</v>
      </c>
      <c r="BA47">
        <v>6679748</v>
      </c>
      <c r="BB47">
        <v>99367.38</v>
      </c>
      <c r="BC47">
        <v>75.655299999999897</v>
      </c>
      <c r="BD47" s="8" t="s">
        <v>130</v>
      </c>
      <c r="BE47" s="8" t="s">
        <v>111</v>
      </c>
      <c r="BF47" s="8" t="s">
        <v>2145</v>
      </c>
      <c r="BG47" s="8" t="s">
        <v>133</v>
      </c>
      <c r="BH47" s="8" t="s">
        <v>167</v>
      </c>
      <c r="BI47" s="8" t="s">
        <v>168</v>
      </c>
      <c r="BJ47" s="8" t="s">
        <v>112</v>
      </c>
      <c r="BK47" s="8" t="s">
        <v>112</v>
      </c>
      <c r="BL47" s="8" t="s">
        <v>169</v>
      </c>
      <c r="BM47" s="8" t="s">
        <v>159</v>
      </c>
      <c r="BN47" s="8" t="s">
        <v>160</v>
      </c>
      <c r="BO47" s="8" t="s">
        <v>161</v>
      </c>
      <c r="BP47">
        <v>1</v>
      </c>
      <c r="BQ47" s="8" t="s">
        <v>2146</v>
      </c>
      <c r="BR47" s="45">
        <f>ISNUMBER(SEARCH($BR$1,Таблица1[[#This Row],[31_1 Описание и характеристика товара]]))*1</f>
        <v>0</v>
      </c>
      <c r="BT47" s="8" t="s">
        <v>2134</v>
      </c>
      <c r="BU47">
        <v>52</v>
      </c>
      <c r="BV47">
        <v>1</v>
      </c>
      <c r="BW47">
        <v>308</v>
      </c>
      <c r="BX47" t="s">
        <v>2147</v>
      </c>
      <c r="BY47">
        <v>0</v>
      </c>
      <c r="CA47" s="8" t="s">
        <v>106</v>
      </c>
      <c r="CB47" s="8" t="s">
        <v>2148</v>
      </c>
      <c r="CC47" s="8" t="s">
        <v>112</v>
      </c>
      <c r="CD47" s="8" t="s">
        <v>112</v>
      </c>
      <c r="CE47" s="8" t="s">
        <v>2142</v>
      </c>
      <c r="CF47">
        <v>10592</v>
      </c>
      <c r="CG47" t="s">
        <v>144</v>
      </c>
      <c r="CH47">
        <v>4000000</v>
      </c>
      <c r="CI47">
        <v>10032</v>
      </c>
      <c r="CJ47">
        <v>0</v>
      </c>
      <c r="CK47" s="8" t="s">
        <v>112</v>
      </c>
      <c r="CL47" s="8" t="s">
        <v>112</v>
      </c>
      <c r="CM47">
        <v>88291.87</v>
      </c>
      <c r="CN47">
        <v>6679748</v>
      </c>
      <c r="CO47">
        <v>0</v>
      </c>
      <c r="CP47">
        <v>1</v>
      </c>
      <c r="CQ47">
        <v>6989252.75</v>
      </c>
      <c r="CR47">
        <v>99367.38</v>
      </c>
      <c r="CS47" s="8" t="s">
        <v>145</v>
      </c>
      <c r="CT47">
        <v>9.9049999999999994</v>
      </c>
      <c r="CU47">
        <v>1053</v>
      </c>
      <c r="CV47" t="s">
        <v>2149</v>
      </c>
      <c r="CX47" t="s">
        <v>2150</v>
      </c>
      <c r="CY47">
        <v>0</v>
      </c>
    </row>
    <row r="48" spans="1:103" x14ac:dyDescent="0.25">
      <c r="A48" s="8" t="s">
        <v>106</v>
      </c>
      <c r="B48" s="38">
        <v>45115</v>
      </c>
      <c r="C48" s="43">
        <f>IF(YEAR(Таблица1[[#This Row],[Дата]])=2023,MONTH(Таблица1[[#This Row],[Дата]]),0)</f>
        <v>7</v>
      </c>
      <c r="D48" s="8" t="s">
        <v>2157</v>
      </c>
      <c r="E48" s="8" t="s">
        <v>108</v>
      </c>
      <c r="F48" s="8" t="s">
        <v>2158</v>
      </c>
      <c r="G48" t="s">
        <v>110</v>
      </c>
      <c r="H48" s="8" t="s">
        <v>111</v>
      </c>
      <c r="I48" s="8" t="s">
        <v>112</v>
      </c>
      <c r="J48" s="8" t="s">
        <v>112</v>
      </c>
      <c r="K48" s="8" t="s">
        <v>112</v>
      </c>
      <c r="L48" s="8" t="s">
        <v>2134</v>
      </c>
      <c r="M48" s="8" t="s">
        <v>2135</v>
      </c>
      <c r="N48" s="8" t="s">
        <v>112</v>
      </c>
      <c r="O48" s="8" t="s">
        <v>112</v>
      </c>
      <c r="P48">
        <v>1</v>
      </c>
      <c r="Q48">
        <v>0</v>
      </c>
      <c r="R48">
        <v>1</v>
      </c>
      <c r="S48">
        <v>56</v>
      </c>
      <c r="T48" s="8" t="s">
        <v>2136</v>
      </c>
      <c r="U48" s="8" t="s">
        <v>2137</v>
      </c>
      <c r="V48" s="8" t="s">
        <v>2138</v>
      </c>
      <c r="W48" s="8" t="s">
        <v>2139</v>
      </c>
      <c r="X48" s="8" t="s">
        <v>119</v>
      </c>
      <c r="Y48" s="8" t="s">
        <v>2140</v>
      </c>
      <c r="Z48" s="8" t="s">
        <v>2136</v>
      </c>
      <c r="AA48" s="8" t="s">
        <v>2137</v>
      </c>
      <c r="AB48" s="8" t="s">
        <v>2141</v>
      </c>
      <c r="AC48" s="8" t="s">
        <v>2139</v>
      </c>
      <c r="AD48" s="8" t="s">
        <v>119</v>
      </c>
      <c r="AE48" s="8" t="s">
        <v>2140</v>
      </c>
      <c r="AF48" s="8" t="s">
        <v>2142</v>
      </c>
      <c r="AG48" s="8" t="s">
        <v>2143</v>
      </c>
      <c r="AH48">
        <v>7849865.3899999904</v>
      </c>
      <c r="AI48" s="8" t="s">
        <v>2136</v>
      </c>
      <c r="AJ48" s="8" t="s">
        <v>2137</v>
      </c>
      <c r="AK48" s="8" t="s">
        <v>2141</v>
      </c>
      <c r="AL48" s="8" t="s">
        <v>2139</v>
      </c>
      <c r="AM48" s="8" t="s">
        <v>119</v>
      </c>
      <c r="AN48" s="8" t="s">
        <v>2140</v>
      </c>
      <c r="AO48" s="8" t="s">
        <v>2142</v>
      </c>
      <c r="AP48" s="8" t="s">
        <v>2143</v>
      </c>
      <c r="AQ48" s="8" t="s">
        <v>2143</v>
      </c>
      <c r="AR48" s="8" t="s">
        <v>124</v>
      </c>
      <c r="AS48" s="8" t="s">
        <v>125</v>
      </c>
      <c r="AT48">
        <v>1</v>
      </c>
      <c r="AU48" s="8" t="s">
        <v>106</v>
      </c>
      <c r="AV48" s="8" t="s">
        <v>127</v>
      </c>
      <c r="AW48" s="8" t="s">
        <v>2144</v>
      </c>
      <c r="AX48">
        <v>0</v>
      </c>
      <c r="AY48" s="8" t="s">
        <v>129</v>
      </c>
      <c r="AZ48">
        <v>99667.32</v>
      </c>
      <c r="BA48">
        <v>7540361</v>
      </c>
      <c r="BB48">
        <v>111602.85</v>
      </c>
      <c r="BC48">
        <v>75.655299999999897</v>
      </c>
      <c r="BD48" s="8" t="s">
        <v>130</v>
      </c>
      <c r="BE48" s="8" t="s">
        <v>111</v>
      </c>
      <c r="BF48" s="8" t="s">
        <v>2145</v>
      </c>
      <c r="BG48" s="8" t="s">
        <v>133</v>
      </c>
      <c r="BH48" s="8" t="s">
        <v>167</v>
      </c>
      <c r="BI48" s="8" t="s">
        <v>168</v>
      </c>
      <c r="BJ48" s="8" t="s">
        <v>112</v>
      </c>
      <c r="BK48" s="8" t="s">
        <v>112</v>
      </c>
      <c r="BL48" s="8" t="s">
        <v>169</v>
      </c>
      <c r="BM48" s="8" t="s">
        <v>159</v>
      </c>
      <c r="BN48" s="8" t="s">
        <v>160</v>
      </c>
      <c r="BO48" s="8" t="s">
        <v>161</v>
      </c>
      <c r="BP48">
        <v>1</v>
      </c>
      <c r="BQ48" s="8" t="s">
        <v>2146</v>
      </c>
      <c r="BR48" s="45">
        <f>ISNUMBER(SEARCH($BR$1,Таблица1[[#This Row],[31_1 Описание и характеристика товара]]))*1</f>
        <v>0</v>
      </c>
      <c r="BT48" s="8" t="s">
        <v>2134</v>
      </c>
      <c r="BU48">
        <v>56</v>
      </c>
      <c r="BV48">
        <v>1</v>
      </c>
      <c r="BW48">
        <v>388</v>
      </c>
      <c r="BX48" t="s">
        <v>2147</v>
      </c>
      <c r="BY48">
        <v>0</v>
      </c>
      <c r="CA48" s="8" t="s">
        <v>106</v>
      </c>
      <c r="CB48" s="8" t="s">
        <v>2148</v>
      </c>
      <c r="CC48" s="8" t="s">
        <v>112</v>
      </c>
      <c r="CD48" s="8" t="s">
        <v>112</v>
      </c>
      <c r="CE48" s="8" t="s">
        <v>2142</v>
      </c>
      <c r="CF48">
        <v>11524</v>
      </c>
      <c r="CG48" t="s">
        <v>144</v>
      </c>
      <c r="CH48">
        <v>4000000</v>
      </c>
      <c r="CI48">
        <v>11252</v>
      </c>
      <c r="CJ48">
        <v>0</v>
      </c>
      <c r="CK48" s="8" t="s">
        <v>112</v>
      </c>
      <c r="CL48" s="8" t="s">
        <v>112</v>
      </c>
      <c r="CM48">
        <v>99667.32</v>
      </c>
      <c r="CN48">
        <v>7540361</v>
      </c>
      <c r="CO48">
        <v>0</v>
      </c>
      <c r="CP48">
        <v>1</v>
      </c>
      <c r="CQ48">
        <v>7849865.3899999904</v>
      </c>
      <c r="CR48">
        <v>111602.85</v>
      </c>
      <c r="CS48" s="8" t="s">
        <v>145</v>
      </c>
      <c r="CT48">
        <v>9.9184999999999999</v>
      </c>
      <c r="CU48">
        <v>1053</v>
      </c>
      <c r="CV48" t="s">
        <v>2149</v>
      </c>
      <c r="CX48" t="s">
        <v>2150</v>
      </c>
      <c r="CY48">
        <v>0</v>
      </c>
    </row>
    <row r="49" spans="1:103" x14ac:dyDescent="0.25">
      <c r="A49" s="8" t="s">
        <v>106</v>
      </c>
      <c r="B49" s="38">
        <v>45245</v>
      </c>
      <c r="C49" s="43">
        <f>IF(YEAR(Таблица1[[#This Row],[Дата]])=2023,MONTH(Таблица1[[#This Row],[Дата]]),0)</f>
        <v>11</v>
      </c>
      <c r="D49" s="8" t="s">
        <v>2155</v>
      </c>
      <c r="E49" s="8" t="s">
        <v>108</v>
      </c>
      <c r="F49" s="8" t="s">
        <v>2156</v>
      </c>
      <c r="G49" t="s">
        <v>110</v>
      </c>
      <c r="H49" s="8" t="s">
        <v>111</v>
      </c>
      <c r="I49" s="8" t="s">
        <v>112</v>
      </c>
      <c r="J49" s="8" t="s">
        <v>112</v>
      </c>
      <c r="K49" s="8" t="s">
        <v>112</v>
      </c>
      <c r="L49" s="8" t="s">
        <v>2134</v>
      </c>
      <c r="M49" s="8" t="s">
        <v>2135</v>
      </c>
      <c r="N49" s="8" t="s">
        <v>112</v>
      </c>
      <c r="O49" s="8" t="s">
        <v>112</v>
      </c>
      <c r="P49">
        <v>1</v>
      </c>
      <c r="Q49">
        <v>0</v>
      </c>
      <c r="R49">
        <v>1</v>
      </c>
      <c r="S49">
        <v>52</v>
      </c>
      <c r="T49" s="8" t="s">
        <v>2136</v>
      </c>
      <c r="U49" s="8" t="s">
        <v>2137</v>
      </c>
      <c r="V49" s="8" t="s">
        <v>2138</v>
      </c>
      <c r="W49" s="8" t="s">
        <v>2139</v>
      </c>
      <c r="X49" s="8" t="s">
        <v>119</v>
      </c>
      <c r="Y49" s="8" t="s">
        <v>2140</v>
      </c>
      <c r="Z49" s="8" t="s">
        <v>2136</v>
      </c>
      <c r="AA49" s="8" t="s">
        <v>2137</v>
      </c>
      <c r="AB49" s="8" t="s">
        <v>2141</v>
      </c>
      <c r="AC49" s="8" t="s">
        <v>2139</v>
      </c>
      <c r="AD49" s="8" t="s">
        <v>119</v>
      </c>
      <c r="AE49" s="8" t="s">
        <v>2140</v>
      </c>
      <c r="AF49" s="8" t="s">
        <v>2142</v>
      </c>
      <c r="AG49" s="8" t="s">
        <v>2143</v>
      </c>
      <c r="AH49">
        <v>6881277.0099999905</v>
      </c>
      <c r="AI49" s="8" t="s">
        <v>2136</v>
      </c>
      <c r="AJ49" s="8" t="s">
        <v>2137</v>
      </c>
      <c r="AK49" s="8" t="s">
        <v>2141</v>
      </c>
      <c r="AL49" s="8" t="s">
        <v>2139</v>
      </c>
      <c r="AM49" s="8" t="s">
        <v>119</v>
      </c>
      <c r="AN49" s="8" t="s">
        <v>2140</v>
      </c>
      <c r="AO49" s="8" t="s">
        <v>2142</v>
      </c>
      <c r="AP49" s="8" t="s">
        <v>2143</v>
      </c>
      <c r="AQ49" s="8" t="s">
        <v>2143</v>
      </c>
      <c r="AR49" s="8" t="s">
        <v>124</v>
      </c>
      <c r="AS49" s="8" t="s">
        <v>125</v>
      </c>
      <c r="AT49">
        <v>1</v>
      </c>
      <c r="AU49" s="8" t="s">
        <v>106</v>
      </c>
      <c r="AV49" s="8" t="s">
        <v>127</v>
      </c>
      <c r="AW49" s="8" t="s">
        <v>2144</v>
      </c>
      <c r="AX49">
        <v>0</v>
      </c>
      <c r="AY49" s="8" t="s">
        <v>129</v>
      </c>
      <c r="AZ49">
        <v>86864.67</v>
      </c>
      <c r="BA49">
        <v>6571773</v>
      </c>
      <c r="BB49">
        <v>97832.27</v>
      </c>
      <c r="BC49">
        <v>75.655299999999897</v>
      </c>
      <c r="BD49" s="8" t="s">
        <v>130</v>
      </c>
      <c r="BE49" s="8" t="s">
        <v>111</v>
      </c>
      <c r="BF49" s="8" t="s">
        <v>2145</v>
      </c>
      <c r="BG49" s="8" t="s">
        <v>133</v>
      </c>
      <c r="BH49" s="8" t="s">
        <v>167</v>
      </c>
      <c r="BI49" s="8" t="s">
        <v>168</v>
      </c>
      <c r="BJ49" s="8" t="s">
        <v>112</v>
      </c>
      <c r="BK49" s="8" t="s">
        <v>112</v>
      </c>
      <c r="BL49" s="8" t="s">
        <v>169</v>
      </c>
      <c r="BM49" s="8" t="s">
        <v>159</v>
      </c>
      <c r="BN49" s="8" t="s">
        <v>160</v>
      </c>
      <c r="BO49" s="8" t="s">
        <v>161</v>
      </c>
      <c r="BP49">
        <v>1</v>
      </c>
      <c r="BQ49" s="8" t="s">
        <v>2146</v>
      </c>
      <c r="BR49" s="45">
        <f>ISNUMBER(SEARCH($BR$1,Таблица1[[#This Row],[31_1 Описание и характеристика товара]]))*1</f>
        <v>0</v>
      </c>
      <c r="BT49" s="8" t="s">
        <v>2134</v>
      </c>
      <c r="BU49">
        <v>52</v>
      </c>
      <c r="BV49">
        <v>1</v>
      </c>
      <c r="BW49">
        <v>300</v>
      </c>
      <c r="BX49" t="s">
        <v>2147</v>
      </c>
      <c r="BY49">
        <v>0</v>
      </c>
      <c r="CA49" s="8" t="s">
        <v>106</v>
      </c>
      <c r="CB49" s="8" t="s">
        <v>2148</v>
      </c>
      <c r="CC49" s="8" t="s">
        <v>112</v>
      </c>
      <c r="CD49" s="8" t="s">
        <v>112</v>
      </c>
      <c r="CE49" s="8" t="s">
        <v>2142</v>
      </c>
      <c r="CF49">
        <v>10560</v>
      </c>
      <c r="CG49" t="s">
        <v>144</v>
      </c>
      <c r="CH49">
        <v>4000000</v>
      </c>
      <c r="CI49">
        <v>9820</v>
      </c>
      <c r="CJ49">
        <v>0</v>
      </c>
      <c r="CK49" s="8" t="s">
        <v>112</v>
      </c>
      <c r="CL49" s="8" t="s">
        <v>112</v>
      </c>
      <c r="CM49">
        <v>86864.67</v>
      </c>
      <c r="CN49">
        <v>6571773</v>
      </c>
      <c r="CO49">
        <v>0</v>
      </c>
      <c r="CP49">
        <v>1</v>
      </c>
      <c r="CQ49">
        <v>6881277.0099999905</v>
      </c>
      <c r="CR49">
        <v>97832.27</v>
      </c>
      <c r="CS49" s="8" t="s">
        <v>145</v>
      </c>
      <c r="CT49">
        <v>9.9626000000000001</v>
      </c>
      <c r="CU49">
        <v>1053</v>
      </c>
      <c r="CV49" t="s">
        <v>2149</v>
      </c>
      <c r="CX49" t="s">
        <v>2150</v>
      </c>
      <c r="CY49">
        <v>0</v>
      </c>
    </row>
    <row r="50" spans="1:103" x14ac:dyDescent="0.25">
      <c r="A50" t="s">
        <v>106</v>
      </c>
      <c r="B50" s="38">
        <v>44625</v>
      </c>
      <c r="C50" s="43">
        <f>IF(YEAR(Таблица1[[#This Row],[Дата]])=2023,MONTH(Таблица1[[#This Row],[Дата]]),0)</f>
        <v>0</v>
      </c>
      <c r="D50" t="s">
        <v>1764</v>
      </c>
      <c r="E50" t="s">
        <v>108</v>
      </c>
      <c r="F50" t="s">
        <v>1765</v>
      </c>
      <c r="G50" t="s">
        <v>110</v>
      </c>
      <c r="H50" t="s">
        <v>111</v>
      </c>
      <c r="I50" t="s">
        <v>112</v>
      </c>
      <c r="J50" t="s">
        <v>112</v>
      </c>
      <c r="K50" t="s">
        <v>112</v>
      </c>
      <c r="L50" t="s">
        <v>150</v>
      </c>
      <c r="M50" t="s">
        <v>151</v>
      </c>
      <c r="N50" t="s">
        <v>112</v>
      </c>
      <c r="O50" t="s">
        <v>112</v>
      </c>
      <c r="P50">
        <v>1</v>
      </c>
      <c r="R50">
        <v>1</v>
      </c>
      <c r="S50">
        <v>33</v>
      </c>
      <c r="T50" t="s">
        <v>112</v>
      </c>
      <c r="U50" t="s">
        <v>152</v>
      </c>
      <c r="V50" t="s">
        <v>153</v>
      </c>
      <c r="W50" t="s">
        <v>154</v>
      </c>
      <c r="X50" t="s">
        <v>119</v>
      </c>
      <c r="Y50" t="s">
        <v>112</v>
      </c>
      <c r="Z50" t="s">
        <v>112</v>
      </c>
      <c r="AA50" t="s">
        <v>152</v>
      </c>
      <c r="AB50" t="s">
        <v>153</v>
      </c>
      <c r="AC50" t="s">
        <v>154</v>
      </c>
      <c r="AD50" t="s">
        <v>119</v>
      </c>
      <c r="AE50" t="s">
        <v>112</v>
      </c>
      <c r="AF50" t="s">
        <v>121</v>
      </c>
      <c r="AG50" t="s">
        <v>122</v>
      </c>
      <c r="AH50">
        <v>4106236.01</v>
      </c>
      <c r="AI50" t="s">
        <v>112</v>
      </c>
      <c r="AJ50" t="s">
        <v>152</v>
      </c>
      <c r="AK50" t="s">
        <v>153</v>
      </c>
      <c r="AL50" t="s">
        <v>154</v>
      </c>
      <c r="AM50" t="s">
        <v>119</v>
      </c>
      <c r="AN50" t="s">
        <v>112</v>
      </c>
      <c r="AO50" t="s">
        <v>121</v>
      </c>
      <c r="AP50" t="s">
        <v>122</v>
      </c>
      <c r="AQ50" t="s">
        <v>122</v>
      </c>
      <c r="AR50" t="s">
        <v>124</v>
      </c>
      <c r="AS50" t="s">
        <v>125</v>
      </c>
      <c r="AT50">
        <v>2</v>
      </c>
      <c r="AU50" t="s">
        <v>126</v>
      </c>
      <c r="AV50" t="s">
        <v>155</v>
      </c>
      <c r="AW50" t="s">
        <v>156</v>
      </c>
      <c r="AY50" t="s">
        <v>129</v>
      </c>
      <c r="AZ50">
        <v>37118.47</v>
      </c>
      <c r="BC50">
        <v>98.616399999999999</v>
      </c>
      <c r="BD50" t="s">
        <v>112</v>
      </c>
      <c r="BE50" t="s">
        <v>112</v>
      </c>
      <c r="BF50" t="s">
        <v>157</v>
      </c>
      <c r="BG50" t="s">
        <v>133</v>
      </c>
      <c r="BH50" t="s">
        <v>134</v>
      </c>
      <c r="BI50" t="s">
        <v>112</v>
      </c>
      <c r="BJ50" t="s">
        <v>112</v>
      </c>
      <c r="BK50" t="s">
        <v>112</v>
      </c>
      <c r="BL50" t="s">
        <v>158</v>
      </c>
      <c r="BM50" t="s">
        <v>159</v>
      </c>
      <c r="BN50" t="s">
        <v>212</v>
      </c>
      <c r="BO50" t="s">
        <v>161</v>
      </c>
      <c r="BQ50" t="s">
        <v>162</v>
      </c>
      <c r="BR50" s="45">
        <f>ISNUMBER(SEARCH($BR$1,Таблица1[[#This Row],[31_1 Описание и характеристика товара]]))*1</f>
        <v>1</v>
      </c>
      <c r="BT50" t="s">
        <v>150</v>
      </c>
      <c r="BU50">
        <v>33</v>
      </c>
      <c r="BV50">
        <v>0</v>
      </c>
      <c r="BW50">
        <v>0</v>
      </c>
      <c r="BY50">
        <v>0</v>
      </c>
      <c r="CA50" t="s">
        <v>106</v>
      </c>
      <c r="CB50" t="s">
        <v>142</v>
      </c>
      <c r="CC50" t="s">
        <v>112</v>
      </c>
      <c r="CD50" t="s">
        <v>112</v>
      </c>
      <c r="CE50" t="s">
        <v>121</v>
      </c>
      <c r="CF50">
        <v>16636.830000000002</v>
      </c>
      <c r="CG50" t="s">
        <v>144</v>
      </c>
      <c r="CH50">
        <v>4000000</v>
      </c>
      <c r="CI50">
        <v>16528.830000000002</v>
      </c>
      <c r="CJ50">
        <v>0</v>
      </c>
      <c r="CK50" t="s">
        <v>112</v>
      </c>
      <c r="CL50" t="s">
        <v>112</v>
      </c>
      <c r="CM50">
        <v>37118.47</v>
      </c>
      <c r="CO50">
        <v>0</v>
      </c>
      <c r="CP50">
        <v>1</v>
      </c>
      <c r="CQ50">
        <v>4106236.01</v>
      </c>
      <c r="CR50">
        <v>44037.77</v>
      </c>
      <c r="CS50" t="s">
        <v>145</v>
      </c>
      <c r="CT50">
        <v>43966.687800000007</v>
      </c>
      <c r="CU50">
        <v>2.66</v>
      </c>
      <c r="CV50">
        <v>45</v>
      </c>
      <c r="CX50" t="s">
        <v>1140</v>
      </c>
      <c r="CY50">
        <v>1</v>
      </c>
    </row>
    <row r="51" spans="1:103" x14ac:dyDescent="0.25">
      <c r="A51" t="s">
        <v>106</v>
      </c>
      <c r="B51" s="38">
        <v>44982</v>
      </c>
      <c r="C51" s="43">
        <f>IF(YEAR(Таблица1[[#This Row],[Дата]])=2023,MONTH(Таблица1[[#This Row],[Дата]]),0)</f>
        <v>2</v>
      </c>
      <c r="D51" t="s">
        <v>1826</v>
      </c>
      <c r="E51" t="s">
        <v>108</v>
      </c>
      <c r="F51" t="s">
        <v>1827</v>
      </c>
      <c r="G51" t="s">
        <v>110</v>
      </c>
      <c r="H51" t="s">
        <v>111</v>
      </c>
      <c r="I51" t="s">
        <v>112</v>
      </c>
      <c r="J51" t="s">
        <v>112</v>
      </c>
      <c r="K51" t="s">
        <v>112</v>
      </c>
      <c r="L51" t="s">
        <v>150</v>
      </c>
      <c r="M51" t="s">
        <v>151</v>
      </c>
      <c r="N51" t="s">
        <v>112</v>
      </c>
      <c r="O51" t="s">
        <v>112</v>
      </c>
      <c r="P51">
        <v>1</v>
      </c>
      <c r="R51">
        <v>1</v>
      </c>
      <c r="S51">
        <v>33</v>
      </c>
      <c r="T51" t="s">
        <v>112</v>
      </c>
      <c r="U51" t="s">
        <v>152</v>
      </c>
      <c r="V51" t="s">
        <v>153</v>
      </c>
      <c r="W51" t="s">
        <v>154</v>
      </c>
      <c r="X51" t="s">
        <v>119</v>
      </c>
      <c r="Y51" t="s">
        <v>112</v>
      </c>
      <c r="Z51" t="s">
        <v>112</v>
      </c>
      <c r="AA51" t="s">
        <v>152</v>
      </c>
      <c r="AB51" t="s">
        <v>153</v>
      </c>
      <c r="AC51" t="s">
        <v>154</v>
      </c>
      <c r="AD51" t="s">
        <v>119</v>
      </c>
      <c r="AE51" t="s">
        <v>112</v>
      </c>
      <c r="AF51" t="s">
        <v>121</v>
      </c>
      <c r="AG51" t="s">
        <v>122</v>
      </c>
      <c r="AH51">
        <v>5108309.8</v>
      </c>
      <c r="AI51" t="s">
        <v>112</v>
      </c>
      <c r="AJ51" t="s">
        <v>152</v>
      </c>
      <c r="AK51" t="s">
        <v>153</v>
      </c>
      <c r="AL51" t="s">
        <v>154</v>
      </c>
      <c r="AM51" t="s">
        <v>119</v>
      </c>
      <c r="AN51" t="s">
        <v>112</v>
      </c>
      <c r="AO51" t="s">
        <v>121</v>
      </c>
      <c r="AP51" t="s">
        <v>122</v>
      </c>
      <c r="AQ51" t="s">
        <v>122</v>
      </c>
      <c r="AR51" t="s">
        <v>124</v>
      </c>
      <c r="AS51" t="s">
        <v>125</v>
      </c>
      <c r="AT51">
        <v>2</v>
      </c>
      <c r="AU51" t="s">
        <v>126</v>
      </c>
      <c r="AV51" t="s">
        <v>155</v>
      </c>
      <c r="AW51" t="s">
        <v>156</v>
      </c>
      <c r="AY51" t="s">
        <v>129</v>
      </c>
      <c r="AZ51">
        <v>47809.8</v>
      </c>
      <c r="BC51">
        <v>98.616399999999999</v>
      </c>
      <c r="BD51" t="s">
        <v>112</v>
      </c>
      <c r="BE51" t="s">
        <v>112</v>
      </c>
      <c r="BF51" t="s">
        <v>157</v>
      </c>
      <c r="BG51" t="s">
        <v>133</v>
      </c>
      <c r="BH51" t="s">
        <v>134</v>
      </c>
      <c r="BI51" t="s">
        <v>112</v>
      </c>
      <c r="BJ51" t="s">
        <v>112</v>
      </c>
      <c r="BK51" t="s">
        <v>112</v>
      </c>
      <c r="BL51" t="s">
        <v>158</v>
      </c>
      <c r="BM51" t="s">
        <v>159</v>
      </c>
      <c r="BN51" t="s">
        <v>212</v>
      </c>
      <c r="BO51" t="s">
        <v>161</v>
      </c>
      <c r="BQ51" t="s">
        <v>205</v>
      </c>
      <c r="BR51" s="45">
        <f>ISNUMBER(SEARCH($BR$1,Таблица1[[#This Row],[31_1 Описание и характеристика товара]]))*1</f>
        <v>1</v>
      </c>
      <c r="BT51" t="s">
        <v>150</v>
      </c>
      <c r="BU51">
        <v>33</v>
      </c>
      <c r="BV51">
        <v>0</v>
      </c>
      <c r="BW51">
        <v>0</v>
      </c>
      <c r="BY51">
        <v>0</v>
      </c>
      <c r="CA51" t="s">
        <v>106</v>
      </c>
      <c r="CB51" t="s">
        <v>142</v>
      </c>
      <c r="CC51" t="s">
        <v>112</v>
      </c>
      <c r="CD51" t="s">
        <v>112</v>
      </c>
      <c r="CE51" t="s">
        <v>121</v>
      </c>
      <c r="CF51">
        <v>16525.080000000002</v>
      </c>
      <c r="CG51" t="s">
        <v>144</v>
      </c>
      <c r="CH51">
        <v>4000000</v>
      </c>
      <c r="CI51">
        <v>16525.080000000002</v>
      </c>
      <c r="CJ51">
        <v>0</v>
      </c>
      <c r="CK51" t="s">
        <v>112</v>
      </c>
      <c r="CL51" t="s">
        <v>112</v>
      </c>
      <c r="CM51">
        <v>47809.8</v>
      </c>
      <c r="CO51">
        <v>0</v>
      </c>
      <c r="CP51">
        <v>1</v>
      </c>
      <c r="CQ51">
        <v>5108309.8</v>
      </c>
      <c r="CR51">
        <v>54784.62</v>
      </c>
      <c r="CS51" t="s">
        <v>145</v>
      </c>
      <c r="CT51">
        <v>54863.265600000006</v>
      </c>
      <c r="CU51">
        <v>3.32</v>
      </c>
      <c r="CV51">
        <v>45</v>
      </c>
      <c r="CX51" t="s">
        <v>729</v>
      </c>
      <c r="CY51">
        <v>71</v>
      </c>
    </row>
    <row r="52" spans="1:103" x14ac:dyDescent="0.25">
      <c r="A52" t="s">
        <v>106</v>
      </c>
      <c r="B52" s="38">
        <v>45217</v>
      </c>
      <c r="C52" s="43">
        <f>IF(YEAR(Таблица1[[#This Row],[Дата]])=2023,MONTH(Таблица1[[#This Row],[Дата]]),0)</f>
        <v>10</v>
      </c>
      <c r="D52" t="s">
        <v>1832</v>
      </c>
      <c r="E52" t="s">
        <v>108</v>
      </c>
      <c r="F52" t="s">
        <v>1833</v>
      </c>
      <c r="G52" t="s">
        <v>110</v>
      </c>
      <c r="H52" t="s">
        <v>111</v>
      </c>
      <c r="I52" t="s">
        <v>112</v>
      </c>
      <c r="J52" t="s">
        <v>112</v>
      </c>
      <c r="K52" t="s">
        <v>112</v>
      </c>
      <c r="L52" t="s">
        <v>150</v>
      </c>
      <c r="M52" t="s">
        <v>151</v>
      </c>
      <c r="N52" t="s">
        <v>112</v>
      </c>
      <c r="O52" t="s">
        <v>112</v>
      </c>
      <c r="P52">
        <v>1</v>
      </c>
      <c r="R52">
        <v>1</v>
      </c>
      <c r="S52">
        <v>33</v>
      </c>
      <c r="T52" t="s">
        <v>112</v>
      </c>
      <c r="U52" t="s">
        <v>152</v>
      </c>
      <c r="V52" t="s">
        <v>153</v>
      </c>
      <c r="W52" t="s">
        <v>154</v>
      </c>
      <c r="X52" t="s">
        <v>119</v>
      </c>
      <c r="Y52" t="s">
        <v>112</v>
      </c>
      <c r="Z52" t="s">
        <v>112</v>
      </c>
      <c r="AA52" t="s">
        <v>152</v>
      </c>
      <c r="AB52" t="s">
        <v>153</v>
      </c>
      <c r="AC52" t="s">
        <v>154</v>
      </c>
      <c r="AD52" t="s">
        <v>119</v>
      </c>
      <c r="AE52" t="s">
        <v>112</v>
      </c>
      <c r="AF52" t="s">
        <v>121</v>
      </c>
      <c r="AG52" t="s">
        <v>122</v>
      </c>
      <c r="AH52">
        <v>4229107.12</v>
      </c>
      <c r="AI52" t="s">
        <v>112</v>
      </c>
      <c r="AJ52" t="s">
        <v>152</v>
      </c>
      <c r="AK52" t="s">
        <v>153</v>
      </c>
      <c r="AL52" t="s">
        <v>154</v>
      </c>
      <c r="AM52" t="s">
        <v>119</v>
      </c>
      <c r="AN52" t="s">
        <v>112</v>
      </c>
      <c r="AO52" t="s">
        <v>121</v>
      </c>
      <c r="AP52" t="s">
        <v>122</v>
      </c>
      <c r="AQ52" t="s">
        <v>122</v>
      </c>
      <c r="AR52" t="s">
        <v>124</v>
      </c>
      <c r="AS52" t="s">
        <v>125</v>
      </c>
      <c r="AT52">
        <v>2</v>
      </c>
      <c r="AU52" t="s">
        <v>126</v>
      </c>
      <c r="AV52" t="s">
        <v>155</v>
      </c>
      <c r="AW52" t="s">
        <v>156</v>
      </c>
      <c r="AY52" t="s">
        <v>129</v>
      </c>
      <c r="AZ52">
        <v>38894.42</v>
      </c>
      <c r="BC52">
        <v>98.616399999999999</v>
      </c>
      <c r="BD52" t="s">
        <v>112</v>
      </c>
      <c r="BE52" t="s">
        <v>112</v>
      </c>
      <c r="BF52" t="s">
        <v>157</v>
      </c>
      <c r="BG52" t="s">
        <v>133</v>
      </c>
      <c r="BH52" t="s">
        <v>134</v>
      </c>
      <c r="BI52" t="s">
        <v>112</v>
      </c>
      <c r="BJ52" t="s">
        <v>112</v>
      </c>
      <c r="BK52" t="s">
        <v>112</v>
      </c>
      <c r="BL52" t="s">
        <v>158</v>
      </c>
      <c r="BM52" t="s">
        <v>159</v>
      </c>
      <c r="BN52" t="s">
        <v>212</v>
      </c>
      <c r="BO52" t="s">
        <v>161</v>
      </c>
      <c r="BQ52" t="s">
        <v>205</v>
      </c>
      <c r="BR52" s="45">
        <f>ISNUMBER(SEARCH($BR$1,Таблица1[[#This Row],[31_1 Описание и характеристика товара]]))*1</f>
        <v>1</v>
      </c>
      <c r="BT52" t="s">
        <v>150</v>
      </c>
      <c r="BU52">
        <v>33</v>
      </c>
      <c r="BV52">
        <v>0</v>
      </c>
      <c r="BW52">
        <v>0</v>
      </c>
      <c r="BY52">
        <v>0</v>
      </c>
      <c r="CA52" t="s">
        <v>106</v>
      </c>
      <c r="CB52" t="s">
        <v>142</v>
      </c>
      <c r="CC52" t="s">
        <v>112</v>
      </c>
      <c r="CD52" t="s">
        <v>112</v>
      </c>
      <c r="CE52" t="s">
        <v>121</v>
      </c>
      <c r="CF52">
        <v>16080.56</v>
      </c>
      <c r="CG52" t="s">
        <v>144</v>
      </c>
      <c r="CH52">
        <v>4000000</v>
      </c>
      <c r="CI52">
        <v>15901.16</v>
      </c>
      <c r="CJ52">
        <v>0</v>
      </c>
      <c r="CK52" t="s">
        <v>112</v>
      </c>
      <c r="CL52" t="s">
        <v>112</v>
      </c>
      <c r="CM52">
        <v>38894.42</v>
      </c>
      <c r="CO52">
        <v>0</v>
      </c>
      <c r="CP52">
        <v>1</v>
      </c>
      <c r="CQ52">
        <v>4229107.12</v>
      </c>
      <c r="CR52">
        <v>45355.519999999997</v>
      </c>
      <c r="CS52" t="s">
        <v>145</v>
      </c>
      <c r="CT52">
        <v>45318.306000000004</v>
      </c>
      <c r="CU52">
        <v>2.85</v>
      </c>
      <c r="CV52">
        <v>45</v>
      </c>
      <c r="CX52" t="s">
        <v>233</v>
      </c>
      <c r="CY52">
        <v>580</v>
      </c>
    </row>
    <row r="53" spans="1:103" x14ac:dyDescent="0.25">
      <c r="A53" t="s">
        <v>106</v>
      </c>
      <c r="B53" s="38">
        <v>44976</v>
      </c>
      <c r="C53" s="43">
        <f>IF(YEAR(Таблица1[[#This Row],[Дата]])=2023,MONTH(Таблица1[[#This Row],[Дата]]),0)</f>
        <v>2</v>
      </c>
      <c r="D53" t="s">
        <v>1837</v>
      </c>
      <c r="E53" t="s">
        <v>108</v>
      </c>
      <c r="F53" t="s">
        <v>1838</v>
      </c>
      <c r="G53" t="s">
        <v>110</v>
      </c>
      <c r="H53" t="s">
        <v>111</v>
      </c>
      <c r="I53" t="s">
        <v>112</v>
      </c>
      <c r="J53" t="s">
        <v>112</v>
      </c>
      <c r="K53" t="s">
        <v>112</v>
      </c>
      <c r="L53" t="s">
        <v>150</v>
      </c>
      <c r="M53" t="s">
        <v>151</v>
      </c>
      <c r="N53" t="s">
        <v>112</v>
      </c>
      <c r="O53" t="s">
        <v>112</v>
      </c>
      <c r="P53">
        <v>1</v>
      </c>
      <c r="R53">
        <v>1</v>
      </c>
      <c r="S53">
        <v>33</v>
      </c>
      <c r="T53" t="s">
        <v>112</v>
      </c>
      <c r="U53" t="s">
        <v>152</v>
      </c>
      <c r="V53" t="s">
        <v>153</v>
      </c>
      <c r="W53" t="s">
        <v>154</v>
      </c>
      <c r="X53" t="s">
        <v>119</v>
      </c>
      <c r="Y53" t="s">
        <v>112</v>
      </c>
      <c r="Z53" t="s">
        <v>112</v>
      </c>
      <c r="AA53" t="s">
        <v>152</v>
      </c>
      <c r="AB53" t="s">
        <v>153</v>
      </c>
      <c r="AC53" t="s">
        <v>154</v>
      </c>
      <c r="AD53" t="s">
        <v>119</v>
      </c>
      <c r="AE53" t="s">
        <v>112</v>
      </c>
      <c r="AF53" t="s">
        <v>121</v>
      </c>
      <c r="AG53" t="s">
        <v>122</v>
      </c>
      <c r="AH53">
        <v>5111999.04</v>
      </c>
      <c r="AI53" t="s">
        <v>112</v>
      </c>
      <c r="AJ53" t="s">
        <v>152</v>
      </c>
      <c r="AK53" t="s">
        <v>153</v>
      </c>
      <c r="AL53" t="s">
        <v>154</v>
      </c>
      <c r="AM53" t="s">
        <v>119</v>
      </c>
      <c r="AN53" t="s">
        <v>112</v>
      </c>
      <c r="AO53" t="s">
        <v>121</v>
      </c>
      <c r="AP53" t="s">
        <v>122</v>
      </c>
      <c r="AQ53" t="s">
        <v>122</v>
      </c>
      <c r="AR53" t="s">
        <v>124</v>
      </c>
      <c r="AS53" t="s">
        <v>125</v>
      </c>
      <c r="AT53">
        <v>2</v>
      </c>
      <c r="AU53" t="s">
        <v>126</v>
      </c>
      <c r="AV53" t="s">
        <v>155</v>
      </c>
      <c r="AW53" t="s">
        <v>156</v>
      </c>
      <c r="AY53" t="s">
        <v>129</v>
      </c>
      <c r="AZ53">
        <v>47317.21</v>
      </c>
      <c r="BC53">
        <v>98.616399999999999</v>
      </c>
      <c r="BD53" t="s">
        <v>112</v>
      </c>
      <c r="BE53" t="s">
        <v>112</v>
      </c>
      <c r="BF53" t="s">
        <v>157</v>
      </c>
      <c r="BG53" t="s">
        <v>133</v>
      </c>
      <c r="BH53" t="s">
        <v>134</v>
      </c>
      <c r="BI53" t="s">
        <v>112</v>
      </c>
      <c r="BJ53" t="s">
        <v>112</v>
      </c>
      <c r="BK53" t="s">
        <v>112</v>
      </c>
      <c r="BL53" t="s">
        <v>158</v>
      </c>
      <c r="BM53" t="s">
        <v>159</v>
      </c>
      <c r="BN53" t="s">
        <v>212</v>
      </c>
      <c r="BO53" t="s">
        <v>161</v>
      </c>
      <c r="BQ53" t="s">
        <v>162</v>
      </c>
      <c r="BR53" s="45">
        <f>ISNUMBER(SEARCH($BR$1,Таблица1[[#This Row],[31_1 Описание и характеристика товара]]))*1</f>
        <v>1</v>
      </c>
      <c r="BT53" t="s">
        <v>150</v>
      </c>
      <c r="BU53">
        <v>33</v>
      </c>
      <c r="BV53">
        <v>0</v>
      </c>
      <c r="BW53">
        <v>0</v>
      </c>
      <c r="BY53">
        <v>0</v>
      </c>
      <c r="CA53" t="s">
        <v>106</v>
      </c>
      <c r="CB53" t="s">
        <v>142</v>
      </c>
      <c r="CC53" t="s">
        <v>112</v>
      </c>
      <c r="CD53" t="s">
        <v>112</v>
      </c>
      <c r="CE53" t="s">
        <v>121</v>
      </c>
      <c r="CF53">
        <v>15664.95</v>
      </c>
      <c r="CG53" t="s">
        <v>144</v>
      </c>
      <c r="CH53">
        <v>4000000</v>
      </c>
      <c r="CI53">
        <v>15574.95</v>
      </c>
      <c r="CJ53">
        <v>0</v>
      </c>
      <c r="CK53" t="s">
        <v>112</v>
      </c>
      <c r="CL53" t="s">
        <v>112</v>
      </c>
      <c r="CM53">
        <v>47317.21</v>
      </c>
      <c r="CO53">
        <v>0</v>
      </c>
      <c r="CP53">
        <v>1</v>
      </c>
      <c r="CQ53">
        <v>5111999.04</v>
      </c>
      <c r="CR53">
        <v>54824.19</v>
      </c>
      <c r="CS53" t="s">
        <v>145</v>
      </c>
      <c r="CT53">
        <v>54823.824000000001</v>
      </c>
      <c r="CU53">
        <v>3.52</v>
      </c>
      <c r="CV53">
        <v>45</v>
      </c>
      <c r="CX53" t="s">
        <v>163</v>
      </c>
      <c r="CY53">
        <v>310</v>
      </c>
    </row>
    <row r="54" spans="1:103" x14ac:dyDescent="0.25">
      <c r="A54" t="s">
        <v>106</v>
      </c>
      <c r="B54" s="38">
        <v>45147</v>
      </c>
      <c r="C54" s="43">
        <f>IF(YEAR(Таблица1[[#This Row],[Дата]])=2023,MONTH(Таблица1[[#This Row],[Дата]]),0)</f>
        <v>8</v>
      </c>
      <c r="D54" t="s">
        <v>1834</v>
      </c>
      <c r="E54" t="s">
        <v>108</v>
      </c>
      <c r="F54" t="s">
        <v>1835</v>
      </c>
      <c r="G54" t="s">
        <v>110</v>
      </c>
      <c r="H54" t="s">
        <v>111</v>
      </c>
      <c r="I54" t="s">
        <v>112</v>
      </c>
      <c r="J54" t="s">
        <v>112</v>
      </c>
      <c r="K54" t="s">
        <v>112</v>
      </c>
      <c r="L54" t="s">
        <v>150</v>
      </c>
      <c r="M54" t="s">
        <v>151</v>
      </c>
      <c r="N54" t="s">
        <v>112</v>
      </c>
      <c r="O54" t="s">
        <v>112</v>
      </c>
      <c r="P54">
        <v>1</v>
      </c>
      <c r="R54">
        <v>1</v>
      </c>
      <c r="S54">
        <v>38</v>
      </c>
      <c r="T54" t="s">
        <v>112</v>
      </c>
      <c r="U54" t="s">
        <v>1704</v>
      </c>
      <c r="V54" t="s">
        <v>153</v>
      </c>
      <c r="W54" t="s">
        <v>154</v>
      </c>
      <c r="X54" t="s">
        <v>119</v>
      </c>
      <c r="Y54" t="s">
        <v>112</v>
      </c>
      <c r="Z54" t="s">
        <v>112</v>
      </c>
      <c r="AA54" t="s">
        <v>152</v>
      </c>
      <c r="AB54" t="s">
        <v>153</v>
      </c>
      <c r="AC54" t="s">
        <v>154</v>
      </c>
      <c r="AD54" t="s">
        <v>119</v>
      </c>
      <c r="AE54" t="s">
        <v>112</v>
      </c>
      <c r="AF54" t="s">
        <v>121</v>
      </c>
      <c r="AG54" t="s">
        <v>122</v>
      </c>
      <c r="AH54">
        <v>5232447.63</v>
      </c>
      <c r="AI54" t="s">
        <v>112</v>
      </c>
      <c r="AJ54" t="s">
        <v>152</v>
      </c>
      <c r="AK54" t="s">
        <v>153</v>
      </c>
      <c r="AL54" t="s">
        <v>154</v>
      </c>
      <c r="AM54" t="s">
        <v>119</v>
      </c>
      <c r="AN54" t="s">
        <v>112</v>
      </c>
      <c r="AO54" t="s">
        <v>121</v>
      </c>
      <c r="AP54" t="s">
        <v>122</v>
      </c>
      <c r="AQ54" t="s">
        <v>122</v>
      </c>
      <c r="AR54" t="s">
        <v>124</v>
      </c>
      <c r="AS54" t="s">
        <v>125</v>
      </c>
      <c r="AT54">
        <v>2</v>
      </c>
      <c r="AU54" t="s">
        <v>126</v>
      </c>
      <c r="AV54" t="s">
        <v>155</v>
      </c>
      <c r="AW54" t="s">
        <v>156</v>
      </c>
      <c r="AY54" t="s">
        <v>129</v>
      </c>
      <c r="AZ54">
        <v>45965.43</v>
      </c>
      <c r="BC54">
        <v>104.4496</v>
      </c>
      <c r="BD54" t="s">
        <v>112</v>
      </c>
      <c r="BE54" t="s">
        <v>131</v>
      </c>
      <c r="BF54" t="s">
        <v>157</v>
      </c>
      <c r="BG54" t="s">
        <v>1836</v>
      </c>
      <c r="BH54" t="s">
        <v>167</v>
      </c>
      <c r="BI54" t="s">
        <v>112</v>
      </c>
      <c r="BJ54" t="s">
        <v>112</v>
      </c>
      <c r="BK54" t="s">
        <v>112</v>
      </c>
      <c r="BL54" t="s">
        <v>169</v>
      </c>
      <c r="BM54" t="s">
        <v>159</v>
      </c>
      <c r="BN54" t="s">
        <v>160</v>
      </c>
      <c r="BO54" t="s">
        <v>161</v>
      </c>
      <c r="BQ54" t="s">
        <v>466</v>
      </c>
      <c r="BR54" s="45">
        <f>ISNUMBER(SEARCH($BR$1,Таблица1[[#This Row],[31_1 Описание и характеристика товара]]))*1</f>
        <v>1</v>
      </c>
      <c r="BT54" t="s">
        <v>150</v>
      </c>
      <c r="BU54">
        <v>38</v>
      </c>
      <c r="CA54" t="s">
        <v>106</v>
      </c>
      <c r="CB54" t="s">
        <v>142</v>
      </c>
      <c r="CC54" t="s">
        <v>112</v>
      </c>
      <c r="CD54" t="s">
        <v>112</v>
      </c>
      <c r="CE54" t="s">
        <v>121</v>
      </c>
      <c r="CF54">
        <v>19480.810000000001</v>
      </c>
      <c r="CG54" t="s">
        <v>144</v>
      </c>
      <c r="CH54">
        <v>4000000</v>
      </c>
      <c r="CI54">
        <v>19378.810000000001</v>
      </c>
      <c r="CK54" t="s">
        <v>112</v>
      </c>
      <c r="CL54" t="s">
        <v>112</v>
      </c>
      <c r="CM54">
        <v>45965.43</v>
      </c>
      <c r="CO54">
        <v>0</v>
      </c>
      <c r="CP54">
        <v>1</v>
      </c>
      <c r="CQ54">
        <v>5232447.63</v>
      </c>
      <c r="CR54">
        <v>54545.4</v>
      </c>
      <c r="CS54" t="s">
        <v>145</v>
      </c>
      <c r="CT54">
        <v>54454.456100000003</v>
      </c>
      <c r="CU54">
        <v>2.81</v>
      </c>
      <c r="CV54">
        <v>45</v>
      </c>
      <c r="CX54" t="s">
        <v>729</v>
      </c>
      <c r="CY54">
        <v>296</v>
      </c>
    </row>
    <row r="55" spans="1:103" x14ac:dyDescent="0.25">
      <c r="A55" t="s">
        <v>106</v>
      </c>
      <c r="B55" s="38">
        <v>44985</v>
      </c>
      <c r="C55" s="43">
        <f>IF(YEAR(Таблица1[[#This Row],[Дата]])=2023,MONTH(Таблица1[[#This Row],[Дата]]),0)</f>
        <v>2</v>
      </c>
      <c r="D55" t="s">
        <v>1839</v>
      </c>
      <c r="E55" t="s">
        <v>108</v>
      </c>
      <c r="F55" t="s">
        <v>1840</v>
      </c>
      <c r="G55" t="s">
        <v>110</v>
      </c>
      <c r="H55" t="s">
        <v>111</v>
      </c>
      <c r="I55" t="s">
        <v>112</v>
      </c>
      <c r="J55" t="s">
        <v>112</v>
      </c>
      <c r="K55" t="s">
        <v>112</v>
      </c>
      <c r="L55" t="s">
        <v>150</v>
      </c>
      <c r="M55" t="s">
        <v>151</v>
      </c>
      <c r="N55" t="s">
        <v>112</v>
      </c>
      <c r="O55" t="s">
        <v>112</v>
      </c>
      <c r="P55">
        <v>1</v>
      </c>
      <c r="R55">
        <v>1</v>
      </c>
      <c r="S55">
        <v>33</v>
      </c>
      <c r="T55" t="s">
        <v>112</v>
      </c>
      <c r="U55" t="s">
        <v>1704</v>
      </c>
      <c r="V55" t="s">
        <v>153</v>
      </c>
      <c r="W55" t="s">
        <v>154</v>
      </c>
      <c r="X55" t="s">
        <v>119</v>
      </c>
      <c r="Y55" t="s">
        <v>112</v>
      </c>
      <c r="Z55" t="s">
        <v>112</v>
      </c>
      <c r="AA55" t="s">
        <v>152</v>
      </c>
      <c r="AB55" t="s">
        <v>153</v>
      </c>
      <c r="AC55" t="s">
        <v>154</v>
      </c>
      <c r="AD55" t="s">
        <v>119</v>
      </c>
      <c r="AE55" t="s">
        <v>112</v>
      </c>
      <c r="AF55" t="s">
        <v>121</v>
      </c>
      <c r="AG55" t="s">
        <v>122</v>
      </c>
      <c r="AH55">
        <v>4733204.6500000004</v>
      </c>
      <c r="AI55" t="s">
        <v>112</v>
      </c>
      <c r="AJ55" t="s">
        <v>152</v>
      </c>
      <c r="AK55" t="s">
        <v>153</v>
      </c>
      <c r="AL55" t="s">
        <v>154</v>
      </c>
      <c r="AM55" t="s">
        <v>119</v>
      </c>
      <c r="AN55" t="s">
        <v>112</v>
      </c>
      <c r="AO55" t="s">
        <v>121</v>
      </c>
      <c r="AP55" t="s">
        <v>122</v>
      </c>
      <c r="AQ55" t="s">
        <v>122</v>
      </c>
      <c r="AR55" t="s">
        <v>124</v>
      </c>
      <c r="AS55" t="s">
        <v>125</v>
      </c>
      <c r="AT55">
        <v>2</v>
      </c>
      <c r="AU55" t="s">
        <v>126</v>
      </c>
      <c r="AV55" t="s">
        <v>155</v>
      </c>
      <c r="AW55" t="s">
        <v>156</v>
      </c>
      <c r="AY55" t="s">
        <v>129</v>
      </c>
      <c r="AZ55">
        <v>41185.68</v>
      </c>
      <c r="BC55">
        <v>104.4496</v>
      </c>
      <c r="BD55" t="s">
        <v>112</v>
      </c>
      <c r="BE55" t="s">
        <v>131</v>
      </c>
      <c r="BF55" t="s">
        <v>157</v>
      </c>
      <c r="BG55" t="s">
        <v>1841</v>
      </c>
      <c r="BH55" t="s">
        <v>134</v>
      </c>
      <c r="BI55" t="s">
        <v>112</v>
      </c>
      <c r="BJ55" t="s">
        <v>112</v>
      </c>
      <c r="BK55" t="s">
        <v>112</v>
      </c>
      <c r="BL55" t="s">
        <v>169</v>
      </c>
      <c r="BM55" t="s">
        <v>159</v>
      </c>
      <c r="BN55" t="s">
        <v>212</v>
      </c>
      <c r="BO55" t="s">
        <v>161</v>
      </c>
      <c r="BQ55" t="s">
        <v>205</v>
      </c>
      <c r="BR55" s="45">
        <f>ISNUMBER(SEARCH($BR$1,Таблица1[[#This Row],[31_1 Описание и характеристика товара]]))*1</f>
        <v>1</v>
      </c>
      <c r="BT55" t="s">
        <v>150</v>
      </c>
      <c r="BU55">
        <v>33</v>
      </c>
      <c r="BV55">
        <v>0</v>
      </c>
      <c r="BW55">
        <v>0</v>
      </c>
      <c r="BY55">
        <v>0</v>
      </c>
      <c r="CA55" t="s">
        <v>106</v>
      </c>
      <c r="CB55" t="s">
        <v>142</v>
      </c>
      <c r="CC55" t="s">
        <v>112</v>
      </c>
      <c r="CD55" t="s">
        <v>112</v>
      </c>
      <c r="CE55" t="s">
        <v>121</v>
      </c>
      <c r="CF55">
        <v>16912.34</v>
      </c>
      <c r="CG55" t="s">
        <v>144</v>
      </c>
      <c r="CH55">
        <v>4000000</v>
      </c>
      <c r="CI55">
        <v>16869.14</v>
      </c>
      <c r="CJ55">
        <v>0</v>
      </c>
      <c r="CK55" t="s">
        <v>112</v>
      </c>
      <c r="CL55" t="s">
        <v>112</v>
      </c>
      <c r="CM55">
        <v>41185.68</v>
      </c>
      <c r="CO55">
        <v>0</v>
      </c>
      <c r="CP55">
        <v>1</v>
      </c>
      <c r="CQ55">
        <v>4733204.6500000004</v>
      </c>
      <c r="CR55">
        <v>49341.07</v>
      </c>
      <c r="CS55" t="s">
        <v>145</v>
      </c>
      <c r="CT55">
        <v>49257.888800000001</v>
      </c>
      <c r="CU55">
        <v>2.92</v>
      </c>
      <c r="CV55">
        <v>45</v>
      </c>
      <c r="CX55" t="s">
        <v>233</v>
      </c>
      <c r="CY55">
        <v>166</v>
      </c>
    </row>
    <row r="56" spans="1:103" x14ac:dyDescent="0.25">
      <c r="A56" t="s">
        <v>106</v>
      </c>
      <c r="B56" s="38">
        <v>45235</v>
      </c>
      <c r="C56" s="43">
        <f>IF(YEAR(Таблица1[[#This Row],[Дата]])=2023,MONTH(Таблица1[[#This Row],[Дата]]),0)</f>
        <v>11</v>
      </c>
      <c r="D56" t="s">
        <v>1620</v>
      </c>
      <c r="E56" t="s">
        <v>108</v>
      </c>
      <c r="F56" t="s">
        <v>1621</v>
      </c>
      <c r="G56" t="s">
        <v>110</v>
      </c>
      <c r="H56" t="s">
        <v>111</v>
      </c>
      <c r="I56" t="s">
        <v>112</v>
      </c>
      <c r="J56" t="s">
        <v>112</v>
      </c>
      <c r="K56" t="s">
        <v>112</v>
      </c>
      <c r="L56" t="s">
        <v>150</v>
      </c>
      <c r="M56" t="s">
        <v>151</v>
      </c>
      <c r="N56" t="s">
        <v>112</v>
      </c>
      <c r="O56" t="s">
        <v>112</v>
      </c>
      <c r="P56">
        <v>1</v>
      </c>
      <c r="Q56">
        <v>0</v>
      </c>
      <c r="R56">
        <v>1</v>
      </c>
      <c r="S56">
        <v>33</v>
      </c>
      <c r="T56" t="s">
        <v>166</v>
      </c>
      <c r="U56" t="s">
        <v>152</v>
      </c>
      <c r="V56" t="s">
        <v>153</v>
      </c>
      <c r="W56" t="s">
        <v>154</v>
      </c>
      <c r="X56" t="s">
        <v>119</v>
      </c>
      <c r="Y56" t="s">
        <v>112</v>
      </c>
      <c r="Z56" t="s">
        <v>166</v>
      </c>
      <c r="AA56" t="s">
        <v>152</v>
      </c>
      <c r="AB56" t="s">
        <v>153</v>
      </c>
      <c r="AC56" t="s">
        <v>154</v>
      </c>
      <c r="AD56" t="s">
        <v>119</v>
      </c>
      <c r="AE56" t="s">
        <v>112</v>
      </c>
      <c r="AF56" t="s">
        <v>121</v>
      </c>
      <c r="AG56" t="s">
        <v>122</v>
      </c>
      <c r="AH56">
        <v>4577002.34</v>
      </c>
      <c r="AI56" t="s">
        <v>166</v>
      </c>
      <c r="AJ56" t="s">
        <v>152</v>
      </c>
      <c r="AK56" t="s">
        <v>153</v>
      </c>
      <c r="AL56" t="s">
        <v>154</v>
      </c>
      <c r="AM56" t="s">
        <v>119</v>
      </c>
      <c r="AN56" t="s">
        <v>112</v>
      </c>
      <c r="AO56" t="s">
        <v>121</v>
      </c>
      <c r="AP56" t="s">
        <v>122</v>
      </c>
      <c r="AQ56" t="s">
        <v>122</v>
      </c>
      <c r="AR56" t="s">
        <v>124</v>
      </c>
      <c r="AS56" t="s">
        <v>125</v>
      </c>
      <c r="AT56">
        <v>2</v>
      </c>
      <c r="AU56" t="s">
        <v>126</v>
      </c>
      <c r="AV56" t="s">
        <v>155</v>
      </c>
      <c r="AW56" t="s">
        <v>156</v>
      </c>
      <c r="AX56">
        <v>1</v>
      </c>
      <c r="AY56" t="s">
        <v>129</v>
      </c>
      <c r="AZ56">
        <v>40958.980000000003</v>
      </c>
      <c r="BC56">
        <v>99.958600000000004</v>
      </c>
      <c r="BD56" t="s">
        <v>145</v>
      </c>
      <c r="BE56" t="s">
        <v>131</v>
      </c>
      <c r="BF56" t="s">
        <v>157</v>
      </c>
      <c r="BG56" t="s">
        <v>1601</v>
      </c>
      <c r="BH56" t="s">
        <v>134</v>
      </c>
      <c r="BI56" t="s">
        <v>112</v>
      </c>
      <c r="BJ56" t="s">
        <v>112</v>
      </c>
      <c r="BK56" t="s">
        <v>112</v>
      </c>
      <c r="BL56" t="s">
        <v>169</v>
      </c>
      <c r="BM56" t="s">
        <v>159</v>
      </c>
      <c r="BN56" t="s">
        <v>212</v>
      </c>
      <c r="BO56" t="s">
        <v>161</v>
      </c>
      <c r="BQ56" t="s">
        <v>205</v>
      </c>
      <c r="BR56" s="45">
        <f>ISNUMBER(SEARCH($BR$1,Таблица1[[#This Row],[31_1 Описание и характеристика товара]]))*1</f>
        <v>1</v>
      </c>
      <c r="BT56" t="s">
        <v>150</v>
      </c>
      <c r="BU56">
        <v>33</v>
      </c>
      <c r="BV56">
        <v>0</v>
      </c>
      <c r="BW56">
        <v>0</v>
      </c>
      <c r="BY56">
        <v>0</v>
      </c>
      <c r="CA56" t="s">
        <v>106</v>
      </c>
      <c r="CB56" t="s">
        <v>142</v>
      </c>
      <c r="CC56" t="s">
        <v>112</v>
      </c>
      <c r="CD56" t="s">
        <v>112</v>
      </c>
      <c r="CE56" t="s">
        <v>121</v>
      </c>
      <c r="CF56">
        <v>16850.560000000001</v>
      </c>
      <c r="CG56" t="s">
        <v>144</v>
      </c>
      <c r="CH56">
        <v>4000000</v>
      </c>
      <c r="CI56">
        <v>16789.36</v>
      </c>
      <c r="CJ56">
        <v>0</v>
      </c>
      <c r="CK56" t="s">
        <v>112</v>
      </c>
      <c r="CL56" t="s">
        <v>112</v>
      </c>
      <c r="CM56">
        <v>40958.980000000003</v>
      </c>
      <c r="CN56">
        <v>4094202.3</v>
      </c>
      <c r="CO56">
        <v>0</v>
      </c>
      <c r="CP56">
        <v>1</v>
      </c>
      <c r="CQ56">
        <v>4577002.34</v>
      </c>
      <c r="CR56">
        <v>50308.73</v>
      </c>
      <c r="CS56" t="s">
        <v>145</v>
      </c>
      <c r="CT56">
        <v>50368.08</v>
      </c>
      <c r="CU56">
        <v>3</v>
      </c>
      <c r="CV56">
        <v>45</v>
      </c>
      <c r="CW56" t="s">
        <v>171</v>
      </c>
      <c r="CX56" t="s">
        <v>369</v>
      </c>
      <c r="CY56">
        <v>553</v>
      </c>
    </row>
    <row r="57" spans="1:103" x14ac:dyDescent="0.25">
      <c r="A57" t="s">
        <v>106</v>
      </c>
      <c r="B57" s="38">
        <v>44966</v>
      </c>
      <c r="C57" s="43">
        <f>IF(YEAR(Таблица1[[#This Row],[Дата]])=2023,MONTH(Таблица1[[#This Row],[Дата]]),0)</f>
        <v>2</v>
      </c>
      <c r="D57" t="s">
        <v>1618</v>
      </c>
      <c r="E57" t="s">
        <v>108</v>
      </c>
      <c r="F57" t="s">
        <v>1619</v>
      </c>
      <c r="G57" t="s">
        <v>110</v>
      </c>
      <c r="H57" t="s">
        <v>111</v>
      </c>
      <c r="I57" t="s">
        <v>112</v>
      </c>
      <c r="J57" t="s">
        <v>112</v>
      </c>
      <c r="K57" t="s">
        <v>112</v>
      </c>
      <c r="L57" t="s">
        <v>150</v>
      </c>
      <c r="M57" t="s">
        <v>151</v>
      </c>
      <c r="N57" t="s">
        <v>112</v>
      </c>
      <c r="O57" t="s">
        <v>112</v>
      </c>
      <c r="P57">
        <v>1</v>
      </c>
      <c r="Q57">
        <v>0</v>
      </c>
      <c r="R57">
        <v>1</v>
      </c>
      <c r="S57">
        <v>33</v>
      </c>
      <c r="T57" t="s">
        <v>166</v>
      </c>
      <c r="U57" t="s">
        <v>152</v>
      </c>
      <c r="V57" t="s">
        <v>153</v>
      </c>
      <c r="W57" t="s">
        <v>154</v>
      </c>
      <c r="X57" t="s">
        <v>119</v>
      </c>
      <c r="Y57" t="s">
        <v>112</v>
      </c>
      <c r="Z57" t="s">
        <v>166</v>
      </c>
      <c r="AA57" t="s">
        <v>152</v>
      </c>
      <c r="AB57" t="s">
        <v>153</v>
      </c>
      <c r="AC57" t="s">
        <v>154</v>
      </c>
      <c r="AD57" t="s">
        <v>119</v>
      </c>
      <c r="AE57" t="s">
        <v>112</v>
      </c>
      <c r="AF57" t="s">
        <v>121</v>
      </c>
      <c r="AG57" t="s">
        <v>122</v>
      </c>
      <c r="AH57">
        <v>4560723.08</v>
      </c>
      <c r="AI57" t="s">
        <v>166</v>
      </c>
      <c r="AJ57" t="s">
        <v>152</v>
      </c>
      <c r="AK57" t="s">
        <v>153</v>
      </c>
      <c r="AL57" t="s">
        <v>154</v>
      </c>
      <c r="AM57" t="s">
        <v>119</v>
      </c>
      <c r="AN57" t="s">
        <v>112</v>
      </c>
      <c r="AO57" t="s">
        <v>121</v>
      </c>
      <c r="AP57" t="s">
        <v>122</v>
      </c>
      <c r="AQ57" t="s">
        <v>122</v>
      </c>
      <c r="AR57" t="s">
        <v>124</v>
      </c>
      <c r="AS57" t="s">
        <v>125</v>
      </c>
      <c r="AT57">
        <v>2</v>
      </c>
      <c r="AU57" t="s">
        <v>126</v>
      </c>
      <c r="AV57" t="s">
        <v>155</v>
      </c>
      <c r="AW57" t="s">
        <v>156</v>
      </c>
      <c r="AX57">
        <v>1</v>
      </c>
      <c r="AY57" t="s">
        <v>129</v>
      </c>
      <c r="AZ57">
        <v>41496.120000000003</v>
      </c>
      <c r="BC57">
        <v>99.958600000000004</v>
      </c>
      <c r="BD57" t="s">
        <v>145</v>
      </c>
      <c r="BE57" t="s">
        <v>131</v>
      </c>
      <c r="BF57" t="s">
        <v>157</v>
      </c>
      <c r="BG57" t="s">
        <v>1601</v>
      </c>
      <c r="BH57" t="s">
        <v>134</v>
      </c>
      <c r="BI57" t="s">
        <v>112</v>
      </c>
      <c r="BJ57" t="s">
        <v>112</v>
      </c>
      <c r="BK57" t="s">
        <v>112</v>
      </c>
      <c r="BL57" t="s">
        <v>169</v>
      </c>
      <c r="BM57" t="s">
        <v>159</v>
      </c>
      <c r="BN57" t="s">
        <v>212</v>
      </c>
      <c r="BO57" t="s">
        <v>161</v>
      </c>
      <c r="BQ57" t="s">
        <v>162</v>
      </c>
      <c r="BR57" s="45">
        <f>ISNUMBER(SEARCH($BR$1,Таблица1[[#This Row],[31_1 Описание и характеристика товара]]))*1</f>
        <v>1</v>
      </c>
      <c r="BT57" t="s">
        <v>150</v>
      </c>
      <c r="BU57">
        <v>33</v>
      </c>
      <c r="BV57">
        <v>0</v>
      </c>
      <c r="BW57">
        <v>0</v>
      </c>
      <c r="BY57">
        <v>0</v>
      </c>
      <c r="CA57" t="s">
        <v>106</v>
      </c>
      <c r="CB57" t="s">
        <v>142</v>
      </c>
      <c r="CC57" t="s">
        <v>112</v>
      </c>
      <c r="CD57" t="s">
        <v>112</v>
      </c>
      <c r="CE57" t="s">
        <v>121</v>
      </c>
      <c r="CF57">
        <v>16510.240000000002</v>
      </c>
      <c r="CG57" t="s">
        <v>144</v>
      </c>
      <c r="CH57">
        <v>4000000</v>
      </c>
      <c r="CI57">
        <v>16359.04</v>
      </c>
      <c r="CJ57">
        <v>0</v>
      </c>
      <c r="CK57" t="s">
        <v>112</v>
      </c>
      <c r="CL57" t="s">
        <v>112</v>
      </c>
      <c r="CM57">
        <v>41496.120000000003</v>
      </c>
      <c r="CN57">
        <v>4147894.06</v>
      </c>
      <c r="CO57">
        <v>0</v>
      </c>
      <c r="CP57">
        <v>1</v>
      </c>
      <c r="CQ57">
        <v>4560723.08</v>
      </c>
      <c r="CR57">
        <v>50129.79</v>
      </c>
      <c r="CS57" t="s">
        <v>145</v>
      </c>
      <c r="CT57">
        <v>50058.662400000001</v>
      </c>
      <c r="CU57">
        <v>3.06</v>
      </c>
      <c r="CV57">
        <v>45</v>
      </c>
      <c r="CW57" t="s">
        <v>171</v>
      </c>
      <c r="CX57" t="s">
        <v>372</v>
      </c>
      <c r="CY57">
        <v>68</v>
      </c>
    </row>
    <row r="58" spans="1:103" x14ac:dyDescent="0.25">
      <c r="A58" t="s">
        <v>106</v>
      </c>
      <c r="B58" s="38">
        <v>44998</v>
      </c>
      <c r="C58" s="43">
        <f>IF(YEAR(Таблица1[[#This Row],[Дата]])=2023,MONTH(Таблица1[[#This Row],[Дата]]),0)</f>
        <v>3</v>
      </c>
      <c r="D58" t="s">
        <v>1616</v>
      </c>
      <c r="E58" t="s">
        <v>108</v>
      </c>
      <c r="F58" t="s">
        <v>1617</v>
      </c>
      <c r="G58" t="s">
        <v>110</v>
      </c>
      <c r="H58" t="s">
        <v>111</v>
      </c>
      <c r="I58" t="s">
        <v>112</v>
      </c>
      <c r="J58" t="s">
        <v>112</v>
      </c>
      <c r="K58" t="s">
        <v>112</v>
      </c>
      <c r="L58" t="s">
        <v>150</v>
      </c>
      <c r="M58" t="s">
        <v>151</v>
      </c>
      <c r="N58" t="s">
        <v>112</v>
      </c>
      <c r="O58" t="s">
        <v>112</v>
      </c>
      <c r="P58">
        <v>1</v>
      </c>
      <c r="Q58">
        <v>0</v>
      </c>
      <c r="R58">
        <v>1</v>
      </c>
      <c r="S58">
        <v>33</v>
      </c>
      <c r="T58" t="s">
        <v>166</v>
      </c>
      <c r="U58" t="s">
        <v>152</v>
      </c>
      <c r="V58" t="s">
        <v>153</v>
      </c>
      <c r="W58" t="s">
        <v>154</v>
      </c>
      <c r="X58" t="s">
        <v>119</v>
      </c>
      <c r="Y58" t="s">
        <v>112</v>
      </c>
      <c r="Z58" t="s">
        <v>166</v>
      </c>
      <c r="AA58" t="s">
        <v>152</v>
      </c>
      <c r="AB58" t="s">
        <v>153</v>
      </c>
      <c r="AC58" t="s">
        <v>154</v>
      </c>
      <c r="AD58" t="s">
        <v>119</v>
      </c>
      <c r="AE58" t="s">
        <v>112</v>
      </c>
      <c r="AF58" t="s">
        <v>121</v>
      </c>
      <c r="AG58" t="s">
        <v>122</v>
      </c>
      <c r="AH58">
        <v>4459281.0999999996</v>
      </c>
      <c r="AI58" t="s">
        <v>166</v>
      </c>
      <c r="AJ58" t="s">
        <v>152</v>
      </c>
      <c r="AK58" t="s">
        <v>153</v>
      </c>
      <c r="AL58" t="s">
        <v>154</v>
      </c>
      <c r="AM58" t="s">
        <v>119</v>
      </c>
      <c r="AN58" t="s">
        <v>112</v>
      </c>
      <c r="AO58" t="s">
        <v>121</v>
      </c>
      <c r="AP58" t="s">
        <v>122</v>
      </c>
      <c r="AQ58" t="s">
        <v>122</v>
      </c>
      <c r="AR58" t="s">
        <v>124</v>
      </c>
      <c r="AS58" t="s">
        <v>125</v>
      </c>
      <c r="AT58">
        <v>2</v>
      </c>
      <c r="AU58" t="s">
        <v>126</v>
      </c>
      <c r="AV58" t="s">
        <v>155</v>
      </c>
      <c r="AW58" t="s">
        <v>156</v>
      </c>
      <c r="AX58">
        <v>1</v>
      </c>
      <c r="AY58" t="s">
        <v>129</v>
      </c>
      <c r="AZ58">
        <v>40481.279999999999</v>
      </c>
      <c r="BC58">
        <v>99.958600000000004</v>
      </c>
      <c r="BD58" t="s">
        <v>145</v>
      </c>
      <c r="BE58" t="s">
        <v>131</v>
      </c>
      <c r="BF58" t="s">
        <v>157</v>
      </c>
      <c r="BG58" t="s">
        <v>1601</v>
      </c>
      <c r="BH58" t="s">
        <v>167</v>
      </c>
      <c r="BI58" t="s">
        <v>168</v>
      </c>
      <c r="BJ58" t="s">
        <v>112</v>
      </c>
      <c r="BK58" t="s">
        <v>112</v>
      </c>
      <c r="BL58" t="s">
        <v>169</v>
      </c>
      <c r="BM58" t="s">
        <v>159</v>
      </c>
      <c r="BN58" t="s">
        <v>160</v>
      </c>
      <c r="BO58" t="s">
        <v>161</v>
      </c>
      <c r="BQ58" t="s">
        <v>205</v>
      </c>
      <c r="BR58" s="45">
        <f>ISNUMBER(SEARCH($BR$1,Таблица1[[#This Row],[31_1 Описание и характеристика товара]]))*1</f>
        <v>1</v>
      </c>
      <c r="BT58" t="s">
        <v>150</v>
      </c>
      <c r="BU58">
        <v>33</v>
      </c>
      <c r="BV58">
        <v>0</v>
      </c>
      <c r="BW58">
        <v>0</v>
      </c>
      <c r="BY58">
        <v>0</v>
      </c>
      <c r="CA58" t="s">
        <v>106</v>
      </c>
      <c r="CB58" t="s">
        <v>142</v>
      </c>
      <c r="CC58" t="s">
        <v>112</v>
      </c>
      <c r="CD58" t="s">
        <v>112</v>
      </c>
      <c r="CE58" t="s">
        <v>121</v>
      </c>
      <c r="CF58">
        <v>16162.18</v>
      </c>
      <c r="CG58" t="s">
        <v>144</v>
      </c>
      <c r="CH58">
        <v>4000000</v>
      </c>
      <c r="CI58">
        <v>16054.18</v>
      </c>
      <c r="CJ58">
        <v>0</v>
      </c>
      <c r="CK58" t="s">
        <v>112</v>
      </c>
      <c r="CL58" t="s">
        <v>112</v>
      </c>
      <c r="CM58">
        <v>40481.279999999999</v>
      </c>
      <c r="CN58">
        <v>4046452.08</v>
      </c>
      <c r="CO58">
        <v>0</v>
      </c>
      <c r="CP58">
        <v>1</v>
      </c>
      <c r="CQ58">
        <v>4459281.0999999996</v>
      </c>
      <c r="CR58">
        <v>49014.78</v>
      </c>
      <c r="CS58" t="s">
        <v>145</v>
      </c>
      <c r="CT58">
        <v>48965.248999999996</v>
      </c>
      <c r="CU58">
        <v>3.05</v>
      </c>
      <c r="CV58">
        <v>45</v>
      </c>
      <c r="CW58" t="s">
        <v>171</v>
      </c>
      <c r="CX58" t="s">
        <v>463</v>
      </c>
      <c r="CY58">
        <v>212</v>
      </c>
    </row>
    <row r="59" spans="1:103" x14ac:dyDescent="0.25">
      <c r="A59" t="s">
        <v>106</v>
      </c>
      <c r="B59" s="38">
        <v>45163</v>
      </c>
      <c r="C59" s="43">
        <f>IF(YEAR(Таблица1[[#This Row],[Дата]])=2023,MONTH(Таблица1[[#This Row],[Дата]]),0)</f>
        <v>8</v>
      </c>
      <c r="D59" t="s">
        <v>1612</v>
      </c>
      <c r="E59" t="s">
        <v>108</v>
      </c>
      <c r="F59" t="s">
        <v>1613</v>
      </c>
      <c r="G59" t="s">
        <v>110</v>
      </c>
      <c r="H59" t="s">
        <v>111</v>
      </c>
      <c r="I59" t="s">
        <v>112</v>
      </c>
      <c r="J59" t="s">
        <v>112</v>
      </c>
      <c r="K59" t="s">
        <v>112</v>
      </c>
      <c r="L59" t="s">
        <v>150</v>
      </c>
      <c r="M59" t="s">
        <v>151</v>
      </c>
      <c r="N59" t="s">
        <v>112</v>
      </c>
      <c r="O59" t="s">
        <v>112</v>
      </c>
      <c r="P59">
        <v>1</v>
      </c>
      <c r="Q59">
        <v>0</v>
      </c>
      <c r="R59">
        <v>1</v>
      </c>
      <c r="S59">
        <v>33</v>
      </c>
      <c r="T59" t="s">
        <v>166</v>
      </c>
      <c r="U59" t="s">
        <v>152</v>
      </c>
      <c r="V59" t="s">
        <v>153</v>
      </c>
      <c r="W59" t="s">
        <v>154</v>
      </c>
      <c r="X59" t="s">
        <v>119</v>
      </c>
      <c r="Y59" t="s">
        <v>112</v>
      </c>
      <c r="Z59" t="s">
        <v>166</v>
      </c>
      <c r="AA59" t="s">
        <v>152</v>
      </c>
      <c r="AB59" t="s">
        <v>153</v>
      </c>
      <c r="AC59" t="s">
        <v>154</v>
      </c>
      <c r="AD59" t="s">
        <v>119</v>
      </c>
      <c r="AE59" t="s">
        <v>112</v>
      </c>
      <c r="AF59" t="s">
        <v>121</v>
      </c>
      <c r="AG59" t="s">
        <v>122</v>
      </c>
      <c r="AH59">
        <v>4325034.7</v>
      </c>
      <c r="AI59" t="s">
        <v>166</v>
      </c>
      <c r="AJ59" t="s">
        <v>152</v>
      </c>
      <c r="AK59" t="s">
        <v>153</v>
      </c>
      <c r="AL59" t="s">
        <v>154</v>
      </c>
      <c r="AM59" t="s">
        <v>119</v>
      </c>
      <c r="AN59" t="s">
        <v>112</v>
      </c>
      <c r="AO59" t="s">
        <v>121</v>
      </c>
      <c r="AP59" t="s">
        <v>122</v>
      </c>
      <c r="AQ59" t="s">
        <v>122</v>
      </c>
      <c r="AR59" t="s">
        <v>124</v>
      </c>
      <c r="AS59" t="s">
        <v>125</v>
      </c>
      <c r="AT59">
        <v>2</v>
      </c>
      <c r="AU59" t="s">
        <v>126</v>
      </c>
      <c r="AV59" t="s">
        <v>155</v>
      </c>
      <c r="AW59" t="s">
        <v>156</v>
      </c>
      <c r="AX59">
        <v>1</v>
      </c>
      <c r="AY59" t="s">
        <v>129</v>
      </c>
      <c r="AZ59">
        <v>39138.26</v>
      </c>
      <c r="BC59">
        <v>99.958600000000004</v>
      </c>
      <c r="BD59" t="s">
        <v>145</v>
      </c>
      <c r="BE59" t="s">
        <v>131</v>
      </c>
      <c r="BF59" t="s">
        <v>157</v>
      </c>
      <c r="BG59" t="s">
        <v>1601</v>
      </c>
      <c r="BH59" t="s">
        <v>167</v>
      </c>
      <c r="BI59" t="s">
        <v>168</v>
      </c>
      <c r="BJ59" t="s">
        <v>112</v>
      </c>
      <c r="BK59" t="s">
        <v>112</v>
      </c>
      <c r="BL59" t="s">
        <v>169</v>
      </c>
      <c r="BM59" t="s">
        <v>159</v>
      </c>
      <c r="BN59" t="s">
        <v>160</v>
      </c>
      <c r="BO59" t="s">
        <v>161</v>
      </c>
      <c r="BQ59" t="s">
        <v>162</v>
      </c>
      <c r="BR59" s="45">
        <f>ISNUMBER(SEARCH($BR$1,Таблица1[[#This Row],[31_1 Описание и характеристика товара]]))*1</f>
        <v>1</v>
      </c>
      <c r="BT59" t="s">
        <v>150</v>
      </c>
      <c r="BU59">
        <v>33</v>
      </c>
      <c r="BV59">
        <v>0</v>
      </c>
      <c r="BW59">
        <v>0</v>
      </c>
      <c r="BY59">
        <v>0</v>
      </c>
      <c r="CA59" t="s">
        <v>106</v>
      </c>
      <c r="CB59" t="s">
        <v>142</v>
      </c>
      <c r="CC59" t="s">
        <v>112</v>
      </c>
      <c r="CD59" t="s">
        <v>112</v>
      </c>
      <c r="CE59" t="s">
        <v>121</v>
      </c>
      <c r="CF59">
        <v>17073.59</v>
      </c>
      <c r="CG59" t="s">
        <v>144</v>
      </c>
      <c r="CH59">
        <v>4000000</v>
      </c>
      <c r="CI59">
        <v>17037.59</v>
      </c>
      <c r="CJ59">
        <v>0</v>
      </c>
      <c r="CK59" t="s">
        <v>112</v>
      </c>
      <c r="CL59" t="s">
        <v>112</v>
      </c>
      <c r="CM59">
        <v>39138.26</v>
      </c>
      <c r="CN59">
        <v>3912205.68</v>
      </c>
      <c r="CO59">
        <v>0</v>
      </c>
      <c r="CP59">
        <v>1</v>
      </c>
      <c r="CQ59">
        <v>4325034.7</v>
      </c>
      <c r="CR59">
        <v>47539.19</v>
      </c>
      <c r="CS59" t="s">
        <v>145</v>
      </c>
      <c r="CT59">
        <v>47534.876100000001</v>
      </c>
      <c r="CU59">
        <v>2.79</v>
      </c>
      <c r="CV59">
        <v>45</v>
      </c>
      <c r="CW59" t="s">
        <v>171</v>
      </c>
      <c r="CX59" t="s">
        <v>372</v>
      </c>
      <c r="CY59">
        <v>337</v>
      </c>
    </row>
    <row r="60" spans="1:103" x14ac:dyDescent="0.25">
      <c r="A60" t="s">
        <v>106</v>
      </c>
      <c r="B60" s="38">
        <v>45131</v>
      </c>
      <c r="C60" s="43">
        <f>IF(YEAR(Таблица1[[#This Row],[Дата]])=2023,MONTH(Таблица1[[#This Row],[Дата]]),0)</f>
        <v>7</v>
      </c>
      <c r="D60" t="s">
        <v>1610</v>
      </c>
      <c r="E60" t="s">
        <v>108</v>
      </c>
      <c r="F60" t="s">
        <v>1611</v>
      </c>
      <c r="G60" t="s">
        <v>110</v>
      </c>
      <c r="H60" t="s">
        <v>111</v>
      </c>
      <c r="I60" t="s">
        <v>112</v>
      </c>
      <c r="J60" t="s">
        <v>112</v>
      </c>
      <c r="K60" t="s">
        <v>112</v>
      </c>
      <c r="L60" t="s">
        <v>150</v>
      </c>
      <c r="M60" t="s">
        <v>151</v>
      </c>
      <c r="N60" t="s">
        <v>112</v>
      </c>
      <c r="O60" t="s">
        <v>112</v>
      </c>
      <c r="P60">
        <v>1</v>
      </c>
      <c r="Q60">
        <v>0</v>
      </c>
      <c r="R60">
        <v>1</v>
      </c>
      <c r="S60">
        <v>33</v>
      </c>
      <c r="T60" t="s">
        <v>166</v>
      </c>
      <c r="U60" t="s">
        <v>152</v>
      </c>
      <c r="V60" t="s">
        <v>153</v>
      </c>
      <c r="W60" t="s">
        <v>154</v>
      </c>
      <c r="X60" t="s">
        <v>119</v>
      </c>
      <c r="Y60" t="s">
        <v>112</v>
      </c>
      <c r="Z60" t="s">
        <v>166</v>
      </c>
      <c r="AA60" t="s">
        <v>152</v>
      </c>
      <c r="AB60" t="s">
        <v>153</v>
      </c>
      <c r="AC60" t="s">
        <v>154</v>
      </c>
      <c r="AD60" t="s">
        <v>119</v>
      </c>
      <c r="AE60" t="s">
        <v>112</v>
      </c>
      <c r="AF60" t="s">
        <v>121</v>
      </c>
      <c r="AG60" t="s">
        <v>122</v>
      </c>
      <c r="AH60">
        <v>4554123.8099999996</v>
      </c>
      <c r="AI60" t="s">
        <v>166</v>
      </c>
      <c r="AJ60" t="s">
        <v>152</v>
      </c>
      <c r="AK60" t="s">
        <v>153</v>
      </c>
      <c r="AL60" t="s">
        <v>154</v>
      </c>
      <c r="AM60" t="s">
        <v>119</v>
      </c>
      <c r="AN60" t="s">
        <v>112</v>
      </c>
      <c r="AO60" t="s">
        <v>121</v>
      </c>
      <c r="AP60" t="s">
        <v>122</v>
      </c>
      <c r="AQ60" t="s">
        <v>122</v>
      </c>
      <c r="AR60" t="s">
        <v>124</v>
      </c>
      <c r="AS60" t="s">
        <v>125</v>
      </c>
      <c r="AT60">
        <v>2</v>
      </c>
      <c r="AU60" t="s">
        <v>126</v>
      </c>
      <c r="AV60" t="s">
        <v>155</v>
      </c>
      <c r="AW60" t="s">
        <v>156</v>
      </c>
      <c r="AX60">
        <v>1</v>
      </c>
      <c r="AY60" t="s">
        <v>129</v>
      </c>
      <c r="AZ60">
        <v>40910.1</v>
      </c>
      <c r="BC60">
        <v>99.958600000000004</v>
      </c>
      <c r="BD60" t="s">
        <v>145</v>
      </c>
      <c r="BE60" t="s">
        <v>131</v>
      </c>
      <c r="BF60" t="s">
        <v>157</v>
      </c>
      <c r="BG60" t="s">
        <v>1601</v>
      </c>
      <c r="BH60" t="s">
        <v>167</v>
      </c>
      <c r="BI60" t="s">
        <v>168</v>
      </c>
      <c r="BJ60" t="s">
        <v>112</v>
      </c>
      <c r="BK60" t="s">
        <v>112</v>
      </c>
      <c r="BL60" t="s">
        <v>169</v>
      </c>
      <c r="BM60" t="s">
        <v>159</v>
      </c>
      <c r="BN60" t="s">
        <v>160</v>
      </c>
      <c r="BO60" t="s">
        <v>161</v>
      </c>
      <c r="BQ60" t="s">
        <v>205</v>
      </c>
      <c r="BR60" s="45">
        <f>ISNUMBER(SEARCH($BR$1,Таблица1[[#This Row],[31_1 Описание и характеристика товара]]))*1</f>
        <v>1</v>
      </c>
      <c r="BT60" t="s">
        <v>150</v>
      </c>
      <c r="BU60">
        <v>33</v>
      </c>
      <c r="BV60">
        <v>0</v>
      </c>
      <c r="BW60">
        <v>0</v>
      </c>
      <c r="BY60">
        <v>0</v>
      </c>
      <c r="CA60" t="s">
        <v>106</v>
      </c>
      <c r="CB60" t="s">
        <v>142</v>
      </c>
      <c r="CC60" t="s">
        <v>112</v>
      </c>
      <c r="CD60" t="s">
        <v>112</v>
      </c>
      <c r="CE60" t="s">
        <v>121</v>
      </c>
      <c r="CF60">
        <v>16919.830000000002</v>
      </c>
      <c r="CG60" t="s">
        <v>144</v>
      </c>
      <c r="CH60">
        <v>4000000</v>
      </c>
      <c r="CI60">
        <v>16826.23</v>
      </c>
      <c r="CJ60">
        <v>0</v>
      </c>
      <c r="CK60" t="s">
        <v>112</v>
      </c>
      <c r="CL60" t="s">
        <v>112</v>
      </c>
      <c r="CM60">
        <v>40910.1</v>
      </c>
      <c r="CN60">
        <v>4089316.32</v>
      </c>
      <c r="CO60">
        <v>0</v>
      </c>
      <c r="CP60">
        <v>1</v>
      </c>
      <c r="CQ60">
        <v>4554123.8099999996</v>
      </c>
      <c r="CR60">
        <v>50057.25</v>
      </c>
      <c r="CS60" t="s">
        <v>145</v>
      </c>
      <c r="CT60">
        <v>49973.903100000003</v>
      </c>
      <c r="CU60">
        <v>2.97</v>
      </c>
      <c r="CV60">
        <v>45</v>
      </c>
      <c r="CW60" t="s">
        <v>171</v>
      </c>
      <c r="CX60" t="s">
        <v>369</v>
      </c>
      <c r="CY60">
        <v>45</v>
      </c>
    </row>
    <row r="61" spans="1:103" x14ac:dyDescent="0.25">
      <c r="A61" t="s">
        <v>106</v>
      </c>
      <c r="B61" s="38">
        <v>45000</v>
      </c>
      <c r="C61" s="43">
        <f>IF(YEAR(Таблица1[[#This Row],[Дата]])=2023,MONTH(Таблица1[[#This Row],[Дата]]),0)</f>
        <v>3</v>
      </c>
      <c r="D61" t="s">
        <v>1608</v>
      </c>
      <c r="E61" t="s">
        <v>108</v>
      </c>
      <c r="F61" t="s">
        <v>1609</v>
      </c>
      <c r="G61" t="s">
        <v>110</v>
      </c>
      <c r="H61" t="s">
        <v>111</v>
      </c>
      <c r="I61" t="s">
        <v>112</v>
      </c>
      <c r="J61" t="s">
        <v>112</v>
      </c>
      <c r="K61" t="s">
        <v>112</v>
      </c>
      <c r="L61" t="s">
        <v>150</v>
      </c>
      <c r="M61" t="s">
        <v>151</v>
      </c>
      <c r="N61" t="s">
        <v>112</v>
      </c>
      <c r="O61" t="s">
        <v>112</v>
      </c>
      <c r="P61">
        <v>1</v>
      </c>
      <c r="Q61">
        <v>0</v>
      </c>
      <c r="R61">
        <v>1</v>
      </c>
      <c r="S61">
        <v>33</v>
      </c>
      <c r="T61" t="s">
        <v>166</v>
      </c>
      <c r="U61" t="s">
        <v>152</v>
      </c>
      <c r="V61" t="s">
        <v>153</v>
      </c>
      <c r="W61" t="s">
        <v>154</v>
      </c>
      <c r="X61" t="s">
        <v>119</v>
      </c>
      <c r="Y61" t="s">
        <v>112</v>
      </c>
      <c r="Z61" t="s">
        <v>166</v>
      </c>
      <c r="AA61" t="s">
        <v>152</v>
      </c>
      <c r="AB61" t="s">
        <v>153</v>
      </c>
      <c r="AC61" t="s">
        <v>154</v>
      </c>
      <c r="AD61" t="s">
        <v>119</v>
      </c>
      <c r="AE61" t="s">
        <v>112</v>
      </c>
      <c r="AF61" t="s">
        <v>121</v>
      </c>
      <c r="AG61" t="s">
        <v>122</v>
      </c>
      <c r="AH61">
        <v>4530391.6399999997</v>
      </c>
      <c r="AI61" t="s">
        <v>166</v>
      </c>
      <c r="AJ61" t="s">
        <v>152</v>
      </c>
      <c r="AK61" t="s">
        <v>153</v>
      </c>
      <c r="AL61" t="s">
        <v>154</v>
      </c>
      <c r="AM61" t="s">
        <v>119</v>
      </c>
      <c r="AN61" t="s">
        <v>112</v>
      </c>
      <c r="AO61" t="s">
        <v>121</v>
      </c>
      <c r="AP61" t="s">
        <v>122</v>
      </c>
      <c r="AQ61" t="s">
        <v>122</v>
      </c>
      <c r="AR61" t="s">
        <v>124</v>
      </c>
      <c r="AS61" t="s">
        <v>125</v>
      </c>
      <c r="AT61">
        <v>2</v>
      </c>
      <c r="AU61" t="s">
        <v>126</v>
      </c>
      <c r="AV61" t="s">
        <v>155</v>
      </c>
      <c r="AW61" t="s">
        <v>156</v>
      </c>
      <c r="AX61">
        <v>1</v>
      </c>
      <c r="AY61" t="s">
        <v>129</v>
      </c>
      <c r="AZ61">
        <v>40672.68</v>
      </c>
      <c r="BC61">
        <v>99.958600000000004</v>
      </c>
      <c r="BD61" t="s">
        <v>145</v>
      </c>
      <c r="BE61" t="s">
        <v>131</v>
      </c>
      <c r="BF61" t="s">
        <v>157</v>
      </c>
      <c r="BG61" t="s">
        <v>1601</v>
      </c>
      <c r="BH61" t="s">
        <v>167</v>
      </c>
      <c r="BI61" t="s">
        <v>168</v>
      </c>
      <c r="BJ61" t="s">
        <v>112</v>
      </c>
      <c r="BK61" t="s">
        <v>112</v>
      </c>
      <c r="BL61" t="s">
        <v>169</v>
      </c>
      <c r="BM61" t="s">
        <v>159</v>
      </c>
      <c r="BN61" t="s">
        <v>160</v>
      </c>
      <c r="BO61" t="s">
        <v>161</v>
      </c>
      <c r="BQ61" t="s">
        <v>281</v>
      </c>
      <c r="BR61" s="45">
        <f>ISNUMBER(SEARCH($BR$1,Таблица1[[#This Row],[31_1 Описание и характеристика товара]]))*1</f>
        <v>1</v>
      </c>
      <c r="BT61" t="s">
        <v>150</v>
      </c>
      <c r="BU61">
        <v>33</v>
      </c>
      <c r="BV61">
        <v>0</v>
      </c>
      <c r="BW61">
        <v>0</v>
      </c>
      <c r="BY61">
        <v>0</v>
      </c>
      <c r="CA61" t="s">
        <v>106</v>
      </c>
      <c r="CB61" t="s">
        <v>142</v>
      </c>
      <c r="CC61" t="s">
        <v>112</v>
      </c>
      <c r="CD61" t="s">
        <v>112</v>
      </c>
      <c r="CE61" t="s">
        <v>121</v>
      </c>
      <c r="CF61">
        <v>17085.439999999999</v>
      </c>
      <c r="CG61" t="s">
        <v>144</v>
      </c>
      <c r="CH61">
        <v>4000000</v>
      </c>
      <c r="CI61">
        <v>16999.04</v>
      </c>
      <c r="CJ61">
        <v>0</v>
      </c>
      <c r="CK61" t="s">
        <v>112</v>
      </c>
      <c r="CL61" t="s">
        <v>112</v>
      </c>
      <c r="CM61">
        <v>40672.68</v>
      </c>
      <c r="CN61">
        <v>4065584.15</v>
      </c>
      <c r="CO61">
        <v>0</v>
      </c>
      <c r="CP61">
        <v>1</v>
      </c>
      <c r="CQ61">
        <v>4530391.6399999997</v>
      </c>
      <c r="CR61">
        <v>49796.4</v>
      </c>
      <c r="CS61" t="s">
        <v>145</v>
      </c>
      <c r="CT61">
        <v>49807.187200000008</v>
      </c>
      <c r="CU61">
        <v>2.93</v>
      </c>
      <c r="CV61">
        <v>45</v>
      </c>
      <c r="CW61" t="s">
        <v>171</v>
      </c>
      <c r="CX61" t="s">
        <v>369</v>
      </c>
      <c r="CY61">
        <v>67</v>
      </c>
    </row>
    <row r="62" spans="1:103" x14ac:dyDescent="0.25">
      <c r="A62" t="s">
        <v>106</v>
      </c>
      <c r="B62" s="38">
        <v>45249</v>
      </c>
      <c r="C62" s="43">
        <f>IF(YEAR(Таблица1[[#This Row],[Дата]])=2023,MONTH(Таблица1[[#This Row],[Дата]]),0)</f>
        <v>11</v>
      </c>
      <c r="D62" t="s">
        <v>1606</v>
      </c>
      <c r="E62" t="s">
        <v>108</v>
      </c>
      <c r="F62" t="s">
        <v>1607</v>
      </c>
      <c r="G62" t="s">
        <v>110</v>
      </c>
      <c r="H62" t="s">
        <v>111</v>
      </c>
      <c r="I62" t="s">
        <v>112</v>
      </c>
      <c r="J62" t="s">
        <v>112</v>
      </c>
      <c r="K62" t="s">
        <v>112</v>
      </c>
      <c r="L62" t="s">
        <v>150</v>
      </c>
      <c r="M62" t="s">
        <v>151</v>
      </c>
      <c r="N62" t="s">
        <v>112</v>
      </c>
      <c r="O62" t="s">
        <v>112</v>
      </c>
      <c r="P62">
        <v>1</v>
      </c>
      <c r="Q62">
        <v>0</v>
      </c>
      <c r="R62">
        <v>1</v>
      </c>
      <c r="S62">
        <v>33</v>
      </c>
      <c r="T62" t="s">
        <v>166</v>
      </c>
      <c r="U62" t="s">
        <v>152</v>
      </c>
      <c r="V62" t="s">
        <v>153</v>
      </c>
      <c r="W62" t="s">
        <v>154</v>
      </c>
      <c r="X62" t="s">
        <v>119</v>
      </c>
      <c r="Y62" t="s">
        <v>112</v>
      </c>
      <c r="Z62" t="s">
        <v>166</v>
      </c>
      <c r="AA62" t="s">
        <v>152</v>
      </c>
      <c r="AB62" t="s">
        <v>153</v>
      </c>
      <c r="AC62" t="s">
        <v>154</v>
      </c>
      <c r="AD62" t="s">
        <v>119</v>
      </c>
      <c r="AE62" t="s">
        <v>112</v>
      </c>
      <c r="AF62" t="s">
        <v>121</v>
      </c>
      <c r="AG62" t="s">
        <v>122</v>
      </c>
      <c r="AH62">
        <v>4574484.38</v>
      </c>
      <c r="AI62" t="s">
        <v>166</v>
      </c>
      <c r="AJ62" t="s">
        <v>152</v>
      </c>
      <c r="AK62" t="s">
        <v>153</v>
      </c>
      <c r="AL62" t="s">
        <v>154</v>
      </c>
      <c r="AM62" t="s">
        <v>119</v>
      </c>
      <c r="AN62" t="s">
        <v>112</v>
      </c>
      <c r="AO62" t="s">
        <v>121</v>
      </c>
      <c r="AP62" t="s">
        <v>122</v>
      </c>
      <c r="AQ62" t="s">
        <v>122</v>
      </c>
      <c r="AR62" t="s">
        <v>124</v>
      </c>
      <c r="AS62" t="s">
        <v>125</v>
      </c>
      <c r="AT62">
        <v>2</v>
      </c>
      <c r="AU62" t="s">
        <v>126</v>
      </c>
      <c r="AV62" t="s">
        <v>155</v>
      </c>
      <c r="AW62" t="s">
        <v>156</v>
      </c>
      <c r="AX62">
        <v>1</v>
      </c>
      <c r="AY62" t="s">
        <v>129</v>
      </c>
      <c r="AZ62">
        <v>40933.79</v>
      </c>
      <c r="BC62">
        <v>99.958600000000004</v>
      </c>
      <c r="BD62" t="s">
        <v>145</v>
      </c>
      <c r="BE62" t="s">
        <v>131</v>
      </c>
      <c r="BF62" t="s">
        <v>157</v>
      </c>
      <c r="BG62" t="s">
        <v>1601</v>
      </c>
      <c r="BH62" t="s">
        <v>167</v>
      </c>
      <c r="BI62" t="s">
        <v>168</v>
      </c>
      <c r="BJ62" t="s">
        <v>112</v>
      </c>
      <c r="BK62" t="s">
        <v>112</v>
      </c>
      <c r="BL62" t="s">
        <v>169</v>
      </c>
      <c r="BM62" t="s">
        <v>159</v>
      </c>
      <c r="BN62" t="s">
        <v>160</v>
      </c>
      <c r="BO62" t="s">
        <v>161</v>
      </c>
      <c r="BQ62" t="s">
        <v>162</v>
      </c>
      <c r="BR62" s="45">
        <f>ISNUMBER(SEARCH($BR$1,Таблица1[[#This Row],[31_1 Описание и характеристика товара]]))*1</f>
        <v>1</v>
      </c>
      <c r="BT62" t="s">
        <v>150</v>
      </c>
      <c r="BU62">
        <v>33</v>
      </c>
      <c r="BV62">
        <v>0</v>
      </c>
      <c r="BW62">
        <v>0</v>
      </c>
      <c r="BY62">
        <v>0</v>
      </c>
      <c r="CA62" t="s">
        <v>106</v>
      </c>
      <c r="CB62" t="s">
        <v>142</v>
      </c>
      <c r="CC62" t="s">
        <v>112</v>
      </c>
      <c r="CD62" t="s">
        <v>112</v>
      </c>
      <c r="CE62" t="s">
        <v>121</v>
      </c>
      <c r="CF62">
        <v>16429.2</v>
      </c>
      <c r="CG62" t="s">
        <v>144</v>
      </c>
      <c r="CH62">
        <v>4000000</v>
      </c>
      <c r="CI62">
        <v>16296</v>
      </c>
      <c r="CJ62">
        <v>0</v>
      </c>
      <c r="CK62" t="s">
        <v>112</v>
      </c>
      <c r="CL62" t="s">
        <v>112</v>
      </c>
      <c r="CM62">
        <v>40933.79</v>
      </c>
      <c r="CN62">
        <v>4091684.34</v>
      </c>
      <c r="CO62">
        <v>0</v>
      </c>
      <c r="CP62">
        <v>1</v>
      </c>
      <c r="CQ62">
        <v>4574484.38</v>
      </c>
      <c r="CR62">
        <v>50281.05</v>
      </c>
      <c r="CS62" t="s">
        <v>145</v>
      </c>
      <c r="CT62">
        <v>50354.64</v>
      </c>
      <c r="CU62">
        <v>3.09</v>
      </c>
      <c r="CV62">
        <v>45</v>
      </c>
      <c r="CW62" t="s">
        <v>171</v>
      </c>
      <c r="CX62" t="s">
        <v>372</v>
      </c>
      <c r="CY62">
        <v>52</v>
      </c>
    </row>
    <row r="63" spans="1:103" x14ac:dyDescent="0.25">
      <c r="A63" t="s">
        <v>106</v>
      </c>
      <c r="B63" s="38">
        <v>45215</v>
      </c>
      <c r="C63" s="43">
        <f>IF(YEAR(Таблица1[[#This Row],[Дата]])=2023,MONTH(Таблица1[[#This Row],[Дата]]),0)</f>
        <v>10</v>
      </c>
      <c r="D63" t="s">
        <v>1599</v>
      </c>
      <c r="E63" t="s">
        <v>108</v>
      </c>
      <c r="F63" t="s">
        <v>1600</v>
      </c>
      <c r="G63" t="s">
        <v>110</v>
      </c>
      <c r="H63" t="s">
        <v>111</v>
      </c>
      <c r="I63" t="s">
        <v>112</v>
      </c>
      <c r="J63" t="s">
        <v>112</v>
      </c>
      <c r="K63" t="s">
        <v>112</v>
      </c>
      <c r="L63" t="s">
        <v>150</v>
      </c>
      <c r="M63" t="s">
        <v>151</v>
      </c>
      <c r="N63" t="s">
        <v>112</v>
      </c>
      <c r="O63" t="s">
        <v>112</v>
      </c>
      <c r="P63">
        <v>1</v>
      </c>
      <c r="Q63">
        <v>0</v>
      </c>
      <c r="R63">
        <v>1</v>
      </c>
      <c r="S63">
        <v>33</v>
      </c>
      <c r="T63" t="s">
        <v>166</v>
      </c>
      <c r="U63" t="s">
        <v>152</v>
      </c>
      <c r="V63" t="s">
        <v>153</v>
      </c>
      <c r="W63" t="s">
        <v>154</v>
      </c>
      <c r="X63" t="s">
        <v>119</v>
      </c>
      <c r="Y63" t="s">
        <v>112</v>
      </c>
      <c r="Z63" t="s">
        <v>166</v>
      </c>
      <c r="AA63" t="s">
        <v>152</v>
      </c>
      <c r="AB63" t="s">
        <v>153</v>
      </c>
      <c r="AC63" t="s">
        <v>154</v>
      </c>
      <c r="AD63" t="s">
        <v>119</v>
      </c>
      <c r="AE63" t="s">
        <v>112</v>
      </c>
      <c r="AF63" t="s">
        <v>121</v>
      </c>
      <c r="AG63" t="s">
        <v>122</v>
      </c>
      <c r="AH63">
        <v>4409721.62</v>
      </c>
      <c r="AI63" t="s">
        <v>166</v>
      </c>
      <c r="AJ63" t="s">
        <v>152</v>
      </c>
      <c r="AK63" t="s">
        <v>153</v>
      </c>
      <c r="AL63" t="s">
        <v>154</v>
      </c>
      <c r="AM63" t="s">
        <v>119</v>
      </c>
      <c r="AN63" t="s">
        <v>112</v>
      </c>
      <c r="AO63" t="s">
        <v>121</v>
      </c>
      <c r="AP63" t="s">
        <v>122</v>
      </c>
      <c r="AQ63" t="s">
        <v>122</v>
      </c>
      <c r="AR63" t="s">
        <v>124</v>
      </c>
      <c r="AS63" t="s">
        <v>125</v>
      </c>
      <c r="AT63">
        <v>2</v>
      </c>
      <c r="AU63" t="s">
        <v>126</v>
      </c>
      <c r="AV63" t="s">
        <v>155</v>
      </c>
      <c r="AW63" t="s">
        <v>156</v>
      </c>
      <c r="AX63">
        <v>1</v>
      </c>
      <c r="AY63" t="s">
        <v>129</v>
      </c>
      <c r="AZ63">
        <v>39465.480000000003</v>
      </c>
      <c r="BC63">
        <v>99.958600000000004</v>
      </c>
      <c r="BD63" t="s">
        <v>145</v>
      </c>
      <c r="BE63" t="s">
        <v>131</v>
      </c>
      <c r="BF63" t="s">
        <v>157</v>
      </c>
      <c r="BG63" t="s">
        <v>1601</v>
      </c>
      <c r="BH63" t="s">
        <v>167</v>
      </c>
      <c r="BI63" t="s">
        <v>168</v>
      </c>
      <c r="BJ63" t="s">
        <v>112</v>
      </c>
      <c r="BK63" t="s">
        <v>112</v>
      </c>
      <c r="BL63" t="s">
        <v>169</v>
      </c>
      <c r="BM63" t="s">
        <v>159</v>
      </c>
      <c r="BN63" t="s">
        <v>160</v>
      </c>
      <c r="BO63" t="s">
        <v>161</v>
      </c>
      <c r="BQ63" t="s">
        <v>205</v>
      </c>
      <c r="BR63" s="45">
        <f>ISNUMBER(SEARCH($BR$1,Таблица1[[#This Row],[31_1 Описание и характеристика товара]]))*1</f>
        <v>1</v>
      </c>
      <c r="BT63" t="s">
        <v>150</v>
      </c>
      <c r="BU63">
        <v>33</v>
      </c>
      <c r="BV63">
        <v>0</v>
      </c>
      <c r="BW63">
        <v>0</v>
      </c>
      <c r="BY63">
        <v>0</v>
      </c>
      <c r="CA63" t="s">
        <v>106</v>
      </c>
      <c r="CB63" t="s">
        <v>142</v>
      </c>
      <c r="CC63" t="s">
        <v>112</v>
      </c>
      <c r="CD63" t="s">
        <v>112</v>
      </c>
      <c r="CE63" t="s">
        <v>121</v>
      </c>
      <c r="CF63">
        <v>17247.14</v>
      </c>
      <c r="CG63" t="s">
        <v>144</v>
      </c>
      <c r="CH63">
        <v>4000000</v>
      </c>
      <c r="CI63">
        <v>17203.939999999999</v>
      </c>
      <c r="CJ63">
        <v>0</v>
      </c>
      <c r="CK63" t="s">
        <v>112</v>
      </c>
      <c r="CL63" t="s">
        <v>112</v>
      </c>
      <c r="CM63">
        <v>39465.480000000003</v>
      </c>
      <c r="CN63">
        <v>3944914.13</v>
      </c>
      <c r="CO63">
        <v>0</v>
      </c>
      <c r="CP63">
        <v>1</v>
      </c>
      <c r="CQ63">
        <v>4409721.62</v>
      </c>
      <c r="CR63">
        <v>48470.04</v>
      </c>
      <c r="CS63" t="s">
        <v>145</v>
      </c>
      <c r="CT63">
        <v>48515.110799999995</v>
      </c>
      <c r="CU63">
        <v>2.82</v>
      </c>
      <c r="CV63">
        <v>45</v>
      </c>
      <c r="CW63" t="s">
        <v>171</v>
      </c>
      <c r="CX63" t="s">
        <v>463</v>
      </c>
      <c r="CY63">
        <v>118</v>
      </c>
    </row>
    <row r="64" spans="1:103" x14ac:dyDescent="0.25">
      <c r="A64" t="s">
        <v>106</v>
      </c>
      <c r="B64" s="38">
        <v>45211</v>
      </c>
      <c r="C64" s="43">
        <f>IF(YEAR(Таблица1[[#This Row],[Дата]])=2023,MONTH(Таблица1[[#This Row],[Дата]]),0)</f>
        <v>10</v>
      </c>
      <c r="D64" t="s">
        <v>1245</v>
      </c>
      <c r="E64" t="s">
        <v>108</v>
      </c>
      <c r="F64" t="s">
        <v>1246</v>
      </c>
      <c r="G64" t="s">
        <v>110</v>
      </c>
      <c r="H64" t="s">
        <v>111</v>
      </c>
      <c r="I64" t="s">
        <v>112</v>
      </c>
      <c r="J64" t="s">
        <v>112</v>
      </c>
      <c r="K64" t="s">
        <v>112</v>
      </c>
      <c r="L64" t="s">
        <v>150</v>
      </c>
      <c r="M64" t="s">
        <v>1060</v>
      </c>
      <c r="N64" t="s">
        <v>112</v>
      </c>
      <c r="O64" t="s">
        <v>112</v>
      </c>
      <c r="P64">
        <v>1</v>
      </c>
      <c r="Q64">
        <v>0</v>
      </c>
      <c r="R64">
        <v>1</v>
      </c>
      <c r="S64">
        <v>33</v>
      </c>
      <c r="T64" t="s">
        <v>166</v>
      </c>
      <c r="U64" t="s">
        <v>152</v>
      </c>
      <c r="V64" t="s">
        <v>153</v>
      </c>
      <c r="W64" t="s">
        <v>154</v>
      </c>
      <c r="X64" t="s">
        <v>119</v>
      </c>
      <c r="Y64" t="s">
        <v>112</v>
      </c>
      <c r="Z64" t="s">
        <v>166</v>
      </c>
      <c r="AA64" t="s">
        <v>152</v>
      </c>
      <c r="AB64" t="s">
        <v>153</v>
      </c>
      <c r="AC64" t="s">
        <v>154</v>
      </c>
      <c r="AD64" t="s">
        <v>119</v>
      </c>
      <c r="AE64" t="s">
        <v>112</v>
      </c>
      <c r="AF64" t="s">
        <v>121</v>
      </c>
      <c r="AG64" t="s">
        <v>122</v>
      </c>
      <c r="AH64">
        <v>4321262.49</v>
      </c>
      <c r="AI64" t="s">
        <v>166</v>
      </c>
      <c r="AJ64" t="s">
        <v>152</v>
      </c>
      <c r="AK64" t="s">
        <v>153</v>
      </c>
      <c r="AL64" t="s">
        <v>154</v>
      </c>
      <c r="AM64" t="s">
        <v>119</v>
      </c>
      <c r="AN64" t="s">
        <v>112</v>
      </c>
      <c r="AO64" t="s">
        <v>121</v>
      </c>
      <c r="AP64" t="s">
        <v>122</v>
      </c>
      <c r="AQ64" t="s">
        <v>122</v>
      </c>
      <c r="AR64" t="s">
        <v>124</v>
      </c>
      <c r="AS64" t="s">
        <v>125</v>
      </c>
      <c r="AT64">
        <v>2</v>
      </c>
      <c r="AU64" t="s">
        <v>126</v>
      </c>
      <c r="AV64" t="s">
        <v>155</v>
      </c>
      <c r="AW64" t="s">
        <v>156</v>
      </c>
      <c r="AX64">
        <v>1</v>
      </c>
      <c r="AY64" t="s">
        <v>129</v>
      </c>
      <c r="AZ64">
        <v>45819.92</v>
      </c>
      <c r="BA64">
        <v>3963968</v>
      </c>
      <c r="BB64">
        <v>53555.74</v>
      </c>
      <c r="BC64">
        <v>86.511899999999997</v>
      </c>
      <c r="BD64" t="s">
        <v>130</v>
      </c>
      <c r="BE64" t="s">
        <v>112</v>
      </c>
      <c r="BF64" t="s">
        <v>157</v>
      </c>
      <c r="BG64" t="s">
        <v>133</v>
      </c>
      <c r="BH64" t="s">
        <v>134</v>
      </c>
      <c r="BI64" t="s">
        <v>112</v>
      </c>
      <c r="BJ64" t="s">
        <v>112</v>
      </c>
      <c r="BK64" t="s">
        <v>112</v>
      </c>
      <c r="BL64" t="s">
        <v>169</v>
      </c>
      <c r="BM64" t="s">
        <v>159</v>
      </c>
      <c r="BN64" t="s">
        <v>722</v>
      </c>
      <c r="BO64" t="s">
        <v>161</v>
      </c>
      <c r="BP64">
        <v>1</v>
      </c>
      <c r="BQ64" t="s">
        <v>539</v>
      </c>
      <c r="BR64" s="45">
        <f>ISNUMBER(SEARCH($BR$1,Таблица1[[#This Row],[31_1 Описание и характеристика товара]]))*1</f>
        <v>1</v>
      </c>
      <c r="BT64" t="s">
        <v>150</v>
      </c>
      <c r="BU64">
        <v>33</v>
      </c>
      <c r="BV64">
        <v>0</v>
      </c>
      <c r="BW64">
        <v>0</v>
      </c>
      <c r="BY64">
        <v>0</v>
      </c>
      <c r="CA64" t="s">
        <v>106</v>
      </c>
      <c r="CB64" t="s">
        <v>142</v>
      </c>
      <c r="CC64" t="s">
        <v>112</v>
      </c>
      <c r="CD64" t="s">
        <v>112</v>
      </c>
      <c r="CE64" t="s">
        <v>121</v>
      </c>
      <c r="CF64">
        <v>16803.919999999998</v>
      </c>
      <c r="CG64" t="s">
        <v>144</v>
      </c>
      <c r="CH64">
        <v>4000000</v>
      </c>
      <c r="CI64">
        <v>16803.919999999998</v>
      </c>
      <c r="CJ64">
        <v>0</v>
      </c>
      <c r="CK64" t="s">
        <v>112</v>
      </c>
      <c r="CL64" t="s">
        <v>112</v>
      </c>
      <c r="CM64">
        <v>45819.92</v>
      </c>
      <c r="CN64">
        <v>3963968</v>
      </c>
      <c r="CO64">
        <v>0</v>
      </c>
      <c r="CP64">
        <v>1</v>
      </c>
      <c r="CQ64">
        <v>4321262.49</v>
      </c>
      <c r="CR64">
        <v>53555.74</v>
      </c>
      <c r="CS64" t="s">
        <v>145</v>
      </c>
      <c r="CT64">
        <v>53555.773431999995</v>
      </c>
      <c r="CU64">
        <v>3.1871</v>
      </c>
      <c r="CV64">
        <v>45</v>
      </c>
      <c r="CW64" t="s">
        <v>171</v>
      </c>
      <c r="CX64" t="s">
        <v>369</v>
      </c>
      <c r="CY64">
        <v>286</v>
      </c>
    </row>
    <row r="65" spans="1:103" x14ac:dyDescent="0.25">
      <c r="A65" t="s">
        <v>106</v>
      </c>
      <c r="B65" s="38">
        <v>45135</v>
      </c>
      <c r="C65" s="43">
        <f>IF(YEAR(Таблица1[[#This Row],[Дата]])=2023,MONTH(Таблица1[[#This Row],[Дата]]),0)</f>
        <v>7</v>
      </c>
      <c r="D65" t="s">
        <v>1252</v>
      </c>
      <c r="E65" t="s">
        <v>108</v>
      </c>
      <c r="F65" t="s">
        <v>1253</v>
      </c>
      <c r="G65" t="s">
        <v>110</v>
      </c>
      <c r="H65" t="s">
        <v>111</v>
      </c>
      <c r="I65" t="s">
        <v>112</v>
      </c>
      <c r="J65" t="s">
        <v>112</v>
      </c>
      <c r="K65" t="s">
        <v>112</v>
      </c>
      <c r="L65" t="s">
        <v>150</v>
      </c>
      <c r="M65" t="s">
        <v>1060</v>
      </c>
      <c r="N65" t="s">
        <v>112</v>
      </c>
      <c r="O65" t="s">
        <v>112</v>
      </c>
      <c r="P65">
        <v>1</v>
      </c>
      <c r="Q65">
        <v>0</v>
      </c>
      <c r="R65">
        <v>1</v>
      </c>
      <c r="S65">
        <v>33</v>
      </c>
      <c r="T65" t="s">
        <v>166</v>
      </c>
      <c r="U65" t="s">
        <v>152</v>
      </c>
      <c r="V65" t="s">
        <v>153</v>
      </c>
      <c r="W65" t="s">
        <v>154</v>
      </c>
      <c r="X65" t="s">
        <v>119</v>
      </c>
      <c r="Y65" t="s">
        <v>112</v>
      </c>
      <c r="Z65" t="s">
        <v>166</v>
      </c>
      <c r="AA65" t="s">
        <v>152</v>
      </c>
      <c r="AB65" t="s">
        <v>153</v>
      </c>
      <c r="AC65" t="s">
        <v>154</v>
      </c>
      <c r="AD65" t="s">
        <v>119</v>
      </c>
      <c r="AE65" t="s">
        <v>112</v>
      </c>
      <c r="AF65" t="s">
        <v>121</v>
      </c>
      <c r="AG65" t="s">
        <v>122</v>
      </c>
      <c r="AH65">
        <v>3936852.05</v>
      </c>
      <c r="AI65" t="s">
        <v>166</v>
      </c>
      <c r="AJ65" t="s">
        <v>152</v>
      </c>
      <c r="AK65" t="s">
        <v>153</v>
      </c>
      <c r="AL65" t="s">
        <v>154</v>
      </c>
      <c r="AM65" t="s">
        <v>119</v>
      </c>
      <c r="AN65" t="s">
        <v>112</v>
      </c>
      <c r="AO65" t="s">
        <v>121</v>
      </c>
      <c r="AP65" t="s">
        <v>122</v>
      </c>
      <c r="AQ65" t="s">
        <v>122</v>
      </c>
      <c r="AR65" t="s">
        <v>124</v>
      </c>
      <c r="AS65" t="s">
        <v>125</v>
      </c>
      <c r="AT65">
        <v>2</v>
      </c>
      <c r="AU65" t="s">
        <v>126</v>
      </c>
      <c r="AV65" t="s">
        <v>155</v>
      </c>
      <c r="AW65" t="s">
        <v>156</v>
      </c>
      <c r="AX65">
        <v>1</v>
      </c>
      <c r="AY65" t="s">
        <v>129</v>
      </c>
      <c r="AZ65">
        <v>41376.480000000003</v>
      </c>
      <c r="BA65">
        <v>3579558</v>
      </c>
      <c r="BB65">
        <v>48791.53</v>
      </c>
      <c r="BC65">
        <v>86.511899999999997</v>
      </c>
      <c r="BD65" t="s">
        <v>130</v>
      </c>
      <c r="BE65" t="s">
        <v>112</v>
      </c>
      <c r="BF65" t="s">
        <v>157</v>
      </c>
      <c r="BG65" t="s">
        <v>133</v>
      </c>
      <c r="BH65" t="s">
        <v>134</v>
      </c>
      <c r="BI65" t="s">
        <v>112</v>
      </c>
      <c r="BJ65" t="s">
        <v>112</v>
      </c>
      <c r="BK65" t="s">
        <v>112</v>
      </c>
      <c r="BL65" t="s">
        <v>169</v>
      </c>
      <c r="BM65" t="s">
        <v>159</v>
      </c>
      <c r="BN65" t="s">
        <v>722</v>
      </c>
      <c r="BO65" t="s">
        <v>161</v>
      </c>
      <c r="BP65">
        <v>1</v>
      </c>
      <c r="BQ65" t="s">
        <v>205</v>
      </c>
      <c r="BR65" s="45">
        <f>ISNUMBER(SEARCH($BR$1,Таблица1[[#This Row],[31_1 Описание и характеристика товара]]))*1</f>
        <v>1</v>
      </c>
      <c r="BT65" t="s">
        <v>150</v>
      </c>
      <c r="BU65">
        <v>33</v>
      </c>
      <c r="BV65">
        <v>0</v>
      </c>
      <c r="BW65">
        <v>0</v>
      </c>
      <c r="BY65">
        <v>0</v>
      </c>
      <c r="CA65" t="s">
        <v>106</v>
      </c>
      <c r="CB65" t="s">
        <v>142</v>
      </c>
      <c r="CC65" t="s">
        <v>112</v>
      </c>
      <c r="CD65" t="s">
        <v>112</v>
      </c>
      <c r="CE65" t="s">
        <v>121</v>
      </c>
      <c r="CF65">
        <v>16871.78</v>
      </c>
      <c r="CG65" t="s">
        <v>144</v>
      </c>
      <c r="CH65">
        <v>4000000</v>
      </c>
      <c r="CI65">
        <v>16806.98</v>
      </c>
      <c r="CJ65">
        <v>0</v>
      </c>
      <c r="CK65" t="s">
        <v>112</v>
      </c>
      <c r="CL65" t="s">
        <v>112</v>
      </c>
      <c r="CM65">
        <v>41376.480000000003</v>
      </c>
      <c r="CN65">
        <v>3579558</v>
      </c>
      <c r="CO65">
        <v>0</v>
      </c>
      <c r="CP65">
        <v>1</v>
      </c>
      <c r="CQ65">
        <v>3936852.05</v>
      </c>
      <c r="CR65">
        <v>48791.53</v>
      </c>
      <c r="CS65" t="s">
        <v>145</v>
      </c>
      <c r="CT65">
        <v>48792.343637999998</v>
      </c>
      <c r="CU65">
        <v>2.9030999999999998</v>
      </c>
      <c r="CV65">
        <v>45</v>
      </c>
      <c r="CW65" t="s">
        <v>171</v>
      </c>
      <c r="CX65" t="s">
        <v>369</v>
      </c>
      <c r="CY65">
        <v>108</v>
      </c>
    </row>
    <row r="66" spans="1:103" x14ac:dyDescent="0.25">
      <c r="A66" t="s">
        <v>106</v>
      </c>
      <c r="B66" s="38">
        <v>45192</v>
      </c>
      <c r="C66" s="43">
        <f>IF(YEAR(Таблица1[[#This Row],[Дата]])=2023,MONTH(Таблица1[[#This Row],[Дата]]),0)</f>
        <v>9</v>
      </c>
      <c r="D66" t="s">
        <v>1247</v>
      </c>
      <c r="E66" t="s">
        <v>108</v>
      </c>
      <c r="F66" t="s">
        <v>1248</v>
      </c>
      <c r="G66" t="s">
        <v>110</v>
      </c>
      <c r="H66" t="s">
        <v>111</v>
      </c>
      <c r="I66" t="s">
        <v>112</v>
      </c>
      <c r="J66" t="s">
        <v>112</v>
      </c>
      <c r="K66" t="s">
        <v>112</v>
      </c>
      <c r="L66" t="s">
        <v>150</v>
      </c>
      <c r="M66" t="s">
        <v>1060</v>
      </c>
      <c r="N66" t="s">
        <v>112</v>
      </c>
      <c r="O66" t="s">
        <v>112</v>
      </c>
      <c r="P66">
        <v>1</v>
      </c>
      <c r="Q66">
        <v>0</v>
      </c>
      <c r="R66">
        <v>1</v>
      </c>
      <c r="S66">
        <v>33</v>
      </c>
      <c r="T66" t="s">
        <v>166</v>
      </c>
      <c r="U66" t="s">
        <v>152</v>
      </c>
      <c r="V66" t="s">
        <v>153</v>
      </c>
      <c r="W66" t="s">
        <v>154</v>
      </c>
      <c r="X66" t="s">
        <v>119</v>
      </c>
      <c r="Y66" t="s">
        <v>112</v>
      </c>
      <c r="Z66" t="s">
        <v>166</v>
      </c>
      <c r="AA66" t="s">
        <v>152</v>
      </c>
      <c r="AB66" t="s">
        <v>153</v>
      </c>
      <c r="AC66" t="s">
        <v>154</v>
      </c>
      <c r="AD66" t="s">
        <v>119</v>
      </c>
      <c r="AE66" t="s">
        <v>112</v>
      </c>
      <c r="AF66" t="s">
        <v>121</v>
      </c>
      <c r="AG66" t="s">
        <v>122</v>
      </c>
      <c r="AH66">
        <v>3822189.18</v>
      </c>
      <c r="AI66" t="s">
        <v>166</v>
      </c>
      <c r="AJ66" t="s">
        <v>152</v>
      </c>
      <c r="AK66" t="s">
        <v>153</v>
      </c>
      <c r="AL66" t="s">
        <v>154</v>
      </c>
      <c r="AM66" t="s">
        <v>119</v>
      </c>
      <c r="AN66" t="s">
        <v>112</v>
      </c>
      <c r="AO66" t="s">
        <v>121</v>
      </c>
      <c r="AP66" t="s">
        <v>122</v>
      </c>
      <c r="AQ66" t="s">
        <v>122</v>
      </c>
      <c r="AR66" t="s">
        <v>124</v>
      </c>
      <c r="AS66" t="s">
        <v>125</v>
      </c>
      <c r="AT66">
        <v>2</v>
      </c>
      <c r="AU66" t="s">
        <v>126</v>
      </c>
      <c r="AV66" t="s">
        <v>155</v>
      </c>
      <c r="AW66" t="s">
        <v>156</v>
      </c>
      <c r="AX66">
        <v>1</v>
      </c>
      <c r="AY66" t="s">
        <v>129</v>
      </c>
      <c r="AZ66">
        <v>40051.08</v>
      </c>
      <c r="BA66">
        <v>3464895</v>
      </c>
      <c r="BB66">
        <v>47370.45</v>
      </c>
      <c r="BC66">
        <v>86.511899999999997</v>
      </c>
      <c r="BD66" t="s">
        <v>130</v>
      </c>
      <c r="BE66" t="s">
        <v>112</v>
      </c>
      <c r="BF66" t="s">
        <v>157</v>
      </c>
      <c r="BG66" t="s">
        <v>133</v>
      </c>
      <c r="BH66" t="s">
        <v>134</v>
      </c>
      <c r="BI66" t="s">
        <v>112</v>
      </c>
      <c r="BJ66" t="s">
        <v>112</v>
      </c>
      <c r="BK66" t="s">
        <v>112</v>
      </c>
      <c r="BL66" t="s">
        <v>169</v>
      </c>
      <c r="BM66" t="s">
        <v>159</v>
      </c>
      <c r="BN66" t="s">
        <v>722</v>
      </c>
      <c r="BO66" t="s">
        <v>161</v>
      </c>
      <c r="BP66">
        <v>1</v>
      </c>
      <c r="BQ66" t="s">
        <v>1249</v>
      </c>
      <c r="BR66" s="45">
        <f>ISNUMBER(SEARCH($BR$1,Таблица1[[#This Row],[31_1 Описание и характеристика товара]]))*1</f>
        <v>1</v>
      </c>
      <c r="BT66" t="s">
        <v>150</v>
      </c>
      <c r="BU66">
        <v>33</v>
      </c>
      <c r="BV66">
        <v>0</v>
      </c>
      <c r="BW66">
        <v>0</v>
      </c>
      <c r="BY66">
        <v>0</v>
      </c>
      <c r="CA66" t="s">
        <v>106</v>
      </c>
      <c r="CB66" t="s">
        <v>142</v>
      </c>
      <c r="CC66" t="s">
        <v>112</v>
      </c>
      <c r="CD66" t="s">
        <v>112</v>
      </c>
      <c r="CE66" t="s">
        <v>121</v>
      </c>
      <c r="CF66">
        <v>17096.84</v>
      </c>
      <c r="CG66" t="s">
        <v>144</v>
      </c>
      <c r="CH66">
        <v>4000000</v>
      </c>
      <c r="CI66">
        <v>17096.84</v>
      </c>
      <c r="CJ66">
        <v>0</v>
      </c>
      <c r="CK66" t="s">
        <v>112</v>
      </c>
      <c r="CL66" t="s">
        <v>112</v>
      </c>
      <c r="CM66">
        <v>40051.08</v>
      </c>
      <c r="CN66">
        <v>3464895</v>
      </c>
      <c r="CO66">
        <v>0</v>
      </c>
      <c r="CP66">
        <v>1</v>
      </c>
      <c r="CQ66">
        <v>3822189.18</v>
      </c>
      <c r="CR66">
        <v>47370.45</v>
      </c>
      <c r="CS66" t="s">
        <v>145</v>
      </c>
      <c r="CT66">
        <v>47370.214588000003</v>
      </c>
      <c r="CU66">
        <v>2.7707000000000002</v>
      </c>
      <c r="CV66">
        <v>45</v>
      </c>
      <c r="CW66" t="s">
        <v>171</v>
      </c>
      <c r="CX66" t="s">
        <v>463</v>
      </c>
      <c r="CY66">
        <v>108</v>
      </c>
    </row>
    <row r="67" spans="1:103" x14ac:dyDescent="0.25">
      <c r="A67" t="s">
        <v>106</v>
      </c>
      <c r="B67" s="38">
        <v>45009</v>
      </c>
      <c r="C67" s="43">
        <f>IF(YEAR(Таблица1[[#This Row],[Дата]])=2023,MONTH(Таблица1[[#This Row],[Дата]]),0)</f>
        <v>3</v>
      </c>
      <c r="D67" t="s">
        <v>905</v>
      </c>
      <c r="E67" t="s">
        <v>108</v>
      </c>
      <c r="F67" t="s">
        <v>906</v>
      </c>
      <c r="G67" t="s">
        <v>110</v>
      </c>
      <c r="H67" t="s">
        <v>111</v>
      </c>
      <c r="I67" t="s">
        <v>112</v>
      </c>
      <c r="J67" t="s">
        <v>112</v>
      </c>
      <c r="K67" t="s">
        <v>112</v>
      </c>
      <c r="L67" t="s">
        <v>150</v>
      </c>
      <c r="M67" t="s">
        <v>151</v>
      </c>
      <c r="N67" t="s">
        <v>112</v>
      </c>
      <c r="O67" t="s">
        <v>112</v>
      </c>
      <c r="P67">
        <v>1</v>
      </c>
      <c r="Q67">
        <v>0</v>
      </c>
      <c r="R67">
        <v>1</v>
      </c>
      <c r="S67">
        <v>33</v>
      </c>
      <c r="T67" t="s">
        <v>166</v>
      </c>
      <c r="U67" t="s">
        <v>152</v>
      </c>
      <c r="V67" t="s">
        <v>153</v>
      </c>
      <c r="W67" t="s">
        <v>154</v>
      </c>
      <c r="X67" t="s">
        <v>119</v>
      </c>
      <c r="Y67" t="s">
        <v>112</v>
      </c>
      <c r="Z67" t="s">
        <v>166</v>
      </c>
      <c r="AA67" t="s">
        <v>152</v>
      </c>
      <c r="AB67" t="s">
        <v>153</v>
      </c>
      <c r="AC67" t="s">
        <v>154</v>
      </c>
      <c r="AD67" t="s">
        <v>119</v>
      </c>
      <c r="AE67" t="s">
        <v>112</v>
      </c>
      <c r="AF67" t="s">
        <v>121</v>
      </c>
      <c r="AG67" t="s">
        <v>122</v>
      </c>
      <c r="AH67">
        <v>4413109.45</v>
      </c>
      <c r="AI67" t="s">
        <v>166</v>
      </c>
      <c r="AJ67" t="s">
        <v>152</v>
      </c>
      <c r="AK67" t="s">
        <v>153</v>
      </c>
      <c r="AL67" t="s">
        <v>154</v>
      </c>
      <c r="AM67" t="s">
        <v>119</v>
      </c>
      <c r="AN67" t="s">
        <v>112</v>
      </c>
      <c r="AO67" t="s">
        <v>121</v>
      </c>
      <c r="AP67" t="s">
        <v>122</v>
      </c>
      <c r="AQ67" t="s">
        <v>122</v>
      </c>
      <c r="AR67" t="s">
        <v>124</v>
      </c>
      <c r="AS67" t="s">
        <v>125</v>
      </c>
      <c r="AT67">
        <v>2</v>
      </c>
      <c r="AU67" t="s">
        <v>126</v>
      </c>
      <c r="AV67" t="s">
        <v>155</v>
      </c>
      <c r="AW67" t="s">
        <v>156</v>
      </c>
      <c r="AX67">
        <v>1</v>
      </c>
      <c r="AY67" t="s">
        <v>129</v>
      </c>
      <c r="AZ67">
        <v>48335.1</v>
      </c>
      <c r="BA67">
        <v>4048736</v>
      </c>
      <c r="BB67">
        <v>57248.95</v>
      </c>
      <c r="BC67">
        <v>83.763900000000007</v>
      </c>
      <c r="BD67" t="s">
        <v>130</v>
      </c>
      <c r="BE67" t="s">
        <v>112</v>
      </c>
      <c r="BF67" t="s">
        <v>157</v>
      </c>
      <c r="BG67" t="s">
        <v>133</v>
      </c>
      <c r="BH67" t="s">
        <v>134</v>
      </c>
      <c r="BI67" t="s">
        <v>112</v>
      </c>
      <c r="BJ67" t="s">
        <v>112</v>
      </c>
      <c r="BK67" t="s">
        <v>112</v>
      </c>
      <c r="BL67" t="s">
        <v>169</v>
      </c>
      <c r="BM67" t="s">
        <v>159</v>
      </c>
      <c r="BN67" t="s">
        <v>722</v>
      </c>
      <c r="BO67" t="s">
        <v>161</v>
      </c>
      <c r="BP67">
        <v>1</v>
      </c>
      <c r="BQ67" t="s">
        <v>466</v>
      </c>
      <c r="BR67" s="45">
        <f>ISNUMBER(SEARCH($BR$1,Таблица1[[#This Row],[31_1 Описание и характеристика товара]]))*1</f>
        <v>1</v>
      </c>
      <c r="BT67" t="s">
        <v>150</v>
      </c>
      <c r="BU67">
        <v>33</v>
      </c>
      <c r="BV67">
        <v>0</v>
      </c>
      <c r="BW67">
        <v>0</v>
      </c>
      <c r="BY67">
        <v>0</v>
      </c>
      <c r="CA67" t="s">
        <v>106</v>
      </c>
      <c r="CB67" t="s">
        <v>142</v>
      </c>
      <c r="CC67" t="s">
        <v>112</v>
      </c>
      <c r="CD67" t="s">
        <v>112</v>
      </c>
      <c r="CE67" t="s">
        <v>121</v>
      </c>
      <c r="CF67">
        <v>16581.45</v>
      </c>
      <c r="CG67" t="s">
        <v>144</v>
      </c>
      <c r="CH67">
        <v>4000000</v>
      </c>
      <c r="CI67">
        <v>16470.45</v>
      </c>
      <c r="CJ67">
        <v>0</v>
      </c>
      <c r="CK67" t="s">
        <v>112</v>
      </c>
      <c r="CL67" t="s">
        <v>112</v>
      </c>
      <c r="CM67">
        <v>48335.1</v>
      </c>
      <c r="CN67">
        <v>4048736</v>
      </c>
      <c r="CO67">
        <v>0</v>
      </c>
      <c r="CP67">
        <v>1</v>
      </c>
      <c r="CQ67">
        <v>4413109.45</v>
      </c>
      <c r="CR67">
        <v>57248.95</v>
      </c>
      <c r="CS67" t="s">
        <v>145</v>
      </c>
      <c r="CT67">
        <v>57249.637155000004</v>
      </c>
      <c r="CU67">
        <v>3.4759000000000002</v>
      </c>
      <c r="CV67">
        <v>45</v>
      </c>
      <c r="CW67" t="s">
        <v>171</v>
      </c>
      <c r="CX67" t="s">
        <v>369</v>
      </c>
      <c r="CY67">
        <v>37</v>
      </c>
    </row>
    <row r="68" spans="1:103" x14ac:dyDescent="0.25">
      <c r="A68" t="s">
        <v>106</v>
      </c>
      <c r="B68" s="38">
        <v>45131</v>
      </c>
      <c r="C68" s="43">
        <f>IF(YEAR(Таблица1[[#This Row],[Дата]])=2023,MONTH(Таблица1[[#This Row],[Дата]]),0)</f>
        <v>7</v>
      </c>
      <c r="D68" t="s">
        <v>907</v>
      </c>
      <c r="E68" t="s">
        <v>108</v>
      </c>
      <c r="F68" t="s">
        <v>908</v>
      </c>
      <c r="G68" t="s">
        <v>110</v>
      </c>
      <c r="H68" t="s">
        <v>111</v>
      </c>
      <c r="I68" t="s">
        <v>112</v>
      </c>
      <c r="J68" t="s">
        <v>112</v>
      </c>
      <c r="K68" t="s">
        <v>112</v>
      </c>
      <c r="L68" t="s">
        <v>150</v>
      </c>
      <c r="M68" t="s">
        <v>151</v>
      </c>
      <c r="N68" t="s">
        <v>112</v>
      </c>
      <c r="O68" t="s">
        <v>112</v>
      </c>
      <c r="P68">
        <v>1</v>
      </c>
      <c r="Q68">
        <v>0</v>
      </c>
      <c r="R68">
        <v>1</v>
      </c>
      <c r="S68">
        <v>38</v>
      </c>
      <c r="T68" t="s">
        <v>166</v>
      </c>
      <c r="U68" t="s">
        <v>152</v>
      </c>
      <c r="V68" t="s">
        <v>153</v>
      </c>
      <c r="W68" t="s">
        <v>154</v>
      </c>
      <c r="X68" t="s">
        <v>119</v>
      </c>
      <c r="Y68" t="s">
        <v>112</v>
      </c>
      <c r="Z68" t="s">
        <v>166</v>
      </c>
      <c r="AA68" t="s">
        <v>152</v>
      </c>
      <c r="AB68" t="s">
        <v>153</v>
      </c>
      <c r="AC68" t="s">
        <v>154</v>
      </c>
      <c r="AD68" t="s">
        <v>119</v>
      </c>
      <c r="AE68" t="s">
        <v>112</v>
      </c>
      <c r="AF68" t="s">
        <v>121</v>
      </c>
      <c r="AG68" t="s">
        <v>122</v>
      </c>
      <c r="AH68">
        <v>4480239.5199999996</v>
      </c>
      <c r="AI68" t="s">
        <v>166</v>
      </c>
      <c r="AJ68" t="s">
        <v>152</v>
      </c>
      <c r="AK68" t="s">
        <v>153</v>
      </c>
      <c r="AL68" t="s">
        <v>154</v>
      </c>
      <c r="AM68" t="s">
        <v>119</v>
      </c>
      <c r="AN68" t="s">
        <v>112</v>
      </c>
      <c r="AO68" t="s">
        <v>121</v>
      </c>
      <c r="AP68" t="s">
        <v>122</v>
      </c>
      <c r="AQ68" t="s">
        <v>122</v>
      </c>
      <c r="AR68" t="s">
        <v>124</v>
      </c>
      <c r="AS68" t="s">
        <v>125</v>
      </c>
      <c r="AT68">
        <v>2</v>
      </c>
      <c r="AU68" t="s">
        <v>126</v>
      </c>
      <c r="AV68" t="s">
        <v>155</v>
      </c>
      <c r="AW68" t="s">
        <v>156</v>
      </c>
      <c r="AX68">
        <v>1</v>
      </c>
      <c r="AY68" t="s">
        <v>129</v>
      </c>
      <c r="AZ68">
        <v>49136.52</v>
      </c>
      <c r="BA68">
        <v>4115867</v>
      </c>
      <c r="BB68">
        <v>58119.79</v>
      </c>
      <c r="BC68">
        <v>83.763900000000007</v>
      </c>
      <c r="BD68" t="s">
        <v>130</v>
      </c>
      <c r="BE68" t="s">
        <v>112</v>
      </c>
      <c r="BF68" t="s">
        <v>157</v>
      </c>
      <c r="BG68" t="s">
        <v>133</v>
      </c>
      <c r="BH68" t="s">
        <v>134</v>
      </c>
      <c r="BI68" t="s">
        <v>112</v>
      </c>
      <c r="BJ68" t="s">
        <v>112</v>
      </c>
      <c r="BK68" t="s">
        <v>112</v>
      </c>
      <c r="BL68" t="s">
        <v>169</v>
      </c>
      <c r="BM68" t="s">
        <v>159</v>
      </c>
      <c r="BN68" t="s">
        <v>722</v>
      </c>
      <c r="BO68" t="s">
        <v>161</v>
      </c>
      <c r="BP68">
        <v>1</v>
      </c>
      <c r="BQ68" t="s">
        <v>232</v>
      </c>
      <c r="BR68" s="45">
        <f>ISNUMBER(SEARCH($BR$1,Таблица1[[#This Row],[31_1 Описание и характеристика товара]]))*1</f>
        <v>1</v>
      </c>
      <c r="BT68" t="s">
        <v>150</v>
      </c>
      <c r="BU68">
        <v>38</v>
      </c>
      <c r="BV68">
        <v>0</v>
      </c>
      <c r="BW68">
        <v>0</v>
      </c>
      <c r="BY68">
        <v>0</v>
      </c>
      <c r="CA68" t="s">
        <v>106</v>
      </c>
      <c r="CB68" t="s">
        <v>142</v>
      </c>
      <c r="CC68" t="s">
        <v>112</v>
      </c>
      <c r="CD68" t="s">
        <v>112</v>
      </c>
      <c r="CE68" t="s">
        <v>121</v>
      </c>
      <c r="CF68">
        <v>19057.73</v>
      </c>
      <c r="CG68" t="s">
        <v>144</v>
      </c>
      <c r="CH68">
        <v>4000000</v>
      </c>
      <c r="CI68">
        <v>18949.73</v>
      </c>
      <c r="CJ68">
        <v>0</v>
      </c>
      <c r="CK68" t="s">
        <v>112</v>
      </c>
      <c r="CL68" t="s">
        <v>112</v>
      </c>
      <c r="CM68">
        <v>49136.52</v>
      </c>
      <c r="CN68">
        <v>4115867</v>
      </c>
      <c r="CO68">
        <v>0</v>
      </c>
      <c r="CP68">
        <v>1</v>
      </c>
      <c r="CQ68">
        <v>4480239.5199999996</v>
      </c>
      <c r="CR68">
        <v>58119.79</v>
      </c>
      <c r="CS68" t="s">
        <v>145</v>
      </c>
      <c r="CT68">
        <v>58120.716883000001</v>
      </c>
      <c r="CU68">
        <v>3.0670999999999999</v>
      </c>
      <c r="CV68">
        <v>45</v>
      </c>
      <c r="CW68" t="s">
        <v>171</v>
      </c>
      <c r="CX68" t="s">
        <v>372</v>
      </c>
      <c r="CY68">
        <v>128</v>
      </c>
    </row>
    <row r="69" spans="1:103" x14ac:dyDescent="0.25">
      <c r="A69" t="s">
        <v>106</v>
      </c>
      <c r="B69" s="38">
        <v>45199</v>
      </c>
      <c r="C69" s="43">
        <f>IF(YEAR(Таблица1[[#This Row],[Дата]])=2023,MONTH(Таблица1[[#This Row],[Дата]]),0)</f>
        <v>9</v>
      </c>
      <c r="D69" t="s">
        <v>909</v>
      </c>
      <c r="E69" t="s">
        <v>108</v>
      </c>
      <c r="F69" t="s">
        <v>910</v>
      </c>
      <c r="G69" t="s">
        <v>110</v>
      </c>
      <c r="H69" t="s">
        <v>111</v>
      </c>
      <c r="I69" t="s">
        <v>112</v>
      </c>
      <c r="J69" t="s">
        <v>112</v>
      </c>
      <c r="K69" t="s">
        <v>112</v>
      </c>
      <c r="L69" t="s">
        <v>150</v>
      </c>
      <c r="M69" t="s">
        <v>151</v>
      </c>
      <c r="N69" t="s">
        <v>112</v>
      </c>
      <c r="O69" t="s">
        <v>112</v>
      </c>
      <c r="P69">
        <v>1</v>
      </c>
      <c r="Q69">
        <v>0</v>
      </c>
      <c r="R69">
        <v>1</v>
      </c>
      <c r="S69">
        <v>33</v>
      </c>
      <c r="T69" t="s">
        <v>166</v>
      </c>
      <c r="U69" t="s">
        <v>152</v>
      </c>
      <c r="V69" t="s">
        <v>153</v>
      </c>
      <c r="W69" t="s">
        <v>154</v>
      </c>
      <c r="X69" t="s">
        <v>119</v>
      </c>
      <c r="Y69" t="s">
        <v>112</v>
      </c>
      <c r="Z69" t="s">
        <v>166</v>
      </c>
      <c r="AA69" t="s">
        <v>152</v>
      </c>
      <c r="AB69" t="s">
        <v>153</v>
      </c>
      <c r="AC69" t="s">
        <v>154</v>
      </c>
      <c r="AD69" t="s">
        <v>119</v>
      </c>
      <c r="AE69" t="s">
        <v>112</v>
      </c>
      <c r="AF69" t="s">
        <v>121</v>
      </c>
      <c r="AG69" t="s">
        <v>122</v>
      </c>
      <c r="AH69">
        <v>4037679.65</v>
      </c>
      <c r="AI69" t="s">
        <v>166</v>
      </c>
      <c r="AJ69" t="s">
        <v>152</v>
      </c>
      <c r="AK69" t="s">
        <v>153</v>
      </c>
      <c r="AL69" t="s">
        <v>154</v>
      </c>
      <c r="AM69" t="s">
        <v>119</v>
      </c>
      <c r="AN69" t="s">
        <v>112</v>
      </c>
      <c r="AO69" t="s">
        <v>121</v>
      </c>
      <c r="AP69" t="s">
        <v>122</v>
      </c>
      <c r="AQ69" t="s">
        <v>122</v>
      </c>
      <c r="AR69" t="s">
        <v>124</v>
      </c>
      <c r="AS69" t="s">
        <v>125</v>
      </c>
      <c r="AT69">
        <v>2</v>
      </c>
      <c r="AU69" t="s">
        <v>126</v>
      </c>
      <c r="AV69" t="s">
        <v>155</v>
      </c>
      <c r="AW69" t="s">
        <v>156</v>
      </c>
      <c r="AX69">
        <v>1</v>
      </c>
      <c r="AY69" t="s">
        <v>129</v>
      </c>
      <c r="AZ69">
        <v>43853.1</v>
      </c>
      <c r="BA69">
        <v>3673307</v>
      </c>
      <c r="BB69">
        <v>52378.69</v>
      </c>
      <c r="BC69">
        <v>83.763900000000007</v>
      </c>
      <c r="BD69" t="s">
        <v>130</v>
      </c>
      <c r="BE69" t="s">
        <v>112</v>
      </c>
      <c r="BF69" t="s">
        <v>157</v>
      </c>
      <c r="BG69" t="s">
        <v>133</v>
      </c>
      <c r="BH69" t="s">
        <v>134</v>
      </c>
      <c r="BI69" t="s">
        <v>112</v>
      </c>
      <c r="BJ69" t="s">
        <v>112</v>
      </c>
      <c r="BK69" t="s">
        <v>112</v>
      </c>
      <c r="BL69" t="s">
        <v>169</v>
      </c>
      <c r="BM69" t="s">
        <v>159</v>
      </c>
      <c r="BN69" t="s">
        <v>722</v>
      </c>
      <c r="BO69" t="s">
        <v>161</v>
      </c>
      <c r="BP69">
        <v>1</v>
      </c>
      <c r="BQ69" t="s">
        <v>911</v>
      </c>
      <c r="BR69" s="45">
        <f>ISNUMBER(SEARCH($BR$1,Таблица1[[#This Row],[31_1 Описание и характеристика товара]]))*1</f>
        <v>1</v>
      </c>
      <c r="BT69" t="s">
        <v>150</v>
      </c>
      <c r="BU69">
        <v>33</v>
      </c>
      <c r="BV69">
        <v>0</v>
      </c>
      <c r="BW69">
        <v>0</v>
      </c>
      <c r="BY69">
        <v>0</v>
      </c>
      <c r="CA69" t="s">
        <v>106</v>
      </c>
      <c r="CB69" t="s">
        <v>142</v>
      </c>
      <c r="CC69" t="s">
        <v>112</v>
      </c>
      <c r="CD69" t="s">
        <v>112</v>
      </c>
      <c r="CE69" t="s">
        <v>121</v>
      </c>
      <c r="CF69">
        <v>15747.01</v>
      </c>
      <c r="CG69" t="s">
        <v>144</v>
      </c>
      <c r="CH69">
        <v>4000000</v>
      </c>
      <c r="CI69">
        <v>15495.01</v>
      </c>
      <c r="CJ69">
        <v>0</v>
      </c>
      <c r="CK69" t="s">
        <v>112</v>
      </c>
      <c r="CL69" t="s">
        <v>112</v>
      </c>
      <c r="CM69">
        <v>43853.1</v>
      </c>
      <c r="CN69">
        <v>3673307</v>
      </c>
      <c r="CO69">
        <v>0</v>
      </c>
      <c r="CP69">
        <v>1</v>
      </c>
      <c r="CQ69">
        <v>4037679.65</v>
      </c>
      <c r="CR69">
        <v>52378.69</v>
      </c>
      <c r="CS69" t="s">
        <v>145</v>
      </c>
      <c r="CT69">
        <v>52379.331804000001</v>
      </c>
      <c r="CU69">
        <v>3.3803999999999998</v>
      </c>
      <c r="CV69">
        <v>45</v>
      </c>
      <c r="CW69" t="s">
        <v>171</v>
      </c>
      <c r="CX69" t="s">
        <v>172</v>
      </c>
      <c r="CY69">
        <v>319</v>
      </c>
    </row>
    <row r="70" spans="1:103" x14ac:dyDescent="0.25">
      <c r="A70" t="s">
        <v>106</v>
      </c>
      <c r="B70" s="38">
        <v>44992</v>
      </c>
      <c r="C70" s="43">
        <f>IF(YEAR(Таблица1[[#This Row],[Дата]])=2023,MONTH(Таблица1[[#This Row],[Дата]]),0)</f>
        <v>3</v>
      </c>
      <c r="D70" t="s">
        <v>194</v>
      </c>
      <c r="E70" t="s">
        <v>108</v>
      </c>
      <c r="F70" t="s">
        <v>195</v>
      </c>
      <c r="G70" t="s">
        <v>110</v>
      </c>
      <c r="H70" t="s">
        <v>111</v>
      </c>
      <c r="I70" t="s">
        <v>112</v>
      </c>
      <c r="J70" t="s">
        <v>112</v>
      </c>
      <c r="K70" t="s">
        <v>112</v>
      </c>
      <c r="L70" t="s">
        <v>113</v>
      </c>
      <c r="M70" t="s">
        <v>114</v>
      </c>
      <c r="N70" t="s">
        <v>112</v>
      </c>
      <c r="O70" t="s">
        <v>112</v>
      </c>
      <c r="P70">
        <v>1</v>
      </c>
      <c r="Q70">
        <v>0</v>
      </c>
      <c r="R70">
        <v>1</v>
      </c>
      <c r="S70">
        <v>33</v>
      </c>
      <c r="T70" t="s">
        <v>115</v>
      </c>
      <c r="U70" t="s">
        <v>116</v>
      </c>
      <c r="V70" t="s">
        <v>117</v>
      </c>
      <c r="W70" t="s">
        <v>118</v>
      </c>
      <c r="X70" t="s">
        <v>119</v>
      </c>
      <c r="Y70" t="s">
        <v>120</v>
      </c>
      <c r="Z70" t="s">
        <v>115</v>
      </c>
      <c r="AA70" t="s">
        <v>116</v>
      </c>
      <c r="AB70" t="s">
        <v>117</v>
      </c>
      <c r="AC70" t="s">
        <v>118</v>
      </c>
      <c r="AD70" t="s">
        <v>119</v>
      </c>
      <c r="AE70" t="s">
        <v>120</v>
      </c>
      <c r="AF70" t="s">
        <v>121</v>
      </c>
      <c r="AG70" t="s">
        <v>122</v>
      </c>
      <c r="AH70">
        <v>3952765.97</v>
      </c>
      <c r="AI70" t="s">
        <v>115</v>
      </c>
      <c r="AJ70" t="s">
        <v>116</v>
      </c>
      <c r="AK70" t="s">
        <v>117</v>
      </c>
      <c r="AL70" t="s">
        <v>118</v>
      </c>
      <c r="AM70" t="s">
        <v>119</v>
      </c>
      <c r="AN70" t="s">
        <v>120</v>
      </c>
      <c r="AO70" t="s">
        <v>121</v>
      </c>
      <c r="AP70" t="s">
        <v>122</v>
      </c>
      <c r="AQ70" t="s">
        <v>123</v>
      </c>
      <c r="AR70" t="s">
        <v>124</v>
      </c>
      <c r="AS70" t="s">
        <v>125</v>
      </c>
      <c r="AT70">
        <v>2</v>
      </c>
      <c r="AU70" t="s">
        <v>126</v>
      </c>
      <c r="AV70" t="s">
        <v>127</v>
      </c>
      <c r="AW70" t="s">
        <v>128</v>
      </c>
      <c r="AX70">
        <v>1</v>
      </c>
      <c r="AY70" t="s">
        <v>129</v>
      </c>
      <c r="AZ70">
        <v>49047.14</v>
      </c>
      <c r="BA70">
        <v>3716787</v>
      </c>
      <c r="BB70">
        <v>56798.57</v>
      </c>
      <c r="BC70">
        <v>75.779899999999998</v>
      </c>
      <c r="BD70" t="s">
        <v>130</v>
      </c>
      <c r="BE70" t="s">
        <v>131</v>
      </c>
      <c r="BF70" t="s">
        <v>132</v>
      </c>
      <c r="BG70" t="s">
        <v>133</v>
      </c>
      <c r="BH70" t="s">
        <v>134</v>
      </c>
      <c r="BI70" t="s">
        <v>112</v>
      </c>
      <c r="BJ70" t="s">
        <v>135</v>
      </c>
      <c r="BK70" t="s">
        <v>112</v>
      </c>
      <c r="BL70" t="s">
        <v>136</v>
      </c>
      <c r="BM70" t="s">
        <v>137</v>
      </c>
      <c r="BN70" t="s">
        <v>138</v>
      </c>
      <c r="BO70" t="s">
        <v>139</v>
      </c>
      <c r="BP70">
        <v>1</v>
      </c>
      <c r="BQ70" t="s">
        <v>196</v>
      </c>
      <c r="BR70" s="45">
        <f>ISNUMBER(SEARCH($BR$1,Таблица1[[#This Row],[31_1 Описание и характеристика товара]]))*1</f>
        <v>1</v>
      </c>
      <c r="BT70" t="s">
        <v>141</v>
      </c>
      <c r="BU70">
        <v>33</v>
      </c>
      <c r="BV70">
        <v>0</v>
      </c>
      <c r="BW70">
        <v>0</v>
      </c>
      <c r="BY70">
        <v>0</v>
      </c>
      <c r="CA70" t="s">
        <v>106</v>
      </c>
      <c r="CB70" t="s">
        <v>142</v>
      </c>
      <c r="CC70" t="s">
        <v>112</v>
      </c>
      <c r="CD70" t="s">
        <v>112</v>
      </c>
      <c r="CE70" t="s">
        <v>143</v>
      </c>
      <c r="CF70">
        <v>15044.16</v>
      </c>
      <c r="CG70" t="s">
        <v>144</v>
      </c>
      <c r="CH70">
        <v>4000000</v>
      </c>
      <c r="CI70">
        <v>14931.12</v>
      </c>
      <c r="CJ70">
        <v>0</v>
      </c>
      <c r="CK70" t="s">
        <v>112</v>
      </c>
      <c r="CL70" t="s">
        <v>112</v>
      </c>
      <c r="CM70">
        <v>49047.14</v>
      </c>
      <c r="CN70">
        <v>3716787</v>
      </c>
      <c r="CO70">
        <v>0</v>
      </c>
      <c r="CP70">
        <v>1</v>
      </c>
      <c r="CQ70">
        <v>3952765.97</v>
      </c>
      <c r="CR70">
        <v>56798.57</v>
      </c>
      <c r="CS70" t="s">
        <v>145</v>
      </c>
      <c r="CT70">
        <v>56797.980479999998</v>
      </c>
      <c r="CU70">
        <v>3.8039999999999998</v>
      </c>
      <c r="CV70">
        <v>941</v>
      </c>
      <c r="CW70" t="s">
        <v>146</v>
      </c>
      <c r="CX70" t="s">
        <v>147</v>
      </c>
      <c r="CY70">
        <v>221</v>
      </c>
    </row>
    <row r="71" spans="1:103" x14ac:dyDescent="0.25">
      <c r="A71" s="8" t="s">
        <v>106</v>
      </c>
      <c r="B71" s="38">
        <v>45027</v>
      </c>
      <c r="C71" s="43">
        <f>IF(YEAR(Таблица1[[#This Row],[Дата]])=2023,MONTH(Таблица1[[#This Row],[Дата]]),0)</f>
        <v>4</v>
      </c>
      <c r="D71" s="8" t="s">
        <v>2304</v>
      </c>
      <c r="E71" s="8" t="s">
        <v>108</v>
      </c>
      <c r="F71" s="8" t="s">
        <v>2305</v>
      </c>
      <c r="G71" t="s">
        <v>110</v>
      </c>
      <c r="H71" s="8" t="s">
        <v>111</v>
      </c>
      <c r="I71" s="8" t="s">
        <v>112</v>
      </c>
      <c r="J71" s="8" t="s">
        <v>112</v>
      </c>
      <c r="K71" s="8" t="s">
        <v>112</v>
      </c>
      <c r="L71" s="8" t="s">
        <v>2237</v>
      </c>
      <c r="M71" s="8" t="s">
        <v>2238</v>
      </c>
      <c r="N71" s="8" t="s">
        <v>112</v>
      </c>
      <c r="O71" s="8" t="s">
        <v>112</v>
      </c>
      <c r="P71">
        <v>1</v>
      </c>
      <c r="Q71">
        <v>0</v>
      </c>
      <c r="R71">
        <v>1</v>
      </c>
      <c r="S71">
        <v>481</v>
      </c>
      <c r="T71" s="8" t="s">
        <v>2239</v>
      </c>
      <c r="U71" s="8" t="s">
        <v>2240</v>
      </c>
      <c r="V71" s="8" t="s">
        <v>2241</v>
      </c>
      <c r="W71" s="8" t="s">
        <v>2242</v>
      </c>
      <c r="X71" s="8" t="s">
        <v>2243</v>
      </c>
      <c r="Y71" s="8" t="s">
        <v>2244</v>
      </c>
      <c r="Z71" s="8" t="s">
        <v>2245</v>
      </c>
      <c r="AA71" s="8" t="s">
        <v>2246</v>
      </c>
      <c r="AB71" s="8" t="s">
        <v>2247</v>
      </c>
      <c r="AC71" s="8" t="s">
        <v>2248</v>
      </c>
      <c r="AD71" s="8" t="s">
        <v>2249</v>
      </c>
      <c r="AE71" s="8" t="s">
        <v>2250</v>
      </c>
      <c r="AF71" s="8" t="s">
        <v>2142</v>
      </c>
      <c r="AG71" s="8" t="s">
        <v>2143</v>
      </c>
      <c r="AH71">
        <v>8084712.0599999903</v>
      </c>
      <c r="AI71" s="8" t="s">
        <v>2245</v>
      </c>
      <c r="AJ71" s="8" t="s">
        <v>2246</v>
      </c>
      <c r="AK71" s="8" t="s">
        <v>2247</v>
      </c>
      <c r="AL71" s="8" t="s">
        <v>2248</v>
      </c>
      <c r="AM71" s="8" t="s">
        <v>2249</v>
      </c>
      <c r="AN71" s="8" t="s">
        <v>2250</v>
      </c>
      <c r="AO71" s="8" t="s">
        <v>2142</v>
      </c>
      <c r="AP71" s="8" t="s">
        <v>2143</v>
      </c>
      <c r="AQ71" s="8" t="s">
        <v>2143</v>
      </c>
      <c r="AR71" s="8" t="s">
        <v>124</v>
      </c>
      <c r="AS71" s="8" t="s">
        <v>125</v>
      </c>
      <c r="AT71">
        <v>1</v>
      </c>
      <c r="AU71" s="8" t="s">
        <v>106</v>
      </c>
      <c r="AV71" s="8" t="s">
        <v>2251</v>
      </c>
      <c r="AW71" s="8" t="s">
        <v>2252</v>
      </c>
      <c r="AX71">
        <v>0</v>
      </c>
      <c r="AY71" s="8" t="s">
        <v>2253</v>
      </c>
      <c r="AZ71">
        <v>758621</v>
      </c>
      <c r="BA71">
        <v>7685286</v>
      </c>
      <c r="BB71">
        <v>112322.3</v>
      </c>
      <c r="BC71">
        <v>10.1305999999999</v>
      </c>
      <c r="BD71" s="8" t="s">
        <v>130</v>
      </c>
      <c r="BE71" s="8" t="s">
        <v>112</v>
      </c>
      <c r="BF71" s="8" t="s">
        <v>2254</v>
      </c>
      <c r="BG71" s="8" t="s">
        <v>133</v>
      </c>
      <c r="BH71" s="8" t="s">
        <v>167</v>
      </c>
      <c r="BI71" s="8" t="s">
        <v>2255</v>
      </c>
      <c r="BJ71" s="8" t="s">
        <v>112</v>
      </c>
      <c r="BK71" s="8" t="s">
        <v>2256</v>
      </c>
      <c r="BL71" s="8" t="s">
        <v>169</v>
      </c>
      <c r="BM71" s="8" t="s">
        <v>159</v>
      </c>
      <c r="BN71" s="8" t="s">
        <v>160</v>
      </c>
      <c r="BO71" s="8" t="s">
        <v>161</v>
      </c>
      <c r="BP71">
        <v>1</v>
      </c>
      <c r="BQ71" s="8" t="s">
        <v>2257</v>
      </c>
      <c r="BR71" s="45">
        <f>ISNUMBER(SEARCH($BR$1,Таблица1[[#This Row],[31_1 Описание и характеристика товара]]))*1</f>
        <v>0</v>
      </c>
      <c r="BT71" s="8" t="s">
        <v>2258</v>
      </c>
      <c r="BU71">
        <v>481</v>
      </c>
      <c r="BV71">
        <v>1</v>
      </c>
      <c r="BW71">
        <v>481</v>
      </c>
      <c r="BX71" t="s">
        <v>2147</v>
      </c>
      <c r="BY71">
        <v>0</v>
      </c>
      <c r="CA71" s="8" t="s">
        <v>106</v>
      </c>
      <c r="CB71" s="8" t="s">
        <v>2148</v>
      </c>
      <c r="CC71" s="8" t="s">
        <v>112</v>
      </c>
      <c r="CD71" s="8" t="s">
        <v>112</v>
      </c>
      <c r="CE71" s="8" t="s">
        <v>2142</v>
      </c>
      <c r="CF71">
        <v>15152.95</v>
      </c>
      <c r="CG71" t="s">
        <v>144</v>
      </c>
      <c r="CH71">
        <v>4000000</v>
      </c>
      <c r="CI71">
        <v>15152.95</v>
      </c>
      <c r="CJ71">
        <v>0</v>
      </c>
      <c r="CK71" s="8" t="s">
        <v>112</v>
      </c>
      <c r="CL71" s="8" t="s">
        <v>112</v>
      </c>
      <c r="CM71">
        <v>758621</v>
      </c>
      <c r="CN71">
        <v>7685286</v>
      </c>
      <c r="CO71">
        <v>0</v>
      </c>
      <c r="CP71">
        <v>1</v>
      </c>
      <c r="CQ71">
        <v>8084712.0599999903</v>
      </c>
      <c r="CR71">
        <v>112322.3</v>
      </c>
      <c r="CS71" s="8" t="s">
        <v>145</v>
      </c>
      <c r="CT71">
        <v>7.4126000000000003</v>
      </c>
      <c r="CX71" t="s">
        <v>2259</v>
      </c>
      <c r="CY71">
        <v>0</v>
      </c>
    </row>
    <row r="72" spans="1:103" x14ac:dyDescent="0.25">
      <c r="A72" s="8" t="s">
        <v>106</v>
      </c>
      <c r="B72" s="38">
        <v>45053</v>
      </c>
      <c r="C72" s="43">
        <f>IF(YEAR(Таблица1[[#This Row],[Дата]])=2023,MONTH(Таблица1[[#This Row],[Дата]]),0)</f>
        <v>5</v>
      </c>
      <c r="D72" s="8" t="s">
        <v>2235</v>
      </c>
      <c r="E72" s="8" t="s">
        <v>108</v>
      </c>
      <c r="F72" s="8" t="s">
        <v>2236</v>
      </c>
      <c r="G72" t="s">
        <v>110</v>
      </c>
      <c r="H72" s="8" t="s">
        <v>111</v>
      </c>
      <c r="I72" s="8" t="s">
        <v>112</v>
      </c>
      <c r="J72" s="8" t="s">
        <v>112</v>
      </c>
      <c r="K72" s="8" t="s">
        <v>112</v>
      </c>
      <c r="L72" s="8" t="s">
        <v>2237</v>
      </c>
      <c r="M72" s="8" t="s">
        <v>2238</v>
      </c>
      <c r="N72" s="8" t="s">
        <v>112</v>
      </c>
      <c r="O72" s="8" t="s">
        <v>112</v>
      </c>
      <c r="P72">
        <v>2</v>
      </c>
      <c r="Q72">
        <v>0</v>
      </c>
      <c r="R72">
        <v>2</v>
      </c>
      <c r="S72">
        <v>1045</v>
      </c>
      <c r="T72" s="8" t="s">
        <v>2239</v>
      </c>
      <c r="U72" s="8" t="s">
        <v>2240</v>
      </c>
      <c r="V72" s="8" t="s">
        <v>2241</v>
      </c>
      <c r="W72" s="8" t="s">
        <v>2242</v>
      </c>
      <c r="X72" s="8" t="s">
        <v>2243</v>
      </c>
      <c r="Y72" s="8" t="s">
        <v>2244</v>
      </c>
      <c r="Z72" s="8" t="s">
        <v>2245</v>
      </c>
      <c r="AA72" s="8" t="s">
        <v>2246</v>
      </c>
      <c r="AB72" s="8" t="s">
        <v>2247</v>
      </c>
      <c r="AC72" s="8" t="s">
        <v>2248</v>
      </c>
      <c r="AD72" s="8" t="s">
        <v>2249</v>
      </c>
      <c r="AE72" s="8" t="s">
        <v>2250</v>
      </c>
      <c r="AF72" s="8" t="s">
        <v>2142</v>
      </c>
      <c r="AG72" s="8" t="s">
        <v>2143</v>
      </c>
      <c r="AH72">
        <v>6630716.5899999896</v>
      </c>
      <c r="AI72" s="8" t="s">
        <v>2245</v>
      </c>
      <c r="AJ72" s="8" t="s">
        <v>2246</v>
      </c>
      <c r="AK72" s="8" t="s">
        <v>2247</v>
      </c>
      <c r="AL72" s="8" t="s">
        <v>2248</v>
      </c>
      <c r="AM72" s="8" t="s">
        <v>2249</v>
      </c>
      <c r="AN72" s="8" t="s">
        <v>2250</v>
      </c>
      <c r="AO72" s="8" t="s">
        <v>2142</v>
      </c>
      <c r="AP72" s="8" t="s">
        <v>2143</v>
      </c>
      <c r="AQ72" s="8" t="s">
        <v>2143</v>
      </c>
      <c r="AR72" s="8" t="s">
        <v>124</v>
      </c>
      <c r="AS72" s="8" t="s">
        <v>125</v>
      </c>
      <c r="AT72">
        <v>1</v>
      </c>
      <c r="AU72" s="8" t="s">
        <v>106</v>
      </c>
      <c r="AV72" s="8" t="s">
        <v>2251</v>
      </c>
      <c r="AW72" s="8" t="s">
        <v>2252</v>
      </c>
      <c r="AX72">
        <v>0</v>
      </c>
      <c r="AY72" s="8" t="s">
        <v>2253</v>
      </c>
      <c r="AZ72">
        <v>615095.89</v>
      </c>
      <c r="BA72">
        <v>6231290</v>
      </c>
      <c r="BB72">
        <v>92121.69</v>
      </c>
      <c r="BC72">
        <v>10.1305999999999</v>
      </c>
      <c r="BD72" s="8" t="s">
        <v>130</v>
      </c>
      <c r="BE72" s="8" t="s">
        <v>112</v>
      </c>
      <c r="BF72" s="8" t="s">
        <v>2254</v>
      </c>
      <c r="BG72" s="8" t="s">
        <v>133</v>
      </c>
      <c r="BH72" s="8" t="s">
        <v>167</v>
      </c>
      <c r="BI72" s="8" t="s">
        <v>2255</v>
      </c>
      <c r="BJ72" s="8" t="s">
        <v>112</v>
      </c>
      <c r="BK72" s="8" t="s">
        <v>2256</v>
      </c>
      <c r="BL72" s="8" t="s">
        <v>169</v>
      </c>
      <c r="BM72" s="8" t="s">
        <v>159</v>
      </c>
      <c r="BN72" s="8" t="s">
        <v>160</v>
      </c>
      <c r="BO72" s="8" t="s">
        <v>161</v>
      </c>
      <c r="BP72">
        <v>1</v>
      </c>
      <c r="BQ72" s="8" t="s">
        <v>2257</v>
      </c>
      <c r="BR72" s="45">
        <f>ISNUMBER(SEARCH($BR$1,Таблица1[[#This Row],[31_1 Описание и характеристика товара]]))*1</f>
        <v>0</v>
      </c>
      <c r="BT72" s="8" t="s">
        <v>2258</v>
      </c>
      <c r="BU72">
        <v>119</v>
      </c>
      <c r="BV72">
        <v>1</v>
      </c>
      <c r="BW72">
        <v>119</v>
      </c>
      <c r="BX72" t="s">
        <v>2147</v>
      </c>
      <c r="BY72">
        <v>0</v>
      </c>
      <c r="CA72" s="8" t="s">
        <v>106</v>
      </c>
      <c r="CB72" s="8" t="s">
        <v>2148</v>
      </c>
      <c r="CC72" s="8" t="s">
        <v>112</v>
      </c>
      <c r="CD72" s="8" t="s">
        <v>112</v>
      </c>
      <c r="CE72" s="8" t="s">
        <v>2142</v>
      </c>
      <c r="CF72">
        <v>4153.05</v>
      </c>
      <c r="CG72" t="s">
        <v>144</v>
      </c>
      <c r="CH72">
        <v>4000000</v>
      </c>
      <c r="CI72">
        <v>4153.05</v>
      </c>
      <c r="CJ72">
        <v>0</v>
      </c>
      <c r="CK72" s="8" t="s">
        <v>112</v>
      </c>
      <c r="CL72" s="8" t="s">
        <v>112</v>
      </c>
      <c r="CM72">
        <v>212159</v>
      </c>
      <c r="CN72">
        <v>2149298</v>
      </c>
      <c r="CO72">
        <v>0</v>
      </c>
      <c r="CP72">
        <v>1</v>
      </c>
      <c r="CQ72">
        <v>2299807.54999999</v>
      </c>
      <c r="CR72">
        <v>31951.62</v>
      </c>
      <c r="CS72" s="8" t="s">
        <v>145</v>
      </c>
      <c r="CT72">
        <v>7.6935000000000002</v>
      </c>
      <c r="CX72" t="s">
        <v>2259</v>
      </c>
      <c r="CY72">
        <v>0</v>
      </c>
    </row>
    <row r="73" spans="1:103" x14ac:dyDescent="0.25">
      <c r="A73" t="s">
        <v>106</v>
      </c>
      <c r="B73" s="38">
        <v>45040</v>
      </c>
      <c r="C73" s="43">
        <f>IF(YEAR(Таблица1[[#This Row],[Дата]])=2023,MONTH(Таблица1[[#This Row],[Дата]]),0)</f>
        <v>4</v>
      </c>
      <c r="D73" t="s">
        <v>1303</v>
      </c>
      <c r="E73" t="s">
        <v>108</v>
      </c>
      <c r="F73" t="s">
        <v>1304</v>
      </c>
      <c r="G73" t="s">
        <v>110</v>
      </c>
      <c r="H73" t="s">
        <v>111</v>
      </c>
      <c r="I73" t="s">
        <v>112</v>
      </c>
      <c r="J73" t="s">
        <v>112</v>
      </c>
      <c r="K73" t="s">
        <v>112</v>
      </c>
      <c r="L73" t="s">
        <v>150</v>
      </c>
      <c r="M73" t="s">
        <v>151</v>
      </c>
      <c r="N73" t="s">
        <v>112</v>
      </c>
      <c r="O73" t="s">
        <v>112</v>
      </c>
      <c r="P73">
        <v>1</v>
      </c>
      <c r="R73">
        <v>1</v>
      </c>
      <c r="S73">
        <v>33</v>
      </c>
      <c r="T73" t="s">
        <v>112</v>
      </c>
      <c r="U73" t="s">
        <v>152</v>
      </c>
      <c r="V73" t="s">
        <v>153</v>
      </c>
      <c r="W73" t="s">
        <v>154</v>
      </c>
      <c r="X73" t="s">
        <v>119</v>
      </c>
      <c r="Y73" t="s">
        <v>112</v>
      </c>
      <c r="Z73" t="s">
        <v>112</v>
      </c>
      <c r="AA73" t="s">
        <v>152</v>
      </c>
      <c r="AB73" t="s">
        <v>153</v>
      </c>
      <c r="AC73" t="s">
        <v>154</v>
      </c>
      <c r="AD73" t="s">
        <v>119</v>
      </c>
      <c r="AE73" t="s">
        <v>112</v>
      </c>
      <c r="AF73" t="s">
        <v>121</v>
      </c>
      <c r="AG73" t="s">
        <v>122</v>
      </c>
      <c r="AH73">
        <v>4228111.5199999996</v>
      </c>
      <c r="AI73" t="s">
        <v>112</v>
      </c>
      <c r="AJ73" t="s">
        <v>152</v>
      </c>
      <c r="AK73" t="s">
        <v>153</v>
      </c>
      <c r="AL73" t="s">
        <v>154</v>
      </c>
      <c r="AM73" t="s">
        <v>119</v>
      </c>
      <c r="AN73" t="s">
        <v>112</v>
      </c>
      <c r="AO73" t="s">
        <v>121</v>
      </c>
      <c r="AP73" t="s">
        <v>122</v>
      </c>
      <c r="AQ73" t="s">
        <v>122</v>
      </c>
      <c r="AR73" t="s">
        <v>124</v>
      </c>
      <c r="AS73" t="s">
        <v>125</v>
      </c>
      <c r="AT73">
        <v>2</v>
      </c>
      <c r="AU73" t="s">
        <v>126</v>
      </c>
      <c r="AV73" t="s">
        <v>155</v>
      </c>
      <c r="AW73" t="s">
        <v>156</v>
      </c>
      <c r="AY73" t="s">
        <v>129</v>
      </c>
      <c r="AZ73">
        <v>39308.5</v>
      </c>
      <c r="BC73">
        <v>97.650300000000001</v>
      </c>
      <c r="BD73" t="s">
        <v>112</v>
      </c>
      <c r="BE73" t="s">
        <v>112</v>
      </c>
      <c r="BF73" t="s">
        <v>157</v>
      </c>
      <c r="BG73" t="s">
        <v>133</v>
      </c>
      <c r="BH73" t="s">
        <v>134</v>
      </c>
      <c r="BI73" t="s">
        <v>112</v>
      </c>
      <c r="BJ73" t="s">
        <v>112</v>
      </c>
      <c r="BK73" t="s">
        <v>112</v>
      </c>
      <c r="BL73" t="s">
        <v>158</v>
      </c>
      <c r="BM73" t="s">
        <v>159</v>
      </c>
      <c r="BN73" t="s">
        <v>212</v>
      </c>
      <c r="BO73" t="s">
        <v>161</v>
      </c>
      <c r="BQ73" t="s">
        <v>213</v>
      </c>
      <c r="BR73" s="45">
        <f>ISNUMBER(SEARCH($BR$1,Таблица1[[#This Row],[31_1 Описание и характеристика товара]]))*1</f>
        <v>1</v>
      </c>
      <c r="BT73" t="s">
        <v>150</v>
      </c>
      <c r="BU73">
        <v>33</v>
      </c>
      <c r="BV73">
        <v>0</v>
      </c>
      <c r="BW73">
        <v>0</v>
      </c>
      <c r="BY73">
        <v>0</v>
      </c>
      <c r="CA73" t="s">
        <v>106</v>
      </c>
      <c r="CB73" t="s">
        <v>142</v>
      </c>
      <c r="CC73" t="s">
        <v>112</v>
      </c>
      <c r="CD73" t="s">
        <v>112</v>
      </c>
      <c r="CE73" t="s">
        <v>121</v>
      </c>
      <c r="CF73">
        <v>16569.689999999999</v>
      </c>
      <c r="CG73" t="s">
        <v>144</v>
      </c>
      <c r="CH73">
        <v>4000000</v>
      </c>
      <c r="CI73">
        <v>16396.29</v>
      </c>
      <c r="CJ73">
        <v>0</v>
      </c>
      <c r="CK73" t="s">
        <v>112</v>
      </c>
      <c r="CL73" t="s">
        <v>112</v>
      </c>
      <c r="CM73">
        <v>39308.5</v>
      </c>
      <c r="CO73">
        <v>0</v>
      </c>
      <c r="CP73">
        <v>1</v>
      </c>
      <c r="CQ73">
        <v>4228111.5199999996</v>
      </c>
      <c r="CR73">
        <v>47568.82</v>
      </c>
      <c r="CS73" t="s">
        <v>145</v>
      </c>
      <c r="CT73">
        <v>47549.241000000002</v>
      </c>
      <c r="CU73">
        <v>2.9</v>
      </c>
      <c r="CV73">
        <v>45</v>
      </c>
      <c r="CX73" t="s">
        <v>233</v>
      </c>
      <c r="CY73">
        <v>300</v>
      </c>
    </row>
    <row r="74" spans="1:103" x14ac:dyDescent="0.25">
      <c r="A74" t="s">
        <v>106</v>
      </c>
      <c r="B74" s="38">
        <v>44956</v>
      </c>
      <c r="C74" s="43">
        <f>IF(YEAR(Таблица1[[#This Row],[Дата]])=2023,MONTH(Таблица1[[#This Row],[Дата]]),0)</f>
        <v>1</v>
      </c>
      <c r="D74" t="s">
        <v>1185</v>
      </c>
      <c r="E74" t="s">
        <v>108</v>
      </c>
      <c r="F74" t="s">
        <v>1186</v>
      </c>
      <c r="G74" t="s">
        <v>110</v>
      </c>
      <c r="H74" t="s">
        <v>111</v>
      </c>
      <c r="I74" t="s">
        <v>112</v>
      </c>
      <c r="J74" t="s">
        <v>112</v>
      </c>
      <c r="K74" t="s">
        <v>112</v>
      </c>
      <c r="L74" t="s">
        <v>150</v>
      </c>
      <c r="M74" t="s">
        <v>151</v>
      </c>
      <c r="N74" t="s">
        <v>112</v>
      </c>
      <c r="O74" t="s">
        <v>112</v>
      </c>
      <c r="P74">
        <v>1</v>
      </c>
      <c r="R74">
        <v>1</v>
      </c>
      <c r="S74">
        <v>33</v>
      </c>
      <c r="T74" t="s">
        <v>112</v>
      </c>
      <c r="U74" t="s">
        <v>152</v>
      </c>
      <c r="V74" t="s">
        <v>153</v>
      </c>
      <c r="W74" t="s">
        <v>154</v>
      </c>
      <c r="X74" t="s">
        <v>119</v>
      </c>
      <c r="Y74" t="s">
        <v>112</v>
      </c>
      <c r="Z74" t="s">
        <v>112</v>
      </c>
      <c r="AA74" t="s">
        <v>152</v>
      </c>
      <c r="AB74" t="s">
        <v>153</v>
      </c>
      <c r="AC74" t="s">
        <v>154</v>
      </c>
      <c r="AD74" t="s">
        <v>119</v>
      </c>
      <c r="AE74" t="s">
        <v>112</v>
      </c>
      <c r="AF74" t="s">
        <v>121</v>
      </c>
      <c r="AG74" t="s">
        <v>122</v>
      </c>
      <c r="AH74">
        <v>4423089.87</v>
      </c>
      <c r="AI74" t="s">
        <v>112</v>
      </c>
      <c r="AJ74" t="s">
        <v>152</v>
      </c>
      <c r="AK74" t="s">
        <v>153</v>
      </c>
      <c r="AL74" t="s">
        <v>154</v>
      </c>
      <c r="AM74" t="s">
        <v>119</v>
      </c>
      <c r="AN74" t="s">
        <v>112</v>
      </c>
      <c r="AO74" t="s">
        <v>121</v>
      </c>
      <c r="AP74" t="s">
        <v>122</v>
      </c>
      <c r="AQ74" t="s">
        <v>122</v>
      </c>
      <c r="AR74" t="s">
        <v>124</v>
      </c>
      <c r="AS74" t="s">
        <v>125</v>
      </c>
      <c r="AT74">
        <v>2</v>
      </c>
      <c r="AU74" t="s">
        <v>126</v>
      </c>
      <c r="AV74" t="s">
        <v>155</v>
      </c>
      <c r="AW74" t="s">
        <v>156</v>
      </c>
      <c r="AY74" t="s">
        <v>129</v>
      </c>
      <c r="AZ74">
        <v>41305.199999999997</v>
      </c>
      <c r="BC74">
        <v>97.650300000000001</v>
      </c>
      <c r="BD74" t="s">
        <v>112</v>
      </c>
      <c r="BE74" t="s">
        <v>112</v>
      </c>
      <c r="BF74" t="s">
        <v>157</v>
      </c>
      <c r="BG74" t="s">
        <v>133</v>
      </c>
      <c r="BH74" t="s">
        <v>134</v>
      </c>
      <c r="BI74" t="s">
        <v>112</v>
      </c>
      <c r="BJ74" t="s">
        <v>112</v>
      </c>
      <c r="BK74" t="s">
        <v>112</v>
      </c>
      <c r="BL74" t="s">
        <v>158</v>
      </c>
      <c r="BM74" t="s">
        <v>159</v>
      </c>
      <c r="BN74" t="s">
        <v>212</v>
      </c>
      <c r="BO74" t="s">
        <v>161</v>
      </c>
      <c r="BQ74" t="s">
        <v>205</v>
      </c>
      <c r="BR74" s="45">
        <f>ISNUMBER(SEARCH($BR$1,Таблица1[[#This Row],[31_1 Описание и характеристика товара]]))*1</f>
        <v>1</v>
      </c>
      <c r="BT74" t="s">
        <v>150</v>
      </c>
      <c r="BU74">
        <v>33</v>
      </c>
      <c r="BV74">
        <v>0</v>
      </c>
      <c r="BW74">
        <v>0</v>
      </c>
      <c r="BY74">
        <v>0</v>
      </c>
      <c r="CA74" t="s">
        <v>106</v>
      </c>
      <c r="CB74" t="s">
        <v>142</v>
      </c>
      <c r="CC74" t="s">
        <v>112</v>
      </c>
      <c r="CD74" t="s">
        <v>112</v>
      </c>
      <c r="CE74" t="s">
        <v>121</v>
      </c>
      <c r="CF74">
        <v>16952.7</v>
      </c>
      <c r="CG74" t="s">
        <v>144</v>
      </c>
      <c r="CH74">
        <v>4000000</v>
      </c>
      <c r="CI74">
        <v>16952.7</v>
      </c>
      <c r="CJ74">
        <v>0</v>
      </c>
      <c r="CK74" t="s">
        <v>112</v>
      </c>
      <c r="CL74" t="s">
        <v>112</v>
      </c>
      <c r="CM74">
        <v>41305.199999999997</v>
      </c>
      <c r="CO74">
        <v>0</v>
      </c>
      <c r="CP74">
        <v>1</v>
      </c>
      <c r="CQ74">
        <v>4423089.87</v>
      </c>
      <c r="CR74">
        <v>49762.44</v>
      </c>
      <c r="CS74" t="s">
        <v>145</v>
      </c>
      <c r="CT74">
        <v>49840.938000000002</v>
      </c>
      <c r="CU74">
        <v>2.94</v>
      </c>
      <c r="CV74">
        <v>45</v>
      </c>
      <c r="CX74" t="s">
        <v>729</v>
      </c>
      <c r="CY74">
        <v>155</v>
      </c>
    </row>
    <row r="75" spans="1:103" x14ac:dyDescent="0.25">
      <c r="A75" t="s">
        <v>106</v>
      </c>
      <c r="B75" s="38">
        <v>45112</v>
      </c>
      <c r="C75" s="43">
        <f>IF(YEAR(Таблица1[[#This Row],[Дата]])=2023,MONTH(Таблица1[[#This Row],[Дата]]),0)</f>
        <v>7</v>
      </c>
      <c r="D75" t="s">
        <v>1130</v>
      </c>
      <c r="E75" t="s">
        <v>108</v>
      </c>
      <c r="F75" t="s">
        <v>1131</v>
      </c>
      <c r="G75" t="s">
        <v>110</v>
      </c>
      <c r="H75" t="s">
        <v>111</v>
      </c>
      <c r="I75" t="s">
        <v>112</v>
      </c>
      <c r="J75" t="s">
        <v>112</v>
      </c>
      <c r="K75" t="s">
        <v>112</v>
      </c>
      <c r="L75" t="s">
        <v>150</v>
      </c>
      <c r="M75" t="s">
        <v>151</v>
      </c>
      <c r="N75" t="s">
        <v>112</v>
      </c>
      <c r="O75" t="s">
        <v>112</v>
      </c>
      <c r="P75">
        <v>1</v>
      </c>
      <c r="R75">
        <v>1</v>
      </c>
      <c r="S75">
        <v>33</v>
      </c>
      <c r="T75" t="s">
        <v>112</v>
      </c>
      <c r="U75" t="s">
        <v>152</v>
      </c>
      <c r="V75" t="s">
        <v>153</v>
      </c>
      <c r="W75" t="s">
        <v>154</v>
      </c>
      <c r="X75" t="s">
        <v>119</v>
      </c>
      <c r="Y75" t="s">
        <v>112</v>
      </c>
      <c r="Z75" t="s">
        <v>112</v>
      </c>
      <c r="AA75" t="s">
        <v>152</v>
      </c>
      <c r="AB75" t="s">
        <v>153</v>
      </c>
      <c r="AC75" t="s">
        <v>154</v>
      </c>
      <c r="AD75" t="s">
        <v>119</v>
      </c>
      <c r="AE75" t="s">
        <v>112</v>
      </c>
      <c r="AF75" t="s">
        <v>121</v>
      </c>
      <c r="AG75" t="s">
        <v>122</v>
      </c>
      <c r="AH75">
        <v>4315822.97</v>
      </c>
      <c r="AI75" t="s">
        <v>112</v>
      </c>
      <c r="AJ75" t="s">
        <v>152</v>
      </c>
      <c r="AK75" t="s">
        <v>153</v>
      </c>
      <c r="AL75" t="s">
        <v>154</v>
      </c>
      <c r="AM75" t="s">
        <v>119</v>
      </c>
      <c r="AN75" t="s">
        <v>112</v>
      </c>
      <c r="AO75" t="s">
        <v>121</v>
      </c>
      <c r="AP75" t="s">
        <v>122</v>
      </c>
      <c r="AQ75" t="s">
        <v>122</v>
      </c>
      <c r="AR75" t="s">
        <v>124</v>
      </c>
      <c r="AS75" t="s">
        <v>125</v>
      </c>
      <c r="AT75">
        <v>2</v>
      </c>
      <c r="AU75" t="s">
        <v>126</v>
      </c>
      <c r="AV75" t="s">
        <v>155</v>
      </c>
      <c r="AW75" t="s">
        <v>156</v>
      </c>
      <c r="AY75" t="s">
        <v>129</v>
      </c>
      <c r="AZ75">
        <v>39506.720000000001</v>
      </c>
      <c r="BC75">
        <v>97.650300000000001</v>
      </c>
      <c r="BD75" t="s">
        <v>112</v>
      </c>
      <c r="BE75" t="s">
        <v>112</v>
      </c>
      <c r="BF75" t="s">
        <v>157</v>
      </c>
      <c r="BG75" t="s">
        <v>133</v>
      </c>
      <c r="BH75" t="s">
        <v>134</v>
      </c>
      <c r="BI75" t="s">
        <v>112</v>
      </c>
      <c r="BJ75" t="s">
        <v>112</v>
      </c>
      <c r="BK75" t="s">
        <v>112</v>
      </c>
      <c r="BL75" t="s">
        <v>158</v>
      </c>
      <c r="BM75" t="s">
        <v>159</v>
      </c>
      <c r="BN75" t="s">
        <v>212</v>
      </c>
      <c r="BO75" t="s">
        <v>161</v>
      </c>
      <c r="BQ75" t="s">
        <v>205</v>
      </c>
      <c r="BR75" s="45">
        <f>ISNUMBER(SEARCH($BR$1,Таблица1[[#This Row],[31_1 Описание и характеристика товара]]))*1</f>
        <v>1</v>
      </c>
      <c r="BT75" t="s">
        <v>150</v>
      </c>
      <c r="BU75">
        <v>33</v>
      </c>
      <c r="BV75">
        <v>0</v>
      </c>
      <c r="BW75">
        <v>0</v>
      </c>
      <c r="BY75">
        <v>0</v>
      </c>
      <c r="CA75" t="s">
        <v>106</v>
      </c>
      <c r="CB75" t="s">
        <v>142</v>
      </c>
      <c r="CC75" t="s">
        <v>112</v>
      </c>
      <c r="CD75" t="s">
        <v>112</v>
      </c>
      <c r="CE75" t="s">
        <v>121</v>
      </c>
      <c r="CF75">
        <v>16196.28</v>
      </c>
      <c r="CG75" t="s">
        <v>144</v>
      </c>
      <c r="CH75">
        <v>4000000</v>
      </c>
      <c r="CI75">
        <v>16196.28</v>
      </c>
      <c r="CJ75">
        <v>0</v>
      </c>
      <c r="CK75" t="s">
        <v>112</v>
      </c>
      <c r="CL75" t="s">
        <v>112</v>
      </c>
      <c r="CM75">
        <v>39506.720000000001</v>
      </c>
      <c r="CO75">
        <v>0</v>
      </c>
      <c r="CP75">
        <v>1</v>
      </c>
      <c r="CQ75">
        <v>4315822.97</v>
      </c>
      <c r="CR75">
        <v>48555.62</v>
      </c>
      <c r="CS75" t="s">
        <v>145</v>
      </c>
      <c r="CT75">
        <v>48588.840000000004</v>
      </c>
      <c r="CU75">
        <v>3</v>
      </c>
      <c r="CV75">
        <v>45</v>
      </c>
      <c r="CX75" t="s">
        <v>233</v>
      </c>
      <c r="CY75">
        <v>284</v>
      </c>
    </row>
    <row r="76" spans="1:103" x14ac:dyDescent="0.25">
      <c r="A76" t="s">
        <v>106</v>
      </c>
      <c r="B76" s="38">
        <v>45003</v>
      </c>
      <c r="C76" s="43">
        <f>IF(YEAR(Таблица1[[#This Row],[Дата]])=2023,MONTH(Таблица1[[#This Row],[Дата]]),0)</f>
        <v>3</v>
      </c>
      <c r="D76" t="s">
        <v>1135</v>
      </c>
      <c r="E76" t="s">
        <v>108</v>
      </c>
      <c r="F76" t="s">
        <v>1136</v>
      </c>
      <c r="G76" t="s">
        <v>110</v>
      </c>
      <c r="H76" t="s">
        <v>111</v>
      </c>
      <c r="I76" t="s">
        <v>112</v>
      </c>
      <c r="J76" t="s">
        <v>112</v>
      </c>
      <c r="K76" t="s">
        <v>112</v>
      </c>
      <c r="L76" t="s">
        <v>150</v>
      </c>
      <c r="M76" t="s">
        <v>151</v>
      </c>
      <c r="N76" t="s">
        <v>112</v>
      </c>
      <c r="O76" t="s">
        <v>112</v>
      </c>
      <c r="P76">
        <v>1</v>
      </c>
      <c r="R76">
        <v>1</v>
      </c>
      <c r="S76">
        <v>33</v>
      </c>
      <c r="T76" t="s">
        <v>112</v>
      </c>
      <c r="U76" t="s">
        <v>152</v>
      </c>
      <c r="V76" t="s">
        <v>153</v>
      </c>
      <c r="W76" t="s">
        <v>154</v>
      </c>
      <c r="X76" t="s">
        <v>119</v>
      </c>
      <c r="Y76" t="s">
        <v>112</v>
      </c>
      <c r="Z76" t="s">
        <v>112</v>
      </c>
      <c r="AA76" t="s">
        <v>152</v>
      </c>
      <c r="AB76" t="s">
        <v>153</v>
      </c>
      <c r="AC76" t="s">
        <v>154</v>
      </c>
      <c r="AD76" t="s">
        <v>119</v>
      </c>
      <c r="AE76" t="s">
        <v>112</v>
      </c>
      <c r="AF76" t="s">
        <v>121</v>
      </c>
      <c r="AG76" t="s">
        <v>122</v>
      </c>
      <c r="AH76">
        <v>4291068.62</v>
      </c>
      <c r="AI76" t="s">
        <v>112</v>
      </c>
      <c r="AJ76" t="s">
        <v>152</v>
      </c>
      <c r="AK76" t="s">
        <v>153</v>
      </c>
      <c r="AL76" t="s">
        <v>154</v>
      </c>
      <c r="AM76" t="s">
        <v>119</v>
      </c>
      <c r="AN76" t="s">
        <v>112</v>
      </c>
      <c r="AO76" t="s">
        <v>121</v>
      </c>
      <c r="AP76" t="s">
        <v>122</v>
      </c>
      <c r="AQ76" t="s">
        <v>122</v>
      </c>
      <c r="AR76" t="s">
        <v>124</v>
      </c>
      <c r="AS76" t="s">
        <v>125</v>
      </c>
      <c r="AT76">
        <v>2</v>
      </c>
      <c r="AU76" t="s">
        <v>126</v>
      </c>
      <c r="AV76" t="s">
        <v>155</v>
      </c>
      <c r="AW76" t="s">
        <v>156</v>
      </c>
      <c r="AY76" t="s">
        <v>129</v>
      </c>
      <c r="AZ76">
        <v>39953.22</v>
      </c>
      <c r="BC76">
        <v>97.650300000000001</v>
      </c>
      <c r="BD76" t="s">
        <v>112</v>
      </c>
      <c r="BE76" t="s">
        <v>112</v>
      </c>
      <c r="BF76" t="s">
        <v>157</v>
      </c>
      <c r="BG76" t="s">
        <v>133</v>
      </c>
      <c r="BH76" t="s">
        <v>134</v>
      </c>
      <c r="BI76" t="s">
        <v>112</v>
      </c>
      <c r="BJ76" t="s">
        <v>112</v>
      </c>
      <c r="BK76" t="s">
        <v>112</v>
      </c>
      <c r="BL76" t="s">
        <v>158</v>
      </c>
      <c r="BM76" t="s">
        <v>159</v>
      </c>
      <c r="BN76" t="s">
        <v>212</v>
      </c>
      <c r="BO76" t="s">
        <v>161</v>
      </c>
      <c r="BQ76" t="s">
        <v>1137</v>
      </c>
      <c r="BR76" s="45">
        <f>ISNUMBER(SEARCH($BR$1,Таблица1[[#This Row],[31_1 Описание и характеристика товара]]))*1</f>
        <v>1</v>
      </c>
      <c r="BT76" t="s">
        <v>150</v>
      </c>
      <c r="BU76">
        <v>33</v>
      </c>
      <c r="BV76">
        <v>0</v>
      </c>
      <c r="BW76">
        <v>0</v>
      </c>
      <c r="BY76">
        <v>0</v>
      </c>
      <c r="CA76" t="s">
        <v>106</v>
      </c>
      <c r="CB76" t="s">
        <v>142</v>
      </c>
      <c r="CC76" t="s">
        <v>112</v>
      </c>
      <c r="CD76" t="s">
        <v>112</v>
      </c>
      <c r="CE76" t="s">
        <v>121</v>
      </c>
      <c r="CF76">
        <v>16956.25</v>
      </c>
      <c r="CG76" t="s">
        <v>144</v>
      </c>
      <c r="CH76">
        <v>4000000</v>
      </c>
      <c r="CI76">
        <v>16956.25</v>
      </c>
      <c r="CJ76">
        <v>0</v>
      </c>
      <c r="CK76" t="s">
        <v>112</v>
      </c>
      <c r="CL76" t="s">
        <v>112</v>
      </c>
      <c r="CM76">
        <v>39953.22</v>
      </c>
      <c r="CO76">
        <v>0</v>
      </c>
      <c r="CP76">
        <v>1</v>
      </c>
      <c r="CQ76">
        <v>4291068.62</v>
      </c>
      <c r="CR76">
        <v>48277.120000000003</v>
      </c>
      <c r="CS76" t="s">
        <v>145</v>
      </c>
      <c r="CT76">
        <v>48325.3125</v>
      </c>
      <c r="CU76">
        <v>2.85</v>
      </c>
      <c r="CV76">
        <v>45</v>
      </c>
      <c r="CX76" t="s">
        <v>206</v>
      </c>
      <c r="CY76">
        <v>212</v>
      </c>
    </row>
    <row r="77" spans="1:103" x14ac:dyDescent="0.25">
      <c r="A77" t="s">
        <v>106</v>
      </c>
      <c r="B77" s="38">
        <v>45095</v>
      </c>
      <c r="C77" s="43">
        <f>IF(YEAR(Таблица1[[#This Row],[Дата]])=2023,MONTH(Таблица1[[#This Row],[Дата]]),0)</f>
        <v>6</v>
      </c>
      <c r="D77" t="s">
        <v>1784</v>
      </c>
      <c r="E77" t="s">
        <v>108</v>
      </c>
      <c r="F77" t="s">
        <v>1785</v>
      </c>
      <c r="G77" t="s">
        <v>110</v>
      </c>
      <c r="H77" t="s">
        <v>111</v>
      </c>
      <c r="I77" t="s">
        <v>112</v>
      </c>
      <c r="J77" t="s">
        <v>112</v>
      </c>
      <c r="K77" t="s">
        <v>112</v>
      </c>
      <c r="L77" t="s">
        <v>150</v>
      </c>
      <c r="M77" t="s">
        <v>151</v>
      </c>
      <c r="N77" t="s">
        <v>112</v>
      </c>
      <c r="O77" t="s">
        <v>112</v>
      </c>
      <c r="P77">
        <v>1</v>
      </c>
      <c r="R77">
        <v>1</v>
      </c>
      <c r="S77">
        <v>33</v>
      </c>
      <c r="T77" t="s">
        <v>112</v>
      </c>
      <c r="U77" t="s">
        <v>152</v>
      </c>
      <c r="V77" t="s">
        <v>153</v>
      </c>
      <c r="W77" t="s">
        <v>154</v>
      </c>
      <c r="X77" t="s">
        <v>119</v>
      </c>
      <c r="Y77" t="s">
        <v>112</v>
      </c>
      <c r="Z77" t="s">
        <v>112</v>
      </c>
      <c r="AA77" t="s">
        <v>152</v>
      </c>
      <c r="AB77" t="s">
        <v>153</v>
      </c>
      <c r="AC77" t="s">
        <v>154</v>
      </c>
      <c r="AD77" t="s">
        <v>119</v>
      </c>
      <c r="AE77" t="s">
        <v>112</v>
      </c>
      <c r="AF77" t="s">
        <v>121</v>
      </c>
      <c r="AG77" t="s">
        <v>122</v>
      </c>
      <c r="AH77">
        <v>4773392.41</v>
      </c>
      <c r="AI77" t="s">
        <v>112</v>
      </c>
      <c r="AJ77" t="s">
        <v>152</v>
      </c>
      <c r="AK77" t="s">
        <v>153</v>
      </c>
      <c r="AL77" t="s">
        <v>154</v>
      </c>
      <c r="AM77" t="s">
        <v>119</v>
      </c>
      <c r="AN77" t="s">
        <v>112</v>
      </c>
      <c r="AO77" t="s">
        <v>121</v>
      </c>
      <c r="AP77" t="s">
        <v>122</v>
      </c>
      <c r="AQ77" t="s">
        <v>122</v>
      </c>
      <c r="AR77" t="s">
        <v>124</v>
      </c>
      <c r="AS77" t="s">
        <v>125</v>
      </c>
      <c r="AT77">
        <v>2</v>
      </c>
      <c r="AU77" t="s">
        <v>126</v>
      </c>
      <c r="AV77" t="s">
        <v>155</v>
      </c>
      <c r="AW77" t="s">
        <v>156</v>
      </c>
      <c r="AY77" t="s">
        <v>129</v>
      </c>
      <c r="AZ77">
        <v>44544.55</v>
      </c>
      <c r="BC77">
        <v>98.350399999999993</v>
      </c>
      <c r="BD77" t="s">
        <v>112</v>
      </c>
      <c r="BE77" t="s">
        <v>112</v>
      </c>
      <c r="BF77" t="s">
        <v>157</v>
      </c>
      <c r="BG77" t="s">
        <v>133</v>
      </c>
      <c r="BH77" t="s">
        <v>134</v>
      </c>
      <c r="BI77" t="s">
        <v>112</v>
      </c>
      <c r="BJ77" t="s">
        <v>112</v>
      </c>
      <c r="BK77" t="s">
        <v>112</v>
      </c>
      <c r="BL77" t="s">
        <v>158</v>
      </c>
      <c r="BM77" t="s">
        <v>159</v>
      </c>
      <c r="BN77" t="s">
        <v>212</v>
      </c>
      <c r="BO77" t="s">
        <v>161</v>
      </c>
      <c r="BQ77" t="s">
        <v>205</v>
      </c>
      <c r="BR77" s="45">
        <f>ISNUMBER(SEARCH($BR$1,Таблица1[[#This Row],[31_1 Описание и характеристика товара]]))*1</f>
        <v>1</v>
      </c>
      <c r="BT77" t="s">
        <v>150</v>
      </c>
      <c r="BU77">
        <v>33</v>
      </c>
      <c r="BV77">
        <v>0</v>
      </c>
      <c r="BW77">
        <v>0</v>
      </c>
      <c r="BY77">
        <v>0</v>
      </c>
      <c r="CA77" t="s">
        <v>106</v>
      </c>
      <c r="CB77" t="s">
        <v>142</v>
      </c>
      <c r="CC77" t="s">
        <v>112</v>
      </c>
      <c r="CD77" t="s">
        <v>112</v>
      </c>
      <c r="CE77" t="s">
        <v>121</v>
      </c>
      <c r="CF77">
        <v>16745.23</v>
      </c>
      <c r="CG77" t="s">
        <v>144</v>
      </c>
      <c r="CH77">
        <v>4000000</v>
      </c>
      <c r="CI77">
        <v>16745.23</v>
      </c>
      <c r="CJ77">
        <v>0</v>
      </c>
      <c r="CK77" t="s">
        <v>112</v>
      </c>
      <c r="CL77" t="s">
        <v>112</v>
      </c>
      <c r="CM77">
        <v>44544.55</v>
      </c>
      <c r="CO77">
        <v>0</v>
      </c>
      <c r="CP77">
        <v>1</v>
      </c>
      <c r="CQ77">
        <v>4773392.41</v>
      </c>
      <c r="CR77">
        <v>51207.1</v>
      </c>
      <c r="CS77" t="s">
        <v>145</v>
      </c>
      <c r="CT77">
        <v>51240.4038</v>
      </c>
      <c r="CU77">
        <v>3.06</v>
      </c>
      <c r="CV77">
        <v>45</v>
      </c>
      <c r="CX77" t="s">
        <v>233</v>
      </c>
      <c r="CY77">
        <v>236</v>
      </c>
    </row>
    <row r="78" spans="1:103" x14ac:dyDescent="0.25">
      <c r="A78" t="s">
        <v>106</v>
      </c>
      <c r="B78" s="38">
        <v>45037</v>
      </c>
      <c r="C78" s="43">
        <f>IF(YEAR(Таблица1[[#This Row],[Дата]])=2023,MONTH(Таблица1[[#This Row],[Дата]]),0)</f>
        <v>4</v>
      </c>
      <c r="D78" t="s">
        <v>1790</v>
      </c>
      <c r="E78" t="s">
        <v>108</v>
      </c>
      <c r="F78" t="s">
        <v>1791</v>
      </c>
      <c r="G78" t="s">
        <v>110</v>
      </c>
      <c r="H78" t="s">
        <v>111</v>
      </c>
      <c r="I78" t="s">
        <v>112</v>
      </c>
      <c r="J78" t="s">
        <v>112</v>
      </c>
      <c r="K78" t="s">
        <v>112</v>
      </c>
      <c r="L78" t="s">
        <v>150</v>
      </c>
      <c r="M78" t="s">
        <v>151</v>
      </c>
      <c r="N78" t="s">
        <v>112</v>
      </c>
      <c r="O78" t="s">
        <v>112</v>
      </c>
      <c r="P78">
        <v>1</v>
      </c>
      <c r="R78">
        <v>1</v>
      </c>
      <c r="S78">
        <v>33</v>
      </c>
      <c r="T78" t="s">
        <v>112</v>
      </c>
      <c r="U78" t="s">
        <v>152</v>
      </c>
      <c r="V78" t="s">
        <v>153</v>
      </c>
      <c r="W78" t="s">
        <v>154</v>
      </c>
      <c r="X78" t="s">
        <v>119</v>
      </c>
      <c r="Y78" t="s">
        <v>112</v>
      </c>
      <c r="Z78" t="s">
        <v>112</v>
      </c>
      <c r="AA78" t="s">
        <v>152</v>
      </c>
      <c r="AB78" t="s">
        <v>153</v>
      </c>
      <c r="AC78" t="s">
        <v>154</v>
      </c>
      <c r="AD78" t="s">
        <v>119</v>
      </c>
      <c r="AE78" t="s">
        <v>112</v>
      </c>
      <c r="AF78" t="s">
        <v>121</v>
      </c>
      <c r="AG78" t="s">
        <v>122</v>
      </c>
      <c r="AH78">
        <v>4682364.2</v>
      </c>
      <c r="AI78" t="s">
        <v>112</v>
      </c>
      <c r="AJ78" t="s">
        <v>152</v>
      </c>
      <c r="AK78" t="s">
        <v>153</v>
      </c>
      <c r="AL78" t="s">
        <v>154</v>
      </c>
      <c r="AM78" t="s">
        <v>119</v>
      </c>
      <c r="AN78" t="s">
        <v>112</v>
      </c>
      <c r="AO78" t="s">
        <v>121</v>
      </c>
      <c r="AP78" t="s">
        <v>122</v>
      </c>
      <c r="AQ78" t="s">
        <v>122</v>
      </c>
      <c r="AR78" t="s">
        <v>124</v>
      </c>
      <c r="AS78" t="s">
        <v>125</v>
      </c>
      <c r="AT78">
        <v>2</v>
      </c>
      <c r="AU78" t="s">
        <v>126</v>
      </c>
      <c r="AV78" t="s">
        <v>155</v>
      </c>
      <c r="AW78" t="s">
        <v>156</v>
      </c>
      <c r="AY78" t="s">
        <v>129</v>
      </c>
      <c r="AZ78">
        <v>43089</v>
      </c>
      <c r="BC78">
        <v>98.350399999999993</v>
      </c>
      <c r="BD78" t="s">
        <v>112</v>
      </c>
      <c r="BE78" t="s">
        <v>112</v>
      </c>
      <c r="BF78" t="s">
        <v>157</v>
      </c>
      <c r="BG78" t="s">
        <v>133</v>
      </c>
      <c r="BH78" t="s">
        <v>134</v>
      </c>
      <c r="BI78" t="s">
        <v>112</v>
      </c>
      <c r="BJ78" t="s">
        <v>112</v>
      </c>
      <c r="BK78" t="s">
        <v>112</v>
      </c>
      <c r="BL78" t="s">
        <v>158</v>
      </c>
      <c r="BM78" t="s">
        <v>159</v>
      </c>
      <c r="BN78" t="s">
        <v>212</v>
      </c>
      <c r="BO78" t="s">
        <v>161</v>
      </c>
      <c r="BQ78" t="s">
        <v>205</v>
      </c>
      <c r="BR78" s="45">
        <f>ISNUMBER(SEARCH($BR$1,Таблица1[[#This Row],[31_1 Описание и характеристика товара]]))*1</f>
        <v>1</v>
      </c>
      <c r="BT78" t="s">
        <v>150</v>
      </c>
      <c r="BU78">
        <v>33</v>
      </c>
      <c r="BV78">
        <v>0</v>
      </c>
      <c r="BW78">
        <v>0</v>
      </c>
      <c r="BY78">
        <v>0</v>
      </c>
      <c r="CA78" t="s">
        <v>106</v>
      </c>
      <c r="CB78" t="s">
        <v>142</v>
      </c>
      <c r="CC78" t="s">
        <v>112</v>
      </c>
      <c r="CD78" t="s">
        <v>112</v>
      </c>
      <c r="CE78" t="s">
        <v>121</v>
      </c>
      <c r="CF78">
        <v>17137.22</v>
      </c>
      <c r="CG78" t="s">
        <v>144</v>
      </c>
      <c r="CH78">
        <v>4000000</v>
      </c>
      <c r="CI78">
        <v>17137.22</v>
      </c>
      <c r="CJ78">
        <v>0</v>
      </c>
      <c r="CK78" t="s">
        <v>112</v>
      </c>
      <c r="CL78" t="s">
        <v>112</v>
      </c>
      <c r="CM78">
        <v>43089</v>
      </c>
      <c r="CO78">
        <v>0</v>
      </c>
      <c r="CP78">
        <v>1</v>
      </c>
      <c r="CQ78">
        <v>4682364.2</v>
      </c>
      <c r="CR78">
        <v>50230.58</v>
      </c>
      <c r="CS78" t="s">
        <v>145</v>
      </c>
      <c r="CT78">
        <v>50212.054600000003</v>
      </c>
      <c r="CU78">
        <v>2.93</v>
      </c>
      <c r="CV78">
        <v>45</v>
      </c>
      <c r="CX78" t="s">
        <v>206</v>
      </c>
      <c r="CY78">
        <v>340</v>
      </c>
    </row>
    <row r="79" spans="1:103" x14ac:dyDescent="0.25">
      <c r="A79" t="s">
        <v>106</v>
      </c>
      <c r="B79" s="38">
        <v>45203</v>
      </c>
      <c r="C79" s="43">
        <f>IF(YEAR(Таблица1[[#This Row],[Дата]])=2023,MONTH(Таблица1[[#This Row],[Дата]]),0)</f>
        <v>10</v>
      </c>
      <c r="D79" t="s">
        <v>1872</v>
      </c>
      <c r="E79" t="s">
        <v>108</v>
      </c>
      <c r="F79" t="s">
        <v>1873</v>
      </c>
      <c r="G79" t="s">
        <v>110</v>
      </c>
      <c r="H79" t="s">
        <v>111</v>
      </c>
      <c r="I79" t="s">
        <v>112</v>
      </c>
      <c r="J79" t="s">
        <v>112</v>
      </c>
      <c r="K79" t="s">
        <v>112</v>
      </c>
      <c r="L79" t="s">
        <v>150</v>
      </c>
      <c r="M79" t="s">
        <v>151</v>
      </c>
      <c r="N79" t="s">
        <v>112</v>
      </c>
      <c r="O79" t="s">
        <v>112</v>
      </c>
      <c r="P79">
        <v>1</v>
      </c>
      <c r="R79">
        <v>1</v>
      </c>
      <c r="S79">
        <v>33</v>
      </c>
      <c r="T79" t="s">
        <v>112</v>
      </c>
      <c r="U79" t="s">
        <v>152</v>
      </c>
      <c r="V79" t="s">
        <v>153</v>
      </c>
      <c r="W79" t="s">
        <v>154</v>
      </c>
      <c r="X79" t="s">
        <v>119</v>
      </c>
      <c r="Y79" t="s">
        <v>112</v>
      </c>
      <c r="Z79" t="s">
        <v>112</v>
      </c>
      <c r="AA79" t="s">
        <v>152</v>
      </c>
      <c r="AB79" t="s">
        <v>153</v>
      </c>
      <c r="AC79" t="s">
        <v>154</v>
      </c>
      <c r="AD79" t="s">
        <v>119</v>
      </c>
      <c r="AE79" t="s">
        <v>112</v>
      </c>
      <c r="AF79" t="s">
        <v>121</v>
      </c>
      <c r="AG79" t="s">
        <v>122</v>
      </c>
      <c r="AH79">
        <v>4667556.5599999996</v>
      </c>
      <c r="AI79" t="s">
        <v>112</v>
      </c>
      <c r="AJ79" t="s">
        <v>152</v>
      </c>
      <c r="AK79" t="s">
        <v>153</v>
      </c>
      <c r="AL79" t="s">
        <v>154</v>
      </c>
      <c r="AM79" t="s">
        <v>119</v>
      </c>
      <c r="AN79" t="s">
        <v>112</v>
      </c>
      <c r="AO79" t="s">
        <v>121</v>
      </c>
      <c r="AP79" t="s">
        <v>122</v>
      </c>
      <c r="AQ79" t="s">
        <v>122</v>
      </c>
      <c r="AR79" t="s">
        <v>124</v>
      </c>
      <c r="AS79" t="s">
        <v>125</v>
      </c>
      <c r="AT79">
        <v>2</v>
      </c>
      <c r="AU79" t="s">
        <v>126</v>
      </c>
      <c r="AV79" t="s">
        <v>155</v>
      </c>
      <c r="AW79" t="s">
        <v>156</v>
      </c>
      <c r="AY79" t="s">
        <v>129</v>
      </c>
      <c r="AZ79">
        <v>43468.44</v>
      </c>
      <c r="BC79">
        <v>98.350399999999993</v>
      </c>
      <c r="BD79" t="s">
        <v>112</v>
      </c>
      <c r="BE79" t="s">
        <v>112</v>
      </c>
      <c r="BF79" t="s">
        <v>157</v>
      </c>
      <c r="BG79" t="s">
        <v>133</v>
      </c>
      <c r="BH79" t="s">
        <v>134</v>
      </c>
      <c r="BI79" t="s">
        <v>112</v>
      </c>
      <c r="BJ79" t="s">
        <v>112</v>
      </c>
      <c r="BK79" t="s">
        <v>112</v>
      </c>
      <c r="BL79" t="s">
        <v>158</v>
      </c>
      <c r="BM79" t="s">
        <v>159</v>
      </c>
      <c r="BN79" t="s">
        <v>212</v>
      </c>
      <c r="BO79" t="s">
        <v>161</v>
      </c>
      <c r="BQ79" t="s">
        <v>205</v>
      </c>
      <c r="BR79" s="45">
        <f>ISNUMBER(SEARCH($BR$1,Таблица1[[#This Row],[31_1 Описание и характеристика товара]]))*1</f>
        <v>1</v>
      </c>
      <c r="BT79" t="s">
        <v>150</v>
      </c>
      <c r="BU79">
        <v>33</v>
      </c>
      <c r="BV79">
        <v>0</v>
      </c>
      <c r="BW79">
        <v>0</v>
      </c>
      <c r="BY79">
        <v>0</v>
      </c>
      <c r="CA79" t="s">
        <v>106</v>
      </c>
      <c r="CB79" t="s">
        <v>142</v>
      </c>
      <c r="CC79" t="s">
        <v>112</v>
      </c>
      <c r="CD79" t="s">
        <v>112</v>
      </c>
      <c r="CE79" t="s">
        <v>121</v>
      </c>
      <c r="CF79">
        <v>17087</v>
      </c>
      <c r="CG79" t="s">
        <v>144</v>
      </c>
      <c r="CH79">
        <v>4000000</v>
      </c>
      <c r="CI79">
        <v>17087</v>
      </c>
      <c r="CJ79">
        <v>0</v>
      </c>
      <c r="CK79" t="s">
        <v>112</v>
      </c>
      <c r="CL79" t="s">
        <v>112</v>
      </c>
      <c r="CM79">
        <v>43468.44</v>
      </c>
      <c r="CO79">
        <v>0</v>
      </c>
      <c r="CP79">
        <v>1</v>
      </c>
      <c r="CQ79">
        <v>4667556.5599999996</v>
      </c>
      <c r="CR79">
        <v>50071.73</v>
      </c>
      <c r="CS79" t="s">
        <v>145</v>
      </c>
      <c r="CT79">
        <v>50064.91</v>
      </c>
      <c r="CU79">
        <v>2.93</v>
      </c>
      <c r="CV79">
        <v>45</v>
      </c>
      <c r="CX79" t="s">
        <v>729</v>
      </c>
      <c r="CY79">
        <v>146</v>
      </c>
    </row>
    <row r="80" spans="1:103" x14ac:dyDescent="0.25">
      <c r="A80" t="s">
        <v>106</v>
      </c>
      <c r="B80" s="38">
        <v>45258</v>
      </c>
      <c r="C80" s="43">
        <f>IF(YEAR(Таблица1[[#This Row],[Дата]])=2023,MONTH(Таблица1[[#This Row],[Дата]]),0)</f>
        <v>11</v>
      </c>
      <c r="D80" t="s">
        <v>1848</v>
      </c>
      <c r="E80" t="s">
        <v>108</v>
      </c>
      <c r="F80" t="s">
        <v>1849</v>
      </c>
      <c r="G80" t="s">
        <v>110</v>
      </c>
      <c r="H80" t="s">
        <v>111</v>
      </c>
      <c r="I80" t="s">
        <v>112</v>
      </c>
      <c r="J80" t="s">
        <v>112</v>
      </c>
      <c r="K80" t="s">
        <v>112</v>
      </c>
      <c r="L80" t="s">
        <v>150</v>
      </c>
      <c r="M80" t="s">
        <v>151</v>
      </c>
      <c r="N80" t="s">
        <v>112</v>
      </c>
      <c r="O80" t="s">
        <v>112</v>
      </c>
      <c r="P80">
        <v>1</v>
      </c>
      <c r="R80">
        <v>1</v>
      </c>
      <c r="S80">
        <v>33</v>
      </c>
      <c r="T80" t="s">
        <v>112</v>
      </c>
      <c r="U80" t="s">
        <v>152</v>
      </c>
      <c r="V80" t="s">
        <v>153</v>
      </c>
      <c r="W80" t="s">
        <v>154</v>
      </c>
      <c r="X80" t="s">
        <v>119</v>
      </c>
      <c r="Y80" t="s">
        <v>112</v>
      </c>
      <c r="Z80" t="s">
        <v>112</v>
      </c>
      <c r="AA80" t="s">
        <v>152</v>
      </c>
      <c r="AB80" t="s">
        <v>153</v>
      </c>
      <c r="AC80" t="s">
        <v>154</v>
      </c>
      <c r="AD80" t="s">
        <v>119</v>
      </c>
      <c r="AE80" t="s">
        <v>112</v>
      </c>
      <c r="AF80" t="s">
        <v>121</v>
      </c>
      <c r="AG80" t="s">
        <v>122</v>
      </c>
      <c r="AH80">
        <v>4689268.3899999997</v>
      </c>
      <c r="AI80" t="s">
        <v>112</v>
      </c>
      <c r="AJ80" t="s">
        <v>152</v>
      </c>
      <c r="AK80" t="s">
        <v>153</v>
      </c>
      <c r="AL80" t="s">
        <v>154</v>
      </c>
      <c r="AM80" t="s">
        <v>119</v>
      </c>
      <c r="AN80" t="s">
        <v>112</v>
      </c>
      <c r="AO80" t="s">
        <v>121</v>
      </c>
      <c r="AP80" t="s">
        <v>122</v>
      </c>
      <c r="AQ80" t="s">
        <v>122</v>
      </c>
      <c r="AR80" t="s">
        <v>124</v>
      </c>
      <c r="AS80" t="s">
        <v>125</v>
      </c>
      <c r="AT80">
        <v>2</v>
      </c>
      <c r="AU80" t="s">
        <v>126</v>
      </c>
      <c r="AV80" t="s">
        <v>155</v>
      </c>
      <c r="AW80" t="s">
        <v>156</v>
      </c>
      <c r="AY80" t="s">
        <v>129</v>
      </c>
      <c r="AZ80">
        <v>43159.199999999997</v>
      </c>
      <c r="BC80">
        <v>98.350399999999993</v>
      </c>
      <c r="BD80" t="s">
        <v>112</v>
      </c>
      <c r="BE80" t="s">
        <v>112</v>
      </c>
      <c r="BF80" t="s">
        <v>157</v>
      </c>
      <c r="BG80" t="s">
        <v>133</v>
      </c>
      <c r="BH80" t="s">
        <v>167</v>
      </c>
      <c r="BI80" t="s">
        <v>112</v>
      </c>
      <c r="BJ80" t="s">
        <v>112</v>
      </c>
      <c r="BK80" t="s">
        <v>112</v>
      </c>
      <c r="BL80" t="s">
        <v>158</v>
      </c>
      <c r="BM80" t="s">
        <v>159</v>
      </c>
      <c r="BN80" t="s">
        <v>160</v>
      </c>
      <c r="BO80" t="s">
        <v>161</v>
      </c>
      <c r="BQ80" t="s">
        <v>466</v>
      </c>
      <c r="BR80" s="45">
        <f>ISNUMBER(SEARCH($BR$1,Таблица1[[#This Row],[31_1 Описание и характеристика товара]]))*1</f>
        <v>1</v>
      </c>
      <c r="BT80" t="s">
        <v>150</v>
      </c>
      <c r="BU80">
        <v>33</v>
      </c>
      <c r="BV80">
        <v>0</v>
      </c>
      <c r="BW80">
        <v>0</v>
      </c>
      <c r="BY80">
        <v>0</v>
      </c>
      <c r="CA80" t="s">
        <v>106</v>
      </c>
      <c r="CB80" t="s">
        <v>142</v>
      </c>
      <c r="CC80" t="s">
        <v>112</v>
      </c>
      <c r="CD80" t="s">
        <v>112</v>
      </c>
      <c r="CE80" t="s">
        <v>121</v>
      </c>
      <c r="CF80">
        <v>15554.88</v>
      </c>
      <c r="CG80" t="s">
        <v>144</v>
      </c>
      <c r="CH80">
        <v>4000000</v>
      </c>
      <c r="CI80">
        <v>15306.48</v>
      </c>
      <c r="CJ80">
        <v>0</v>
      </c>
      <c r="CK80" t="s">
        <v>112</v>
      </c>
      <c r="CL80" t="s">
        <v>112</v>
      </c>
      <c r="CM80">
        <v>43159.199999999997</v>
      </c>
      <c r="CO80">
        <v>0</v>
      </c>
      <c r="CP80">
        <v>1</v>
      </c>
      <c r="CQ80">
        <v>4689268.3899999997</v>
      </c>
      <c r="CR80">
        <v>50304.65</v>
      </c>
      <c r="CS80" t="s">
        <v>145</v>
      </c>
      <c r="CT80">
        <v>50358.319199999998</v>
      </c>
      <c r="CU80">
        <v>3.29</v>
      </c>
      <c r="CV80">
        <v>45</v>
      </c>
      <c r="CX80" t="s">
        <v>729</v>
      </c>
      <c r="CY80">
        <v>89</v>
      </c>
    </row>
    <row r="81" spans="1:103" x14ac:dyDescent="0.25">
      <c r="A81" t="s">
        <v>106</v>
      </c>
      <c r="B81" s="38">
        <v>45146</v>
      </c>
      <c r="C81" s="43">
        <f>IF(YEAR(Таблица1[[#This Row],[Дата]])=2023,MONTH(Таблица1[[#This Row],[Дата]]),0)</f>
        <v>8</v>
      </c>
      <c r="D81" t="s">
        <v>1780</v>
      </c>
      <c r="E81" t="s">
        <v>108</v>
      </c>
      <c r="F81" t="s">
        <v>1781</v>
      </c>
      <c r="G81" t="s">
        <v>110</v>
      </c>
      <c r="H81" t="s">
        <v>111</v>
      </c>
      <c r="I81" t="s">
        <v>112</v>
      </c>
      <c r="J81" t="s">
        <v>112</v>
      </c>
      <c r="K81" t="s">
        <v>112</v>
      </c>
      <c r="L81" t="s">
        <v>150</v>
      </c>
      <c r="M81" t="s">
        <v>151</v>
      </c>
      <c r="N81" t="s">
        <v>112</v>
      </c>
      <c r="O81" t="s">
        <v>112</v>
      </c>
      <c r="P81">
        <v>1</v>
      </c>
      <c r="R81">
        <v>1</v>
      </c>
      <c r="S81">
        <v>33</v>
      </c>
      <c r="T81" t="s">
        <v>112</v>
      </c>
      <c r="U81" t="s">
        <v>152</v>
      </c>
      <c r="V81" t="s">
        <v>153</v>
      </c>
      <c r="W81" t="s">
        <v>154</v>
      </c>
      <c r="X81" t="s">
        <v>119</v>
      </c>
      <c r="Y81" t="s">
        <v>112</v>
      </c>
      <c r="Z81" t="s">
        <v>112</v>
      </c>
      <c r="AA81" t="s">
        <v>152</v>
      </c>
      <c r="AB81" t="s">
        <v>153</v>
      </c>
      <c r="AC81" t="s">
        <v>154</v>
      </c>
      <c r="AD81" t="s">
        <v>119</v>
      </c>
      <c r="AE81" t="s">
        <v>112</v>
      </c>
      <c r="AF81" t="s">
        <v>121</v>
      </c>
      <c r="AG81" t="s">
        <v>122</v>
      </c>
      <c r="AH81">
        <v>4702254.58</v>
      </c>
      <c r="AI81" t="s">
        <v>112</v>
      </c>
      <c r="AJ81" t="s">
        <v>152</v>
      </c>
      <c r="AK81" t="s">
        <v>153</v>
      </c>
      <c r="AL81" t="s">
        <v>154</v>
      </c>
      <c r="AM81" t="s">
        <v>119</v>
      </c>
      <c r="AN81" t="s">
        <v>112</v>
      </c>
      <c r="AO81" t="s">
        <v>121</v>
      </c>
      <c r="AP81" t="s">
        <v>122</v>
      </c>
      <c r="AQ81" t="s">
        <v>122</v>
      </c>
      <c r="AR81" t="s">
        <v>124</v>
      </c>
      <c r="AS81" t="s">
        <v>125</v>
      </c>
      <c r="AT81">
        <v>2</v>
      </c>
      <c r="AU81" t="s">
        <v>126</v>
      </c>
      <c r="AV81" t="s">
        <v>155</v>
      </c>
      <c r="AW81" t="s">
        <v>156</v>
      </c>
      <c r="AY81" t="s">
        <v>129</v>
      </c>
      <c r="AZ81">
        <v>43821.24</v>
      </c>
      <c r="BC81">
        <v>98.350399999999993</v>
      </c>
      <c r="BD81" t="s">
        <v>112</v>
      </c>
      <c r="BE81" t="s">
        <v>112</v>
      </c>
      <c r="BF81" t="s">
        <v>157</v>
      </c>
      <c r="BG81" t="s">
        <v>133</v>
      </c>
      <c r="BH81" t="s">
        <v>167</v>
      </c>
      <c r="BI81" t="s">
        <v>112</v>
      </c>
      <c r="BJ81" t="s">
        <v>112</v>
      </c>
      <c r="BK81" t="s">
        <v>112</v>
      </c>
      <c r="BL81" t="s">
        <v>158</v>
      </c>
      <c r="BM81" t="s">
        <v>159</v>
      </c>
      <c r="BN81" t="s">
        <v>160</v>
      </c>
      <c r="BO81" t="s">
        <v>161</v>
      </c>
      <c r="BQ81" t="s">
        <v>162</v>
      </c>
      <c r="BR81" s="45">
        <f>ISNUMBER(SEARCH($BR$1,Таблица1[[#This Row],[31_1 Описание и характеристика товара]]))*1</f>
        <v>1</v>
      </c>
      <c r="BT81" t="s">
        <v>150</v>
      </c>
      <c r="BU81">
        <v>33</v>
      </c>
      <c r="BV81">
        <v>0</v>
      </c>
      <c r="BW81">
        <v>0</v>
      </c>
      <c r="BY81">
        <v>0</v>
      </c>
      <c r="CA81" t="s">
        <v>106</v>
      </c>
      <c r="CB81" t="s">
        <v>142</v>
      </c>
      <c r="CC81" t="s">
        <v>112</v>
      </c>
      <c r="CD81" t="s">
        <v>112</v>
      </c>
      <c r="CE81" t="s">
        <v>121</v>
      </c>
      <c r="CF81">
        <v>16027.11</v>
      </c>
      <c r="CG81" t="s">
        <v>144</v>
      </c>
      <c r="CH81">
        <v>4000000</v>
      </c>
      <c r="CI81">
        <v>15937.11</v>
      </c>
      <c r="CJ81">
        <v>0</v>
      </c>
      <c r="CK81" t="s">
        <v>112</v>
      </c>
      <c r="CL81" t="s">
        <v>112</v>
      </c>
      <c r="CM81">
        <v>43821.24</v>
      </c>
      <c r="CO81">
        <v>0</v>
      </c>
      <c r="CP81">
        <v>1</v>
      </c>
      <c r="CQ81">
        <v>4702254.58</v>
      </c>
      <c r="CR81">
        <v>50443.96</v>
      </c>
      <c r="CS81" t="s">
        <v>145</v>
      </c>
      <c r="CT81">
        <v>50520.638700000003</v>
      </c>
      <c r="CU81">
        <v>3.17</v>
      </c>
      <c r="CV81">
        <v>45</v>
      </c>
      <c r="CX81" t="s">
        <v>1140</v>
      </c>
      <c r="CY81">
        <v>134</v>
      </c>
    </row>
    <row r="82" spans="1:103" x14ac:dyDescent="0.25">
      <c r="A82" t="s">
        <v>106</v>
      </c>
      <c r="B82" s="38">
        <v>45162</v>
      </c>
      <c r="C82" s="43">
        <f>IF(YEAR(Таблица1[[#This Row],[Дата]])=2023,MONTH(Таблица1[[#This Row],[Дата]]),0)</f>
        <v>8</v>
      </c>
      <c r="D82" t="s">
        <v>1806</v>
      </c>
      <c r="E82" t="s">
        <v>108</v>
      </c>
      <c r="F82" t="s">
        <v>1807</v>
      </c>
      <c r="G82" t="s">
        <v>110</v>
      </c>
      <c r="H82" t="s">
        <v>111</v>
      </c>
      <c r="I82" t="s">
        <v>112</v>
      </c>
      <c r="J82" t="s">
        <v>112</v>
      </c>
      <c r="K82" t="s">
        <v>112</v>
      </c>
      <c r="L82" t="s">
        <v>150</v>
      </c>
      <c r="M82" t="s">
        <v>151</v>
      </c>
      <c r="N82" t="s">
        <v>112</v>
      </c>
      <c r="O82" t="s">
        <v>112</v>
      </c>
      <c r="P82">
        <v>1</v>
      </c>
      <c r="R82">
        <v>1</v>
      </c>
      <c r="S82">
        <v>33</v>
      </c>
      <c r="T82" t="s">
        <v>112</v>
      </c>
      <c r="U82" t="s">
        <v>152</v>
      </c>
      <c r="V82" t="s">
        <v>153</v>
      </c>
      <c r="W82" t="s">
        <v>154</v>
      </c>
      <c r="X82" t="s">
        <v>119</v>
      </c>
      <c r="Y82" t="s">
        <v>112</v>
      </c>
      <c r="Z82" t="s">
        <v>112</v>
      </c>
      <c r="AA82" t="s">
        <v>152</v>
      </c>
      <c r="AB82" t="s">
        <v>153</v>
      </c>
      <c r="AC82" t="s">
        <v>154</v>
      </c>
      <c r="AD82" t="s">
        <v>119</v>
      </c>
      <c r="AE82" t="s">
        <v>112</v>
      </c>
      <c r="AF82" t="s">
        <v>121</v>
      </c>
      <c r="AG82" t="s">
        <v>122</v>
      </c>
      <c r="AH82">
        <v>5029423.09</v>
      </c>
      <c r="AI82" t="s">
        <v>112</v>
      </c>
      <c r="AJ82" t="s">
        <v>152</v>
      </c>
      <c r="AK82" t="s">
        <v>153</v>
      </c>
      <c r="AL82" t="s">
        <v>154</v>
      </c>
      <c r="AM82" t="s">
        <v>119</v>
      </c>
      <c r="AN82" t="s">
        <v>112</v>
      </c>
      <c r="AO82" t="s">
        <v>121</v>
      </c>
      <c r="AP82" t="s">
        <v>122</v>
      </c>
      <c r="AQ82" t="s">
        <v>122</v>
      </c>
      <c r="AR82" t="s">
        <v>124</v>
      </c>
      <c r="AS82" t="s">
        <v>125</v>
      </c>
      <c r="AT82">
        <v>2</v>
      </c>
      <c r="AU82" t="s">
        <v>126</v>
      </c>
      <c r="AV82" t="s">
        <v>155</v>
      </c>
      <c r="AW82" t="s">
        <v>156</v>
      </c>
      <c r="AY82" t="s">
        <v>129</v>
      </c>
      <c r="AZ82">
        <v>47147.8</v>
      </c>
      <c r="BC82">
        <v>98.350399999999993</v>
      </c>
      <c r="BD82" t="s">
        <v>112</v>
      </c>
      <c r="BE82" t="s">
        <v>112</v>
      </c>
      <c r="BF82" t="s">
        <v>157</v>
      </c>
      <c r="BG82" t="s">
        <v>133</v>
      </c>
      <c r="BH82" t="s">
        <v>167</v>
      </c>
      <c r="BI82" t="s">
        <v>112</v>
      </c>
      <c r="BJ82" t="s">
        <v>112</v>
      </c>
      <c r="BK82" t="s">
        <v>112</v>
      </c>
      <c r="BL82" t="s">
        <v>158</v>
      </c>
      <c r="BM82" t="s">
        <v>159</v>
      </c>
      <c r="BN82" t="s">
        <v>160</v>
      </c>
      <c r="BO82" t="s">
        <v>161</v>
      </c>
      <c r="BQ82" t="s">
        <v>205</v>
      </c>
      <c r="BR82" s="45">
        <f>ISNUMBER(SEARCH($BR$1,Таблица1[[#This Row],[31_1 Описание и характеристика товара]]))*1</f>
        <v>1</v>
      </c>
      <c r="BT82" t="s">
        <v>150</v>
      </c>
      <c r="BU82">
        <v>33</v>
      </c>
      <c r="BV82">
        <v>0</v>
      </c>
      <c r="BW82">
        <v>0</v>
      </c>
      <c r="BY82">
        <v>0</v>
      </c>
      <c r="CA82" t="s">
        <v>106</v>
      </c>
      <c r="CB82" t="s">
        <v>142</v>
      </c>
      <c r="CC82" t="s">
        <v>112</v>
      </c>
      <c r="CD82" t="s">
        <v>112</v>
      </c>
      <c r="CE82" t="s">
        <v>121</v>
      </c>
      <c r="CF82">
        <v>16525.080000000002</v>
      </c>
      <c r="CG82" t="s">
        <v>144</v>
      </c>
      <c r="CH82">
        <v>4000000</v>
      </c>
      <c r="CI82">
        <v>16525.080000000002</v>
      </c>
      <c r="CJ82">
        <v>0</v>
      </c>
      <c r="CK82" t="s">
        <v>112</v>
      </c>
      <c r="CL82" t="s">
        <v>112</v>
      </c>
      <c r="CM82">
        <v>47147.8</v>
      </c>
      <c r="CO82">
        <v>0</v>
      </c>
      <c r="CP82">
        <v>1</v>
      </c>
      <c r="CQ82">
        <v>5029423.09</v>
      </c>
      <c r="CR82">
        <v>53953.69</v>
      </c>
      <c r="CS82" t="s">
        <v>145</v>
      </c>
      <c r="CT82">
        <v>53871.760800000004</v>
      </c>
      <c r="CU82">
        <v>3.26</v>
      </c>
      <c r="CV82">
        <v>45</v>
      </c>
      <c r="CX82" t="s">
        <v>206</v>
      </c>
      <c r="CY82">
        <v>134</v>
      </c>
    </row>
    <row r="83" spans="1:103" x14ac:dyDescent="0.25">
      <c r="A83" t="s">
        <v>106</v>
      </c>
      <c r="B83" s="38">
        <v>45225</v>
      </c>
      <c r="C83" s="43">
        <f>IF(YEAR(Таблица1[[#This Row],[Дата]])=2023,MONTH(Таблица1[[#This Row],[Дата]]),0)</f>
        <v>10</v>
      </c>
      <c r="D83" t="s">
        <v>1830</v>
      </c>
      <c r="E83" t="s">
        <v>108</v>
      </c>
      <c r="F83" t="s">
        <v>1831</v>
      </c>
      <c r="G83" t="s">
        <v>110</v>
      </c>
      <c r="H83" t="s">
        <v>111</v>
      </c>
      <c r="I83" t="s">
        <v>112</v>
      </c>
      <c r="J83" t="s">
        <v>112</v>
      </c>
      <c r="K83" t="s">
        <v>112</v>
      </c>
      <c r="L83" t="s">
        <v>150</v>
      </c>
      <c r="M83" t="s">
        <v>151</v>
      </c>
      <c r="N83" t="s">
        <v>112</v>
      </c>
      <c r="O83" t="s">
        <v>112</v>
      </c>
      <c r="R83">
        <v>1</v>
      </c>
      <c r="S83">
        <v>33</v>
      </c>
      <c r="T83" t="s">
        <v>166</v>
      </c>
      <c r="U83" t="s">
        <v>152</v>
      </c>
      <c r="V83" t="s">
        <v>153</v>
      </c>
      <c r="W83" t="s">
        <v>154</v>
      </c>
      <c r="X83" t="s">
        <v>119</v>
      </c>
      <c r="Y83" t="s">
        <v>112</v>
      </c>
      <c r="Z83" t="s">
        <v>166</v>
      </c>
      <c r="AA83" t="s">
        <v>152</v>
      </c>
      <c r="AB83" t="s">
        <v>153</v>
      </c>
      <c r="AC83" t="s">
        <v>154</v>
      </c>
      <c r="AD83" t="s">
        <v>119</v>
      </c>
      <c r="AE83" t="s">
        <v>112</v>
      </c>
      <c r="AF83" t="s">
        <v>121</v>
      </c>
      <c r="AG83" t="s">
        <v>122</v>
      </c>
      <c r="AH83">
        <v>4889413.6399999997</v>
      </c>
      <c r="AI83" t="s">
        <v>166</v>
      </c>
      <c r="AJ83" t="s">
        <v>152</v>
      </c>
      <c r="AK83" t="s">
        <v>153</v>
      </c>
      <c r="AL83" t="s">
        <v>154</v>
      </c>
      <c r="AM83" t="s">
        <v>119</v>
      </c>
      <c r="AN83" t="s">
        <v>112</v>
      </c>
      <c r="AO83" t="s">
        <v>121</v>
      </c>
      <c r="AP83" t="s">
        <v>122</v>
      </c>
      <c r="AQ83" t="s">
        <v>122</v>
      </c>
      <c r="AR83" t="s">
        <v>124</v>
      </c>
      <c r="AS83" t="s">
        <v>125</v>
      </c>
      <c r="AU83" t="s">
        <v>126</v>
      </c>
      <c r="AV83" t="s">
        <v>155</v>
      </c>
      <c r="AW83" t="s">
        <v>156</v>
      </c>
      <c r="AY83" t="s">
        <v>129</v>
      </c>
      <c r="AZ83">
        <v>42601.440000000002</v>
      </c>
      <c r="BC83">
        <v>103.4765</v>
      </c>
      <c r="BD83" t="s">
        <v>112</v>
      </c>
      <c r="BE83" t="s">
        <v>112</v>
      </c>
      <c r="BF83" t="s">
        <v>112</v>
      </c>
      <c r="BG83" t="s">
        <v>133</v>
      </c>
      <c r="BH83" t="s">
        <v>167</v>
      </c>
      <c r="BI83" t="s">
        <v>112</v>
      </c>
      <c r="BJ83" t="s">
        <v>112</v>
      </c>
      <c r="BK83" t="s">
        <v>112</v>
      </c>
      <c r="BL83" t="s">
        <v>112</v>
      </c>
      <c r="BM83" t="s">
        <v>112</v>
      </c>
      <c r="BN83" t="s">
        <v>112</v>
      </c>
      <c r="BO83" t="s">
        <v>161</v>
      </c>
      <c r="BQ83" t="s">
        <v>205</v>
      </c>
      <c r="BR83" s="45">
        <f>ISNUMBER(SEARCH($BR$1,Таблица1[[#This Row],[31_1 Описание и характеристика товара]]))*1</f>
        <v>1</v>
      </c>
      <c r="BT83" t="s">
        <v>150</v>
      </c>
      <c r="BU83">
        <v>33</v>
      </c>
      <c r="CA83" t="s">
        <v>106</v>
      </c>
      <c r="CB83" t="s">
        <v>142</v>
      </c>
      <c r="CC83" t="s">
        <v>112</v>
      </c>
      <c r="CD83" t="s">
        <v>112</v>
      </c>
      <c r="CE83" t="s">
        <v>121</v>
      </c>
      <c r="CF83">
        <v>16809.91</v>
      </c>
      <c r="CG83" t="s">
        <v>144</v>
      </c>
      <c r="CH83">
        <v>4000000</v>
      </c>
      <c r="CI83">
        <v>16791.91</v>
      </c>
      <c r="CK83" t="s">
        <v>112</v>
      </c>
      <c r="CL83" t="s">
        <v>112</v>
      </c>
      <c r="CM83">
        <v>42601.440000000002</v>
      </c>
      <c r="CO83">
        <v>0</v>
      </c>
      <c r="CP83">
        <v>1</v>
      </c>
      <c r="CQ83">
        <v>4889413.6399999997</v>
      </c>
      <c r="CR83">
        <v>51087.31</v>
      </c>
      <c r="CS83" t="s">
        <v>145</v>
      </c>
      <c r="CT83">
        <v>51047.4064</v>
      </c>
      <c r="CU83">
        <v>3.04</v>
      </c>
      <c r="CY83">
        <v>547</v>
      </c>
    </row>
    <row r="84" spans="1:103" x14ac:dyDescent="0.25">
      <c r="A84" t="s">
        <v>106</v>
      </c>
      <c r="B84" s="38">
        <v>45282</v>
      </c>
      <c r="C84" s="43">
        <f>IF(YEAR(Таблица1[[#This Row],[Дата]])=2023,MONTH(Таблица1[[#This Row],[Дата]]),0)</f>
        <v>12</v>
      </c>
      <c r="D84" t="s">
        <v>1828</v>
      </c>
      <c r="E84" t="s">
        <v>108</v>
      </c>
      <c r="F84" t="s">
        <v>1829</v>
      </c>
      <c r="G84" t="s">
        <v>110</v>
      </c>
      <c r="H84" t="s">
        <v>111</v>
      </c>
      <c r="I84" t="s">
        <v>112</v>
      </c>
      <c r="J84" t="s">
        <v>112</v>
      </c>
      <c r="K84" t="s">
        <v>112</v>
      </c>
      <c r="L84" t="s">
        <v>150</v>
      </c>
      <c r="M84" t="s">
        <v>151</v>
      </c>
      <c r="N84" t="s">
        <v>112</v>
      </c>
      <c r="O84" t="s">
        <v>112</v>
      </c>
      <c r="R84">
        <v>1</v>
      </c>
      <c r="S84">
        <v>33</v>
      </c>
      <c r="T84" t="s">
        <v>166</v>
      </c>
      <c r="U84" t="s">
        <v>152</v>
      </c>
      <c r="V84" t="s">
        <v>153</v>
      </c>
      <c r="W84" t="s">
        <v>154</v>
      </c>
      <c r="X84" t="s">
        <v>119</v>
      </c>
      <c r="Y84" t="s">
        <v>112</v>
      </c>
      <c r="Z84" t="s">
        <v>166</v>
      </c>
      <c r="AA84" t="s">
        <v>152</v>
      </c>
      <c r="AB84" t="s">
        <v>153</v>
      </c>
      <c r="AC84" t="s">
        <v>154</v>
      </c>
      <c r="AD84" t="s">
        <v>119</v>
      </c>
      <c r="AE84" t="s">
        <v>112</v>
      </c>
      <c r="AF84" t="s">
        <v>121</v>
      </c>
      <c r="AG84" t="s">
        <v>122</v>
      </c>
      <c r="AH84">
        <v>5054330.34</v>
      </c>
      <c r="AI84" t="s">
        <v>166</v>
      </c>
      <c r="AJ84" t="s">
        <v>152</v>
      </c>
      <c r="AK84" t="s">
        <v>153</v>
      </c>
      <c r="AL84" t="s">
        <v>154</v>
      </c>
      <c r="AM84" t="s">
        <v>119</v>
      </c>
      <c r="AN84" t="s">
        <v>112</v>
      </c>
      <c r="AO84" t="s">
        <v>121</v>
      </c>
      <c r="AP84" t="s">
        <v>122</v>
      </c>
      <c r="AQ84" t="s">
        <v>122</v>
      </c>
      <c r="AR84" t="s">
        <v>124</v>
      </c>
      <c r="AS84" t="s">
        <v>125</v>
      </c>
      <c r="AU84" t="s">
        <v>126</v>
      </c>
      <c r="AV84" t="s">
        <v>155</v>
      </c>
      <c r="AW84" t="s">
        <v>156</v>
      </c>
      <c r="AY84" t="s">
        <v>129</v>
      </c>
      <c r="AZ84">
        <v>44195.199999999997</v>
      </c>
      <c r="BC84">
        <v>103.4765</v>
      </c>
      <c r="BD84" t="s">
        <v>112</v>
      </c>
      <c r="BE84" t="s">
        <v>112</v>
      </c>
      <c r="BF84" t="s">
        <v>112</v>
      </c>
      <c r="BG84" t="s">
        <v>133</v>
      </c>
      <c r="BH84" t="s">
        <v>167</v>
      </c>
      <c r="BI84" t="s">
        <v>112</v>
      </c>
      <c r="BJ84" t="s">
        <v>112</v>
      </c>
      <c r="BK84" t="s">
        <v>112</v>
      </c>
      <c r="BL84" t="s">
        <v>112</v>
      </c>
      <c r="BM84" t="s">
        <v>112</v>
      </c>
      <c r="BN84" t="s">
        <v>112</v>
      </c>
      <c r="BO84" t="s">
        <v>161</v>
      </c>
      <c r="BQ84" t="s">
        <v>205</v>
      </c>
      <c r="BR84" s="45">
        <f>ISNUMBER(SEARCH($BR$1,Таблица1[[#This Row],[31_1 Описание и характеристика товара]]))*1</f>
        <v>1</v>
      </c>
      <c r="BT84" t="s">
        <v>150</v>
      </c>
      <c r="BU84">
        <v>33</v>
      </c>
      <c r="CA84" t="s">
        <v>106</v>
      </c>
      <c r="CB84" t="s">
        <v>142</v>
      </c>
      <c r="CC84" t="s">
        <v>112</v>
      </c>
      <c r="CD84" t="s">
        <v>112</v>
      </c>
      <c r="CE84" t="s">
        <v>121</v>
      </c>
      <c r="CF84">
        <v>16598.52</v>
      </c>
      <c r="CG84" t="s">
        <v>144</v>
      </c>
      <c r="CH84">
        <v>4000000</v>
      </c>
      <c r="CI84">
        <v>16533.72</v>
      </c>
      <c r="CK84" t="s">
        <v>112</v>
      </c>
      <c r="CL84" t="s">
        <v>112</v>
      </c>
      <c r="CM84">
        <v>44195.199999999997</v>
      </c>
      <c r="CO84">
        <v>0</v>
      </c>
      <c r="CP84">
        <v>1</v>
      </c>
      <c r="CQ84">
        <v>5054330.34</v>
      </c>
      <c r="CR84">
        <v>52810.46</v>
      </c>
      <c r="CS84" t="s">
        <v>145</v>
      </c>
      <c r="CT84">
        <v>52742.566800000001</v>
      </c>
      <c r="CU84">
        <v>3.19</v>
      </c>
      <c r="CY84">
        <v>4</v>
      </c>
    </row>
    <row r="85" spans="1:103" x14ac:dyDescent="0.25">
      <c r="A85" t="s">
        <v>106</v>
      </c>
      <c r="B85" s="38">
        <v>44966</v>
      </c>
      <c r="C85" s="43">
        <f>IF(YEAR(Таблица1[[#This Row],[Дата]])=2023,MONTH(Таблица1[[#This Row],[Дата]]),0)</f>
        <v>2</v>
      </c>
      <c r="D85" t="s">
        <v>1824</v>
      </c>
      <c r="E85" t="s">
        <v>108</v>
      </c>
      <c r="F85" t="s">
        <v>1825</v>
      </c>
      <c r="G85" t="s">
        <v>3244</v>
      </c>
      <c r="H85" t="s">
        <v>111</v>
      </c>
      <c r="I85" t="s">
        <v>112</v>
      </c>
      <c r="J85" t="s">
        <v>112</v>
      </c>
      <c r="K85" t="s">
        <v>112</v>
      </c>
      <c r="L85" t="s">
        <v>150</v>
      </c>
      <c r="M85" t="s">
        <v>151</v>
      </c>
      <c r="N85" t="s">
        <v>112</v>
      </c>
      <c r="O85" t="s">
        <v>112</v>
      </c>
      <c r="R85">
        <v>1</v>
      </c>
      <c r="S85">
        <v>33</v>
      </c>
      <c r="T85" t="s">
        <v>166</v>
      </c>
      <c r="U85" t="s">
        <v>152</v>
      </c>
      <c r="V85" t="s">
        <v>153</v>
      </c>
      <c r="W85" t="s">
        <v>154</v>
      </c>
      <c r="X85" t="s">
        <v>119</v>
      </c>
      <c r="Y85" t="s">
        <v>112</v>
      </c>
      <c r="Z85" t="s">
        <v>166</v>
      </c>
      <c r="AA85" t="s">
        <v>152</v>
      </c>
      <c r="AB85" t="s">
        <v>153</v>
      </c>
      <c r="AC85" t="s">
        <v>154</v>
      </c>
      <c r="AD85" t="s">
        <v>119</v>
      </c>
      <c r="AE85" t="s">
        <v>112</v>
      </c>
      <c r="AF85" t="s">
        <v>121</v>
      </c>
      <c r="AG85" t="s">
        <v>122</v>
      </c>
      <c r="AH85">
        <v>4570188.63</v>
      </c>
      <c r="AI85" t="s">
        <v>166</v>
      </c>
      <c r="AJ85" t="s">
        <v>152</v>
      </c>
      <c r="AK85" t="s">
        <v>153</v>
      </c>
      <c r="AL85" t="s">
        <v>154</v>
      </c>
      <c r="AM85" t="s">
        <v>119</v>
      </c>
      <c r="AN85" t="s">
        <v>112</v>
      </c>
      <c r="AO85" t="s">
        <v>121</v>
      </c>
      <c r="AP85" t="s">
        <v>122</v>
      </c>
      <c r="AQ85" t="s">
        <v>122</v>
      </c>
      <c r="AR85" t="s">
        <v>124</v>
      </c>
      <c r="AS85" t="s">
        <v>125</v>
      </c>
      <c r="AU85" t="s">
        <v>126</v>
      </c>
      <c r="AV85" t="s">
        <v>155</v>
      </c>
      <c r="AW85" t="s">
        <v>156</v>
      </c>
      <c r="AY85" t="s">
        <v>129</v>
      </c>
      <c r="AZ85">
        <v>40036.44</v>
      </c>
      <c r="BC85">
        <v>103.4765</v>
      </c>
      <c r="BD85" t="s">
        <v>112</v>
      </c>
      <c r="BE85" t="s">
        <v>112</v>
      </c>
      <c r="BF85" t="s">
        <v>112</v>
      </c>
      <c r="BG85" t="s">
        <v>133</v>
      </c>
      <c r="BH85" t="s">
        <v>134</v>
      </c>
      <c r="BI85" t="s">
        <v>112</v>
      </c>
      <c r="BJ85" t="s">
        <v>112</v>
      </c>
      <c r="BK85" t="s">
        <v>112</v>
      </c>
      <c r="BL85" t="s">
        <v>112</v>
      </c>
      <c r="BM85" t="s">
        <v>112</v>
      </c>
      <c r="BN85" t="s">
        <v>112</v>
      </c>
      <c r="BO85" t="s">
        <v>161</v>
      </c>
      <c r="BQ85" t="s">
        <v>232</v>
      </c>
      <c r="BR85" s="45">
        <f>ISNUMBER(SEARCH($BR$1,Таблица1[[#This Row],[31_1 Описание и характеристика товара]]))*1</f>
        <v>1</v>
      </c>
      <c r="BT85" t="s">
        <v>150</v>
      </c>
      <c r="BU85">
        <v>33</v>
      </c>
      <c r="BV85">
        <v>0</v>
      </c>
      <c r="BW85">
        <v>0</v>
      </c>
      <c r="CA85" t="s">
        <v>106</v>
      </c>
      <c r="CB85" t="s">
        <v>142</v>
      </c>
      <c r="CC85" t="s">
        <v>112</v>
      </c>
      <c r="CD85" t="s">
        <v>112</v>
      </c>
      <c r="CE85" t="s">
        <v>121</v>
      </c>
      <c r="CF85">
        <v>16861.57</v>
      </c>
      <c r="CG85" t="s">
        <v>144</v>
      </c>
      <c r="CH85">
        <v>4000000</v>
      </c>
      <c r="CI85">
        <v>16796.77</v>
      </c>
      <c r="CJ85">
        <v>0</v>
      </c>
      <c r="CK85" t="s">
        <v>112</v>
      </c>
      <c r="CL85" t="s">
        <v>112</v>
      </c>
      <c r="CM85">
        <v>40036.44</v>
      </c>
      <c r="CO85">
        <v>0</v>
      </c>
      <c r="CP85">
        <v>1</v>
      </c>
      <c r="CQ85">
        <v>4570188.63</v>
      </c>
      <c r="CR85">
        <v>47751.87</v>
      </c>
      <c r="CS85" t="s">
        <v>145</v>
      </c>
      <c r="CT85">
        <v>47702.826799999995</v>
      </c>
      <c r="CU85">
        <v>2.84</v>
      </c>
      <c r="CY85">
        <v>71</v>
      </c>
    </row>
    <row r="86" spans="1:103" x14ac:dyDescent="0.25">
      <c r="A86" t="s">
        <v>106</v>
      </c>
      <c r="B86" s="38">
        <v>45070</v>
      </c>
      <c r="C86" s="43">
        <f>IF(YEAR(Таблица1[[#This Row],[Дата]])=2023,MONTH(Таблица1[[#This Row],[Дата]]),0)</f>
        <v>5</v>
      </c>
      <c r="D86" t="s">
        <v>1822</v>
      </c>
      <c r="E86" t="s">
        <v>108</v>
      </c>
      <c r="F86" t="s">
        <v>1823</v>
      </c>
      <c r="G86" t="s">
        <v>3244</v>
      </c>
      <c r="H86" t="s">
        <v>111</v>
      </c>
      <c r="I86" t="s">
        <v>112</v>
      </c>
      <c r="J86" t="s">
        <v>112</v>
      </c>
      <c r="K86" t="s">
        <v>112</v>
      </c>
      <c r="L86" t="s">
        <v>150</v>
      </c>
      <c r="M86" t="s">
        <v>151</v>
      </c>
      <c r="N86" t="s">
        <v>112</v>
      </c>
      <c r="O86" t="s">
        <v>112</v>
      </c>
      <c r="R86">
        <v>1</v>
      </c>
      <c r="S86">
        <v>33</v>
      </c>
      <c r="T86" t="s">
        <v>166</v>
      </c>
      <c r="U86" t="s">
        <v>152</v>
      </c>
      <c r="V86" t="s">
        <v>153</v>
      </c>
      <c r="W86" t="s">
        <v>154</v>
      </c>
      <c r="X86" t="s">
        <v>119</v>
      </c>
      <c r="Y86" t="s">
        <v>112</v>
      </c>
      <c r="Z86" t="s">
        <v>166</v>
      </c>
      <c r="AA86" t="s">
        <v>152</v>
      </c>
      <c r="AB86" t="s">
        <v>153</v>
      </c>
      <c r="AC86" t="s">
        <v>154</v>
      </c>
      <c r="AD86" t="s">
        <v>119</v>
      </c>
      <c r="AE86" t="s">
        <v>112</v>
      </c>
      <c r="AF86" t="s">
        <v>121</v>
      </c>
      <c r="AG86" t="s">
        <v>122</v>
      </c>
      <c r="AH86">
        <v>4716028.41</v>
      </c>
      <c r="AI86" t="s">
        <v>166</v>
      </c>
      <c r="AJ86" t="s">
        <v>152</v>
      </c>
      <c r="AK86" t="s">
        <v>153</v>
      </c>
      <c r="AL86" t="s">
        <v>154</v>
      </c>
      <c r="AM86" t="s">
        <v>119</v>
      </c>
      <c r="AN86" t="s">
        <v>112</v>
      </c>
      <c r="AO86" t="s">
        <v>121</v>
      </c>
      <c r="AP86" t="s">
        <v>122</v>
      </c>
      <c r="AQ86" t="s">
        <v>122</v>
      </c>
      <c r="AR86" t="s">
        <v>124</v>
      </c>
      <c r="AS86" t="s">
        <v>125</v>
      </c>
      <c r="AU86" t="s">
        <v>126</v>
      </c>
      <c r="AV86" t="s">
        <v>155</v>
      </c>
      <c r="AW86" t="s">
        <v>156</v>
      </c>
      <c r="AY86" t="s">
        <v>129</v>
      </c>
      <c r="AZ86">
        <v>41445.839999999997</v>
      </c>
      <c r="BC86">
        <v>103.4765</v>
      </c>
      <c r="BD86" t="s">
        <v>112</v>
      </c>
      <c r="BE86" t="s">
        <v>112</v>
      </c>
      <c r="BF86" t="s">
        <v>112</v>
      </c>
      <c r="BG86" t="s">
        <v>133</v>
      </c>
      <c r="BH86" t="s">
        <v>134</v>
      </c>
      <c r="BI86" t="s">
        <v>112</v>
      </c>
      <c r="BJ86" t="s">
        <v>112</v>
      </c>
      <c r="BK86" t="s">
        <v>112</v>
      </c>
      <c r="BL86" t="s">
        <v>112</v>
      </c>
      <c r="BM86" t="s">
        <v>112</v>
      </c>
      <c r="BN86" t="s">
        <v>112</v>
      </c>
      <c r="BO86" t="s">
        <v>161</v>
      </c>
      <c r="BQ86" t="s">
        <v>205</v>
      </c>
      <c r="BR86" s="45">
        <f>ISNUMBER(SEARCH($BR$1,Таблица1[[#This Row],[31_1 Описание и характеристика товара]]))*1</f>
        <v>1</v>
      </c>
      <c r="BT86" t="s">
        <v>150</v>
      </c>
      <c r="BU86">
        <v>33</v>
      </c>
      <c r="BV86">
        <v>0</v>
      </c>
      <c r="BW86">
        <v>0</v>
      </c>
      <c r="CA86" t="s">
        <v>106</v>
      </c>
      <c r="CB86" t="s">
        <v>142</v>
      </c>
      <c r="CC86" t="s">
        <v>112</v>
      </c>
      <c r="CD86" t="s">
        <v>112</v>
      </c>
      <c r="CE86" t="s">
        <v>121</v>
      </c>
      <c r="CF86">
        <v>15908.47</v>
      </c>
      <c r="CG86" t="s">
        <v>144</v>
      </c>
      <c r="CH86">
        <v>4000000</v>
      </c>
      <c r="CI86">
        <v>15746.47</v>
      </c>
      <c r="CJ86">
        <v>0</v>
      </c>
      <c r="CK86" t="s">
        <v>112</v>
      </c>
      <c r="CL86" t="s">
        <v>112</v>
      </c>
      <c r="CM86">
        <v>41445.839999999997</v>
      </c>
      <c r="CO86">
        <v>0</v>
      </c>
      <c r="CP86">
        <v>1</v>
      </c>
      <c r="CQ86">
        <v>4716028.41</v>
      </c>
      <c r="CR86">
        <v>49275.69</v>
      </c>
      <c r="CS86" t="s">
        <v>145</v>
      </c>
      <c r="CT86">
        <v>49286.451099999998</v>
      </c>
      <c r="CU86">
        <v>3.13</v>
      </c>
      <c r="CY86">
        <v>586</v>
      </c>
    </row>
    <row r="87" spans="1:103" x14ac:dyDescent="0.25">
      <c r="A87" t="s">
        <v>106</v>
      </c>
      <c r="B87" s="38">
        <v>45015</v>
      </c>
      <c r="C87" s="43">
        <f>IF(YEAR(Таблица1[[#This Row],[Дата]])=2023,MONTH(Таблица1[[#This Row],[Дата]]),0)</f>
        <v>3</v>
      </c>
      <c r="D87" t="s">
        <v>1820</v>
      </c>
      <c r="E87" t="s">
        <v>108</v>
      </c>
      <c r="F87" t="s">
        <v>1821</v>
      </c>
      <c r="G87" t="s">
        <v>3244</v>
      </c>
      <c r="H87" t="s">
        <v>111</v>
      </c>
      <c r="I87" t="s">
        <v>112</v>
      </c>
      <c r="J87" t="s">
        <v>112</v>
      </c>
      <c r="K87" t="s">
        <v>112</v>
      </c>
      <c r="L87" t="s">
        <v>150</v>
      </c>
      <c r="M87" t="s">
        <v>151</v>
      </c>
      <c r="N87" t="s">
        <v>112</v>
      </c>
      <c r="O87" t="s">
        <v>112</v>
      </c>
      <c r="R87">
        <v>1</v>
      </c>
      <c r="S87">
        <v>33</v>
      </c>
      <c r="T87" t="s">
        <v>166</v>
      </c>
      <c r="U87" t="s">
        <v>152</v>
      </c>
      <c r="V87" t="s">
        <v>153</v>
      </c>
      <c r="W87" t="s">
        <v>154</v>
      </c>
      <c r="X87" t="s">
        <v>119</v>
      </c>
      <c r="Y87" t="s">
        <v>112</v>
      </c>
      <c r="Z87" t="s">
        <v>166</v>
      </c>
      <c r="AA87" t="s">
        <v>152</v>
      </c>
      <c r="AB87" t="s">
        <v>153</v>
      </c>
      <c r="AC87" t="s">
        <v>154</v>
      </c>
      <c r="AD87" t="s">
        <v>119</v>
      </c>
      <c r="AE87" t="s">
        <v>112</v>
      </c>
      <c r="AF87" t="s">
        <v>121</v>
      </c>
      <c r="AG87" t="s">
        <v>122</v>
      </c>
      <c r="AH87">
        <v>4959235.4400000004</v>
      </c>
      <c r="AI87" t="s">
        <v>166</v>
      </c>
      <c r="AJ87" t="s">
        <v>152</v>
      </c>
      <c r="AK87" t="s">
        <v>153</v>
      </c>
      <c r="AL87" t="s">
        <v>154</v>
      </c>
      <c r="AM87" t="s">
        <v>119</v>
      </c>
      <c r="AN87" t="s">
        <v>112</v>
      </c>
      <c r="AO87" t="s">
        <v>121</v>
      </c>
      <c r="AP87" t="s">
        <v>122</v>
      </c>
      <c r="AQ87" t="s">
        <v>122</v>
      </c>
      <c r="AR87" t="s">
        <v>124</v>
      </c>
      <c r="AS87" t="s">
        <v>125</v>
      </c>
      <c r="AU87" t="s">
        <v>126</v>
      </c>
      <c r="AV87" t="s">
        <v>155</v>
      </c>
      <c r="AW87" t="s">
        <v>156</v>
      </c>
      <c r="AY87" t="s">
        <v>129</v>
      </c>
      <c r="AZ87">
        <v>43276.2</v>
      </c>
      <c r="BC87">
        <v>103.4765</v>
      </c>
      <c r="BD87" t="s">
        <v>112</v>
      </c>
      <c r="BE87" t="s">
        <v>112</v>
      </c>
      <c r="BF87" t="s">
        <v>112</v>
      </c>
      <c r="BG87" t="s">
        <v>133</v>
      </c>
      <c r="BH87" t="s">
        <v>134</v>
      </c>
      <c r="BI87" t="s">
        <v>112</v>
      </c>
      <c r="BJ87" t="s">
        <v>112</v>
      </c>
      <c r="BK87" t="s">
        <v>112</v>
      </c>
      <c r="BL87" t="s">
        <v>112</v>
      </c>
      <c r="BM87" t="s">
        <v>112</v>
      </c>
      <c r="BN87" t="s">
        <v>112</v>
      </c>
      <c r="BO87" t="s">
        <v>161</v>
      </c>
      <c r="BQ87" t="s">
        <v>205</v>
      </c>
      <c r="BR87" s="45">
        <f>ISNUMBER(SEARCH($BR$1,Таблица1[[#This Row],[31_1 Описание и характеристика товара]]))*1</f>
        <v>1</v>
      </c>
      <c r="BT87" t="s">
        <v>150</v>
      </c>
      <c r="BU87">
        <v>33</v>
      </c>
      <c r="BV87">
        <v>0</v>
      </c>
      <c r="BW87">
        <v>0</v>
      </c>
      <c r="CA87" t="s">
        <v>106</v>
      </c>
      <c r="CB87" t="s">
        <v>142</v>
      </c>
      <c r="CC87" t="s">
        <v>112</v>
      </c>
      <c r="CD87" t="s">
        <v>112</v>
      </c>
      <c r="CE87" t="s">
        <v>121</v>
      </c>
      <c r="CF87">
        <v>16856.759999999998</v>
      </c>
      <c r="CG87" t="s">
        <v>144</v>
      </c>
      <c r="CH87">
        <v>4000000</v>
      </c>
      <c r="CI87">
        <v>16791.96</v>
      </c>
      <c r="CJ87">
        <v>0</v>
      </c>
      <c r="CK87" t="s">
        <v>112</v>
      </c>
      <c r="CL87" t="s">
        <v>112</v>
      </c>
      <c r="CM87">
        <v>43276.2</v>
      </c>
      <c r="CO87">
        <v>0</v>
      </c>
      <c r="CP87">
        <v>1</v>
      </c>
      <c r="CQ87">
        <v>4959235.4400000004</v>
      </c>
      <c r="CR87">
        <v>51816.85</v>
      </c>
      <c r="CS87" t="s">
        <v>145</v>
      </c>
      <c r="CT87">
        <v>51887.156399999993</v>
      </c>
      <c r="CU87">
        <v>3.09</v>
      </c>
      <c r="CY87">
        <v>361</v>
      </c>
    </row>
    <row r="88" spans="1:103" x14ac:dyDescent="0.25">
      <c r="A88" t="s">
        <v>106</v>
      </c>
      <c r="B88" s="38">
        <v>45259</v>
      </c>
      <c r="C88" s="43">
        <f>IF(YEAR(Таблица1[[#This Row],[Дата]])=2023,MONTH(Таблица1[[#This Row],[Дата]]),0)</f>
        <v>11</v>
      </c>
      <c r="D88" t="s">
        <v>1818</v>
      </c>
      <c r="E88" t="s">
        <v>108</v>
      </c>
      <c r="F88" t="s">
        <v>1819</v>
      </c>
      <c r="G88" t="s">
        <v>3244</v>
      </c>
      <c r="H88" t="s">
        <v>111</v>
      </c>
      <c r="I88" t="s">
        <v>112</v>
      </c>
      <c r="J88" t="s">
        <v>112</v>
      </c>
      <c r="K88" t="s">
        <v>112</v>
      </c>
      <c r="L88" t="s">
        <v>150</v>
      </c>
      <c r="M88" t="s">
        <v>151</v>
      </c>
      <c r="N88" t="s">
        <v>112</v>
      </c>
      <c r="O88" t="s">
        <v>112</v>
      </c>
      <c r="R88">
        <v>1</v>
      </c>
      <c r="S88">
        <v>33</v>
      </c>
      <c r="T88" t="s">
        <v>166</v>
      </c>
      <c r="U88" t="s">
        <v>152</v>
      </c>
      <c r="V88" t="s">
        <v>153</v>
      </c>
      <c r="W88" t="s">
        <v>154</v>
      </c>
      <c r="X88" t="s">
        <v>119</v>
      </c>
      <c r="Y88" t="s">
        <v>112</v>
      </c>
      <c r="Z88" t="s">
        <v>166</v>
      </c>
      <c r="AA88" t="s">
        <v>152</v>
      </c>
      <c r="AB88" t="s">
        <v>153</v>
      </c>
      <c r="AC88" t="s">
        <v>154</v>
      </c>
      <c r="AD88" t="s">
        <v>119</v>
      </c>
      <c r="AE88" t="s">
        <v>112</v>
      </c>
      <c r="AF88" t="s">
        <v>121</v>
      </c>
      <c r="AG88" t="s">
        <v>122</v>
      </c>
      <c r="AH88">
        <v>4664186.6900000004</v>
      </c>
      <c r="AI88" t="s">
        <v>166</v>
      </c>
      <c r="AJ88" t="s">
        <v>152</v>
      </c>
      <c r="AK88" t="s">
        <v>153</v>
      </c>
      <c r="AL88" t="s">
        <v>154</v>
      </c>
      <c r="AM88" t="s">
        <v>119</v>
      </c>
      <c r="AN88" t="s">
        <v>112</v>
      </c>
      <c r="AO88" t="s">
        <v>121</v>
      </c>
      <c r="AP88" t="s">
        <v>122</v>
      </c>
      <c r="AQ88" t="s">
        <v>122</v>
      </c>
      <c r="AR88" t="s">
        <v>124</v>
      </c>
      <c r="AS88" t="s">
        <v>125</v>
      </c>
      <c r="AU88" t="s">
        <v>126</v>
      </c>
      <c r="AV88" t="s">
        <v>155</v>
      </c>
      <c r="AW88" t="s">
        <v>156</v>
      </c>
      <c r="AY88" t="s">
        <v>129</v>
      </c>
      <c r="AZ88">
        <v>40944.839999999997</v>
      </c>
      <c r="BC88">
        <v>103.4765</v>
      </c>
      <c r="BD88" t="s">
        <v>112</v>
      </c>
      <c r="BE88" t="s">
        <v>112</v>
      </c>
      <c r="BF88" t="s">
        <v>112</v>
      </c>
      <c r="BG88" t="s">
        <v>133</v>
      </c>
      <c r="BH88" t="s">
        <v>134</v>
      </c>
      <c r="BI88" t="s">
        <v>112</v>
      </c>
      <c r="BJ88" t="s">
        <v>112</v>
      </c>
      <c r="BK88" t="s">
        <v>112</v>
      </c>
      <c r="BL88" t="s">
        <v>112</v>
      </c>
      <c r="BM88" t="s">
        <v>112</v>
      </c>
      <c r="BN88" t="s">
        <v>112</v>
      </c>
      <c r="BO88" t="s">
        <v>161</v>
      </c>
      <c r="BQ88" t="s">
        <v>205</v>
      </c>
      <c r="BR88" s="45">
        <f>ISNUMBER(SEARCH($BR$1,Таблица1[[#This Row],[31_1 Описание и характеристика товара]]))*1</f>
        <v>1</v>
      </c>
      <c r="BT88" t="s">
        <v>150</v>
      </c>
      <c r="BU88">
        <v>33</v>
      </c>
      <c r="BV88">
        <v>0</v>
      </c>
      <c r="BW88">
        <v>0</v>
      </c>
      <c r="CA88" t="s">
        <v>106</v>
      </c>
      <c r="CB88" t="s">
        <v>142</v>
      </c>
      <c r="CC88" t="s">
        <v>112</v>
      </c>
      <c r="CD88" t="s">
        <v>112</v>
      </c>
      <c r="CE88" t="s">
        <v>121</v>
      </c>
      <c r="CF88">
        <v>16861.57</v>
      </c>
      <c r="CG88" t="s">
        <v>144</v>
      </c>
      <c r="CH88">
        <v>4000000</v>
      </c>
      <c r="CI88">
        <v>16796.77</v>
      </c>
      <c r="CJ88">
        <v>0</v>
      </c>
      <c r="CK88" t="s">
        <v>112</v>
      </c>
      <c r="CL88" t="s">
        <v>112</v>
      </c>
      <c r="CM88">
        <v>40944.839999999997</v>
      </c>
      <c r="CO88">
        <v>0</v>
      </c>
      <c r="CP88">
        <v>1</v>
      </c>
      <c r="CQ88">
        <v>4664186.6900000004</v>
      </c>
      <c r="CR88">
        <v>48734.02</v>
      </c>
      <c r="CS88" t="s">
        <v>145</v>
      </c>
      <c r="CT88">
        <v>48710.633000000002</v>
      </c>
      <c r="CU88">
        <v>2.9</v>
      </c>
      <c r="CY88">
        <v>544</v>
      </c>
    </row>
    <row r="89" spans="1:103" x14ac:dyDescent="0.25">
      <c r="A89" t="s">
        <v>106</v>
      </c>
      <c r="B89" s="38">
        <v>45041</v>
      </c>
      <c r="C89" s="43">
        <f>IF(YEAR(Таблица1[[#This Row],[Дата]])=2023,MONTH(Таблица1[[#This Row],[Дата]]),0)</f>
        <v>4</v>
      </c>
      <c r="D89" t="s">
        <v>1394</v>
      </c>
      <c r="E89" t="s">
        <v>108</v>
      </c>
      <c r="F89" t="s">
        <v>1395</v>
      </c>
      <c r="G89" t="s">
        <v>3244</v>
      </c>
      <c r="H89" t="s">
        <v>111</v>
      </c>
      <c r="I89" t="s">
        <v>112</v>
      </c>
      <c r="J89" t="s">
        <v>112</v>
      </c>
      <c r="K89" t="s">
        <v>112</v>
      </c>
      <c r="L89" t="s">
        <v>150</v>
      </c>
      <c r="M89" t="s">
        <v>151</v>
      </c>
      <c r="N89" t="s">
        <v>112</v>
      </c>
      <c r="O89" t="s">
        <v>112</v>
      </c>
      <c r="P89">
        <v>1</v>
      </c>
      <c r="Q89">
        <v>0</v>
      </c>
      <c r="R89">
        <v>1</v>
      </c>
      <c r="S89">
        <v>33</v>
      </c>
      <c r="T89" t="s">
        <v>166</v>
      </c>
      <c r="U89" t="s">
        <v>152</v>
      </c>
      <c r="V89" t="s">
        <v>153</v>
      </c>
      <c r="W89" t="s">
        <v>154</v>
      </c>
      <c r="X89" t="s">
        <v>119</v>
      </c>
      <c r="Y89" t="s">
        <v>112</v>
      </c>
      <c r="Z89" t="s">
        <v>166</v>
      </c>
      <c r="AA89" t="s">
        <v>152</v>
      </c>
      <c r="AB89" t="s">
        <v>153</v>
      </c>
      <c r="AC89" t="s">
        <v>154</v>
      </c>
      <c r="AD89" t="s">
        <v>119</v>
      </c>
      <c r="AE89" t="s">
        <v>112</v>
      </c>
      <c r="AF89" t="s">
        <v>121</v>
      </c>
      <c r="AG89" t="s">
        <v>122</v>
      </c>
      <c r="AH89">
        <v>4600295.59</v>
      </c>
      <c r="AI89" t="s">
        <v>166</v>
      </c>
      <c r="AJ89" t="s">
        <v>152</v>
      </c>
      <c r="AK89" t="s">
        <v>153</v>
      </c>
      <c r="AL89" t="s">
        <v>154</v>
      </c>
      <c r="AM89" t="s">
        <v>119</v>
      </c>
      <c r="AN89" t="s">
        <v>112</v>
      </c>
      <c r="AO89" t="s">
        <v>121</v>
      </c>
      <c r="AP89" t="s">
        <v>122</v>
      </c>
      <c r="AQ89" t="s">
        <v>122</v>
      </c>
      <c r="AR89" t="s">
        <v>124</v>
      </c>
      <c r="AS89" t="s">
        <v>125</v>
      </c>
      <c r="AT89">
        <v>2</v>
      </c>
      <c r="AU89" t="s">
        <v>126</v>
      </c>
      <c r="AV89" t="s">
        <v>155</v>
      </c>
      <c r="AW89" t="s">
        <v>156</v>
      </c>
      <c r="AX89">
        <v>1</v>
      </c>
      <c r="AY89" t="s">
        <v>129</v>
      </c>
      <c r="AZ89">
        <v>44240.6</v>
      </c>
      <c r="BA89">
        <v>4207511</v>
      </c>
      <c r="BB89">
        <v>52856.24</v>
      </c>
      <c r="BC89">
        <v>95.105199999999996</v>
      </c>
      <c r="BD89" t="s">
        <v>130</v>
      </c>
      <c r="BE89" t="s">
        <v>112</v>
      </c>
      <c r="BF89" t="s">
        <v>157</v>
      </c>
      <c r="BG89" t="s">
        <v>133</v>
      </c>
      <c r="BH89" t="s">
        <v>134</v>
      </c>
      <c r="BI89" t="s">
        <v>112</v>
      </c>
      <c r="BJ89" t="s">
        <v>112</v>
      </c>
      <c r="BK89" t="s">
        <v>112</v>
      </c>
      <c r="BL89" t="s">
        <v>169</v>
      </c>
      <c r="BM89" t="s">
        <v>159</v>
      </c>
      <c r="BN89" t="s">
        <v>722</v>
      </c>
      <c r="BO89" t="s">
        <v>161</v>
      </c>
      <c r="BP89">
        <v>1</v>
      </c>
      <c r="BQ89" t="s">
        <v>1396</v>
      </c>
      <c r="BR89" s="45">
        <f>ISNUMBER(SEARCH($BR$1,Таблица1[[#This Row],[31_1 Описание и характеристика товара]]))*1</f>
        <v>1</v>
      </c>
      <c r="BT89" t="s">
        <v>150</v>
      </c>
      <c r="BU89">
        <v>33</v>
      </c>
      <c r="BV89">
        <v>0</v>
      </c>
      <c r="BW89">
        <v>0</v>
      </c>
      <c r="BY89">
        <v>0</v>
      </c>
      <c r="CA89" t="s">
        <v>106</v>
      </c>
      <c r="CB89" t="s">
        <v>142</v>
      </c>
      <c r="CC89" t="s">
        <v>112</v>
      </c>
      <c r="CD89" t="s">
        <v>112</v>
      </c>
      <c r="CE89" t="s">
        <v>121</v>
      </c>
      <c r="CF89">
        <v>16161.43</v>
      </c>
      <c r="CG89" t="s">
        <v>144</v>
      </c>
      <c r="CH89">
        <v>4000000</v>
      </c>
      <c r="CI89">
        <v>16042.03</v>
      </c>
      <c r="CJ89">
        <v>0</v>
      </c>
      <c r="CK89" t="s">
        <v>112</v>
      </c>
      <c r="CL89" t="s">
        <v>112</v>
      </c>
      <c r="CM89">
        <v>44240.6</v>
      </c>
      <c r="CN89">
        <v>4207511</v>
      </c>
      <c r="CO89">
        <v>0</v>
      </c>
      <c r="CP89">
        <v>1</v>
      </c>
      <c r="CQ89">
        <v>4600295.59</v>
      </c>
      <c r="CR89">
        <v>52856.24</v>
      </c>
      <c r="CS89" t="s">
        <v>145</v>
      </c>
      <c r="CT89">
        <v>52778.278700000003</v>
      </c>
      <c r="CU89">
        <v>3.29</v>
      </c>
      <c r="CV89">
        <v>45</v>
      </c>
      <c r="CW89" t="s">
        <v>171</v>
      </c>
      <c r="CX89" t="s">
        <v>463</v>
      </c>
      <c r="CY89">
        <v>96</v>
      </c>
    </row>
    <row r="90" spans="1:103" x14ac:dyDescent="0.25">
      <c r="A90" t="s">
        <v>106</v>
      </c>
      <c r="B90" s="38">
        <v>45172</v>
      </c>
      <c r="C90" s="43">
        <f>IF(YEAR(Таблица1[[#This Row],[Дата]])=2023,MONTH(Таблица1[[#This Row],[Дата]]),0)</f>
        <v>9</v>
      </c>
      <c r="D90" t="s">
        <v>1401</v>
      </c>
      <c r="E90" t="s">
        <v>108</v>
      </c>
      <c r="F90" t="s">
        <v>1402</v>
      </c>
      <c r="G90" t="s">
        <v>3244</v>
      </c>
      <c r="H90" t="s">
        <v>111</v>
      </c>
      <c r="I90" t="s">
        <v>112</v>
      </c>
      <c r="J90" t="s">
        <v>112</v>
      </c>
      <c r="K90" t="s">
        <v>112</v>
      </c>
      <c r="L90" t="s">
        <v>150</v>
      </c>
      <c r="M90" t="s">
        <v>151</v>
      </c>
      <c r="N90" t="s">
        <v>112</v>
      </c>
      <c r="O90" t="s">
        <v>112</v>
      </c>
      <c r="P90">
        <v>1</v>
      </c>
      <c r="Q90">
        <v>0</v>
      </c>
      <c r="R90">
        <v>1</v>
      </c>
      <c r="S90">
        <v>33</v>
      </c>
      <c r="T90" t="s">
        <v>166</v>
      </c>
      <c r="U90" t="s">
        <v>152</v>
      </c>
      <c r="V90" t="s">
        <v>153</v>
      </c>
      <c r="W90" t="s">
        <v>154</v>
      </c>
      <c r="X90" t="s">
        <v>119</v>
      </c>
      <c r="Y90" t="s">
        <v>112</v>
      </c>
      <c r="Z90" t="s">
        <v>166</v>
      </c>
      <c r="AA90" t="s">
        <v>152</v>
      </c>
      <c r="AB90" t="s">
        <v>153</v>
      </c>
      <c r="AC90" t="s">
        <v>154</v>
      </c>
      <c r="AD90" t="s">
        <v>119</v>
      </c>
      <c r="AE90" t="s">
        <v>112</v>
      </c>
      <c r="AF90" t="s">
        <v>121</v>
      </c>
      <c r="AG90" t="s">
        <v>122</v>
      </c>
      <c r="AH90">
        <v>4767338.3600000003</v>
      </c>
      <c r="AI90" t="s">
        <v>166</v>
      </c>
      <c r="AJ90" t="s">
        <v>152</v>
      </c>
      <c r="AK90" t="s">
        <v>153</v>
      </c>
      <c r="AL90" t="s">
        <v>154</v>
      </c>
      <c r="AM90" t="s">
        <v>119</v>
      </c>
      <c r="AN90" t="s">
        <v>112</v>
      </c>
      <c r="AO90" t="s">
        <v>121</v>
      </c>
      <c r="AP90" t="s">
        <v>122</v>
      </c>
      <c r="AQ90" t="s">
        <v>122</v>
      </c>
      <c r="AR90" t="s">
        <v>124</v>
      </c>
      <c r="AS90" t="s">
        <v>125</v>
      </c>
      <c r="AT90">
        <v>2</v>
      </c>
      <c r="AU90" t="s">
        <v>126</v>
      </c>
      <c r="AV90" t="s">
        <v>155</v>
      </c>
      <c r="AW90" t="s">
        <v>156</v>
      </c>
      <c r="AX90">
        <v>1</v>
      </c>
      <c r="AY90" t="s">
        <v>129</v>
      </c>
      <c r="AZ90">
        <v>45477</v>
      </c>
      <c r="BA90">
        <v>4325099</v>
      </c>
      <c r="BB90">
        <v>54775.519999999997</v>
      </c>
      <c r="BC90">
        <v>95.105199999999996</v>
      </c>
      <c r="BD90" t="s">
        <v>130</v>
      </c>
      <c r="BE90" t="s">
        <v>112</v>
      </c>
      <c r="BF90" t="s">
        <v>157</v>
      </c>
      <c r="BG90" t="s">
        <v>133</v>
      </c>
      <c r="BH90" t="s">
        <v>134</v>
      </c>
      <c r="BI90" t="s">
        <v>112</v>
      </c>
      <c r="BJ90" t="s">
        <v>112</v>
      </c>
      <c r="BK90" t="s">
        <v>112</v>
      </c>
      <c r="BL90" t="s">
        <v>169</v>
      </c>
      <c r="BM90" t="s">
        <v>159</v>
      </c>
      <c r="BN90" t="s">
        <v>722</v>
      </c>
      <c r="BO90" t="s">
        <v>161</v>
      </c>
      <c r="BP90">
        <v>1</v>
      </c>
      <c r="BQ90" t="s">
        <v>719</v>
      </c>
      <c r="BR90" s="45">
        <f>ISNUMBER(SEARCH($BR$1,Таблица1[[#This Row],[31_1 Описание и характеристика товара]]))*1</f>
        <v>1</v>
      </c>
      <c r="BT90" t="s">
        <v>150</v>
      </c>
      <c r="BU90">
        <v>33</v>
      </c>
      <c r="BV90">
        <v>0</v>
      </c>
      <c r="BW90">
        <v>0</v>
      </c>
      <c r="BY90">
        <v>0</v>
      </c>
      <c r="CA90" t="s">
        <v>106</v>
      </c>
      <c r="CB90" t="s">
        <v>142</v>
      </c>
      <c r="CC90" t="s">
        <v>112</v>
      </c>
      <c r="CD90" t="s">
        <v>112</v>
      </c>
      <c r="CE90" t="s">
        <v>121</v>
      </c>
      <c r="CF90">
        <v>16803</v>
      </c>
      <c r="CG90" t="s">
        <v>144</v>
      </c>
      <c r="CH90">
        <v>4000000</v>
      </c>
      <c r="CI90">
        <v>16749</v>
      </c>
      <c r="CJ90">
        <v>0</v>
      </c>
      <c r="CK90" t="s">
        <v>112</v>
      </c>
      <c r="CL90" t="s">
        <v>112</v>
      </c>
      <c r="CM90">
        <v>45477</v>
      </c>
      <c r="CN90">
        <v>4325099</v>
      </c>
      <c r="CO90">
        <v>0</v>
      </c>
      <c r="CP90">
        <v>1</v>
      </c>
      <c r="CQ90">
        <v>4767338.3600000003</v>
      </c>
      <c r="CR90">
        <v>54775.519999999997</v>
      </c>
      <c r="CS90" t="s">
        <v>145</v>
      </c>
      <c r="CT90">
        <v>54769.23</v>
      </c>
      <c r="CU90">
        <v>3.27</v>
      </c>
      <c r="CV90">
        <v>45</v>
      </c>
      <c r="CW90" t="s">
        <v>171</v>
      </c>
      <c r="CX90" t="s">
        <v>463</v>
      </c>
      <c r="CY90">
        <v>96</v>
      </c>
    </row>
    <row r="91" spans="1:103" x14ac:dyDescent="0.25">
      <c r="A91" t="s">
        <v>106</v>
      </c>
      <c r="B91" s="38">
        <v>45080</v>
      </c>
      <c r="C91" s="43">
        <f>IF(YEAR(Таблица1[[#This Row],[Дата]])=2023,MONTH(Таблица1[[#This Row],[Дата]]),0)</f>
        <v>6</v>
      </c>
      <c r="D91" t="s">
        <v>1242</v>
      </c>
      <c r="E91" t="s">
        <v>108</v>
      </c>
      <c r="F91" t="s">
        <v>1243</v>
      </c>
      <c r="G91" t="s">
        <v>3244</v>
      </c>
      <c r="H91" t="s">
        <v>111</v>
      </c>
      <c r="I91" t="s">
        <v>112</v>
      </c>
      <c r="J91" t="s">
        <v>112</v>
      </c>
      <c r="K91" t="s">
        <v>112</v>
      </c>
      <c r="L91" t="s">
        <v>150</v>
      </c>
      <c r="M91" t="s">
        <v>1060</v>
      </c>
      <c r="N91" t="s">
        <v>112</v>
      </c>
      <c r="O91" t="s">
        <v>112</v>
      </c>
      <c r="P91">
        <v>1</v>
      </c>
      <c r="Q91">
        <v>0</v>
      </c>
      <c r="R91">
        <v>1</v>
      </c>
      <c r="S91">
        <v>33</v>
      </c>
      <c r="T91" t="s">
        <v>166</v>
      </c>
      <c r="U91" t="s">
        <v>152</v>
      </c>
      <c r="V91" t="s">
        <v>153</v>
      </c>
      <c r="W91" t="s">
        <v>154</v>
      </c>
      <c r="X91" t="s">
        <v>119</v>
      </c>
      <c r="Y91" t="s">
        <v>112</v>
      </c>
      <c r="Z91" t="s">
        <v>166</v>
      </c>
      <c r="AA91" t="s">
        <v>152</v>
      </c>
      <c r="AB91" t="s">
        <v>153</v>
      </c>
      <c r="AC91" t="s">
        <v>154</v>
      </c>
      <c r="AD91" t="s">
        <v>119</v>
      </c>
      <c r="AE91" t="s">
        <v>112</v>
      </c>
      <c r="AF91" t="s">
        <v>121</v>
      </c>
      <c r="AG91" t="s">
        <v>122</v>
      </c>
      <c r="AH91">
        <v>3705921.24</v>
      </c>
      <c r="AI91" t="s">
        <v>166</v>
      </c>
      <c r="AJ91" t="s">
        <v>152</v>
      </c>
      <c r="AK91" t="s">
        <v>153</v>
      </c>
      <c r="AL91" t="s">
        <v>154</v>
      </c>
      <c r="AM91" t="s">
        <v>119</v>
      </c>
      <c r="AN91" t="s">
        <v>112</v>
      </c>
      <c r="AO91" t="s">
        <v>121</v>
      </c>
      <c r="AP91" t="s">
        <v>122</v>
      </c>
      <c r="AQ91" t="s">
        <v>122</v>
      </c>
      <c r="AR91" t="s">
        <v>124</v>
      </c>
      <c r="AS91" t="s">
        <v>125</v>
      </c>
      <c r="AT91">
        <v>2</v>
      </c>
      <c r="AU91" t="s">
        <v>126</v>
      </c>
      <c r="AV91" t="s">
        <v>155</v>
      </c>
      <c r="AW91" t="s">
        <v>156</v>
      </c>
      <c r="AX91">
        <v>1</v>
      </c>
      <c r="AY91" t="s">
        <v>129</v>
      </c>
      <c r="AZ91">
        <v>39011.620000000003</v>
      </c>
      <c r="BA91">
        <v>3351149</v>
      </c>
      <c r="BB91">
        <v>46291.9</v>
      </c>
      <c r="BC91">
        <v>85.901300000000006</v>
      </c>
      <c r="BD91" t="s">
        <v>130</v>
      </c>
      <c r="BE91" t="s">
        <v>112</v>
      </c>
      <c r="BF91" t="s">
        <v>157</v>
      </c>
      <c r="BG91" t="s">
        <v>133</v>
      </c>
      <c r="BH91" t="s">
        <v>134</v>
      </c>
      <c r="BI91" t="s">
        <v>112</v>
      </c>
      <c r="BJ91" t="s">
        <v>112</v>
      </c>
      <c r="BK91" t="s">
        <v>112</v>
      </c>
      <c r="BL91" t="s">
        <v>169</v>
      </c>
      <c r="BM91" t="s">
        <v>159</v>
      </c>
      <c r="BN91" t="s">
        <v>722</v>
      </c>
      <c r="BO91" t="s">
        <v>161</v>
      </c>
      <c r="BP91">
        <v>1</v>
      </c>
      <c r="BQ91" t="s">
        <v>1244</v>
      </c>
      <c r="BR91" s="45">
        <f>ISNUMBER(SEARCH($BR$1,Таблица1[[#This Row],[31_1 Описание и характеристика товара]]))*1</f>
        <v>1</v>
      </c>
      <c r="BT91" t="s">
        <v>150</v>
      </c>
      <c r="BU91">
        <v>33</v>
      </c>
      <c r="BV91">
        <v>0</v>
      </c>
      <c r="BW91">
        <v>0</v>
      </c>
      <c r="BY91">
        <v>0</v>
      </c>
      <c r="CA91" t="s">
        <v>106</v>
      </c>
      <c r="CB91" t="s">
        <v>142</v>
      </c>
      <c r="CC91" t="s">
        <v>112</v>
      </c>
      <c r="CD91" t="s">
        <v>112</v>
      </c>
      <c r="CE91" t="s">
        <v>121</v>
      </c>
      <c r="CF91">
        <v>17089.259999999998</v>
      </c>
      <c r="CG91" t="s">
        <v>144</v>
      </c>
      <c r="CH91">
        <v>4000000</v>
      </c>
      <c r="CI91">
        <v>17089.259999999998</v>
      </c>
      <c r="CJ91">
        <v>0</v>
      </c>
      <c r="CK91" t="s">
        <v>112</v>
      </c>
      <c r="CL91" t="s">
        <v>112</v>
      </c>
      <c r="CM91">
        <v>39011.620000000003</v>
      </c>
      <c r="CN91">
        <v>3351149</v>
      </c>
      <c r="CO91">
        <v>0</v>
      </c>
      <c r="CP91">
        <v>1</v>
      </c>
      <c r="CQ91">
        <v>3705921.24</v>
      </c>
      <c r="CR91">
        <v>46291.9</v>
      </c>
      <c r="CS91" t="s">
        <v>145</v>
      </c>
      <c r="CT91">
        <v>46291.387488</v>
      </c>
      <c r="CU91">
        <v>2.7088000000000001</v>
      </c>
      <c r="CV91">
        <v>45</v>
      </c>
      <c r="CW91" t="s">
        <v>171</v>
      </c>
      <c r="CX91" t="s">
        <v>369</v>
      </c>
      <c r="CY91">
        <v>152</v>
      </c>
    </row>
    <row r="92" spans="1:103" x14ac:dyDescent="0.25">
      <c r="A92" t="s">
        <v>106</v>
      </c>
      <c r="B92" s="38">
        <v>45064</v>
      </c>
      <c r="C92" s="43">
        <f>IF(YEAR(Таблица1[[#This Row],[Дата]])=2023,MONTH(Таблица1[[#This Row],[Дата]]),0)</f>
        <v>5</v>
      </c>
      <c r="D92" t="s">
        <v>895</v>
      </c>
      <c r="E92" t="s">
        <v>108</v>
      </c>
      <c r="F92" t="s">
        <v>896</v>
      </c>
      <c r="G92" t="s">
        <v>3244</v>
      </c>
      <c r="H92" t="s">
        <v>111</v>
      </c>
      <c r="I92" t="s">
        <v>112</v>
      </c>
      <c r="J92" t="s">
        <v>112</v>
      </c>
      <c r="K92" t="s">
        <v>112</v>
      </c>
      <c r="L92" t="s">
        <v>150</v>
      </c>
      <c r="M92" t="s">
        <v>151</v>
      </c>
      <c r="N92" t="s">
        <v>112</v>
      </c>
      <c r="O92" t="s">
        <v>112</v>
      </c>
      <c r="P92">
        <v>1</v>
      </c>
      <c r="Q92">
        <v>0</v>
      </c>
      <c r="R92">
        <v>1</v>
      </c>
      <c r="S92">
        <v>38</v>
      </c>
      <c r="T92" t="s">
        <v>166</v>
      </c>
      <c r="U92" t="s">
        <v>152</v>
      </c>
      <c r="V92" t="s">
        <v>153</v>
      </c>
      <c r="W92" t="s">
        <v>154</v>
      </c>
      <c r="X92" t="s">
        <v>119</v>
      </c>
      <c r="Y92" t="s">
        <v>112</v>
      </c>
      <c r="Z92" t="s">
        <v>166</v>
      </c>
      <c r="AA92" t="s">
        <v>152</v>
      </c>
      <c r="AB92" t="s">
        <v>153</v>
      </c>
      <c r="AC92" t="s">
        <v>154</v>
      </c>
      <c r="AD92" t="s">
        <v>119</v>
      </c>
      <c r="AE92" t="s">
        <v>112</v>
      </c>
      <c r="AF92" t="s">
        <v>121</v>
      </c>
      <c r="AG92" t="s">
        <v>122</v>
      </c>
      <c r="AH92">
        <v>4208180.26</v>
      </c>
      <c r="AI92" t="s">
        <v>166</v>
      </c>
      <c r="AJ92" t="s">
        <v>152</v>
      </c>
      <c r="AK92" t="s">
        <v>153</v>
      </c>
      <c r="AL92" t="s">
        <v>154</v>
      </c>
      <c r="AM92" t="s">
        <v>119</v>
      </c>
      <c r="AN92" t="s">
        <v>112</v>
      </c>
      <c r="AO92" t="s">
        <v>121</v>
      </c>
      <c r="AP92" t="s">
        <v>122</v>
      </c>
      <c r="AQ92" t="s">
        <v>122</v>
      </c>
      <c r="AR92" t="s">
        <v>124</v>
      </c>
      <c r="AS92" t="s">
        <v>125</v>
      </c>
      <c r="AT92">
        <v>2</v>
      </c>
      <c r="AU92" t="s">
        <v>126</v>
      </c>
      <c r="AV92" t="s">
        <v>155</v>
      </c>
      <c r="AW92" t="s">
        <v>156</v>
      </c>
      <c r="AX92">
        <v>1</v>
      </c>
      <c r="AY92" t="s">
        <v>129</v>
      </c>
      <c r="AZ92">
        <v>46055.88</v>
      </c>
      <c r="BA92">
        <v>3845017</v>
      </c>
      <c r="BB92">
        <v>54667.24</v>
      </c>
      <c r="BC92">
        <v>83.485900000000001</v>
      </c>
      <c r="BD92" t="s">
        <v>130</v>
      </c>
      <c r="BE92" t="s">
        <v>112</v>
      </c>
      <c r="BF92" t="s">
        <v>157</v>
      </c>
      <c r="BG92" t="s">
        <v>133</v>
      </c>
      <c r="BH92" t="s">
        <v>134</v>
      </c>
      <c r="BI92" t="s">
        <v>112</v>
      </c>
      <c r="BJ92" t="s">
        <v>112</v>
      </c>
      <c r="BK92" t="s">
        <v>112</v>
      </c>
      <c r="BL92" t="s">
        <v>169</v>
      </c>
      <c r="BM92" t="s">
        <v>159</v>
      </c>
      <c r="BN92" t="s">
        <v>722</v>
      </c>
      <c r="BO92" t="s">
        <v>161</v>
      </c>
      <c r="BP92">
        <v>1</v>
      </c>
      <c r="BQ92" t="s">
        <v>897</v>
      </c>
      <c r="BR92" s="45">
        <f>ISNUMBER(SEARCH($BR$1,Таблица1[[#This Row],[31_1 Описание и характеристика товара]]))*1</f>
        <v>1</v>
      </c>
      <c r="BT92" t="s">
        <v>150</v>
      </c>
      <c r="BU92">
        <v>38</v>
      </c>
      <c r="BV92">
        <v>0</v>
      </c>
      <c r="BW92">
        <v>0</v>
      </c>
      <c r="BY92">
        <v>0</v>
      </c>
      <c r="CA92" t="s">
        <v>106</v>
      </c>
      <c r="CB92" t="s">
        <v>142</v>
      </c>
      <c r="CC92" t="s">
        <v>112</v>
      </c>
      <c r="CD92" t="s">
        <v>112</v>
      </c>
      <c r="CE92" t="s">
        <v>121</v>
      </c>
      <c r="CF92">
        <v>18579.21</v>
      </c>
      <c r="CG92" t="s">
        <v>144</v>
      </c>
      <c r="CH92">
        <v>4000000</v>
      </c>
      <c r="CI92">
        <v>18275.61</v>
      </c>
      <c r="CJ92">
        <v>0</v>
      </c>
      <c r="CK92" t="s">
        <v>112</v>
      </c>
      <c r="CL92" t="s">
        <v>112</v>
      </c>
      <c r="CM92">
        <v>46055.88</v>
      </c>
      <c r="CN92">
        <v>3845017</v>
      </c>
      <c r="CO92">
        <v>0</v>
      </c>
      <c r="CP92">
        <v>1</v>
      </c>
      <c r="CQ92">
        <v>4208180.26</v>
      </c>
      <c r="CR92">
        <v>54667.24</v>
      </c>
      <c r="CS92" t="s">
        <v>145</v>
      </c>
      <c r="CT92">
        <v>54667.832193000002</v>
      </c>
      <c r="CU92">
        <v>2.9912999999999998</v>
      </c>
      <c r="CV92">
        <v>45</v>
      </c>
      <c r="CW92" t="s">
        <v>171</v>
      </c>
      <c r="CX92" t="s">
        <v>372</v>
      </c>
      <c r="CY92">
        <v>174</v>
      </c>
    </row>
    <row r="93" spans="1:103" x14ac:dyDescent="0.25">
      <c r="A93" t="s">
        <v>106</v>
      </c>
      <c r="B93" s="38">
        <v>45154</v>
      </c>
      <c r="C93" s="43">
        <f>IF(YEAR(Таблица1[[#This Row],[Дата]])=2023,MONTH(Таблица1[[#This Row],[Дата]]),0)</f>
        <v>8</v>
      </c>
      <c r="D93" t="s">
        <v>417</v>
      </c>
      <c r="E93" t="s">
        <v>108</v>
      </c>
      <c r="F93" t="s">
        <v>418</v>
      </c>
      <c r="G93" t="s">
        <v>3244</v>
      </c>
      <c r="H93" t="s">
        <v>111</v>
      </c>
      <c r="I93" t="s">
        <v>112</v>
      </c>
      <c r="J93" t="s">
        <v>112</v>
      </c>
      <c r="K93" t="s">
        <v>112</v>
      </c>
      <c r="L93" t="s">
        <v>150</v>
      </c>
      <c r="M93" t="s">
        <v>151</v>
      </c>
      <c r="N93" t="s">
        <v>112</v>
      </c>
      <c r="O93" t="s">
        <v>112</v>
      </c>
      <c r="P93">
        <v>1</v>
      </c>
      <c r="Q93">
        <v>0</v>
      </c>
      <c r="R93">
        <v>1</v>
      </c>
      <c r="S93">
        <v>33</v>
      </c>
      <c r="T93" t="s">
        <v>166</v>
      </c>
      <c r="U93" t="s">
        <v>152</v>
      </c>
      <c r="V93" t="s">
        <v>153</v>
      </c>
      <c r="W93" t="s">
        <v>154</v>
      </c>
      <c r="X93" t="s">
        <v>119</v>
      </c>
      <c r="Y93" t="s">
        <v>112</v>
      </c>
      <c r="Z93" t="s">
        <v>166</v>
      </c>
      <c r="AA93" t="s">
        <v>152</v>
      </c>
      <c r="AB93" t="s">
        <v>153</v>
      </c>
      <c r="AC93" t="s">
        <v>154</v>
      </c>
      <c r="AD93" t="s">
        <v>119</v>
      </c>
      <c r="AE93" t="s">
        <v>112</v>
      </c>
      <c r="AF93" t="s">
        <v>121</v>
      </c>
      <c r="AG93" t="s">
        <v>122</v>
      </c>
      <c r="AH93">
        <v>3390567.39</v>
      </c>
      <c r="AI93" t="s">
        <v>166</v>
      </c>
      <c r="AJ93" t="s">
        <v>152</v>
      </c>
      <c r="AK93" t="s">
        <v>153</v>
      </c>
      <c r="AL93" t="s">
        <v>154</v>
      </c>
      <c r="AM93" t="s">
        <v>119</v>
      </c>
      <c r="AN93" t="s">
        <v>112</v>
      </c>
      <c r="AO93" t="s">
        <v>121</v>
      </c>
      <c r="AP93" t="s">
        <v>122</v>
      </c>
      <c r="AQ93" t="s">
        <v>122</v>
      </c>
      <c r="AR93" t="s">
        <v>124</v>
      </c>
      <c r="AS93" t="s">
        <v>125</v>
      </c>
      <c r="AT93">
        <v>2</v>
      </c>
      <c r="AU93" t="s">
        <v>126</v>
      </c>
      <c r="AV93" t="s">
        <v>155</v>
      </c>
      <c r="AW93" t="s">
        <v>156</v>
      </c>
      <c r="AX93">
        <v>1</v>
      </c>
      <c r="AY93" t="s">
        <v>129</v>
      </c>
      <c r="AZ93">
        <v>40614.04</v>
      </c>
      <c r="BA93">
        <v>3062550</v>
      </c>
      <c r="BB93">
        <v>48899.69</v>
      </c>
      <c r="BC93">
        <v>75.406199999999998</v>
      </c>
      <c r="BD93" t="s">
        <v>130</v>
      </c>
      <c r="BE93" t="s">
        <v>112</v>
      </c>
      <c r="BF93" t="s">
        <v>157</v>
      </c>
      <c r="BG93" t="s">
        <v>133</v>
      </c>
      <c r="BH93" t="s">
        <v>134</v>
      </c>
      <c r="BI93" t="s">
        <v>112</v>
      </c>
      <c r="BJ93" t="s">
        <v>112</v>
      </c>
      <c r="BK93" t="s">
        <v>112</v>
      </c>
      <c r="BL93" t="s">
        <v>169</v>
      </c>
      <c r="BM93" t="s">
        <v>159</v>
      </c>
      <c r="BN93" t="s">
        <v>212</v>
      </c>
      <c r="BO93" t="s">
        <v>161</v>
      </c>
      <c r="BP93">
        <v>1</v>
      </c>
      <c r="BQ93" t="s">
        <v>419</v>
      </c>
      <c r="BR93" s="45">
        <f>ISNUMBER(SEARCH($BR$1,Таблица1[[#This Row],[31_1 Описание и характеристика товара]]))*1</f>
        <v>1</v>
      </c>
      <c r="BT93" t="s">
        <v>150</v>
      </c>
      <c r="BU93">
        <v>33</v>
      </c>
      <c r="BV93">
        <v>0</v>
      </c>
      <c r="BW93">
        <v>0</v>
      </c>
      <c r="BY93">
        <v>0</v>
      </c>
      <c r="CA93" t="s">
        <v>106</v>
      </c>
      <c r="CB93" t="s">
        <v>142</v>
      </c>
      <c r="CC93" t="s">
        <v>112</v>
      </c>
      <c r="CD93" t="s">
        <v>112</v>
      </c>
      <c r="CE93" t="s">
        <v>121</v>
      </c>
      <c r="CF93">
        <v>17169.61</v>
      </c>
      <c r="CG93" t="s">
        <v>144</v>
      </c>
      <c r="CH93">
        <v>4000000</v>
      </c>
      <c r="CI93">
        <v>17169.61</v>
      </c>
      <c r="CJ93">
        <v>0</v>
      </c>
      <c r="CK93" t="s">
        <v>112</v>
      </c>
      <c r="CL93" t="s">
        <v>112</v>
      </c>
      <c r="CM93">
        <v>40614.04</v>
      </c>
      <c r="CN93">
        <v>3062550</v>
      </c>
      <c r="CO93">
        <v>0</v>
      </c>
      <c r="CP93">
        <v>1</v>
      </c>
      <c r="CQ93">
        <v>3390567.39</v>
      </c>
      <c r="CR93">
        <v>48899.69</v>
      </c>
      <c r="CS93" t="s">
        <v>145</v>
      </c>
      <c r="CT93">
        <v>48899.049279999999</v>
      </c>
      <c r="CU93">
        <v>2.8479999999999999</v>
      </c>
      <c r="CV93">
        <v>45</v>
      </c>
      <c r="CW93" t="s">
        <v>171</v>
      </c>
      <c r="CX93" t="s">
        <v>369</v>
      </c>
      <c r="CY93">
        <v>140</v>
      </c>
    </row>
    <row r="94" spans="1:103" x14ac:dyDescent="0.25">
      <c r="A94" t="s">
        <v>106</v>
      </c>
      <c r="B94" s="38">
        <v>44927</v>
      </c>
      <c r="C94" s="43">
        <f>IF(YEAR(Таблица1[[#This Row],[Дата]])=2023,MONTH(Таблица1[[#This Row],[Дата]]),0)</f>
        <v>1</v>
      </c>
      <c r="D94" t="s">
        <v>107</v>
      </c>
      <c r="E94" t="s">
        <v>108</v>
      </c>
      <c r="F94" t="s">
        <v>109</v>
      </c>
      <c r="G94" t="s">
        <v>3244</v>
      </c>
      <c r="H94" t="s">
        <v>111</v>
      </c>
      <c r="I94" t="s">
        <v>112</v>
      </c>
      <c r="J94" t="s">
        <v>112</v>
      </c>
      <c r="K94" t="s">
        <v>112</v>
      </c>
      <c r="L94" t="s">
        <v>113</v>
      </c>
      <c r="M94" t="s">
        <v>114</v>
      </c>
      <c r="N94" t="s">
        <v>112</v>
      </c>
      <c r="O94" t="s">
        <v>112</v>
      </c>
      <c r="P94">
        <v>1</v>
      </c>
      <c r="Q94">
        <v>0</v>
      </c>
      <c r="R94">
        <v>1</v>
      </c>
      <c r="S94">
        <v>33</v>
      </c>
      <c r="T94" t="s">
        <v>115</v>
      </c>
      <c r="U94" t="s">
        <v>116</v>
      </c>
      <c r="V94" t="s">
        <v>117</v>
      </c>
      <c r="W94" t="s">
        <v>118</v>
      </c>
      <c r="X94" t="s">
        <v>119</v>
      </c>
      <c r="Y94" t="s">
        <v>120</v>
      </c>
      <c r="Z94" t="s">
        <v>115</v>
      </c>
      <c r="AA94" t="s">
        <v>116</v>
      </c>
      <c r="AB94" t="s">
        <v>117</v>
      </c>
      <c r="AC94" t="s">
        <v>118</v>
      </c>
      <c r="AD94" t="s">
        <v>119</v>
      </c>
      <c r="AE94" t="s">
        <v>120</v>
      </c>
      <c r="AF94" t="s">
        <v>121</v>
      </c>
      <c r="AG94" t="s">
        <v>122</v>
      </c>
      <c r="AH94">
        <v>3922236.91</v>
      </c>
      <c r="AI94" t="s">
        <v>115</v>
      </c>
      <c r="AJ94" t="s">
        <v>116</v>
      </c>
      <c r="AK94" t="s">
        <v>117</v>
      </c>
      <c r="AL94" t="s">
        <v>118</v>
      </c>
      <c r="AM94" t="s">
        <v>119</v>
      </c>
      <c r="AN94" t="s">
        <v>120</v>
      </c>
      <c r="AO94" t="s">
        <v>121</v>
      </c>
      <c r="AP94" t="s">
        <v>122</v>
      </c>
      <c r="AQ94" t="s">
        <v>123</v>
      </c>
      <c r="AR94" t="s">
        <v>124</v>
      </c>
      <c r="AS94" t="s">
        <v>125</v>
      </c>
      <c r="AT94">
        <v>2</v>
      </c>
      <c r="AU94" t="s">
        <v>126</v>
      </c>
      <c r="AV94" t="s">
        <v>127</v>
      </c>
      <c r="AW94" t="s">
        <v>128</v>
      </c>
      <c r="AX94">
        <v>1</v>
      </c>
      <c r="AY94" t="s">
        <v>129</v>
      </c>
      <c r="AZ94">
        <v>48900.78</v>
      </c>
      <c r="BA94">
        <v>3687422</v>
      </c>
      <c r="BB94">
        <v>56567.57</v>
      </c>
      <c r="BC94">
        <v>75.406199999999998</v>
      </c>
      <c r="BD94" t="s">
        <v>130</v>
      </c>
      <c r="BE94" t="s">
        <v>131</v>
      </c>
      <c r="BF94" t="s">
        <v>132</v>
      </c>
      <c r="BG94" t="s">
        <v>133</v>
      </c>
      <c r="BH94" t="s">
        <v>134</v>
      </c>
      <c r="BI94" t="s">
        <v>112</v>
      </c>
      <c r="BJ94" t="s">
        <v>135</v>
      </c>
      <c r="BK94" t="s">
        <v>112</v>
      </c>
      <c r="BL94" t="s">
        <v>136</v>
      </c>
      <c r="BM94" t="s">
        <v>137</v>
      </c>
      <c r="BN94" t="s">
        <v>138</v>
      </c>
      <c r="BO94" t="s">
        <v>139</v>
      </c>
      <c r="BP94">
        <v>1</v>
      </c>
      <c r="BQ94" t="s">
        <v>140</v>
      </c>
      <c r="BR94" s="45">
        <f>ISNUMBER(SEARCH($BR$1,Таблица1[[#This Row],[31_1 Описание и характеристика товара]]))*1</f>
        <v>1</v>
      </c>
      <c r="BT94" t="s">
        <v>141</v>
      </c>
      <c r="BU94">
        <v>33</v>
      </c>
      <c r="BV94">
        <v>0</v>
      </c>
      <c r="BW94">
        <v>0</v>
      </c>
      <c r="BY94">
        <v>0</v>
      </c>
      <c r="CA94" t="s">
        <v>106</v>
      </c>
      <c r="CB94" t="s">
        <v>142</v>
      </c>
      <c r="CC94" t="s">
        <v>112</v>
      </c>
      <c r="CD94" t="s">
        <v>112</v>
      </c>
      <c r="CE94" t="s">
        <v>143</v>
      </c>
      <c r="CF94">
        <v>15042.96</v>
      </c>
      <c r="CG94" t="s">
        <v>144</v>
      </c>
      <c r="CH94">
        <v>4000000</v>
      </c>
      <c r="CI94">
        <v>14929.92</v>
      </c>
      <c r="CJ94">
        <v>0</v>
      </c>
      <c r="CK94" t="s">
        <v>112</v>
      </c>
      <c r="CL94" t="s">
        <v>112</v>
      </c>
      <c r="CM94">
        <v>48900.78</v>
      </c>
      <c r="CN94">
        <v>3687422</v>
      </c>
      <c r="CO94">
        <v>0</v>
      </c>
      <c r="CP94">
        <v>1</v>
      </c>
      <c r="CQ94">
        <v>3922236.91</v>
      </c>
      <c r="CR94">
        <v>56567.57</v>
      </c>
      <c r="CS94" t="s">
        <v>145</v>
      </c>
      <c r="CT94">
        <v>56567.973888</v>
      </c>
      <c r="CU94">
        <v>3.7888999999999999</v>
      </c>
      <c r="CV94">
        <v>941</v>
      </c>
      <c r="CW94" t="s">
        <v>146</v>
      </c>
      <c r="CX94" t="s">
        <v>147</v>
      </c>
      <c r="CY94">
        <v>317</v>
      </c>
    </row>
    <row r="95" spans="1:103" x14ac:dyDescent="0.25">
      <c r="A95" t="s">
        <v>106</v>
      </c>
      <c r="B95" s="38">
        <v>45084</v>
      </c>
      <c r="C95" s="43">
        <f>IF(YEAR(Таблица1[[#This Row],[Дата]])=2023,MONTH(Таблица1[[#This Row],[Дата]]),0)</f>
        <v>6</v>
      </c>
      <c r="D95" t="s">
        <v>420</v>
      </c>
      <c r="E95" t="s">
        <v>108</v>
      </c>
      <c r="F95" t="s">
        <v>421</v>
      </c>
      <c r="G95" t="s">
        <v>3244</v>
      </c>
      <c r="H95" t="s">
        <v>111</v>
      </c>
      <c r="I95" t="s">
        <v>112</v>
      </c>
      <c r="J95" t="s">
        <v>112</v>
      </c>
      <c r="K95" t="s">
        <v>112</v>
      </c>
      <c r="L95" t="s">
        <v>150</v>
      </c>
      <c r="M95" t="s">
        <v>151</v>
      </c>
      <c r="N95" t="s">
        <v>112</v>
      </c>
      <c r="O95" t="s">
        <v>112</v>
      </c>
      <c r="P95">
        <v>1</v>
      </c>
      <c r="Q95">
        <v>0</v>
      </c>
      <c r="R95">
        <v>1</v>
      </c>
      <c r="S95">
        <v>33</v>
      </c>
      <c r="T95" t="s">
        <v>166</v>
      </c>
      <c r="U95" t="s">
        <v>152</v>
      </c>
      <c r="V95" t="s">
        <v>153</v>
      </c>
      <c r="W95" t="s">
        <v>154</v>
      </c>
      <c r="X95" t="s">
        <v>119</v>
      </c>
      <c r="Y95" t="s">
        <v>112</v>
      </c>
      <c r="Z95" t="s">
        <v>166</v>
      </c>
      <c r="AA95" t="s">
        <v>152</v>
      </c>
      <c r="AB95" t="s">
        <v>153</v>
      </c>
      <c r="AC95" t="s">
        <v>154</v>
      </c>
      <c r="AD95" t="s">
        <v>119</v>
      </c>
      <c r="AE95" t="s">
        <v>112</v>
      </c>
      <c r="AF95" t="s">
        <v>121</v>
      </c>
      <c r="AG95" t="s">
        <v>122</v>
      </c>
      <c r="AH95">
        <v>3473981.73</v>
      </c>
      <c r="AI95" t="s">
        <v>166</v>
      </c>
      <c r="AJ95" t="s">
        <v>152</v>
      </c>
      <c r="AK95" t="s">
        <v>153</v>
      </c>
      <c r="AL95" t="s">
        <v>154</v>
      </c>
      <c r="AM95" t="s">
        <v>119</v>
      </c>
      <c r="AN95" t="s">
        <v>112</v>
      </c>
      <c r="AO95" t="s">
        <v>121</v>
      </c>
      <c r="AP95" t="s">
        <v>122</v>
      </c>
      <c r="AQ95" t="s">
        <v>122</v>
      </c>
      <c r="AR95" t="s">
        <v>124</v>
      </c>
      <c r="AS95" t="s">
        <v>125</v>
      </c>
      <c r="AT95">
        <v>2</v>
      </c>
      <c r="AU95" t="s">
        <v>126</v>
      </c>
      <c r="AV95" t="s">
        <v>155</v>
      </c>
      <c r="AW95" t="s">
        <v>156</v>
      </c>
      <c r="AX95">
        <v>1</v>
      </c>
      <c r="AY95" t="s">
        <v>129</v>
      </c>
      <c r="AZ95">
        <v>41720.239999999998</v>
      </c>
      <c r="BA95">
        <v>3145965</v>
      </c>
      <c r="BB95">
        <v>50102.71</v>
      </c>
      <c r="BC95">
        <v>75.406199999999998</v>
      </c>
      <c r="BD95" t="s">
        <v>130</v>
      </c>
      <c r="BE95" t="s">
        <v>112</v>
      </c>
      <c r="BF95" t="s">
        <v>157</v>
      </c>
      <c r="BG95" t="s">
        <v>133</v>
      </c>
      <c r="BH95" t="s">
        <v>134</v>
      </c>
      <c r="BI95" t="s">
        <v>112</v>
      </c>
      <c r="BJ95" t="s">
        <v>112</v>
      </c>
      <c r="BK95" t="s">
        <v>112</v>
      </c>
      <c r="BL95" t="s">
        <v>169</v>
      </c>
      <c r="BM95" t="s">
        <v>159</v>
      </c>
      <c r="BN95" t="s">
        <v>212</v>
      </c>
      <c r="BO95" t="s">
        <v>161</v>
      </c>
      <c r="BP95">
        <v>1</v>
      </c>
      <c r="BQ95" t="s">
        <v>422</v>
      </c>
      <c r="BR95" s="45">
        <f>ISNUMBER(SEARCH($BR$1,Таблица1[[#This Row],[31_1 Описание и характеристика товара]]))*1</f>
        <v>1</v>
      </c>
      <c r="BT95" t="s">
        <v>150</v>
      </c>
      <c r="BU95">
        <v>33</v>
      </c>
      <c r="BV95">
        <v>0</v>
      </c>
      <c r="BW95">
        <v>0</v>
      </c>
      <c r="BY95">
        <v>0</v>
      </c>
      <c r="CA95" t="s">
        <v>106</v>
      </c>
      <c r="CB95" t="s">
        <v>142</v>
      </c>
      <c r="CC95" t="s">
        <v>112</v>
      </c>
      <c r="CD95" t="s">
        <v>112</v>
      </c>
      <c r="CE95" t="s">
        <v>121</v>
      </c>
      <c r="CF95">
        <v>17136.810000000001</v>
      </c>
      <c r="CG95" t="s">
        <v>144</v>
      </c>
      <c r="CH95">
        <v>4000000</v>
      </c>
      <c r="CI95">
        <v>17136.810000000001</v>
      </c>
      <c r="CJ95">
        <v>0</v>
      </c>
      <c r="CK95" t="s">
        <v>112</v>
      </c>
      <c r="CL95" t="s">
        <v>112</v>
      </c>
      <c r="CM95">
        <v>41720.239999999998</v>
      </c>
      <c r="CN95">
        <v>3145965</v>
      </c>
      <c r="CO95">
        <v>0</v>
      </c>
      <c r="CP95">
        <v>1</v>
      </c>
      <c r="CQ95">
        <v>3473981.73</v>
      </c>
      <c r="CR95">
        <v>50102.71</v>
      </c>
      <c r="CS95" t="s">
        <v>145</v>
      </c>
      <c r="CT95">
        <v>50102.891397000007</v>
      </c>
      <c r="CU95">
        <v>2.9237000000000002</v>
      </c>
      <c r="CV95">
        <v>45</v>
      </c>
      <c r="CW95" t="s">
        <v>171</v>
      </c>
      <c r="CX95" t="s">
        <v>372</v>
      </c>
      <c r="CY95">
        <v>271</v>
      </c>
    </row>
    <row r="96" spans="1:103" x14ac:dyDescent="0.25">
      <c r="A96" t="s">
        <v>106</v>
      </c>
      <c r="B96" s="38">
        <v>45232</v>
      </c>
      <c r="C96" s="43">
        <f>IF(YEAR(Таблица1[[#This Row],[Дата]])=2023,MONTH(Таблица1[[#This Row],[Дата]]),0)</f>
        <v>11</v>
      </c>
      <c r="D96" t="s">
        <v>164</v>
      </c>
      <c r="E96" t="s">
        <v>108</v>
      </c>
      <c r="F96" t="s">
        <v>165</v>
      </c>
      <c r="G96" t="s">
        <v>3244</v>
      </c>
      <c r="H96" t="s">
        <v>111</v>
      </c>
      <c r="I96" t="s">
        <v>112</v>
      </c>
      <c r="J96" t="s">
        <v>112</v>
      </c>
      <c r="K96" t="s">
        <v>112</v>
      </c>
      <c r="L96" t="s">
        <v>150</v>
      </c>
      <c r="M96" t="s">
        <v>151</v>
      </c>
      <c r="N96" t="s">
        <v>112</v>
      </c>
      <c r="O96" t="s">
        <v>112</v>
      </c>
      <c r="P96">
        <v>1</v>
      </c>
      <c r="Q96">
        <v>0</v>
      </c>
      <c r="R96">
        <v>1</v>
      </c>
      <c r="S96">
        <v>36</v>
      </c>
      <c r="T96" t="s">
        <v>166</v>
      </c>
      <c r="U96" t="s">
        <v>152</v>
      </c>
      <c r="V96" t="s">
        <v>153</v>
      </c>
      <c r="W96" t="s">
        <v>154</v>
      </c>
      <c r="X96" t="s">
        <v>119</v>
      </c>
      <c r="Y96" t="s">
        <v>112</v>
      </c>
      <c r="Z96" t="s">
        <v>166</v>
      </c>
      <c r="AA96" t="s">
        <v>152</v>
      </c>
      <c r="AB96" t="s">
        <v>153</v>
      </c>
      <c r="AC96" t="s">
        <v>154</v>
      </c>
      <c r="AD96" t="s">
        <v>119</v>
      </c>
      <c r="AE96" t="s">
        <v>112</v>
      </c>
      <c r="AF96" t="s">
        <v>121</v>
      </c>
      <c r="AG96" t="s">
        <v>122</v>
      </c>
      <c r="AH96">
        <v>3793477.8</v>
      </c>
      <c r="AI96" t="s">
        <v>166</v>
      </c>
      <c r="AJ96" t="s">
        <v>152</v>
      </c>
      <c r="AK96" t="s">
        <v>153</v>
      </c>
      <c r="AL96" t="s">
        <v>154</v>
      </c>
      <c r="AM96" t="s">
        <v>119</v>
      </c>
      <c r="AN96" t="s">
        <v>112</v>
      </c>
      <c r="AO96" t="s">
        <v>121</v>
      </c>
      <c r="AP96" t="s">
        <v>122</v>
      </c>
      <c r="AQ96" t="s">
        <v>122</v>
      </c>
      <c r="AR96" t="s">
        <v>124</v>
      </c>
      <c r="AS96" t="s">
        <v>125</v>
      </c>
      <c r="AT96">
        <v>2</v>
      </c>
      <c r="AU96" t="s">
        <v>126</v>
      </c>
      <c r="AV96" t="s">
        <v>155</v>
      </c>
      <c r="AW96" t="s">
        <v>156</v>
      </c>
      <c r="AX96">
        <v>1</v>
      </c>
      <c r="AY96" t="s">
        <v>129</v>
      </c>
      <c r="AZ96">
        <v>45957.24</v>
      </c>
      <c r="BA96">
        <v>3465461</v>
      </c>
      <c r="BB96">
        <v>54710.57</v>
      </c>
      <c r="BC96">
        <v>75.406199999999998</v>
      </c>
      <c r="BD96" t="s">
        <v>130</v>
      </c>
      <c r="BE96" t="s">
        <v>112</v>
      </c>
      <c r="BF96" t="s">
        <v>157</v>
      </c>
      <c r="BG96" t="s">
        <v>133</v>
      </c>
      <c r="BH96" t="s">
        <v>167</v>
      </c>
      <c r="BI96" t="s">
        <v>168</v>
      </c>
      <c r="BJ96" t="s">
        <v>112</v>
      </c>
      <c r="BK96" t="s">
        <v>112</v>
      </c>
      <c r="BL96" t="s">
        <v>169</v>
      </c>
      <c r="BM96" t="s">
        <v>159</v>
      </c>
      <c r="BN96" t="s">
        <v>160</v>
      </c>
      <c r="BO96" t="s">
        <v>161</v>
      </c>
      <c r="BP96">
        <v>1</v>
      </c>
      <c r="BQ96" t="s">
        <v>170</v>
      </c>
      <c r="BR96" s="45">
        <f>ISNUMBER(SEARCH($BR$1,Таблица1[[#This Row],[31_1 Описание и характеристика товара]]))*1</f>
        <v>1</v>
      </c>
      <c r="BT96" t="s">
        <v>150</v>
      </c>
      <c r="BU96">
        <v>36</v>
      </c>
      <c r="BV96">
        <v>0</v>
      </c>
      <c r="BW96">
        <v>0</v>
      </c>
      <c r="BY96">
        <v>0</v>
      </c>
      <c r="CA96" t="s">
        <v>106</v>
      </c>
      <c r="CB96" t="s">
        <v>142</v>
      </c>
      <c r="CC96" t="s">
        <v>112</v>
      </c>
      <c r="CD96" t="s">
        <v>112</v>
      </c>
      <c r="CE96" t="s">
        <v>121</v>
      </c>
      <c r="CF96">
        <v>19386.87</v>
      </c>
      <c r="CG96" t="s">
        <v>144</v>
      </c>
      <c r="CH96">
        <v>4000000</v>
      </c>
      <c r="CI96">
        <v>19386.87</v>
      </c>
      <c r="CJ96">
        <v>0</v>
      </c>
      <c r="CK96" t="s">
        <v>112</v>
      </c>
      <c r="CL96" t="s">
        <v>112</v>
      </c>
      <c r="CM96">
        <v>45957.24</v>
      </c>
      <c r="CN96">
        <v>3465461</v>
      </c>
      <c r="CO96">
        <v>0</v>
      </c>
      <c r="CP96">
        <v>1</v>
      </c>
      <c r="CQ96">
        <v>3793477.8</v>
      </c>
      <c r="CR96">
        <v>54710.57</v>
      </c>
      <c r="CS96" t="s">
        <v>145</v>
      </c>
      <c r="CT96">
        <v>54709.747139999999</v>
      </c>
      <c r="CU96">
        <v>2.8220000000000001</v>
      </c>
      <c r="CV96">
        <v>45</v>
      </c>
      <c r="CW96" t="s">
        <v>171</v>
      </c>
      <c r="CX96" t="s">
        <v>172</v>
      </c>
      <c r="CY96">
        <v>137</v>
      </c>
    </row>
    <row r="97" spans="1:103" x14ac:dyDescent="0.25">
      <c r="A97" t="s">
        <v>106</v>
      </c>
      <c r="B97" s="38">
        <v>45024</v>
      </c>
      <c r="C97" s="43">
        <f>IF(YEAR(Таблица1[[#This Row],[Дата]])=2023,MONTH(Таблица1[[#This Row],[Дата]]),0)</f>
        <v>4</v>
      </c>
      <c r="D97" t="s">
        <v>1195</v>
      </c>
      <c r="E97" t="s">
        <v>108</v>
      </c>
      <c r="F97" t="s">
        <v>1196</v>
      </c>
      <c r="G97" t="s">
        <v>3244</v>
      </c>
      <c r="H97" t="s">
        <v>111</v>
      </c>
      <c r="I97" t="s">
        <v>112</v>
      </c>
      <c r="J97" t="s">
        <v>112</v>
      </c>
      <c r="K97" t="s">
        <v>112</v>
      </c>
      <c r="L97" t="s">
        <v>150</v>
      </c>
      <c r="M97" t="s">
        <v>151</v>
      </c>
      <c r="N97" t="s">
        <v>112</v>
      </c>
      <c r="O97" t="s">
        <v>112</v>
      </c>
      <c r="P97">
        <v>1</v>
      </c>
      <c r="R97">
        <v>1</v>
      </c>
      <c r="S97">
        <v>33</v>
      </c>
      <c r="T97" t="s">
        <v>112</v>
      </c>
      <c r="U97" t="s">
        <v>152</v>
      </c>
      <c r="V97" t="s">
        <v>153</v>
      </c>
      <c r="W97" t="s">
        <v>154</v>
      </c>
      <c r="X97" t="s">
        <v>119</v>
      </c>
      <c r="Y97" t="s">
        <v>112</v>
      </c>
      <c r="Z97" t="s">
        <v>112</v>
      </c>
      <c r="AA97" t="s">
        <v>152</v>
      </c>
      <c r="AB97" t="s">
        <v>153</v>
      </c>
      <c r="AC97" t="s">
        <v>154</v>
      </c>
      <c r="AD97" t="s">
        <v>119</v>
      </c>
      <c r="AE97" t="s">
        <v>112</v>
      </c>
      <c r="AF97" t="s">
        <v>121</v>
      </c>
      <c r="AG97" t="s">
        <v>122</v>
      </c>
      <c r="AH97">
        <v>4552514.95</v>
      </c>
      <c r="AI97" t="s">
        <v>112</v>
      </c>
      <c r="AJ97" t="s">
        <v>152</v>
      </c>
      <c r="AK97" t="s">
        <v>153</v>
      </c>
      <c r="AL97" t="s">
        <v>154</v>
      </c>
      <c r="AM97" t="s">
        <v>119</v>
      </c>
      <c r="AN97" t="s">
        <v>112</v>
      </c>
      <c r="AO97" t="s">
        <v>121</v>
      </c>
      <c r="AP97" t="s">
        <v>122</v>
      </c>
      <c r="AQ97" t="s">
        <v>122</v>
      </c>
      <c r="AR97" t="s">
        <v>124</v>
      </c>
      <c r="AS97" t="s">
        <v>125</v>
      </c>
      <c r="AT97">
        <v>2</v>
      </c>
      <c r="AU97" t="s">
        <v>126</v>
      </c>
      <c r="AV97" t="s">
        <v>155</v>
      </c>
      <c r="AW97" t="s">
        <v>156</v>
      </c>
      <c r="AY97" t="s">
        <v>129</v>
      </c>
      <c r="AZ97">
        <v>42211.28</v>
      </c>
      <c r="BC97">
        <v>97.065899999999999</v>
      </c>
      <c r="BD97" t="s">
        <v>112</v>
      </c>
      <c r="BE97" t="s">
        <v>112</v>
      </c>
      <c r="BF97" t="s">
        <v>157</v>
      </c>
      <c r="BG97" t="s">
        <v>133</v>
      </c>
      <c r="BH97" t="s">
        <v>134</v>
      </c>
      <c r="BI97" t="s">
        <v>112</v>
      </c>
      <c r="BJ97" t="s">
        <v>112</v>
      </c>
      <c r="BK97" t="s">
        <v>112</v>
      </c>
      <c r="BL97" t="s">
        <v>158</v>
      </c>
      <c r="BM97" t="s">
        <v>159</v>
      </c>
      <c r="BN97" t="s">
        <v>212</v>
      </c>
      <c r="BO97" t="s">
        <v>161</v>
      </c>
      <c r="BQ97" t="s">
        <v>205</v>
      </c>
      <c r="BR97" s="45">
        <f>ISNUMBER(SEARCH($BR$1,Таблица1[[#This Row],[31_1 Описание и характеристика товара]]))*1</f>
        <v>1</v>
      </c>
      <c r="BT97" t="s">
        <v>150</v>
      </c>
      <c r="BU97">
        <v>33</v>
      </c>
      <c r="BV97">
        <v>0</v>
      </c>
      <c r="BW97">
        <v>0</v>
      </c>
      <c r="BY97">
        <v>0</v>
      </c>
      <c r="CA97" t="s">
        <v>106</v>
      </c>
      <c r="CB97" t="s">
        <v>142</v>
      </c>
      <c r="CC97" t="s">
        <v>112</v>
      </c>
      <c r="CD97" t="s">
        <v>112</v>
      </c>
      <c r="CE97" t="s">
        <v>121</v>
      </c>
      <c r="CF97">
        <v>16953.12</v>
      </c>
      <c r="CG97" t="s">
        <v>144</v>
      </c>
      <c r="CH97">
        <v>4000000</v>
      </c>
      <c r="CI97">
        <v>16845.12</v>
      </c>
      <c r="CJ97">
        <v>0</v>
      </c>
      <c r="CK97" t="s">
        <v>112</v>
      </c>
      <c r="CL97" t="s">
        <v>112</v>
      </c>
      <c r="CM97">
        <v>42211.28</v>
      </c>
      <c r="CO97">
        <v>0</v>
      </c>
      <c r="CP97">
        <v>1</v>
      </c>
      <c r="CQ97">
        <v>4552514.95</v>
      </c>
      <c r="CR97">
        <v>51376.87</v>
      </c>
      <c r="CS97" t="s">
        <v>145</v>
      </c>
      <c r="CT97">
        <v>51377.615999999995</v>
      </c>
      <c r="CU97">
        <v>3.05</v>
      </c>
      <c r="CV97">
        <v>45</v>
      </c>
      <c r="CX97" t="s">
        <v>233</v>
      </c>
      <c r="CY97">
        <v>128</v>
      </c>
    </row>
    <row r="98" spans="1:103" x14ac:dyDescent="0.25">
      <c r="A98" t="s">
        <v>106</v>
      </c>
      <c r="B98" s="38">
        <v>45106</v>
      </c>
      <c r="C98" s="43">
        <f>IF(YEAR(Таблица1[[#This Row],[Дата]])=2023,MONTH(Таблица1[[#This Row],[Дата]]),0)</f>
        <v>6</v>
      </c>
      <c r="D98" t="s">
        <v>1207</v>
      </c>
      <c r="E98" t="s">
        <v>108</v>
      </c>
      <c r="F98" t="s">
        <v>1208</v>
      </c>
      <c r="G98" t="s">
        <v>3244</v>
      </c>
      <c r="H98" t="s">
        <v>111</v>
      </c>
      <c r="I98" t="s">
        <v>112</v>
      </c>
      <c r="J98" t="s">
        <v>112</v>
      </c>
      <c r="K98" t="s">
        <v>112</v>
      </c>
      <c r="L98" t="s">
        <v>150</v>
      </c>
      <c r="M98" t="s">
        <v>151</v>
      </c>
      <c r="N98" t="s">
        <v>112</v>
      </c>
      <c r="O98" t="s">
        <v>112</v>
      </c>
      <c r="P98">
        <v>1</v>
      </c>
      <c r="R98">
        <v>1</v>
      </c>
      <c r="S98">
        <v>33</v>
      </c>
      <c r="T98" t="s">
        <v>112</v>
      </c>
      <c r="U98" t="s">
        <v>152</v>
      </c>
      <c r="V98" t="s">
        <v>153</v>
      </c>
      <c r="W98" t="s">
        <v>154</v>
      </c>
      <c r="X98" t="s">
        <v>119</v>
      </c>
      <c r="Y98" t="s">
        <v>112</v>
      </c>
      <c r="Z98" t="s">
        <v>112</v>
      </c>
      <c r="AA98" t="s">
        <v>152</v>
      </c>
      <c r="AB98" t="s">
        <v>153</v>
      </c>
      <c r="AC98" t="s">
        <v>154</v>
      </c>
      <c r="AD98" t="s">
        <v>119</v>
      </c>
      <c r="AE98" t="s">
        <v>112</v>
      </c>
      <c r="AF98" t="s">
        <v>121</v>
      </c>
      <c r="AG98" t="s">
        <v>122</v>
      </c>
      <c r="AH98">
        <v>4132566.13</v>
      </c>
      <c r="AI98" t="s">
        <v>112</v>
      </c>
      <c r="AJ98" t="s">
        <v>152</v>
      </c>
      <c r="AK98" t="s">
        <v>153</v>
      </c>
      <c r="AL98" t="s">
        <v>154</v>
      </c>
      <c r="AM98" t="s">
        <v>119</v>
      </c>
      <c r="AN98" t="s">
        <v>112</v>
      </c>
      <c r="AO98" t="s">
        <v>121</v>
      </c>
      <c r="AP98" t="s">
        <v>122</v>
      </c>
      <c r="AQ98" t="s">
        <v>122</v>
      </c>
      <c r="AR98" t="s">
        <v>124</v>
      </c>
      <c r="AS98" t="s">
        <v>125</v>
      </c>
      <c r="AT98">
        <v>2</v>
      </c>
      <c r="AU98" t="s">
        <v>126</v>
      </c>
      <c r="AV98" t="s">
        <v>155</v>
      </c>
      <c r="AW98" t="s">
        <v>156</v>
      </c>
      <c r="AY98" t="s">
        <v>129</v>
      </c>
      <c r="AZ98">
        <v>38584.85</v>
      </c>
      <c r="BC98">
        <v>97.065899999999999</v>
      </c>
      <c r="BD98" t="s">
        <v>112</v>
      </c>
      <c r="BE98" t="s">
        <v>112</v>
      </c>
      <c r="BF98" t="s">
        <v>157</v>
      </c>
      <c r="BG98" t="s">
        <v>133</v>
      </c>
      <c r="BH98" t="s">
        <v>134</v>
      </c>
      <c r="BI98" t="s">
        <v>112</v>
      </c>
      <c r="BJ98" t="s">
        <v>112</v>
      </c>
      <c r="BK98" t="s">
        <v>112</v>
      </c>
      <c r="BL98" t="s">
        <v>158</v>
      </c>
      <c r="BM98" t="s">
        <v>159</v>
      </c>
      <c r="BN98" t="s">
        <v>212</v>
      </c>
      <c r="BO98" t="s">
        <v>161</v>
      </c>
      <c r="BQ98" t="s">
        <v>466</v>
      </c>
      <c r="BR98" s="45">
        <f>ISNUMBER(SEARCH($BR$1,Таблица1[[#This Row],[31_1 Описание и характеристика товара]]))*1</f>
        <v>1</v>
      </c>
      <c r="BT98" t="s">
        <v>150</v>
      </c>
      <c r="BU98">
        <v>33</v>
      </c>
      <c r="BV98">
        <v>0</v>
      </c>
      <c r="BW98">
        <v>0</v>
      </c>
      <c r="BY98">
        <v>0</v>
      </c>
      <c r="CA98" t="s">
        <v>106</v>
      </c>
      <c r="CB98" t="s">
        <v>142</v>
      </c>
      <c r="CC98" t="s">
        <v>112</v>
      </c>
      <c r="CD98" t="s">
        <v>112</v>
      </c>
      <c r="CE98" t="s">
        <v>121</v>
      </c>
      <c r="CF98">
        <v>16498.810000000001</v>
      </c>
      <c r="CG98" t="s">
        <v>144</v>
      </c>
      <c r="CH98">
        <v>4000000</v>
      </c>
      <c r="CI98">
        <v>16498.810000000001</v>
      </c>
      <c r="CJ98">
        <v>0</v>
      </c>
      <c r="CK98" t="s">
        <v>112</v>
      </c>
      <c r="CL98" t="s">
        <v>112</v>
      </c>
      <c r="CM98">
        <v>38584.85</v>
      </c>
      <c r="CO98">
        <v>0</v>
      </c>
      <c r="CP98">
        <v>1</v>
      </c>
      <c r="CQ98">
        <v>4132566.13</v>
      </c>
      <c r="CR98">
        <v>46637.59</v>
      </c>
      <c r="CS98" t="s">
        <v>145</v>
      </c>
      <c r="CT98">
        <v>46691.632300000005</v>
      </c>
      <c r="CU98">
        <v>2.83</v>
      </c>
      <c r="CV98">
        <v>45</v>
      </c>
      <c r="CX98" t="s">
        <v>729</v>
      </c>
      <c r="CY98">
        <v>128</v>
      </c>
    </row>
    <row r="99" spans="1:103" x14ac:dyDescent="0.25">
      <c r="A99" t="s">
        <v>106</v>
      </c>
      <c r="B99" s="38">
        <v>45142</v>
      </c>
      <c r="C99" s="43">
        <f>IF(YEAR(Таблица1[[#This Row],[Дата]])=2023,MONTH(Таблица1[[#This Row],[Дата]]),0)</f>
        <v>8</v>
      </c>
      <c r="D99" t="s">
        <v>1193</v>
      </c>
      <c r="E99" t="s">
        <v>108</v>
      </c>
      <c r="F99" t="s">
        <v>1194</v>
      </c>
      <c r="G99" t="s">
        <v>3244</v>
      </c>
      <c r="H99" t="s">
        <v>111</v>
      </c>
      <c r="I99" t="s">
        <v>112</v>
      </c>
      <c r="J99" t="s">
        <v>112</v>
      </c>
      <c r="K99" t="s">
        <v>112</v>
      </c>
      <c r="L99" t="s">
        <v>150</v>
      </c>
      <c r="M99" t="s">
        <v>151</v>
      </c>
      <c r="N99" t="s">
        <v>112</v>
      </c>
      <c r="O99" t="s">
        <v>112</v>
      </c>
      <c r="P99">
        <v>1</v>
      </c>
      <c r="R99">
        <v>1</v>
      </c>
      <c r="S99">
        <v>33</v>
      </c>
      <c r="T99" t="s">
        <v>112</v>
      </c>
      <c r="U99" t="s">
        <v>152</v>
      </c>
      <c r="V99" t="s">
        <v>153</v>
      </c>
      <c r="W99" t="s">
        <v>154</v>
      </c>
      <c r="X99" t="s">
        <v>119</v>
      </c>
      <c r="Y99" t="s">
        <v>112</v>
      </c>
      <c r="Z99" t="s">
        <v>112</v>
      </c>
      <c r="AA99" t="s">
        <v>152</v>
      </c>
      <c r="AB99" t="s">
        <v>153</v>
      </c>
      <c r="AC99" t="s">
        <v>154</v>
      </c>
      <c r="AD99" t="s">
        <v>119</v>
      </c>
      <c r="AE99" t="s">
        <v>112</v>
      </c>
      <c r="AF99" t="s">
        <v>121</v>
      </c>
      <c r="AG99" t="s">
        <v>122</v>
      </c>
      <c r="AH99">
        <v>4440939.6399999997</v>
      </c>
      <c r="AI99" t="s">
        <v>112</v>
      </c>
      <c r="AJ99" t="s">
        <v>152</v>
      </c>
      <c r="AK99" t="s">
        <v>153</v>
      </c>
      <c r="AL99" t="s">
        <v>154</v>
      </c>
      <c r="AM99" t="s">
        <v>119</v>
      </c>
      <c r="AN99" t="s">
        <v>112</v>
      </c>
      <c r="AO99" t="s">
        <v>121</v>
      </c>
      <c r="AP99" t="s">
        <v>122</v>
      </c>
      <c r="AQ99" t="s">
        <v>122</v>
      </c>
      <c r="AR99" t="s">
        <v>124</v>
      </c>
      <c r="AS99" t="s">
        <v>125</v>
      </c>
      <c r="AT99">
        <v>2</v>
      </c>
      <c r="AU99" t="s">
        <v>126</v>
      </c>
      <c r="AV99" t="s">
        <v>155</v>
      </c>
      <c r="AW99" t="s">
        <v>156</v>
      </c>
      <c r="AY99" t="s">
        <v>129</v>
      </c>
      <c r="AZ99">
        <v>41761.800000000003</v>
      </c>
      <c r="BC99">
        <v>97.065899999999999</v>
      </c>
      <c r="BD99" t="s">
        <v>112</v>
      </c>
      <c r="BE99" t="s">
        <v>112</v>
      </c>
      <c r="BF99" t="s">
        <v>157</v>
      </c>
      <c r="BG99" t="s">
        <v>133</v>
      </c>
      <c r="BH99" t="s">
        <v>134</v>
      </c>
      <c r="BI99" t="s">
        <v>112</v>
      </c>
      <c r="BJ99" t="s">
        <v>112</v>
      </c>
      <c r="BK99" t="s">
        <v>112</v>
      </c>
      <c r="BL99" t="s">
        <v>158</v>
      </c>
      <c r="BM99" t="s">
        <v>159</v>
      </c>
      <c r="BN99" t="s">
        <v>212</v>
      </c>
      <c r="BO99" t="s">
        <v>161</v>
      </c>
      <c r="BQ99" t="s">
        <v>232</v>
      </c>
      <c r="BR99" s="45">
        <f>ISNUMBER(SEARCH($BR$1,Таблица1[[#This Row],[31_1 Описание и характеристика товара]]))*1</f>
        <v>1</v>
      </c>
      <c r="BT99" t="s">
        <v>150</v>
      </c>
      <c r="BU99">
        <v>33</v>
      </c>
      <c r="BV99">
        <v>0</v>
      </c>
      <c r="BW99">
        <v>0</v>
      </c>
      <c r="BY99">
        <v>0</v>
      </c>
      <c r="CA99" t="s">
        <v>106</v>
      </c>
      <c r="CB99" t="s">
        <v>142</v>
      </c>
      <c r="CC99" t="s">
        <v>112</v>
      </c>
      <c r="CD99" t="s">
        <v>112</v>
      </c>
      <c r="CE99" t="s">
        <v>121</v>
      </c>
      <c r="CF99">
        <v>16665.48</v>
      </c>
      <c r="CG99" t="s">
        <v>144</v>
      </c>
      <c r="CH99">
        <v>4000000</v>
      </c>
      <c r="CI99">
        <v>16557.48</v>
      </c>
      <c r="CJ99">
        <v>0</v>
      </c>
      <c r="CK99" t="s">
        <v>112</v>
      </c>
      <c r="CL99" t="s">
        <v>112</v>
      </c>
      <c r="CM99">
        <v>41761.800000000003</v>
      </c>
      <c r="CO99">
        <v>0</v>
      </c>
      <c r="CP99">
        <v>1</v>
      </c>
      <c r="CQ99">
        <v>4440939.6399999997</v>
      </c>
      <c r="CR99">
        <v>50117.7</v>
      </c>
      <c r="CS99" t="s">
        <v>145</v>
      </c>
      <c r="CT99">
        <v>50169.164399999994</v>
      </c>
      <c r="CU99">
        <v>3.03</v>
      </c>
      <c r="CV99">
        <v>45</v>
      </c>
      <c r="CX99" t="s">
        <v>1140</v>
      </c>
      <c r="CY99">
        <v>52</v>
      </c>
    </row>
    <row r="100" spans="1:103" x14ac:dyDescent="0.25">
      <c r="A100" t="s">
        <v>106</v>
      </c>
      <c r="B100" s="38">
        <v>45107</v>
      </c>
      <c r="C100" s="43">
        <f>IF(YEAR(Таблица1[[#This Row],[Дата]])=2023,MONTH(Таблица1[[#This Row],[Дата]]),0)</f>
        <v>6</v>
      </c>
      <c r="D100" t="s">
        <v>1162</v>
      </c>
      <c r="E100" t="s">
        <v>108</v>
      </c>
      <c r="F100" t="s">
        <v>1163</v>
      </c>
      <c r="G100" t="s">
        <v>3244</v>
      </c>
      <c r="H100" t="s">
        <v>111</v>
      </c>
      <c r="I100" t="s">
        <v>112</v>
      </c>
      <c r="J100" t="s">
        <v>112</v>
      </c>
      <c r="K100" t="s">
        <v>112</v>
      </c>
      <c r="L100" t="s">
        <v>150</v>
      </c>
      <c r="M100" t="s">
        <v>151</v>
      </c>
      <c r="N100" t="s">
        <v>112</v>
      </c>
      <c r="O100" t="s">
        <v>112</v>
      </c>
      <c r="P100">
        <v>1</v>
      </c>
      <c r="R100">
        <v>1</v>
      </c>
      <c r="S100">
        <v>33</v>
      </c>
      <c r="T100" t="s">
        <v>112</v>
      </c>
      <c r="U100" t="s">
        <v>152</v>
      </c>
      <c r="V100" t="s">
        <v>153</v>
      </c>
      <c r="W100" t="s">
        <v>154</v>
      </c>
      <c r="X100" t="s">
        <v>119</v>
      </c>
      <c r="Y100" t="s">
        <v>112</v>
      </c>
      <c r="Z100" t="s">
        <v>112</v>
      </c>
      <c r="AA100" t="s">
        <v>152</v>
      </c>
      <c r="AB100" t="s">
        <v>153</v>
      </c>
      <c r="AC100" t="s">
        <v>154</v>
      </c>
      <c r="AD100" t="s">
        <v>119</v>
      </c>
      <c r="AE100" t="s">
        <v>112</v>
      </c>
      <c r="AF100" t="s">
        <v>121</v>
      </c>
      <c r="AG100" t="s">
        <v>122</v>
      </c>
      <c r="AH100">
        <v>4283854.9800000004</v>
      </c>
      <c r="AI100" t="s">
        <v>112</v>
      </c>
      <c r="AJ100" t="s">
        <v>152</v>
      </c>
      <c r="AK100" t="s">
        <v>153</v>
      </c>
      <c r="AL100" t="s">
        <v>154</v>
      </c>
      <c r="AM100" t="s">
        <v>119</v>
      </c>
      <c r="AN100" t="s">
        <v>112</v>
      </c>
      <c r="AO100" t="s">
        <v>121</v>
      </c>
      <c r="AP100" t="s">
        <v>122</v>
      </c>
      <c r="AQ100" t="s">
        <v>122</v>
      </c>
      <c r="AR100" t="s">
        <v>124</v>
      </c>
      <c r="AS100" t="s">
        <v>125</v>
      </c>
      <c r="AT100">
        <v>2</v>
      </c>
      <c r="AU100" t="s">
        <v>126</v>
      </c>
      <c r="AV100" t="s">
        <v>155</v>
      </c>
      <c r="AW100" t="s">
        <v>156</v>
      </c>
      <c r="AY100" t="s">
        <v>129</v>
      </c>
      <c r="AZ100">
        <v>40143.47</v>
      </c>
      <c r="BC100">
        <v>97.065899999999999</v>
      </c>
      <c r="BD100" t="s">
        <v>112</v>
      </c>
      <c r="BE100" t="s">
        <v>112</v>
      </c>
      <c r="BF100" t="s">
        <v>157</v>
      </c>
      <c r="BG100" t="s">
        <v>133</v>
      </c>
      <c r="BH100" t="s">
        <v>134</v>
      </c>
      <c r="BI100" t="s">
        <v>112</v>
      </c>
      <c r="BJ100" t="s">
        <v>112</v>
      </c>
      <c r="BK100" t="s">
        <v>112</v>
      </c>
      <c r="BL100" t="s">
        <v>158</v>
      </c>
      <c r="BM100" t="s">
        <v>159</v>
      </c>
      <c r="BN100" t="s">
        <v>212</v>
      </c>
      <c r="BO100" t="s">
        <v>161</v>
      </c>
      <c r="BQ100" t="s">
        <v>616</v>
      </c>
      <c r="BR100" s="45">
        <f>ISNUMBER(SEARCH($BR$1,Таблица1[[#This Row],[31_1 Описание и характеристика товара]]))*1</f>
        <v>1</v>
      </c>
      <c r="BT100" t="s">
        <v>150</v>
      </c>
      <c r="BU100">
        <v>33</v>
      </c>
      <c r="BV100">
        <v>0</v>
      </c>
      <c r="BW100">
        <v>0</v>
      </c>
      <c r="BY100">
        <v>0</v>
      </c>
      <c r="CA100" t="s">
        <v>106</v>
      </c>
      <c r="CB100" t="s">
        <v>142</v>
      </c>
      <c r="CC100" t="s">
        <v>112</v>
      </c>
      <c r="CD100" t="s">
        <v>112</v>
      </c>
      <c r="CE100" t="s">
        <v>121</v>
      </c>
      <c r="CF100">
        <v>16158.71</v>
      </c>
      <c r="CG100" t="s">
        <v>144</v>
      </c>
      <c r="CH100">
        <v>4000000</v>
      </c>
      <c r="CI100">
        <v>15964.31</v>
      </c>
      <c r="CJ100">
        <v>0</v>
      </c>
      <c r="CK100" t="s">
        <v>112</v>
      </c>
      <c r="CL100" t="s">
        <v>112</v>
      </c>
      <c r="CM100">
        <v>40143.47</v>
      </c>
      <c r="CO100">
        <v>0</v>
      </c>
      <c r="CP100">
        <v>1</v>
      </c>
      <c r="CQ100">
        <v>4283854.9800000004</v>
      </c>
      <c r="CR100">
        <v>48344.94</v>
      </c>
      <c r="CS100" t="s">
        <v>145</v>
      </c>
      <c r="CT100">
        <v>48371.859299999996</v>
      </c>
      <c r="CU100">
        <v>3.03</v>
      </c>
      <c r="CV100">
        <v>45</v>
      </c>
      <c r="CX100" t="s">
        <v>1140</v>
      </c>
      <c r="CY100">
        <v>108</v>
      </c>
    </row>
    <row r="101" spans="1:103" x14ac:dyDescent="0.25">
      <c r="A101" t="s">
        <v>106</v>
      </c>
      <c r="B101" s="38">
        <v>45219</v>
      </c>
      <c r="C101" s="43">
        <f>IF(YEAR(Таблица1[[#This Row],[Дата]])=2023,MONTH(Таблица1[[#This Row],[Дата]]),0)</f>
        <v>10</v>
      </c>
      <c r="D101" t="s">
        <v>1201</v>
      </c>
      <c r="E101" t="s">
        <v>108</v>
      </c>
      <c r="F101" t="s">
        <v>1202</v>
      </c>
      <c r="G101" t="s">
        <v>3244</v>
      </c>
      <c r="H101" t="s">
        <v>111</v>
      </c>
      <c r="I101" t="s">
        <v>112</v>
      </c>
      <c r="J101" t="s">
        <v>112</v>
      </c>
      <c r="K101" t="s">
        <v>112</v>
      </c>
      <c r="L101" t="s">
        <v>150</v>
      </c>
      <c r="M101" t="s">
        <v>151</v>
      </c>
      <c r="N101" t="s">
        <v>112</v>
      </c>
      <c r="O101" t="s">
        <v>112</v>
      </c>
      <c r="P101">
        <v>1</v>
      </c>
      <c r="R101">
        <v>1</v>
      </c>
      <c r="S101">
        <v>33</v>
      </c>
      <c r="T101" t="s">
        <v>112</v>
      </c>
      <c r="U101" t="s">
        <v>152</v>
      </c>
      <c r="V101" t="s">
        <v>153</v>
      </c>
      <c r="W101" t="s">
        <v>154</v>
      </c>
      <c r="X101" t="s">
        <v>119</v>
      </c>
      <c r="Y101" t="s">
        <v>112</v>
      </c>
      <c r="Z101" t="s">
        <v>112</v>
      </c>
      <c r="AA101" t="s">
        <v>152</v>
      </c>
      <c r="AB101" t="s">
        <v>153</v>
      </c>
      <c r="AC101" t="s">
        <v>154</v>
      </c>
      <c r="AD101" t="s">
        <v>119</v>
      </c>
      <c r="AE101" t="s">
        <v>112</v>
      </c>
      <c r="AF101" t="s">
        <v>121</v>
      </c>
      <c r="AG101" t="s">
        <v>122</v>
      </c>
      <c r="AH101">
        <v>4113584.9</v>
      </c>
      <c r="AI101" t="s">
        <v>112</v>
      </c>
      <c r="AJ101" t="s">
        <v>152</v>
      </c>
      <c r="AK101" t="s">
        <v>153</v>
      </c>
      <c r="AL101" t="s">
        <v>154</v>
      </c>
      <c r="AM101" t="s">
        <v>119</v>
      </c>
      <c r="AN101" t="s">
        <v>112</v>
      </c>
      <c r="AO101" t="s">
        <v>121</v>
      </c>
      <c r="AP101" t="s">
        <v>122</v>
      </c>
      <c r="AQ101" t="s">
        <v>122</v>
      </c>
      <c r="AR101" t="s">
        <v>124</v>
      </c>
      <c r="AS101" t="s">
        <v>125</v>
      </c>
      <c r="AT101">
        <v>2</v>
      </c>
      <c r="AU101" t="s">
        <v>126</v>
      </c>
      <c r="AV101" t="s">
        <v>155</v>
      </c>
      <c r="AW101" t="s">
        <v>156</v>
      </c>
      <c r="AY101" t="s">
        <v>129</v>
      </c>
      <c r="AZ101">
        <v>37859.300000000003</v>
      </c>
      <c r="BC101">
        <v>97.065899999999999</v>
      </c>
      <c r="BD101" t="s">
        <v>112</v>
      </c>
      <c r="BE101" t="s">
        <v>112</v>
      </c>
      <c r="BF101" t="s">
        <v>157</v>
      </c>
      <c r="BG101" t="s">
        <v>133</v>
      </c>
      <c r="BH101" t="s">
        <v>134</v>
      </c>
      <c r="BI101" t="s">
        <v>112</v>
      </c>
      <c r="BJ101" t="s">
        <v>112</v>
      </c>
      <c r="BK101" t="s">
        <v>112</v>
      </c>
      <c r="BL101" t="s">
        <v>158</v>
      </c>
      <c r="BM101" t="s">
        <v>159</v>
      </c>
      <c r="BN101" t="s">
        <v>212</v>
      </c>
      <c r="BO101" t="s">
        <v>161</v>
      </c>
      <c r="BQ101" t="s">
        <v>466</v>
      </c>
      <c r="BR101" s="45">
        <f>ISNUMBER(SEARCH($BR$1,Таблица1[[#This Row],[31_1 Описание и характеристика товара]]))*1</f>
        <v>1</v>
      </c>
      <c r="BT101" t="s">
        <v>150</v>
      </c>
      <c r="BU101">
        <v>33</v>
      </c>
      <c r="BV101">
        <v>0</v>
      </c>
      <c r="BW101">
        <v>0</v>
      </c>
      <c r="BY101">
        <v>0</v>
      </c>
      <c r="CA101" t="s">
        <v>106</v>
      </c>
      <c r="CB101" t="s">
        <v>142</v>
      </c>
      <c r="CC101" t="s">
        <v>112</v>
      </c>
      <c r="CD101" t="s">
        <v>112</v>
      </c>
      <c r="CE101" t="s">
        <v>121</v>
      </c>
      <c r="CF101">
        <v>16573.22</v>
      </c>
      <c r="CG101" t="s">
        <v>144</v>
      </c>
      <c r="CH101">
        <v>4000000</v>
      </c>
      <c r="CI101">
        <v>16573.22</v>
      </c>
      <c r="CJ101">
        <v>0</v>
      </c>
      <c r="CK101" t="s">
        <v>112</v>
      </c>
      <c r="CL101" t="s">
        <v>112</v>
      </c>
      <c r="CM101">
        <v>37859.300000000003</v>
      </c>
      <c r="CO101">
        <v>0</v>
      </c>
      <c r="CP101">
        <v>1</v>
      </c>
      <c r="CQ101">
        <v>4113584.9</v>
      </c>
      <c r="CR101">
        <v>46423.38</v>
      </c>
      <c r="CS101" t="s">
        <v>145</v>
      </c>
      <c r="CT101">
        <v>46405.016000000003</v>
      </c>
      <c r="CU101">
        <v>2.8</v>
      </c>
      <c r="CV101">
        <v>45</v>
      </c>
      <c r="CX101" t="s">
        <v>729</v>
      </c>
      <c r="CY101">
        <v>212</v>
      </c>
    </row>
    <row r="102" spans="1:103" x14ac:dyDescent="0.25">
      <c r="A102" t="s">
        <v>106</v>
      </c>
      <c r="B102" s="38">
        <v>45147</v>
      </c>
      <c r="C102" s="43">
        <f>IF(YEAR(Таблица1[[#This Row],[Дата]])=2023,MONTH(Таблица1[[#This Row],[Дата]]),0)</f>
        <v>8</v>
      </c>
      <c r="D102" t="s">
        <v>1152</v>
      </c>
      <c r="E102" t="s">
        <v>108</v>
      </c>
      <c r="F102" t="s">
        <v>1153</v>
      </c>
      <c r="G102" t="s">
        <v>3244</v>
      </c>
      <c r="H102" t="s">
        <v>111</v>
      </c>
      <c r="I102" t="s">
        <v>112</v>
      </c>
      <c r="J102" t="s">
        <v>112</v>
      </c>
      <c r="K102" t="s">
        <v>112</v>
      </c>
      <c r="L102" t="s">
        <v>150</v>
      </c>
      <c r="M102" t="s">
        <v>151</v>
      </c>
      <c r="N102" t="s">
        <v>112</v>
      </c>
      <c r="O102" t="s">
        <v>112</v>
      </c>
      <c r="P102">
        <v>1</v>
      </c>
      <c r="R102">
        <v>1</v>
      </c>
      <c r="S102">
        <v>33</v>
      </c>
      <c r="T102" t="s">
        <v>112</v>
      </c>
      <c r="U102" t="s">
        <v>152</v>
      </c>
      <c r="V102" t="s">
        <v>153</v>
      </c>
      <c r="W102" t="s">
        <v>154</v>
      </c>
      <c r="X102" t="s">
        <v>119</v>
      </c>
      <c r="Y102" t="s">
        <v>112</v>
      </c>
      <c r="Z102" t="s">
        <v>112</v>
      </c>
      <c r="AA102" t="s">
        <v>152</v>
      </c>
      <c r="AB102" t="s">
        <v>153</v>
      </c>
      <c r="AC102" t="s">
        <v>154</v>
      </c>
      <c r="AD102" t="s">
        <v>119</v>
      </c>
      <c r="AE102" t="s">
        <v>112</v>
      </c>
      <c r="AF102" t="s">
        <v>121</v>
      </c>
      <c r="AG102" t="s">
        <v>122</v>
      </c>
      <c r="AH102">
        <v>4193580.79</v>
      </c>
      <c r="AI102" t="s">
        <v>112</v>
      </c>
      <c r="AJ102" t="s">
        <v>152</v>
      </c>
      <c r="AK102" t="s">
        <v>153</v>
      </c>
      <c r="AL102" t="s">
        <v>154</v>
      </c>
      <c r="AM102" t="s">
        <v>119</v>
      </c>
      <c r="AN102" t="s">
        <v>112</v>
      </c>
      <c r="AO102" t="s">
        <v>121</v>
      </c>
      <c r="AP102" t="s">
        <v>122</v>
      </c>
      <c r="AQ102" t="s">
        <v>122</v>
      </c>
      <c r="AR102" t="s">
        <v>124</v>
      </c>
      <c r="AS102" t="s">
        <v>125</v>
      </c>
      <c r="AT102">
        <v>2</v>
      </c>
      <c r="AU102" t="s">
        <v>126</v>
      </c>
      <c r="AV102" t="s">
        <v>155</v>
      </c>
      <c r="AW102" t="s">
        <v>156</v>
      </c>
      <c r="AY102" t="s">
        <v>129</v>
      </c>
      <c r="AZ102">
        <v>38683.440000000002</v>
      </c>
      <c r="BC102">
        <v>97.065899999999999</v>
      </c>
      <c r="BD102" t="s">
        <v>112</v>
      </c>
      <c r="BE102" t="s">
        <v>112</v>
      </c>
      <c r="BF102" t="s">
        <v>157</v>
      </c>
      <c r="BG102" t="s">
        <v>133</v>
      </c>
      <c r="BH102" t="s">
        <v>134</v>
      </c>
      <c r="BI102" t="s">
        <v>112</v>
      </c>
      <c r="BJ102" t="s">
        <v>112</v>
      </c>
      <c r="BK102" t="s">
        <v>112</v>
      </c>
      <c r="BL102" t="s">
        <v>158</v>
      </c>
      <c r="BM102" t="s">
        <v>159</v>
      </c>
      <c r="BN102" t="s">
        <v>212</v>
      </c>
      <c r="BO102" t="s">
        <v>161</v>
      </c>
      <c r="BQ102" t="s">
        <v>205</v>
      </c>
      <c r="BR102" s="45">
        <f>ISNUMBER(SEARCH($BR$1,Таблица1[[#This Row],[31_1 Описание и характеристика товара]]))*1</f>
        <v>1</v>
      </c>
      <c r="BT102" t="s">
        <v>150</v>
      </c>
      <c r="BU102">
        <v>33</v>
      </c>
      <c r="BV102">
        <v>0</v>
      </c>
      <c r="BW102">
        <v>0</v>
      </c>
      <c r="BY102">
        <v>0</v>
      </c>
      <c r="CA102" t="s">
        <v>106</v>
      </c>
      <c r="CB102" t="s">
        <v>142</v>
      </c>
      <c r="CC102" t="s">
        <v>112</v>
      </c>
      <c r="CD102" t="s">
        <v>112</v>
      </c>
      <c r="CE102" t="s">
        <v>121</v>
      </c>
      <c r="CF102">
        <v>17137.689999999999</v>
      </c>
      <c r="CG102" t="s">
        <v>144</v>
      </c>
      <c r="CH102">
        <v>4000000</v>
      </c>
      <c r="CI102">
        <v>17137.689999999999</v>
      </c>
      <c r="CJ102">
        <v>0</v>
      </c>
      <c r="CK102" t="s">
        <v>112</v>
      </c>
      <c r="CL102" t="s">
        <v>112</v>
      </c>
      <c r="CM102">
        <v>38683.440000000002</v>
      </c>
      <c r="CO102">
        <v>0</v>
      </c>
      <c r="CP102">
        <v>1</v>
      </c>
      <c r="CQ102">
        <v>4193580.79</v>
      </c>
      <c r="CR102">
        <v>47326.16</v>
      </c>
      <c r="CS102" t="s">
        <v>145</v>
      </c>
      <c r="CT102">
        <v>47300.024399999995</v>
      </c>
      <c r="CU102">
        <v>2.76</v>
      </c>
      <c r="CV102">
        <v>45</v>
      </c>
      <c r="CX102" t="s">
        <v>233</v>
      </c>
      <c r="CY102">
        <v>150</v>
      </c>
    </row>
    <row r="103" spans="1:103" x14ac:dyDescent="0.25">
      <c r="A103" t="s">
        <v>106</v>
      </c>
      <c r="B103" s="38">
        <v>44794</v>
      </c>
      <c r="C103" s="43">
        <f>IF(YEAR(Таблица1[[#This Row],[Дата]])=2023,MONTH(Таблица1[[#This Row],[Дата]]),0)</f>
        <v>0</v>
      </c>
      <c r="D103" t="s">
        <v>2065</v>
      </c>
      <c r="E103" t="s">
        <v>108</v>
      </c>
      <c r="F103" t="s">
        <v>2066</v>
      </c>
      <c r="G103" t="s">
        <v>3244</v>
      </c>
      <c r="H103" t="s">
        <v>111</v>
      </c>
      <c r="I103" t="s">
        <v>112</v>
      </c>
      <c r="J103" t="s">
        <v>112</v>
      </c>
      <c r="K103" t="s">
        <v>112</v>
      </c>
      <c r="L103" t="s">
        <v>150</v>
      </c>
      <c r="M103" t="s">
        <v>151</v>
      </c>
      <c r="N103" t="s">
        <v>112</v>
      </c>
      <c r="O103" t="s">
        <v>112</v>
      </c>
      <c r="P103">
        <v>1</v>
      </c>
      <c r="R103">
        <v>1</v>
      </c>
      <c r="S103">
        <v>33</v>
      </c>
      <c r="T103" t="s">
        <v>112</v>
      </c>
      <c r="U103" t="s">
        <v>152</v>
      </c>
      <c r="V103" t="s">
        <v>153</v>
      </c>
      <c r="W103" t="s">
        <v>154</v>
      </c>
      <c r="X103" t="s">
        <v>119</v>
      </c>
      <c r="Y103" t="s">
        <v>112</v>
      </c>
      <c r="Z103" t="s">
        <v>112</v>
      </c>
      <c r="AA103" t="s">
        <v>152</v>
      </c>
      <c r="AB103" t="s">
        <v>153</v>
      </c>
      <c r="AC103" t="s">
        <v>154</v>
      </c>
      <c r="AD103" t="s">
        <v>119</v>
      </c>
      <c r="AE103" t="s">
        <v>112</v>
      </c>
      <c r="AF103" t="s">
        <v>121</v>
      </c>
      <c r="AG103" t="s">
        <v>122</v>
      </c>
      <c r="AH103">
        <v>4050730.1</v>
      </c>
      <c r="AI103" t="s">
        <v>112</v>
      </c>
      <c r="AJ103" t="s">
        <v>152</v>
      </c>
      <c r="AK103" t="s">
        <v>153</v>
      </c>
      <c r="AL103" t="s">
        <v>154</v>
      </c>
      <c r="AM103" t="s">
        <v>119</v>
      </c>
      <c r="AN103" t="s">
        <v>112</v>
      </c>
      <c r="AO103" t="s">
        <v>121</v>
      </c>
      <c r="AP103" t="s">
        <v>122</v>
      </c>
      <c r="AQ103" t="s">
        <v>122</v>
      </c>
      <c r="AR103" t="s">
        <v>124</v>
      </c>
      <c r="AS103" t="s">
        <v>125</v>
      </c>
      <c r="AT103">
        <v>2</v>
      </c>
      <c r="AU103" t="s">
        <v>126</v>
      </c>
      <c r="AV103" t="s">
        <v>155</v>
      </c>
      <c r="AW103" t="s">
        <v>156</v>
      </c>
      <c r="AY103" t="s">
        <v>129</v>
      </c>
      <c r="AZ103">
        <v>35544.959999999999</v>
      </c>
      <c r="BC103">
        <v>102.0979</v>
      </c>
      <c r="BD103" t="s">
        <v>112</v>
      </c>
      <c r="BE103" t="s">
        <v>112</v>
      </c>
      <c r="BF103" t="s">
        <v>157</v>
      </c>
      <c r="BG103" t="s">
        <v>133</v>
      </c>
      <c r="BH103" t="s">
        <v>167</v>
      </c>
      <c r="BI103" t="s">
        <v>112</v>
      </c>
      <c r="BJ103" t="s">
        <v>112</v>
      </c>
      <c r="BK103" t="s">
        <v>112</v>
      </c>
      <c r="BL103" t="s">
        <v>169</v>
      </c>
      <c r="BM103" t="s">
        <v>159</v>
      </c>
      <c r="BN103" t="s">
        <v>160</v>
      </c>
      <c r="BO103" t="s">
        <v>161</v>
      </c>
      <c r="BQ103" t="s">
        <v>232</v>
      </c>
      <c r="BR103" s="45">
        <f>ISNUMBER(SEARCH($BR$1,Таблица1[[#This Row],[31_1 Описание и характеристика товара]]))*1</f>
        <v>1</v>
      </c>
      <c r="BT103" t="s">
        <v>150</v>
      </c>
      <c r="BU103">
        <v>33</v>
      </c>
      <c r="CA103" t="s">
        <v>106</v>
      </c>
      <c r="CB103" t="s">
        <v>142</v>
      </c>
      <c r="CC103" t="s">
        <v>112</v>
      </c>
      <c r="CD103" t="s">
        <v>112</v>
      </c>
      <c r="CE103" t="s">
        <v>121</v>
      </c>
      <c r="CF103">
        <v>17353.91</v>
      </c>
      <c r="CG103" t="s">
        <v>144</v>
      </c>
      <c r="CH103">
        <v>4000000</v>
      </c>
      <c r="CI103">
        <v>17353.91</v>
      </c>
      <c r="CK103" t="s">
        <v>112</v>
      </c>
      <c r="CL103" t="s">
        <v>112</v>
      </c>
      <c r="CM103">
        <v>35544.959999999999</v>
      </c>
      <c r="CO103">
        <v>0</v>
      </c>
      <c r="CP103">
        <v>1</v>
      </c>
      <c r="CQ103">
        <v>4050730.1</v>
      </c>
      <c r="CR103">
        <v>41759.33</v>
      </c>
      <c r="CS103" t="s">
        <v>145</v>
      </c>
      <c r="CT103">
        <v>41822.9231</v>
      </c>
      <c r="CU103">
        <v>2.41</v>
      </c>
      <c r="CV103">
        <v>45</v>
      </c>
      <c r="CX103" t="s">
        <v>163</v>
      </c>
      <c r="CY103">
        <v>287</v>
      </c>
    </row>
    <row r="104" spans="1:103" x14ac:dyDescent="0.25">
      <c r="A104" t="s">
        <v>106</v>
      </c>
      <c r="B104" s="38">
        <v>45172</v>
      </c>
      <c r="C104" s="43">
        <f>IF(YEAR(Таблица1[[#This Row],[Дата]])=2023,MONTH(Таблица1[[#This Row],[Дата]]),0)</f>
        <v>9</v>
      </c>
      <c r="D104" t="s">
        <v>1816</v>
      </c>
      <c r="E104" t="s">
        <v>108</v>
      </c>
      <c r="F104" t="s">
        <v>1817</v>
      </c>
      <c r="G104" t="s">
        <v>3244</v>
      </c>
      <c r="H104" t="s">
        <v>111</v>
      </c>
      <c r="I104" t="s">
        <v>112</v>
      </c>
      <c r="J104" t="s">
        <v>112</v>
      </c>
      <c r="K104" t="s">
        <v>112</v>
      </c>
      <c r="L104" t="s">
        <v>150</v>
      </c>
      <c r="M104" t="s">
        <v>151</v>
      </c>
      <c r="N104" t="s">
        <v>112</v>
      </c>
      <c r="O104" t="s">
        <v>112</v>
      </c>
      <c r="R104">
        <v>1</v>
      </c>
      <c r="S104">
        <v>33</v>
      </c>
      <c r="T104" t="s">
        <v>166</v>
      </c>
      <c r="U104" t="s">
        <v>152</v>
      </c>
      <c r="V104" t="s">
        <v>153</v>
      </c>
      <c r="W104" t="s">
        <v>154</v>
      </c>
      <c r="X104" t="s">
        <v>119</v>
      </c>
      <c r="Y104" t="s">
        <v>112</v>
      </c>
      <c r="Z104" t="s">
        <v>166</v>
      </c>
      <c r="AA104" t="s">
        <v>152</v>
      </c>
      <c r="AB104" t="s">
        <v>153</v>
      </c>
      <c r="AC104" t="s">
        <v>154</v>
      </c>
      <c r="AD104" t="s">
        <v>119</v>
      </c>
      <c r="AE104" t="s">
        <v>112</v>
      </c>
      <c r="AF104" t="s">
        <v>121</v>
      </c>
      <c r="AG104" t="s">
        <v>122</v>
      </c>
      <c r="AH104">
        <v>5157822.42</v>
      </c>
      <c r="AI104" t="s">
        <v>166</v>
      </c>
      <c r="AJ104" t="s">
        <v>152</v>
      </c>
      <c r="AK104" t="s">
        <v>153</v>
      </c>
      <c r="AL104" t="s">
        <v>154</v>
      </c>
      <c r="AM104" t="s">
        <v>119</v>
      </c>
      <c r="AN104" t="s">
        <v>112</v>
      </c>
      <c r="AO104" t="s">
        <v>121</v>
      </c>
      <c r="AP104" t="s">
        <v>122</v>
      </c>
      <c r="AQ104" t="s">
        <v>122</v>
      </c>
      <c r="AR104" t="s">
        <v>124</v>
      </c>
      <c r="AS104" t="s">
        <v>125</v>
      </c>
      <c r="AU104" t="s">
        <v>126</v>
      </c>
      <c r="AV104" t="s">
        <v>155</v>
      </c>
      <c r="AW104" t="s">
        <v>156</v>
      </c>
      <c r="AY104" t="s">
        <v>129</v>
      </c>
      <c r="AZ104">
        <v>45827.89</v>
      </c>
      <c r="BC104">
        <v>103.24339999999999</v>
      </c>
      <c r="BD104" t="s">
        <v>112</v>
      </c>
      <c r="BE104" t="s">
        <v>112</v>
      </c>
      <c r="BF104" t="s">
        <v>112</v>
      </c>
      <c r="BG104" t="s">
        <v>133</v>
      </c>
      <c r="BH104" t="s">
        <v>167</v>
      </c>
      <c r="BI104" t="s">
        <v>112</v>
      </c>
      <c r="BJ104" t="s">
        <v>112</v>
      </c>
      <c r="BK104" t="s">
        <v>112</v>
      </c>
      <c r="BL104" t="s">
        <v>112</v>
      </c>
      <c r="BM104" t="s">
        <v>112</v>
      </c>
      <c r="BN104" t="s">
        <v>112</v>
      </c>
      <c r="BO104" t="s">
        <v>161</v>
      </c>
      <c r="BQ104" t="s">
        <v>232</v>
      </c>
      <c r="BR104" s="45">
        <f>ISNUMBER(SEARCH($BR$1,Таблица1[[#This Row],[31_1 Описание и характеристика товара]]))*1</f>
        <v>1</v>
      </c>
      <c r="BT104" t="s">
        <v>150</v>
      </c>
      <c r="BU104">
        <v>33</v>
      </c>
      <c r="CA104" t="s">
        <v>106</v>
      </c>
      <c r="CB104" t="s">
        <v>142</v>
      </c>
      <c r="CC104" t="s">
        <v>112</v>
      </c>
      <c r="CD104" t="s">
        <v>112</v>
      </c>
      <c r="CE104" t="s">
        <v>121</v>
      </c>
      <c r="CF104">
        <v>16808.310000000001</v>
      </c>
      <c r="CG104" t="s">
        <v>144</v>
      </c>
      <c r="CH104">
        <v>4000000</v>
      </c>
      <c r="CI104">
        <v>16754.310000000001</v>
      </c>
      <c r="CK104" t="s">
        <v>112</v>
      </c>
      <c r="CL104" t="s">
        <v>112</v>
      </c>
      <c r="CM104">
        <v>45827.89</v>
      </c>
      <c r="CO104">
        <v>0</v>
      </c>
      <c r="CP104">
        <v>1</v>
      </c>
      <c r="CQ104">
        <v>5157822.42</v>
      </c>
      <c r="CR104">
        <v>54024.62</v>
      </c>
      <c r="CS104" t="s">
        <v>145</v>
      </c>
      <c r="CT104">
        <v>53948.878200000006</v>
      </c>
      <c r="CU104">
        <v>3.22</v>
      </c>
      <c r="CY104">
        <v>52</v>
      </c>
    </row>
    <row r="105" spans="1:103" x14ac:dyDescent="0.25">
      <c r="A105" t="s">
        <v>106</v>
      </c>
      <c r="B105" s="38">
        <v>44962</v>
      </c>
      <c r="C105" s="43">
        <f>IF(YEAR(Таблица1[[#This Row],[Дата]])=2023,MONTH(Таблица1[[#This Row],[Дата]]),0)</f>
        <v>2</v>
      </c>
      <c r="D105" t="s">
        <v>1814</v>
      </c>
      <c r="E105" t="s">
        <v>108</v>
      </c>
      <c r="F105" t="s">
        <v>1815</v>
      </c>
      <c r="G105" t="s">
        <v>3244</v>
      </c>
      <c r="H105" t="s">
        <v>111</v>
      </c>
      <c r="I105" t="s">
        <v>112</v>
      </c>
      <c r="J105" t="s">
        <v>112</v>
      </c>
      <c r="K105" t="s">
        <v>112</v>
      </c>
      <c r="L105" t="s">
        <v>150</v>
      </c>
      <c r="M105" t="s">
        <v>151</v>
      </c>
      <c r="N105" t="s">
        <v>112</v>
      </c>
      <c r="O105" t="s">
        <v>112</v>
      </c>
      <c r="R105">
        <v>1</v>
      </c>
      <c r="S105">
        <v>33</v>
      </c>
      <c r="T105" t="s">
        <v>166</v>
      </c>
      <c r="U105" t="s">
        <v>152</v>
      </c>
      <c r="V105" t="s">
        <v>153</v>
      </c>
      <c r="W105" t="s">
        <v>154</v>
      </c>
      <c r="X105" t="s">
        <v>119</v>
      </c>
      <c r="Y105" t="s">
        <v>112</v>
      </c>
      <c r="Z105" t="s">
        <v>166</v>
      </c>
      <c r="AA105" t="s">
        <v>152</v>
      </c>
      <c r="AB105" t="s">
        <v>153</v>
      </c>
      <c r="AC105" t="s">
        <v>154</v>
      </c>
      <c r="AD105" t="s">
        <v>119</v>
      </c>
      <c r="AE105" t="s">
        <v>112</v>
      </c>
      <c r="AF105" t="s">
        <v>121</v>
      </c>
      <c r="AG105" t="s">
        <v>122</v>
      </c>
      <c r="AH105">
        <v>4987693.8099999996</v>
      </c>
      <c r="AI105" t="s">
        <v>166</v>
      </c>
      <c r="AJ105" t="s">
        <v>152</v>
      </c>
      <c r="AK105" t="s">
        <v>153</v>
      </c>
      <c r="AL105" t="s">
        <v>154</v>
      </c>
      <c r="AM105" t="s">
        <v>119</v>
      </c>
      <c r="AN105" t="s">
        <v>112</v>
      </c>
      <c r="AO105" t="s">
        <v>121</v>
      </c>
      <c r="AP105" t="s">
        <v>122</v>
      </c>
      <c r="AQ105" t="s">
        <v>122</v>
      </c>
      <c r="AR105" t="s">
        <v>124</v>
      </c>
      <c r="AS105" t="s">
        <v>125</v>
      </c>
      <c r="AU105" t="s">
        <v>126</v>
      </c>
      <c r="AV105" t="s">
        <v>155</v>
      </c>
      <c r="AW105" t="s">
        <v>156</v>
      </c>
      <c r="AY105" t="s">
        <v>129</v>
      </c>
      <c r="AZ105">
        <v>43480.05</v>
      </c>
      <c r="BC105">
        <v>103.24339999999999</v>
      </c>
      <c r="BD105" t="s">
        <v>112</v>
      </c>
      <c r="BE105" t="s">
        <v>112</v>
      </c>
      <c r="BF105" t="s">
        <v>112</v>
      </c>
      <c r="BG105" t="s">
        <v>133</v>
      </c>
      <c r="BH105" t="s">
        <v>167</v>
      </c>
      <c r="BI105" t="s">
        <v>112</v>
      </c>
      <c r="BJ105" t="s">
        <v>112</v>
      </c>
      <c r="BK105" t="s">
        <v>112</v>
      </c>
      <c r="BL105" t="s">
        <v>112</v>
      </c>
      <c r="BM105" t="s">
        <v>112</v>
      </c>
      <c r="BN105" t="s">
        <v>112</v>
      </c>
      <c r="BO105" t="s">
        <v>161</v>
      </c>
      <c r="BQ105" t="s">
        <v>232</v>
      </c>
      <c r="BR105" s="45">
        <f>ISNUMBER(SEARCH($BR$1,Таблица1[[#This Row],[31_1 Описание и характеристика товара]]))*1</f>
        <v>1</v>
      </c>
      <c r="BT105" t="s">
        <v>150</v>
      </c>
      <c r="BU105">
        <v>33</v>
      </c>
      <c r="CA105" t="s">
        <v>106</v>
      </c>
      <c r="CB105" t="s">
        <v>142</v>
      </c>
      <c r="CC105" t="s">
        <v>112</v>
      </c>
      <c r="CD105" t="s">
        <v>112</v>
      </c>
      <c r="CE105" t="s">
        <v>121</v>
      </c>
      <c r="CF105">
        <v>16420.400000000001</v>
      </c>
      <c r="CG105" t="s">
        <v>144</v>
      </c>
      <c r="CH105">
        <v>4000000</v>
      </c>
      <c r="CI105">
        <v>16290.8</v>
      </c>
      <c r="CK105" t="s">
        <v>112</v>
      </c>
      <c r="CL105" t="s">
        <v>112</v>
      </c>
      <c r="CM105">
        <v>43480.05</v>
      </c>
      <c r="CO105">
        <v>0</v>
      </c>
      <c r="CP105">
        <v>1</v>
      </c>
      <c r="CQ105">
        <v>4987693.8099999996</v>
      </c>
      <c r="CR105">
        <v>52242.64</v>
      </c>
      <c r="CS105" t="s">
        <v>145</v>
      </c>
      <c r="CT105">
        <v>52293.467999999993</v>
      </c>
      <c r="CU105">
        <v>3.21</v>
      </c>
      <c r="CY105">
        <v>370</v>
      </c>
    </row>
    <row r="106" spans="1:103" x14ac:dyDescent="0.25">
      <c r="A106" t="s">
        <v>106</v>
      </c>
      <c r="B106" s="38">
        <v>45213</v>
      </c>
      <c r="C106" s="43">
        <f>IF(YEAR(Таблица1[[#This Row],[Дата]])=2023,MONTH(Таблица1[[#This Row],[Дата]]),0)</f>
        <v>10</v>
      </c>
      <c r="D106" t="s">
        <v>1812</v>
      </c>
      <c r="E106" t="s">
        <v>108</v>
      </c>
      <c r="F106" t="s">
        <v>1813</v>
      </c>
      <c r="G106" t="s">
        <v>3244</v>
      </c>
      <c r="H106" t="s">
        <v>111</v>
      </c>
      <c r="I106" t="s">
        <v>112</v>
      </c>
      <c r="J106" t="s">
        <v>112</v>
      </c>
      <c r="K106" t="s">
        <v>112</v>
      </c>
      <c r="L106" t="s">
        <v>150</v>
      </c>
      <c r="M106" t="s">
        <v>151</v>
      </c>
      <c r="N106" t="s">
        <v>112</v>
      </c>
      <c r="O106" t="s">
        <v>112</v>
      </c>
      <c r="R106">
        <v>1</v>
      </c>
      <c r="S106">
        <v>33</v>
      </c>
      <c r="T106" t="s">
        <v>166</v>
      </c>
      <c r="U106" t="s">
        <v>152</v>
      </c>
      <c r="V106" t="s">
        <v>153</v>
      </c>
      <c r="W106" t="s">
        <v>154</v>
      </c>
      <c r="X106" t="s">
        <v>119</v>
      </c>
      <c r="Y106" t="s">
        <v>112</v>
      </c>
      <c r="Z106" t="s">
        <v>166</v>
      </c>
      <c r="AA106" t="s">
        <v>152</v>
      </c>
      <c r="AB106" t="s">
        <v>153</v>
      </c>
      <c r="AC106" t="s">
        <v>154</v>
      </c>
      <c r="AD106" t="s">
        <v>119</v>
      </c>
      <c r="AE106" t="s">
        <v>112</v>
      </c>
      <c r="AF106" t="s">
        <v>121</v>
      </c>
      <c r="AG106" t="s">
        <v>122</v>
      </c>
      <c r="AH106">
        <v>4579282.54</v>
      </c>
      <c r="AI106" t="s">
        <v>166</v>
      </c>
      <c r="AJ106" t="s">
        <v>152</v>
      </c>
      <c r="AK106" t="s">
        <v>153</v>
      </c>
      <c r="AL106" t="s">
        <v>154</v>
      </c>
      <c r="AM106" t="s">
        <v>119</v>
      </c>
      <c r="AN106" t="s">
        <v>112</v>
      </c>
      <c r="AO106" t="s">
        <v>121</v>
      </c>
      <c r="AP106" t="s">
        <v>122</v>
      </c>
      <c r="AQ106" t="s">
        <v>122</v>
      </c>
      <c r="AR106" t="s">
        <v>124</v>
      </c>
      <c r="AS106" t="s">
        <v>125</v>
      </c>
      <c r="AU106" t="s">
        <v>126</v>
      </c>
      <c r="AV106" t="s">
        <v>155</v>
      </c>
      <c r="AW106" t="s">
        <v>156</v>
      </c>
      <c r="AY106" t="s">
        <v>129</v>
      </c>
      <c r="AZ106">
        <v>40224.239999999998</v>
      </c>
      <c r="BC106">
        <v>103.24339999999999</v>
      </c>
      <c r="BD106" t="s">
        <v>112</v>
      </c>
      <c r="BE106" t="s">
        <v>112</v>
      </c>
      <c r="BF106" t="s">
        <v>112</v>
      </c>
      <c r="BG106" t="s">
        <v>133</v>
      </c>
      <c r="BH106" t="s">
        <v>167</v>
      </c>
      <c r="BI106" t="s">
        <v>112</v>
      </c>
      <c r="BJ106" t="s">
        <v>112</v>
      </c>
      <c r="BK106" t="s">
        <v>112</v>
      </c>
      <c r="BL106" t="s">
        <v>112</v>
      </c>
      <c r="BM106" t="s">
        <v>112</v>
      </c>
      <c r="BN106" t="s">
        <v>112</v>
      </c>
      <c r="BO106" t="s">
        <v>161</v>
      </c>
      <c r="BQ106" t="s">
        <v>466</v>
      </c>
      <c r="BR106" s="45">
        <f>ISNUMBER(SEARCH($BR$1,Таблица1[[#This Row],[31_1 Описание и характеристика товара]]))*1</f>
        <v>1</v>
      </c>
      <c r="BT106" t="s">
        <v>150</v>
      </c>
      <c r="BU106">
        <v>33</v>
      </c>
      <c r="CA106" t="s">
        <v>106</v>
      </c>
      <c r="CB106" t="s">
        <v>142</v>
      </c>
      <c r="CC106" t="s">
        <v>112</v>
      </c>
      <c r="CD106" t="s">
        <v>112</v>
      </c>
      <c r="CE106" t="s">
        <v>121</v>
      </c>
      <c r="CF106">
        <v>16765.93</v>
      </c>
      <c r="CG106" t="s">
        <v>144</v>
      </c>
      <c r="CH106">
        <v>4000000</v>
      </c>
      <c r="CI106">
        <v>16679.53</v>
      </c>
      <c r="CK106" t="s">
        <v>112</v>
      </c>
      <c r="CL106" t="s">
        <v>112</v>
      </c>
      <c r="CM106">
        <v>40224.239999999998</v>
      </c>
      <c r="CO106">
        <v>0</v>
      </c>
      <c r="CP106">
        <v>1</v>
      </c>
      <c r="CQ106">
        <v>4579282.54</v>
      </c>
      <c r="CR106">
        <v>47964.82</v>
      </c>
      <c r="CS106" t="s">
        <v>145</v>
      </c>
      <c r="CT106">
        <v>48037.046399999992</v>
      </c>
      <c r="CU106">
        <v>2.88</v>
      </c>
      <c r="CY106">
        <v>211</v>
      </c>
    </row>
    <row r="107" spans="1:103" x14ac:dyDescent="0.25">
      <c r="A107" t="s">
        <v>106</v>
      </c>
      <c r="B107" s="38">
        <v>45235</v>
      </c>
      <c r="C107" s="43">
        <f>IF(YEAR(Таблица1[[#This Row],[Дата]])=2023,MONTH(Таблица1[[#This Row],[Дата]]),0)</f>
        <v>11</v>
      </c>
      <c r="D107" t="s">
        <v>1810</v>
      </c>
      <c r="E107" t="s">
        <v>108</v>
      </c>
      <c r="F107" t="s">
        <v>1811</v>
      </c>
      <c r="G107" t="s">
        <v>3244</v>
      </c>
      <c r="H107" t="s">
        <v>111</v>
      </c>
      <c r="I107" t="s">
        <v>112</v>
      </c>
      <c r="J107" t="s">
        <v>112</v>
      </c>
      <c r="K107" t="s">
        <v>112</v>
      </c>
      <c r="L107" t="s">
        <v>150</v>
      </c>
      <c r="M107" t="s">
        <v>151</v>
      </c>
      <c r="N107" t="s">
        <v>112</v>
      </c>
      <c r="O107" t="s">
        <v>112</v>
      </c>
      <c r="R107">
        <v>1</v>
      </c>
      <c r="S107">
        <v>33</v>
      </c>
      <c r="T107" t="s">
        <v>166</v>
      </c>
      <c r="U107" t="s">
        <v>152</v>
      </c>
      <c r="V107" t="s">
        <v>153</v>
      </c>
      <c r="W107" t="s">
        <v>154</v>
      </c>
      <c r="X107" t="s">
        <v>119</v>
      </c>
      <c r="Y107" t="s">
        <v>112</v>
      </c>
      <c r="Z107" t="s">
        <v>166</v>
      </c>
      <c r="AA107" t="s">
        <v>152</v>
      </c>
      <c r="AB107" t="s">
        <v>153</v>
      </c>
      <c r="AC107" t="s">
        <v>154</v>
      </c>
      <c r="AD107" t="s">
        <v>119</v>
      </c>
      <c r="AE107" t="s">
        <v>112</v>
      </c>
      <c r="AF107" t="s">
        <v>121</v>
      </c>
      <c r="AG107" t="s">
        <v>122</v>
      </c>
      <c r="AH107">
        <v>4609574.1500000004</v>
      </c>
      <c r="AI107" t="s">
        <v>166</v>
      </c>
      <c r="AJ107" t="s">
        <v>152</v>
      </c>
      <c r="AK107" t="s">
        <v>153</v>
      </c>
      <c r="AL107" t="s">
        <v>154</v>
      </c>
      <c r="AM107" t="s">
        <v>119</v>
      </c>
      <c r="AN107" t="s">
        <v>112</v>
      </c>
      <c r="AO107" t="s">
        <v>121</v>
      </c>
      <c r="AP107" t="s">
        <v>122</v>
      </c>
      <c r="AQ107" t="s">
        <v>122</v>
      </c>
      <c r="AR107" t="s">
        <v>124</v>
      </c>
      <c r="AS107" t="s">
        <v>125</v>
      </c>
      <c r="AU107" t="s">
        <v>126</v>
      </c>
      <c r="AV107" t="s">
        <v>155</v>
      </c>
      <c r="AW107" t="s">
        <v>156</v>
      </c>
      <c r="AY107" t="s">
        <v>129</v>
      </c>
      <c r="AZ107">
        <v>40517.64</v>
      </c>
      <c r="BC107">
        <v>103.24339999999999</v>
      </c>
      <c r="BD107" t="s">
        <v>112</v>
      </c>
      <c r="BE107" t="s">
        <v>112</v>
      </c>
      <c r="BF107" t="s">
        <v>112</v>
      </c>
      <c r="BG107" t="s">
        <v>133</v>
      </c>
      <c r="BH107" t="s">
        <v>134</v>
      </c>
      <c r="BI107" t="s">
        <v>112</v>
      </c>
      <c r="BJ107" t="s">
        <v>112</v>
      </c>
      <c r="BK107" t="s">
        <v>112</v>
      </c>
      <c r="BL107" t="s">
        <v>112</v>
      </c>
      <c r="BM107" t="s">
        <v>112</v>
      </c>
      <c r="BN107" t="s">
        <v>112</v>
      </c>
      <c r="BO107" t="s">
        <v>161</v>
      </c>
      <c r="BQ107" t="s">
        <v>205</v>
      </c>
      <c r="BR107" s="45">
        <f>ISNUMBER(SEARCH($BR$1,Таблица1[[#This Row],[31_1 Описание и характеристика товара]]))*1</f>
        <v>1</v>
      </c>
      <c r="BT107" t="s">
        <v>150</v>
      </c>
      <c r="BU107">
        <v>33</v>
      </c>
      <c r="BV107">
        <v>0</v>
      </c>
      <c r="BW107">
        <v>0</v>
      </c>
      <c r="CA107" t="s">
        <v>106</v>
      </c>
      <c r="CB107" t="s">
        <v>142</v>
      </c>
      <c r="CC107" t="s">
        <v>112</v>
      </c>
      <c r="CD107" t="s">
        <v>112</v>
      </c>
      <c r="CE107" t="s">
        <v>121</v>
      </c>
      <c r="CF107">
        <v>17080.93</v>
      </c>
      <c r="CG107" t="s">
        <v>144</v>
      </c>
      <c r="CH107">
        <v>4000000</v>
      </c>
      <c r="CI107">
        <v>17037.73</v>
      </c>
      <c r="CJ107">
        <v>0</v>
      </c>
      <c r="CK107" t="s">
        <v>112</v>
      </c>
      <c r="CL107" t="s">
        <v>112</v>
      </c>
      <c r="CM107">
        <v>40517.64</v>
      </c>
      <c r="CO107">
        <v>0</v>
      </c>
      <c r="CP107">
        <v>1</v>
      </c>
      <c r="CQ107">
        <v>4609574.1500000004</v>
      </c>
      <c r="CR107">
        <v>48282.1</v>
      </c>
      <c r="CS107" t="s">
        <v>145</v>
      </c>
      <c r="CT107">
        <v>48216.775900000001</v>
      </c>
      <c r="CU107">
        <v>2.83</v>
      </c>
      <c r="CY107">
        <v>128</v>
      </c>
    </row>
    <row r="108" spans="1:103" x14ac:dyDescent="0.25">
      <c r="A108" t="s">
        <v>106</v>
      </c>
      <c r="B108" s="38">
        <v>45157</v>
      </c>
      <c r="C108" s="43">
        <f>IF(YEAR(Таблица1[[#This Row],[Дата]])=2023,MONTH(Таблица1[[#This Row],[Дата]]),0)</f>
        <v>8</v>
      </c>
      <c r="D108" t="s">
        <v>1808</v>
      </c>
      <c r="E108" t="s">
        <v>108</v>
      </c>
      <c r="F108" t="s">
        <v>1809</v>
      </c>
      <c r="G108" t="s">
        <v>3244</v>
      </c>
      <c r="H108" t="s">
        <v>111</v>
      </c>
      <c r="I108" t="s">
        <v>112</v>
      </c>
      <c r="J108" t="s">
        <v>112</v>
      </c>
      <c r="K108" t="s">
        <v>112</v>
      </c>
      <c r="L108" t="s">
        <v>150</v>
      </c>
      <c r="M108" t="s">
        <v>151</v>
      </c>
      <c r="N108" t="s">
        <v>112</v>
      </c>
      <c r="O108" t="s">
        <v>112</v>
      </c>
      <c r="R108">
        <v>1</v>
      </c>
      <c r="S108">
        <v>33</v>
      </c>
      <c r="T108" t="s">
        <v>166</v>
      </c>
      <c r="U108" t="s">
        <v>152</v>
      </c>
      <c r="V108" t="s">
        <v>153</v>
      </c>
      <c r="W108" t="s">
        <v>154</v>
      </c>
      <c r="X108" t="s">
        <v>119</v>
      </c>
      <c r="Y108" t="s">
        <v>112</v>
      </c>
      <c r="Z108" t="s">
        <v>166</v>
      </c>
      <c r="AA108" t="s">
        <v>152</v>
      </c>
      <c r="AB108" t="s">
        <v>153</v>
      </c>
      <c r="AC108" t="s">
        <v>154</v>
      </c>
      <c r="AD108" t="s">
        <v>119</v>
      </c>
      <c r="AE108" t="s">
        <v>112</v>
      </c>
      <c r="AF108" t="s">
        <v>121</v>
      </c>
      <c r="AG108" t="s">
        <v>122</v>
      </c>
      <c r="AH108">
        <v>5092918.46</v>
      </c>
      <c r="AI108" t="s">
        <v>166</v>
      </c>
      <c r="AJ108" t="s">
        <v>152</v>
      </c>
      <c r="AK108" t="s">
        <v>153</v>
      </c>
      <c r="AL108" t="s">
        <v>154</v>
      </c>
      <c r="AM108" t="s">
        <v>119</v>
      </c>
      <c r="AN108" t="s">
        <v>112</v>
      </c>
      <c r="AO108" t="s">
        <v>121</v>
      </c>
      <c r="AP108" t="s">
        <v>122</v>
      </c>
      <c r="AQ108" t="s">
        <v>122</v>
      </c>
      <c r="AR108" t="s">
        <v>124</v>
      </c>
      <c r="AS108" t="s">
        <v>125</v>
      </c>
      <c r="AU108" t="s">
        <v>126</v>
      </c>
      <c r="AV108" t="s">
        <v>155</v>
      </c>
      <c r="AW108" t="s">
        <v>156</v>
      </c>
      <c r="AY108" t="s">
        <v>129</v>
      </c>
      <c r="AZ108">
        <v>44679.24</v>
      </c>
      <c r="BC108">
        <v>103.24339999999999</v>
      </c>
      <c r="BD108" t="s">
        <v>112</v>
      </c>
      <c r="BE108" t="s">
        <v>112</v>
      </c>
      <c r="BF108" t="s">
        <v>112</v>
      </c>
      <c r="BG108" t="s">
        <v>133</v>
      </c>
      <c r="BH108" t="s">
        <v>134</v>
      </c>
      <c r="BI108" t="s">
        <v>112</v>
      </c>
      <c r="BJ108" t="s">
        <v>112</v>
      </c>
      <c r="BK108" t="s">
        <v>112</v>
      </c>
      <c r="BL108" t="s">
        <v>112</v>
      </c>
      <c r="BM108" t="s">
        <v>112</v>
      </c>
      <c r="BN108" t="s">
        <v>112</v>
      </c>
      <c r="BO108" t="s">
        <v>161</v>
      </c>
      <c r="BQ108" t="s">
        <v>232</v>
      </c>
      <c r="BR108" s="45">
        <f>ISNUMBER(SEARCH($BR$1,Таблица1[[#This Row],[31_1 Описание и характеристика товара]]))*1</f>
        <v>1</v>
      </c>
      <c r="BT108" t="s">
        <v>150</v>
      </c>
      <c r="BU108">
        <v>33</v>
      </c>
      <c r="BV108">
        <v>0</v>
      </c>
      <c r="BW108">
        <v>0</v>
      </c>
      <c r="CA108" t="s">
        <v>106</v>
      </c>
      <c r="CB108" t="s">
        <v>142</v>
      </c>
      <c r="CC108" t="s">
        <v>112</v>
      </c>
      <c r="CD108" t="s">
        <v>112</v>
      </c>
      <c r="CE108" t="s">
        <v>121</v>
      </c>
      <c r="CF108">
        <v>16533.560000000001</v>
      </c>
      <c r="CG108" t="s">
        <v>144</v>
      </c>
      <c r="CH108">
        <v>4000000</v>
      </c>
      <c r="CI108">
        <v>16443.560000000001</v>
      </c>
      <c r="CJ108">
        <v>0</v>
      </c>
      <c r="CK108" t="s">
        <v>112</v>
      </c>
      <c r="CL108" t="s">
        <v>112</v>
      </c>
      <c r="CM108">
        <v>44679.24</v>
      </c>
      <c r="CO108">
        <v>0</v>
      </c>
      <c r="CP108">
        <v>1</v>
      </c>
      <c r="CQ108">
        <v>5092918.46</v>
      </c>
      <c r="CR108">
        <v>53344.800000000003</v>
      </c>
      <c r="CS108" t="s">
        <v>145</v>
      </c>
      <c r="CT108">
        <v>53277.13440000001</v>
      </c>
      <c r="CU108">
        <v>3.24</v>
      </c>
      <c r="CY108">
        <v>112</v>
      </c>
    </row>
    <row r="109" spans="1:103" x14ac:dyDescent="0.25">
      <c r="A109" t="s">
        <v>106</v>
      </c>
      <c r="B109" s="38">
        <v>45063</v>
      </c>
      <c r="C109" s="43">
        <f>IF(YEAR(Таблица1[[#This Row],[Дата]])=2023,MONTH(Таблица1[[#This Row],[Дата]]),0)</f>
        <v>5</v>
      </c>
      <c r="D109" t="s">
        <v>1804</v>
      </c>
      <c r="E109" t="s">
        <v>108</v>
      </c>
      <c r="F109" t="s">
        <v>1805</v>
      </c>
      <c r="G109" t="s">
        <v>3244</v>
      </c>
      <c r="H109" t="s">
        <v>111</v>
      </c>
      <c r="I109" t="s">
        <v>112</v>
      </c>
      <c r="J109" t="s">
        <v>112</v>
      </c>
      <c r="K109" t="s">
        <v>112</v>
      </c>
      <c r="L109" t="s">
        <v>150</v>
      </c>
      <c r="M109" t="s">
        <v>151</v>
      </c>
      <c r="N109" t="s">
        <v>112</v>
      </c>
      <c r="O109" t="s">
        <v>112</v>
      </c>
      <c r="R109">
        <v>1</v>
      </c>
      <c r="S109">
        <v>33</v>
      </c>
      <c r="T109" t="s">
        <v>166</v>
      </c>
      <c r="U109" t="s">
        <v>152</v>
      </c>
      <c r="V109" t="s">
        <v>153</v>
      </c>
      <c r="W109" t="s">
        <v>154</v>
      </c>
      <c r="X109" t="s">
        <v>119</v>
      </c>
      <c r="Y109" t="s">
        <v>112</v>
      </c>
      <c r="Z109" t="s">
        <v>166</v>
      </c>
      <c r="AA109" t="s">
        <v>152</v>
      </c>
      <c r="AB109" t="s">
        <v>153</v>
      </c>
      <c r="AC109" t="s">
        <v>154</v>
      </c>
      <c r="AD109" t="s">
        <v>119</v>
      </c>
      <c r="AE109" t="s">
        <v>112</v>
      </c>
      <c r="AF109" t="s">
        <v>121</v>
      </c>
      <c r="AG109" t="s">
        <v>122</v>
      </c>
      <c r="AH109">
        <v>4597990.24</v>
      </c>
      <c r="AI109" t="s">
        <v>166</v>
      </c>
      <c r="AJ109" t="s">
        <v>152</v>
      </c>
      <c r="AK109" t="s">
        <v>153</v>
      </c>
      <c r="AL109" t="s">
        <v>154</v>
      </c>
      <c r="AM109" t="s">
        <v>119</v>
      </c>
      <c r="AN109" t="s">
        <v>112</v>
      </c>
      <c r="AO109" t="s">
        <v>121</v>
      </c>
      <c r="AP109" t="s">
        <v>122</v>
      </c>
      <c r="AQ109" t="s">
        <v>122</v>
      </c>
      <c r="AR109" t="s">
        <v>124</v>
      </c>
      <c r="AS109" t="s">
        <v>125</v>
      </c>
      <c r="AU109" t="s">
        <v>126</v>
      </c>
      <c r="AV109" t="s">
        <v>155</v>
      </c>
      <c r="AW109" t="s">
        <v>156</v>
      </c>
      <c r="AY109" t="s">
        <v>129</v>
      </c>
      <c r="AZ109">
        <v>40405.440000000002</v>
      </c>
      <c r="BC109">
        <v>103.24339999999999</v>
      </c>
      <c r="BD109" t="s">
        <v>112</v>
      </c>
      <c r="BE109" t="s">
        <v>112</v>
      </c>
      <c r="BF109" t="s">
        <v>112</v>
      </c>
      <c r="BG109" t="s">
        <v>133</v>
      </c>
      <c r="BH109" t="s">
        <v>134</v>
      </c>
      <c r="BI109" t="s">
        <v>112</v>
      </c>
      <c r="BJ109" t="s">
        <v>112</v>
      </c>
      <c r="BK109" t="s">
        <v>112</v>
      </c>
      <c r="BL109" t="s">
        <v>112</v>
      </c>
      <c r="BM109" t="s">
        <v>112</v>
      </c>
      <c r="BN109" t="s">
        <v>112</v>
      </c>
      <c r="BO109" t="s">
        <v>161</v>
      </c>
      <c r="BQ109" t="s">
        <v>205</v>
      </c>
      <c r="BR109" s="45">
        <f>ISNUMBER(SEARCH($BR$1,Таблица1[[#This Row],[31_1 Описание и характеристика товара]]))*1</f>
        <v>1</v>
      </c>
      <c r="BT109" t="s">
        <v>150</v>
      </c>
      <c r="BU109">
        <v>33</v>
      </c>
      <c r="BV109">
        <v>0</v>
      </c>
      <c r="BW109">
        <v>0</v>
      </c>
      <c r="CA109" t="s">
        <v>106</v>
      </c>
      <c r="CB109" t="s">
        <v>142</v>
      </c>
      <c r="CC109" t="s">
        <v>112</v>
      </c>
      <c r="CD109" t="s">
        <v>112</v>
      </c>
      <c r="CE109" t="s">
        <v>121</v>
      </c>
      <c r="CF109">
        <v>17019.07</v>
      </c>
      <c r="CG109" t="s">
        <v>144</v>
      </c>
      <c r="CH109">
        <v>4000000</v>
      </c>
      <c r="CI109">
        <v>16975.87</v>
      </c>
      <c r="CJ109">
        <v>0</v>
      </c>
      <c r="CK109" t="s">
        <v>112</v>
      </c>
      <c r="CL109" t="s">
        <v>112</v>
      </c>
      <c r="CM109">
        <v>40405.440000000002</v>
      </c>
      <c r="CO109">
        <v>0</v>
      </c>
      <c r="CP109">
        <v>1</v>
      </c>
      <c r="CQ109">
        <v>4597990.24</v>
      </c>
      <c r="CR109">
        <v>48160.77</v>
      </c>
      <c r="CS109" t="s">
        <v>145</v>
      </c>
      <c r="CT109">
        <v>48211.470799999996</v>
      </c>
      <c r="CU109">
        <v>2.84</v>
      </c>
      <c r="CY109">
        <v>91</v>
      </c>
    </row>
    <row r="110" spans="1:103" x14ac:dyDescent="0.25">
      <c r="A110" t="s">
        <v>106</v>
      </c>
      <c r="B110" s="38">
        <v>45236</v>
      </c>
      <c r="C110" s="43">
        <f>IF(YEAR(Таблица1[[#This Row],[Дата]])=2023,MONTH(Таблица1[[#This Row],[Дата]]),0)</f>
        <v>11</v>
      </c>
      <c r="D110" t="s">
        <v>1389</v>
      </c>
      <c r="E110" t="s">
        <v>108</v>
      </c>
      <c r="F110" t="s">
        <v>1390</v>
      </c>
      <c r="G110" t="s">
        <v>3244</v>
      </c>
      <c r="H110" t="s">
        <v>111</v>
      </c>
      <c r="I110" t="s">
        <v>112</v>
      </c>
      <c r="J110" t="s">
        <v>112</v>
      </c>
      <c r="K110" t="s">
        <v>112</v>
      </c>
      <c r="L110" t="s">
        <v>150</v>
      </c>
      <c r="M110" t="s">
        <v>151</v>
      </c>
      <c r="N110" t="s">
        <v>112</v>
      </c>
      <c r="O110" t="s">
        <v>112</v>
      </c>
      <c r="P110">
        <v>1</v>
      </c>
      <c r="Q110">
        <v>0</v>
      </c>
      <c r="R110">
        <v>1</v>
      </c>
      <c r="S110">
        <v>33</v>
      </c>
      <c r="T110" t="s">
        <v>166</v>
      </c>
      <c r="U110" t="s">
        <v>152</v>
      </c>
      <c r="V110" t="s">
        <v>153</v>
      </c>
      <c r="W110" t="s">
        <v>154</v>
      </c>
      <c r="X110" t="s">
        <v>119</v>
      </c>
      <c r="Y110" t="s">
        <v>112</v>
      </c>
      <c r="Z110" t="s">
        <v>166</v>
      </c>
      <c r="AA110" t="s">
        <v>152</v>
      </c>
      <c r="AB110" t="s">
        <v>153</v>
      </c>
      <c r="AC110" t="s">
        <v>154</v>
      </c>
      <c r="AD110" t="s">
        <v>119</v>
      </c>
      <c r="AE110" t="s">
        <v>112</v>
      </c>
      <c r="AF110" t="s">
        <v>121</v>
      </c>
      <c r="AG110" t="s">
        <v>122</v>
      </c>
      <c r="AH110">
        <v>4376438.91</v>
      </c>
      <c r="AI110" t="s">
        <v>166</v>
      </c>
      <c r="AJ110" t="s">
        <v>152</v>
      </c>
      <c r="AK110" t="s">
        <v>153</v>
      </c>
      <c r="AL110" t="s">
        <v>154</v>
      </c>
      <c r="AM110" t="s">
        <v>119</v>
      </c>
      <c r="AN110" t="s">
        <v>112</v>
      </c>
      <c r="AO110" t="s">
        <v>121</v>
      </c>
      <c r="AP110" t="s">
        <v>122</v>
      </c>
      <c r="AQ110" t="s">
        <v>122</v>
      </c>
      <c r="AR110" t="s">
        <v>124</v>
      </c>
      <c r="AS110" t="s">
        <v>125</v>
      </c>
      <c r="AT110">
        <v>2</v>
      </c>
      <c r="AU110" t="s">
        <v>126</v>
      </c>
      <c r="AV110" t="s">
        <v>155</v>
      </c>
      <c r="AW110" t="s">
        <v>156</v>
      </c>
      <c r="AX110">
        <v>1</v>
      </c>
      <c r="AY110" t="s">
        <v>129</v>
      </c>
      <c r="AZ110">
        <v>42495.12</v>
      </c>
      <c r="BA110">
        <v>3988779</v>
      </c>
      <c r="BB110">
        <v>51115.16</v>
      </c>
      <c r="BC110">
        <v>93.864400000000003</v>
      </c>
      <c r="BD110" t="s">
        <v>130</v>
      </c>
      <c r="BE110" t="s">
        <v>112</v>
      </c>
      <c r="BF110" t="s">
        <v>157</v>
      </c>
      <c r="BG110" t="s">
        <v>133</v>
      </c>
      <c r="BH110" t="s">
        <v>134</v>
      </c>
      <c r="BI110" t="s">
        <v>112</v>
      </c>
      <c r="BJ110" t="s">
        <v>112</v>
      </c>
      <c r="BK110" t="s">
        <v>112</v>
      </c>
      <c r="BL110" t="s">
        <v>169</v>
      </c>
      <c r="BM110" t="s">
        <v>159</v>
      </c>
      <c r="BN110" t="s">
        <v>722</v>
      </c>
      <c r="BO110" t="s">
        <v>161</v>
      </c>
      <c r="BP110">
        <v>1</v>
      </c>
      <c r="BQ110" t="s">
        <v>232</v>
      </c>
      <c r="BR110" s="45">
        <f>ISNUMBER(SEARCH($BR$1,Таблица1[[#This Row],[31_1 Описание и характеристика товара]]))*1</f>
        <v>1</v>
      </c>
      <c r="BT110" t="s">
        <v>150</v>
      </c>
      <c r="BU110">
        <v>33</v>
      </c>
      <c r="BV110">
        <v>0</v>
      </c>
      <c r="BW110">
        <v>0</v>
      </c>
      <c r="BY110">
        <v>0</v>
      </c>
      <c r="CA110" t="s">
        <v>106</v>
      </c>
      <c r="CB110" t="s">
        <v>142</v>
      </c>
      <c r="CC110" t="s">
        <v>112</v>
      </c>
      <c r="CD110" t="s">
        <v>112</v>
      </c>
      <c r="CE110" t="s">
        <v>121</v>
      </c>
      <c r="CF110">
        <v>17179.72</v>
      </c>
      <c r="CG110" t="s">
        <v>144</v>
      </c>
      <c r="CH110">
        <v>4000000</v>
      </c>
      <c r="CI110">
        <v>17179.72</v>
      </c>
      <c r="CJ110">
        <v>0</v>
      </c>
      <c r="CK110" t="s">
        <v>112</v>
      </c>
      <c r="CL110" t="s">
        <v>112</v>
      </c>
      <c r="CM110">
        <v>42495.12</v>
      </c>
      <c r="CN110">
        <v>3988779</v>
      </c>
      <c r="CO110">
        <v>0</v>
      </c>
      <c r="CP110">
        <v>1</v>
      </c>
      <c r="CQ110">
        <v>4376438.91</v>
      </c>
      <c r="CR110">
        <v>51115.16</v>
      </c>
      <c r="CS110" t="s">
        <v>145</v>
      </c>
      <c r="CT110">
        <v>51195.565600000002</v>
      </c>
      <c r="CU110">
        <v>2.98</v>
      </c>
      <c r="CV110">
        <v>45</v>
      </c>
      <c r="CW110" t="s">
        <v>171</v>
      </c>
      <c r="CX110" t="s">
        <v>350</v>
      </c>
      <c r="CY110">
        <v>243</v>
      </c>
    </row>
    <row r="111" spans="1:103" x14ac:dyDescent="0.25">
      <c r="A111" t="s">
        <v>106</v>
      </c>
      <c r="B111" s="38">
        <v>44951</v>
      </c>
      <c r="C111" s="43">
        <f>IF(YEAR(Таблица1[[#This Row],[Дата]])=2023,MONTH(Таблица1[[#This Row],[Дата]]),0)</f>
        <v>1</v>
      </c>
      <c r="D111" t="s">
        <v>1391</v>
      </c>
      <c r="E111" t="s">
        <v>108</v>
      </c>
      <c r="F111" t="s">
        <v>1392</v>
      </c>
      <c r="G111" t="s">
        <v>3244</v>
      </c>
      <c r="H111" t="s">
        <v>111</v>
      </c>
      <c r="I111" t="s">
        <v>112</v>
      </c>
      <c r="J111" t="s">
        <v>112</v>
      </c>
      <c r="K111" t="s">
        <v>112</v>
      </c>
      <c r="L111" t="s">
        <v>150</v>
      </c>
      <c r="M111" t="s">
        <v>151</v>
      </c>
      <c r="N111" t="s">
        <v>112</v>
      </c>
      <c r="O111" t="s">
        <v>112</v>
      </c>
      <c r="P111">
        <v>1</v>
      </c>
      <c r="Q111">
        <v>0</v>
      </c>
      <c r="R111">
        <v>1</v>
      </c>
      <c r="S111">
        <v>33</v>
      </c>
      <c r="T111" t="s">
        <v>166</v>
      </c>
      <c r="U111" t="s">
        <v>152</v>
      </c>
      <c r="V111" t="s">
        <v>153</v>
      </c>
      <c r="W111" t="s">
        <v>154</v>
      </c>
      <c r="X111" t="s">
        <v>119</v>
      </c>
      <c r="Y111" t="s">
        <v>112</v>
      </c>
      <c r="Z111" t="s">
        <v>166</v>
      </c>
      <c r="AA111" t="s">
        <v>152</v>
      </c>
      <c r="AB111" t="s">
        <v>153</v>
      </c>
      <c r="AC111" t="s">
        <v>154</v>
      </c>
      <c r="AD111" t="s">
        <v>119</v>
      </c>
      <c r="AE111" t="s">
        <v>112</v>
      </c>
      <c r="AF111" t="s">
        <v>121</v>
      </c>
      <c r="AG111" t="s">
        <v>122</v>
      </c>
      <c r="AH111">
        <v>4277047.78</v>
      </c>
      <c r="AI111" t="s">
        <v>166</v>
      </c>
      <c r="AJ111" t="s">
        <v>152</v>
      </c>
      <c r="AK111" t="s">
        <v>153</v>
      </c>
      <c r="AL111" t="s">
        <v>154</v>
      </c>
      <c r="AM111" t="s">
        <v>119</v>
      </c>
      <c r="AN111" t="s">
        <v>112</v>
      </c>
      <c r="AO111" t="s">
        <v>121</v>
      </c>
      <c r="AP111" t="s">
        <v>122</v>
      </c>
      <c r="AQ111" t="s">
        <v>122</v>
      </c>
      <c r="AR111" t="s">
        <v>124</v>
      </c>
      <c r="AS111" t="s">
        <v>125</v>
      </c>
      <c r="AT111">
        <v>2</v>
      </c>
      <c r="AU111" t="s">
        <v>126</v>
      </c>
      <c r="AV111" t="s">
        <v>155</v>
      </c>
      <c r="AW111" t="s">
        <v>156</v>
      </c>
      <c r="AX111">
        <v>1</v>
      </c>
      <c r="AY111" t="s">
        <v>129</v>
      </c>
      <c r="AZ111">
        <v>41436.239999999998</v>
      </c>
      <c r="BA111">
        <v>3889388</v>
      </c>
      <c r="BB111">
        <v>49954.31</v>
      </c>
      <c r="BC111">
        <v>93.864400000000003</v>
      </c>
      <c r="BD111" t="s">
        <v>130</v>
      </c>
      <c r="BE111" t="s">
        <v>112</v>
      </c>
      <c r="BF111" t="s">
        <v>157</v>
      </c>
      <c r="BG111" t="s">
        <v>133</v>
      </c>
      <c r="BH111" t="s">
        <v>134</v>
      </c>
      <c r="BI111" t="s">
        <v>112</v>
      </c>
      <c r="BJ111" t="s">
        <v>112</v>
      </c>
      <c r="BK111" t="s">
        <v>112</v>
      </c>
      <c r="BL111" t="s">
        <v>169</v>
      </c>
      <c r="BM111" t="s">
        <v>159</v>
      </c>
      <c r="BN111" t="s">
        <v>722</v>
      </c>
      <c r="BO111" t="s">
        <v>161</v>
      </c>
      <c r="BP111">
        <v>1</v>
      </c>
      <c r="BQ111" t="s">
        <v>1393</v>
      </c>
      <c r="BR111" s="45">
        <f>ISNUMBER(SEARCH($BR$1,Таблица1[[#This Row],[31_1 Описание и характеристика товара]]))*1</f>
        <v>1</v>
      </c>
      <c r="BT111" t="s">
        <v>150</v>
      </c>
      <c r="BU111">
        <v>33</v>
      </c>
      <c r="BV111">
        <v>0</v>
      </c>
      <c r="BW111">
        <v>0</v>
      </c>
      <c r="BY111">
        <v>0</v>
      </c>
      <c r="CA111" t="s">
        <v>106</v>
      </c>
      <c r="CB111" t="s">
        <v>142</v>
      </c>
      <c r="CC111" t="s">
        <v>112</v>
      </c>
      <c r="CD111" t="s">
        <v>112</v>
      </c>
      <c r="CE111" t="s">
        <v>121</v>
      </c>
      <c r="CF111">
        <v>17210.349999999999</v>
      </c>
      <c r="CG111" t="s">
        <v>144</v>
      </c>
      <c r="CH111">
        <v>4000000</v>
      </c>
      <c r="CI111">
        <v>17210.349999999999</v>
      </c>
      <c r="CJ111">
        <v>0</v>
      </c>
      <c r="CK111" t="s">
        <v>112</v>
      </c>
      <c r="CL111" t="s">
        <v>112</v>
      </c>
      <c r="CM111">
        <v>41436.239999999998</v>
      </c>
      <c r="CN111">
        <v>3889388</v>
      </c>
      <c r="CO111">
        <v>0</v>
      </c>
      <c r="CP111">
        <v>1</v>
      </c>
      <c r="CQ111">
        <v>4277047.78</v>
      </c>
      <c r="CR111">
        <v>49954.31</v>
      </c>
      <c r="CS111" t="s">
        <v>145</v>
      </c>
      <c r="CT111">
        <v>49910.014999999992</v>
      </c>
      <c r="CU111">
        <v>2.9</v>
      </c>
      <c r="CV111">
        <v>45</v>
      </c>
      <c r="CW111" t="s">
        <v>171</v>
      </c>
      <c r="CX111" t="s">
        <v>463</v>
      </c>
      <c r="CY111">
        <v>257</v>
      </c>
    </row>
    <row r="112" spans="1:103" x14ac:dyDescent="0.25">
      <c r="A112" t="s">
        <v>106</v>
      </c>
      <c r="B112" s="38">
        <v>45064</v>
      </c>
      <c r="C112" s="43">
        <f>IF(YEAR(Таблица1[[#This Row],[Дата]])=2023,MONTH(Таблица1[[#This Row],[Дата]]),0)</f>
        <v>5</v>
      </c>
      <c r="D112" t="s">
        <v>1240</v>
      </c>
      <c r="E112" t="s">
        <v>108</v>
      </c>
      <c r="F112" t="s">
        <v>1241</v>
      </c>
      <c r="G112" t="s">
        <v>3244</v>
      </c>
      <c r="H112" t="s">
        <v>111</v>
      </c>
      <c r="I112" t="s">
        <v>112</v>
      </c>
      <c r="J112" t="s">
        <v>112</v>
      </c>
      <c r="K112" t="s">
        <v>112</v>
      </c>
      <c r="L112" t="s">
        <v>150</v>
      </c>
      <c r="M112" t="s">
        <v>1060</v>
      </c>
      <c r="N112" t="s">
        <v>112</v>
      </c>
      <c r="O112" t="s">
        <v>112</v>
      </c>
      <c r="P112">
        <v>1</v>
      </c>
      <c r="Q112">
        <v>0</v>
      </c>
      <c r="R112">
        <v>1</v>
      </c>
      <c r="S112">
        <v>33</v>
      </c>
      <c r="T112" t="s">
        <v>166</v>
      </c>
      <c r="U112" t="s">
        <v>152</v>
      </c>
      <c r="V112" t="s">
        <v>153</v>
      </c>
      <c r="W112" t="s">
        <v>154</v>
      </c>
      <c r="X112" t="s">
        <v>119</v>
      </c>
      <c r="Y112" t="s">
        <v>112</v>
      </c>
      <c r="Z112" t="s">
        <v>166</v>
      </c>
      <c r="AA112" t="s">
        <v>152</v>
      </c>
      <c r="AB112" t="s">
        <v>153</v>
      </c>
      <c r="AC112" t="s">
        <v>154</v>
      </c>
      <c r="AD112" t="s">
        <v>119</v>
      </c>
      <c r="AE112" t="s">
        <v>112</v>
      </c>
      <c r="AF112" t="s">
        <v>121</v>
      </c>
      <c r="AG112" t="s">
        <v>122</v>
      </c>
      <c r="AH112">
        <v>4341766.3099999996</v>
      </c>
      <c r="AI112" t="s">
        <v>166</v>
      </c>
      <c r="AJ112" t="s">
        <v>152</v>
      </c>
      <c r="AK112" t="s">
        <v>153</v>
      </c>
      <c r="AL112" t="s">
        <v>154</v>
      </c>
      <c r="AM112" t="s">
        <v>119</v>
      </c>
      <c r="AN112" t="s">
        <v>112</v>
      </c>
      <c r="AO112" t="s">
        <v>121</v>
      </c>
      <c r="AP112" t="s">
        <v>122</v>
      </c>
      <c r="AQ112" t="s">
        <v>122</v>
      </c>
      <c r="AR112" t="s">
        <v>124</v>
      </c>
      <c r="AS112" t="s">
        <v>125</v>
      </c>
      <c r="AT112">
        <v>2</v>
      </c>
      <c r="AU112" t="s">
        <v>126</v>
      </c>
      <c r="AV112" t="s">
        <v>155</v>
      </c>
      <c r="AW112" t="s">
        <v>156</v>
      </c>
      <c r="AX112">
        <v>1</v>
      </c>
      <c r="AY112" t="s">
        <v>129</v>
      </c>
      <c r="AZ112">
        <v>45883.25</v>
      </c>
      <c r="BA112">
        <v>3942243</v>
      </c>
      <c r="BB112">
        <v>54294.68</v>
      </c>
      <c r="BC112">
        <v>85.918999999999997</v>
      </c>
      <c r="BD112" t="s">
        <v>130</v>
      </c>
      <c r="BE112" t="s">
        <v>112</v>
      </c>
      <c r="BF112" t="s">
        <v>157</v>
      </c>
      <c r="BG112" t="s">
        <v>133</v>
      </c>
      <c r="BH112" t="s">
        <v>134</v>
      </c>
      <c r="BI112" t="s">
        <v>112</v>
      </c>
      <c r="BJ112" t="s">
        <v>112</v>
      </c>
      <c r="BK112" t="s">
        <v>112</v>
      </c>
      <c r="BL112" t="s">
        <v>169</v>
      </c>
      <c r="BM112" t="s">
        <v>159</v>
      </c>
      <c r="BN112" t="s">
        <v>722</v>
      </c>
      <c r="BO112" t="s">
        <v>161</v>
      </c>
      <c r="BP112">
        <v>1</v>
      </c>
      <c r="BQ112" t="s">
        <v>466</v>
      </c>
      <c r="BR112" s="45">
        <f>ISNUMBER(SEARCH($BR$1,Таблица1[[#This Row],[31_1 Описание и характеристика товара]]))*1</f>
        <v>1</v>
      </c>
      <c r="BT112" t="s">
        <v>150</v>
      </c>
      <c r="BU112">
        <v>33</v>
      </c>
      <c r="BV112">
        <v>0</v>
      </c>
      <c r="BW112">
        <v>0</v>
      </c>
      <c r="BY112">
        <v>0</v>
      </c>
      <c r="CA112" t="s">
        <v>106</v>
      </c>
      <c r="CB112" t="s">
        <v>142</v>
      </c>
      <c r="CC112" t="s">
        <v>112</v>
      </c>
      <c r="CD112" t="s">
        <v>112</v>
      </c>
      <c r="CE112" t="s">
        <v>121</v>
      </c>
      <c r="CF112">
        <v>17056.099999999999</v>
      </c>
      <c r="CG112" t="s">
        <v>144</v>
      </c>
      <c r="CH112">
        <v>4000000</v>
      </c>
      <c r="CI112">
        <v>17056.099999999999</v>
      </c>
      <c r="CJ112">
        <v>0</v>
      </c>
      <c r="CK112" t="s">
        <v>112</v>
      </c>
      <c r="CL112" t="s">
        <v>112</v>
      </c>
      <c r="CM112">
        <v>45883.25</v>
      </c>
      <c r="CN112">
        <v>3942243</v>
      </c>
      <c r="CO112">
        <v>0</v>
      </c>
      <c r="CP112">
        <v>1</v>
      </c>
      <c r="CQ112">
        <v>4341766.3099999996</v>
      </c>
      <c r="CR112">
        <v>54294.68</v>
      </c>
      <c r="CS112" t="s">
        <v>145</v>
      </c>
      <c r="CT112">
        <v>54294.683129999998</v>
      </c>
      <c r="CU112">
        <v>3.1833</v>
      </c>
      <c r="CV112">
        <v>45</v>
      </c>
      <c r="CW112" t="s">
        <v>171</v>
      </c>
      <c r="CX112" t="s">
        <v>372</v>
      </c>
      <c r="CY112">
        <v>296</v>
      </c>
    </row>
    <row r="113" spans="1:103" x14ac:dyDescent="0.25">
      <c r="A113" t="s">
        <v>106</v>
      </c>
      <c r="B113" s="38">
        <v>45152</v>
      </c>
      <c r="C113" s="43">
        <f>IF(YEAR(Таблица1[[#This Row],[Дата]])=2023,MONTH(Таблица1[[#This Row],[Дата]]),0)</f>
        <v>8</v>
      </c>
      <c r="D113" t="s">
        <v>1238</v>
      </c>
      <c r="E113" t="s">
        <v>108</v>
      </c>
      <c r="F113" t="s">
        <v>1239</v>
      </c>
      <c r="G113" t="s">
        <v>3244</v>
      </c>
      <c r="H113" t="s">
        <v>111</v>
      </c>
      <c r="I113" t="s">
        <v>112</v>
      </c>
      <c r="J113" t="s">
        <v>112</v>
      </c>
      <c r="K113" t="s">
        <v>112</v>
      </c>
      <c r="L113" t="s">
        <v>150</v>
      </c>
      <c r="M113" t="s">
        <v>1060</v>
      </c>
      <c r="N113" t="s">
        <v>112</v>
      </c>
      <c r="O113" t="s">
        <v>112</v>
      </c>
      <c r="P113">
        <v>1</v>
      </c>
      <c r="Q113">
        <v>0</v>
      </c>
      <c r="R113">
        <v>1</v>
      </c>
      <c r="S113">
        <v>33</v>
      </c>
      <c r="T113" t="s">
        <v>166</v>
      </c>
      <c r="U113" t="s">
        <v>152</v>
      </c>
      <c r="V113" t="s">
        <v>153</v>
      </c>
      <c r="W113" t="s">
        <v>154</v>
      </c>
      <c r="X113" t="s">
        <v>119</v>
      </c>
      <c r="Y113" t="s">
        <v>112</v>
      </c>
      <c r="Z113" t="s">
        <v>166</v>
      </c>
      <c r="AA113" t="s">
        <v>152</v>
      </c>
      <c r="AB113" t="s">
        <v>153</v>
      </c>
      <c r="AC113" t="s">
        <v>154</v>
      </c>
      <c r="AD113" t="s">
        <v>119</v>
      </c>
      <c r="AE113" t="s">
        <v>112</v>
      </c>
      <c r="AF113" t="s">
        <v>121</v>
      </c>
      <c r="AG113" t="s">
        <v>122</v>
      </c>
      <c r="AH113">
        <v>4175531.08</v>
      </c>
      <c r="AI113" t="s">
        <v>166</v>
      </c>
      <c r="AJ113" t="s">
        <v>152</v>
      </c>
      <c r="AK113" t="s">
        <v>153</v>
      </c>
      <c r="AL113" t="s">
        <v>154</v>
      </c>
      <c r="AM113" t="s">
        <v>119</v>
      </c>
      <c r="AN113" t="s">
        <v>112</v>
      </c>
      <c r="AO113" t="s">
        <v>121</v>
      </c>
      <c r="AP113" t="s">
        <v>122</v>
      </c>
      <c r="AQ113" t="s">
        <v>122</v>
      </c>
      <c r="AR113" t="s">
        <v>124</v>
      </c>
      <c r="AS113" t="s">
        <v>125</v>
      </c>
      <c r="AT113">
        <v>2</v>
      </c>
      <c r="AU113" t="s">
        <v>126</v>
      </c>
      <c r="AV113" t="s">
        <v>155</v>
      </c>
      <c r="AW113" t="s">
        <v>156</v>
      </c>
      <c r="AX113">
        <v>1</v>
      </c>
      <c r="AY113" t="s">
        <v>129</v>
      </c>
      <c r="AZ113">
        <v>44468.46</v>
      </c>
      <c r="BA113">
        <v>3820686</v>
      </c>
      <c r="BB113">
        <v>52215.87</v>
      </c>
      <c r="BC113">
        <v>85.918999999999997</v>
      </c>
      <c r="BD113" t="s">
        <v>130</v>
      </c>
      <c r="BE113" t="s">
        <v>112</v>
      </c>
      <c r="BF113" t="s">
        <v>157</v>
      </c>
      <c r="BG113" t="s">
        <v>133</v>
      </c>
      <c r="BH113" t="s">
        <v>134</v>
      </c>
      <c r="BI113" t="s">
        <v>112</v>
      </c>
      <c r="BJ113" t="s">
        <v>112</v>
      </c>
      <c r="BK113" t="s">
        <v>112</v>
      </c>
      <c r="BL113" t="s">
        <v>169</v>
      </c>
      <c r="BM113" t="s">
        <v>159</v>
      </c>
      <c r="BN113" t="s">
        <v>722</v>
      </c>
      <c r="BO113" t="s">
        <v>161</v>
      </c>
      <c r="BP113">
        <v>1</v>
      </c>
      <c r="BQ113" t="s">
        <v>232</v>
      </c>
      <c r="BR113" s="45">
        <f>ISNUMBER(SEARCH($BR$1,Таблица1[[#This Row],[31_1 Описание и характеристика товара]]))*1</f>
        <v>1</v>
      </c>
      <c r="BT113" t="s">
        <v>150</v>
      </c>
      <c r="BU113">
        <v>33</v>
      </c>
      <c r="BV113">
        <v>0</v>
      </c>
      <c r="BW113">
        <v>0</v>
      </c>
      <c r="BY113">
        <v>0</v>
      </c>
      <c r="CA113" t="s">
        <v>106</v>
      </c>
      <c r="CB113" t="s">
        <v>142</v>
      </c>
      <c r="CC113" t="s">
        <v>112</v>
      </c>
      <c r="CD113" t="s">
        <v>112</v>
      </c>
      <c r="CE113" t="s">
        <v>121</v>
      </c>
      <c r="CF113">
        <v>17106.330000000002</v>
      </c>
      <c r="CG113" t="s">
        <v>144</v>
      </c>
      <c r="CH113">
        <v>4000000</v>
      </c>
      <c r="CI113">
        <v>17106.330000000002</v>
      </c>
      <c r="CJ113">
        <v>0</v>
      </c>
      <c r="CK113" t="s">
        <v>112</v>
      </c>
      <c r="CL113" t="s">
        <v>112</v>
      </c>
      <c r="CM113">
        <v>44468.46</v>
      </c>
      <c r="CN113">
        <v>3820686</v>
      </c>
      <c r="CO113">
        <v>0</v>
      </c>
      <c r="CP113">
        <v>1</v>
      </c>
      <c r="CQ113">
        <v>4175531.08</v>
      </c>
      <c r="CR113">
        <v>52215.87</v>
      </c>
      <c r="CS113" t="s">
        <v>145</v>
      </c>
      <c r="CT113">
        <v>52215.361692000006</v>
      </c>
      <c r="CU113">
        <v>3.0524</v>
      </c>
      <c r="CV113">
        <v>45</v>
      </c>
      <c r="CW113" t="s">
        <v>171</v>
      </c>
      <c r="CX113" t="s">
        <v>463</v>
      </c>
      <c r="CY113">
        <v>296</v>
      </c>
    </row>
    <row r="114" spans="1:103" x14ac:dyDescent="0.25">
      <c r="A114" t="s">
        <v>106</v>
      </c>
      <c r="B114" s="38">
        <v>44956</v>
      </c>
      <c r="C114" s="43">
        <f>IF(YEAR(Таблица1[[#This Row],[Дата]])=2023,MONTH(Таблица1[[#This Row],[Дата]]),0)</f>
        <v>1</v>
      </c>
      <c r="D114" t="s">
        <v>1235</v>
      </c>
      <c r="E114" t="s">
        <v>108</v>
      </c>
      <c r="F114" t="s">
        <v>1236</v>
      </c>
      <c r="G114" t="s">
        <v>3244</v>
      </c>
      <c r="H114" t="s">
        <v>111</v>
      </c>
      <c r="I114" t="s">
        <v>112</v>
      </c>
      <c r="J114" t="s">
        <v>112</v>
      </c>
      <c r="K114" t="s">
        <v>112</v>
      </c>
      <c r="L114" t="s">
        <v>150</v>
      </c>
      <c r="M114" t="s">
        <v>1060</v>
      </c>
      <c r="N114" t="s">
        <v>112</v>
      </c>
      <c r="O114" t="s">
        <v>112</v>
      </c>
      <c r="P114">
        <v>1</v>
      </c>
      <c r="Q114">
        <v>0</v>
      </c>
      <c r="R114">
        <v>1</v>
      </c>
      <c r="S114">
        <v>33</v>
      </c>
      <c r="T114" t="s">
        <v>166</v>
      </c>
      <c r="U114" t="s">
        <v>152</v>
      </c>
      <c r="V114" t="s">
        <v>153</v>
      </c>
      <c r="W114" t="s">
        <v>154</v>
      </c>
      <c r="X114" t="s">
        <v>119</v>
      </c>
      <c r="Y114" t="s">
        <v>112</v>
      </c>
      <c r="Z114" t="s">
        <v>166</v>
      </c>
      <c r="AA114" t="s">
        <v>152</v>
      </c>
      <c r="AB114" t="s">
        <v>153</v>
      </c>
      <c r="AC114" t="s">
        <v>154</v>
      </c>
      <c r="AD114" t="s">
        <v>119</v>
      </c>
      <c r="AE114" t="s">
        <v>112</v>
      </c>
      <c r="AF114" t="s">
        <v>121</v>
      </c>
      <c r="AG114" t="s">
        <v>122</v>
      </c>
      <c r="AH114">
        <v>4335785.49</v>
      </c>
      <c r="AI114" t="s">
        <v>166</v>
      </c>
      <c r="AJ114" t="s">
        <v>152</v>
      </c>
      <c r="AK114" t="s">
        <v>153</v>
      </c>
      <c r="AL114" t="s">
        <v>154</v>
      </c>
      <c r="AM114" t="s">
        <v>119</v>
      </c>
      <c r="AN114" t="s">
        <v>112</v>
      </c>
      <c r="AO114" t="s">
        <v>121</v>
      </c>
      <c r="AP114" t="s">
        <v>122</v>
      </c>
      <c r="AQ114" t="s">
        <v>122</v>
      </c>
      <c r="AR114" t="s">
        <v>124</v>
      </c>
      <c r="AS114" t="s">
        <v>125</v>
      </c>
      <c r="AT114">
        <v>2</v>
      </c>
      <c r="AU114" t="s">
        <v>126</v>
      </c>
      <c r="AV114" t="s">
        <v>155</v>
      </c>
      <c r="AW114" t="s">
        <v>156</v>
      </c>
      <c r="AX114">
        <v>1</v>
      </c>
      <c r="AY114" t="s">
        <v>129</v>
      </c>
      <c r="AZ114">
        <v>45813.64</v>
      </c>
      <c r="BA114">
        <v>3936262</v>
      </c>
      <c r="BB114">
        <v>54219.89</v>
      </c>
      <c r="BC114">
        <v>85.918999999999997</v>
      </c>
      <c r="BD114" t="s">
        <v>130</v>
      </c>
      <c r="BE114" t="s">
        <v>112</v>
      </c>
      <c r="BF114" t="s">
        <v>157</v>
      </c>
      <c r="BG114" t="s">
        <v>133</v>
      </c>
      <c r="BH114" t="s">
        <v>134</v>
      </c>
      <c r="BI114" t="s">
        <v>112</v>
      </c>
      <c r="BJ114" t="s">
        <v>112</v>
      </c>
      <c r="BK114" t="s">
        <v>112</v>
      </c>
      <c r="BL114" t="s">
        <v>169</v>
      </c>
      <c r="BM114" t="s">
        <v>159</v>
      </c>
      <c r="BN114" t="s">
        <v>722</v>
      </c>
      <c r="BO114" t="s">
        <v>161</v>
      </c>
      <c r="BP114">
        <v>1</v>
      </c>
      <c r="BQ114" t="s">
        <v>1237</v>
      </c>
      <c r="BR114" s="45">
        <f>ISNUMBER(SEARCH($BR$1,Таблица1[[#This Row],[31_1 Описание и характеристика товара]]))*1</f>
        <v>1</v>
      </c>
      <c r="BT114" t="s">
        <v>150</v>
      </c>
      <c r="BU114">
        <v>33</v>
      </c>
      <c r="BV114">
        <v>0</v>
      </c>
      <c r="BW114">
        <v>0</v>
      </c>
      <c r="BY114">
        <v>0</v>
      </c>
      <c r="CA114" t="s">
        <v>106</v>
      </c>
      <c r="CB114" t="s">
        <v>142</v>
      </c>
      <c r="CC114" t="s">
        <v>112</v>
      </c>
      <c r="CD114" t="s">
        <v>112</v>
      </c>
      <c r="CE114" t="s">
        <v>121</v>
      </c>
      <c r="CF114">
        <v>16837.09</v>
      </c>
      <c r="CG114" t="s">
        <v>144</v>
      </c>
      <c r="CH114">
        <v>4000000</v>
      </c>
      <c r="CI114">
        <v>16801.09</v>
      </c>
      <c r="CJ114">
        <v>0</v>
      </c>
      <c r="CK114" t="s">
        <v>112</v>
      </c>
      <c r="CL114" t="s">
        <v>112</v>
      </c>
      <c r="CM114">
        <v>45813.64</v>
      </c>
      <c r="CN114">
        <v>3936262</v>
      </c>
      <c r="CO114">
        <v>0</v>
      </c>
      <c r="CP114">
        <v>1</v>
      </c>
      <c r="CQ114">
        <v>4335785.49</v>
      </c>
      <c r="CR114">
        <v>54219.89</v>
      </c>
      <c r="CS114" t="s">
        <v>145</v>
      </c>
      <c r="CT114">
        <v>54220.477648</v>
      </c>
      <c r="CU114">
        <v>3.2271999999999998</v>
      </c>
      <c r="CV114">
        <v>45</v>
      </c>
      <c r="CW114" t="s">
        <v>171</v>
      </c>
      <c r="CX114" t="s">
        <v>372</v>
      </c>
      <c r="CY114">
        <v>180</v>
      </c>
    </row>
    <row r="115" spans="1:103" x14ac:dyDescent="0.25">
      <c r="A115" t="s">
        <v>106</v>
      </c>
      <c r="B115" s="38">
        <v>45163</v>
      </c>
      <c r="C115" s="43">
        <f>IF(YEAR(Таблица1[[#This Row],[Дата]])=2023,MONTH(Таблица1[[#This Row],[Дата]]),0)</f>
        <v>8</v>
      </c>
      <c r="D115" t="s">
        <v>1233</v>
      </c>
      <c r="E115" t="s">
        <v>108</v>
      </c>
      <c r="F115" t="s">
        <v>1234</v>
      </c>
      <c r="G115" t="s">
        <v>110</v>
      </c>
      <c r="H115" t="s">
        <v>111</v>
      </c>
      <c r="I115" t="s">
        <v>112</v>
      </c>
      <c r="J115" t="s">
        <v>112</v>
      </c>
      <c r="K115" t="s">
        <v>112</v>
      </c>
      <c r="L115" t="s">
        <v>150</v>
      </c>
      <c r="M115" t="s">
        <v>1060</v>
      </c>
      <c r="N115" t="s">
        <v>112</v>
      </c>
      <c r="O115" t="s">
        <v>112</v>
      </c>
      <c r="P115">
        <v>1</v>
      </c>
      <c r="Q115">
        <v>0</v>
      </c>
      <c r="R115">
        <v>1</v>
      </c>
      <c r="S115">
        <v>33</v>
      </c>
      <c r="T115" t="s">
        <v>166</v>
      </c>
      <c r="U115" t="s">
        <v>152</v>
      </c>
      <c r="V115" t="s">
        <v>153</v>
      </c>
      <c r="W115" t="s">
        <v>154</v>
      </c>
      <c r="X115" t="s">
        <v>119</v>
      </c>
      <c r="Y115" t="s">
        <v>112</v>
      </c>
      <c r="Z115" t="s">
        <v>166</v>
      </c>
      <c r="AA115" t="s">
        <v>152</v>
      </c>
      <c r="AB115" t="s">
        <v>153</v>
      </c>
      <c r="AC115" t="s">
        <v>154</v>
      </c>
      <c r="AD115" t="s">
        <v>119</v>
      </c>
      <c r="AE115" t="s">
        <v>112</v>
      </c>
      <c r="AF115" t="s">
        <v>121</v>
      </c>
      <c r="AG115" t="s">
        <v>122</v>
      </c>
      <c r="AH115">
        <v>3922638.82</v>
      </c>
      <c r="AI115" t="s">
        <v>166</v>
      </c>
      <c r="AJ115" t="s">
        <v>152</v>
      </c>
      <c r="AK115" t="s">
        <v>153</v>
      </c>
      <c r="AL115" t="s">
        <v>154</v>
      </c>
      <c r="AM115" t="s">
        <v>119</v>
      </c>
      <c r="AN115" t="s">
        <v>112</v>
      </c>
      <c r="AO115" t="s">
        <v>121</v>
      </c>
      <c r="AP115" t="s">
        <v>122</v>
      </c>
      <c r="AQ115" t="s">
        <v>122</v>
      </c>
      <c r="AR115" t="s">
        <v>124</v>
      </c>
      <c r="AS115" t="s">
        <v>125</v>
      </c>
      <c r="AT115">
        <v>2</v>
      </c>
      <c r="AU115" t="s">
        <v>126</v>
      </c>
      <c r="AV115" t="s">
        <v>155</v>
      </c>
      <c r="AW115" t="s">
        <v>156</v>
      </c>
      <c r="AX115">
        <v>1</v>
      </c>
      <c r="AY115" t="s">
        <v>129</v>
      </c>
      <c r="AZ115">
        <v>41525.08</v>
      </c>
      <c r="BA115">
        <v>3567793</v>
      </c>
      <c r="BB115">
        <v>49053.4</v>
      </c>
      <c r="BC115">
        <v>85.918999999999997</v>
      </c>
      <c r="BD115" t="s">
        <v>130</v>
      </c>
      <c r="BE115" t="s">
        <v>112</v>
      </c>
      <c r="BF115" t="s">
        <v>157</v>
      </c>
      <c r="BG115" t="s">
        <v>133</v>
      </c>
      <c r="BH115" t="s">
        <v>134</v>
      </c>
      <c r="BI115" t="s">
        <v>112</v>
      </c>
      <c r="BJ115" t="s">
        <v>112</v>
      </c>
      <c r="BK115" t="s">
        <v>112</v>
      </c>
      <c r="BL115" t="s">
        <v>169</v>
      </c>
      <c r="BM115" t="s">
        <v>159</v>
      </c>
      <c r="BN115" t="s">
        <v>722</v>
      </c>
      <c r="BO115" t="s">
        <v>161</v>
      </c>
      <c r="BP115">
        <v>1</v>
      </c>
      <c r="BQ115" t="s">
        <v>162</v>
      </c>
      <c r="BR115" s="45">
        <f>ISNUMBER(SEARCH($BR$1,Таблица1[[#This Row],[31_1 Описание и характеристика товара]]))*1</f>
        <v>1</v>
      </c>
      <c r="BT115" t="s">
        <v>150</v>
      </c>
      <c r="BU115">
        <v>33</v>
      </c>
      <c r="BV115">
        <v>0</v>
      </c>
      <c r="BW115">
        <v>0</v>
      </c>
      <c r="BY115">
        <v>0</v>
      </c>
      <c r="CA115" t="s">
        <v>106</v>
      </c>
      <c r="CB115" t="s">
        <v>142</v>
      </c>
      <c r="CC115" t="s">
        <v>112</v>
      </c>
      <c r="CD115" t="s">
        <v>112</v>
      </c>
      <c r="CE115" t="s">
        <v>121</v>
      </c>
      <c r="CF115">
        <v>16875.34</v>
      </c>
      <c r="CG115" t="s">
        <v>144</v>
      </c>
      <c r="CH115">
        <v>4000000</v>
      </c>
      <c r="CI115">
        <v>16810.54</v>
      </c>
      <c r="CJ115">
        <v>0</v>
      </c>
      <c r="CK115" t="s">
        <v>112</v>
      </c>
      <c r="CL115" t="s">
        <v>112</v>
      </c>
      <c r="CM115">
        <v>41525.08</v>
      </c>
      <c r="CN115">
        <v>3567793</v>
      </c>
      <c r="CO115">
        <v>0</v>
      </c>
      <c r="CP115">
        <v>1</v>
      </c>
      <c r="CQ115">
        <v>3922638.82</v>
      </c>
      <c r="CR115">
        <v>49053.4</v>
      </c>
      <c r="CS115" t="s">
        <v>145</v>
      </c>
      <c r="CT115">
        <v>49053.155720000002</v>
      </c>
      <c r="CU115">
        <v>2.9180000000000001</v>
      </c>
      <c r="CV115">
        <v>45</v>
      </c>
      <c r="CW115" t="s">
        <v>171</v>
      </c>
      <c r="CX115" t="s">
        <v>350</v>
      </c>
      <c r="CY115">
        <v>166</v>
      </c>
    </row>
    <row r="116" spans="1:103" x14ac:dyDescent="0.25">
      <c r="A116" t="s">
        <v>106</v>
      </c>
      <c r="B116" s="38">
        <v>45251</v>
      </c>
      <c r="C116" s="43">
        <f>IF(YEAR(Таблица1[[#This Row],[Дата]])=2023,MONTH(Таблица1[[#This Row],[Дата]]),0)</f>
        <v>11</v>
      </c>
      <c r="D116" t="s">
        <v>892</v>
      </c>
      <c r="E116" t="s">
        <v>108</v>
      </c>
      <c r="F116" t="s">
        <v>893</v>
      </c>
      <c r="G116" t="s">
        <v>110</v>
      </c>
      <c r="H116" t="s">
        <v>111</v>
      </c>
      <c r="I116" t="s">
        <v>112</v>
      </c>
      <c r="J116" t="s">
        <v>112</v>
      </c>
      <c r="K116" t="s">
        <v>112</v>
      </c>
      <c r="L116" t="s">
        <v>150</v>
      </c>
      <c r="M116" t="s">
        <v>151</v>
      </c>
      <c r="N116" t="s">
        <v>112</v>
      </c>
      <c r="O116" t="s">
        <v>112</v>
      </c>
      <c r="P116">
        <v>1</v>
      </c>
      <c r="Q116">
        <v>0</v>
      </c>
      <c r="R116">
        <v>1</v>
      </c>
      <c r="S116">
        <v>33</v>
      </c>
      <c r="T116" t="s">
        <v>166</v>
      </c>
      <c r="U116" t="s">
        <v>152</v>
      </c>
      <c r="V116" t="s">
        <v>153</v>
      </c>
      <c r="W116" t="s">
        <v>154</v>
      </c>
      <c r="X116" t="s">
        <v>119</v>
      </c>
      <c r="Y116" t="s">
        <v>112</v>
      </c>
      <c r="Z116" t="s">
        <v>166</v>
      </c>
      <c r="AA116" t="s">
        <v>152</v>
      </c>
      <c r="AB116" t="s">
        <v>153</v>
      </c>
      <c r="AC116" t="s">
        <v>154</v>
      </c>
      <c r="AD116" t="s">
        <v>119</v>
      </c>
      <c r="AE116" t="s">
        <v>112</v>
      </c>
      <c r="AF116" t="s">
        <v>121</v>
      </c>
      <c r="AG116" t="s">
        <v>122</v>
      </c>
      <c r="AH116">
        <v>4193185.32</v>
      </c>
      <c r="AI116" t="s">
        <v>166</v>
      </c>
      <c r="AJ116" t="s">
        <v>152</v>
      </c>
      <c r="AK116" t="s">
        <v>153</v>
      </c>
      <c r="AL116" t="s">
        <v>154</v>
      </c>
      <c r="AM116" t="s">
        <v>119</v>
      </c>
      <c r="AN116" t="s">
        <v>112</v>
      </c>
      <c r="AO116" t="s">
        <v>121</v>
      </c>
      <c r="AP116" t="s">
        <v>122</v>
      </c>
      <c r="AQ116" t="s">
        <v>122</v>
      </c>
      <c r="AR116" t="s">
        <v>124</v>
      </c>
      <c r="AS116" t="s">
        <v>125</v>
      </c>
      <c r="AT116">
        <v>2</v>
      </c>
      <c r="AU116" t="s">
        <v>126</v>
      </c>
      <c r="AV116" t="s">
        <v>155</v>
      </c>
      <c r="AW116" t="s">
        <v>156</v>
      </c>
      <c r="AX116">
        <v>1</v>
      </c>
      <c r="AY116" t="s">
        <v>129</v>
      </c>
      <c r="AZ116">
        <v>45807.63</v>
      </c>
      <c r="BA116">
        <v>3791727</v>
      </c>
      <c r="BB116">
        <v>54745.68</v>
      </c>
      <c r="BC116">
        <v>82.775000000000006</v>
      </c>
      <c r="BD116" t="s">
        <v>130</v>
      </c>
      <c r="BE116" t="s">
        <v>112</v>
      </c>
      <c r="BF116" t="s">
        <v>157</v>
      </c>
      <c r="BG116" t="s">
        <v>133</v>
      </c>
      <c r="BH116" t="s">
        <v>134</v>
      </c>
      <c r="BI116" t="s">
        <v>112</v>
      </c>
      <c r="BJ116" t="s">
        <v>112</v>
      </c>
      <c r="BK116" t="s">
        <v>112</v>
      </c>
      <c r="BL116" t="s">
        <v>169</v>
      </c>
      <c r="BM116" t="s">
        <v>159</v>
      </c>
      <c r="BN116" t="s">
        <v>722</v>
      </c>
      <c r="BO116" t="s">
        <v>161</v>
      </c>
      <c r="BP116">
        <v>1</v>
      </c>
      <c r="BQ116" t="s">
        <v>894</v>
      </c>
      <c r="BR116" s="45">
        <f>ISNUMBER(SEARCH($BR$1,Таблица1[[#This Row],[31_1 Описание и характеристика товара]]))*1</f>
        <v>1</v>
      </c>
      <c r="BT116" t="s">
        <v>150</v>
      </c>
      <c r="BU116">
        <v>33</v>
      </c>
      <c r="BV116">
        <v>0</v>
      </c>
      <c r="BW116">
        <v>0</v>
      </c>
      <c r="BY116">
        <v>0</v>
      </c>
      <c r="CA116" t="s">
        <v>106</v>
      </c>
      <c r="CB116" t="s">
        <v>142</v>
      </c>
      <c r="CC116" t="s">
        <v>112</v>
      </c>
      <c r="CD116" t="s">
        <v>112</v>
      </c>
      <c r="CE116" t="s">
        <v>121</v>
      </c>
      <c r="CF116">
        <v>16090.71</v>
      </c>
      <c r="CG116" t="s">
        <v>144</v>
      </c>
      <c r="CH116">
        <v>4000000</v>
      </c>
      <c r="CI116">
        <v>16035.51</v>
      </c>
      <c r="CJ116">
        <v>0</v>
      </c>
      <c r="CK116" t="s">
        <v>112</v>
      </c>
      <c r="CL116" t="s">
        <v>112</v>
      </c>
      <c r="CM116">
        <v>45807.63</v>
      </c>
      <c r="CN116">
        <v>3791727</v>
      </c>
      <c r="CO116">
        <v>0</v>
      </c>
      <c r="CP116">
        <v>1</v>
      </c>
      <c r="CQ116">
        <v>4193185.32</v>
      </c>
      <c r="CR116">
        <v>54745.68</v>
      </c>
      <c r="CS116" t="s">
        <v>145</v>
      </c>
      <c r="CT116">
        <v>54745.231140000004</v>
      </c>
      <c r="CU116">
        <v>3.4140000000000001</v>
      </c>
      <c r="CV116">
        <v>45</v>
      </c>
      <c r="CW116" t="s">
        <v>171</v>
      </c>
      <c r="CX116" t="s">
        <v>350</v>
      </c>
      <c r="CY116">
        <v>9</v>
      </c>
    </row>
    <row r="117" spans="1:103" x14ac:dyDescent="0.25">
      <c r="A117" t="s">
        <v>106</v>
      </c>
      <c r="B117" s="38">
        <v>45133</v>
      </c>
      <c r="C117" s="43">
        <f>IF(YEAR(Таблица1[[#This Row],[Дата]])=2023,MONTH(Таблица1[[#This Row],[Дата]]),0)</f>
        <v>7</v>
      </c>
      <c r="D117" t="s">
        <v>414</v>
      </c>
      <c r="E117" t="s">
        <v>108</v>
      </c>
      <c r="F117" t="s">
        <v>415</v>
      </c>
      <c r="G117" t="s">
        <v>110</v>
      </c>
      <c r="H117" t="s">
        <v>111</v>
      </c>
      <c r="I117" t="s">
        <v>112</v>
      </c>
      <c r="J117" t="s">
        <v>112</v>
      </c>
      <c r="K117" t="s">
        <v>112</v>
      </c>
      <c r="L117" t="s">
        <v>175</v>
      </c>
      <c r="M117" t="s">
        <v>176</v>
      </c>
      <c r="N117" t="s">
        <v>112</v>
      </c>
      <c r="O117" t="s">
        <v>112</v>
      </c>
      <c r="P117">
        <v>1</v>
      </c>
      <c r="Q117">
        <v>0</v>
      </c>
      <c r="R117">
        <v>1</v>
      </c>
      <c r="S117">
        <v>33</v>
      </c>
      <c r="T117" t="s">
        <v>166</v>
      </c>
      <c r="U117" t="s">
        <v>152</v>
      </c>
      <c r="V117" t="s">
        <v>153</v>
      </c>
      <c r="W117" t="s">
        <v>177</v>
      </c>
      <c r="X117" t="s">
        <v>119</v>
      </c>
      <c r="Y117" t="s">
        <v>112</v>
      </c>
      <c r="Z117" t="s">
        <v>166</v>
      </c>
      <c r="AA117" t="s">
        <v>152</v>
      </c>
      <c r="AB117" t="s">
        <v>153</v>
      </c>
      <c r="AC117" t="s">
        <v>177</v>
      </c>
      <c r="AD117" t="s">
        <v>119</v>
      </c>
      <c r="AE117" t="s">
        <v>112</v>
      </c>
      <c r="AF117" t="s">
        <v>121</v>
      </c>
      <c r="AG117" t="s">
        <v>122</v>
      </c>
      <c r="AH117">
        <v>3130791.31</v>
      </c>
      <c r="AI117" t="s">
        <v>166</v>
      </c>
      <c r="AJ117" t="s">
        <v>152</v>
      </c>
      <c r="AK117" t="s">
        <v>153</v>
      </c>
      <c r="AL117" t="s">
        <v>177</v>
      </c>
      <c r="AM117" t="s">
        <v>119</v>
      </c>
      <c r="AN117" t="s">
        <v>112</v>
      </c>
      <c r="AO117" t="s">
        <v>121</v>
      </c>
      <c r="AP117" t="s">
        <v>122</v>
      </c>
      <c r="AQ117" t="s">
        <v>122</v>
      </c>
      <c r="AR117" t="s">
        <v>124</v>
      </c>
      <c r="AS117" t="s">
        <v>125</v>
      </c>
      <c r="AT117">
        <v>2</v>
      </c>
      <c r="AU117" t="s">
        <v>106</v>
      </c>
      <c r="AV117" t="s">
        <v>155</v>
      </c>
      <c r="AW117" t="s">
        <v>156</v>
      </c>
      <c r="AX117">
        <v>1</v>
      </c>
      <c r="AY117" t="s">
        <v>129</v>
      </c>
      <c r="AZ117">
        <v>38155.9</v>
      </c>
      <c r="BA117">
        <v>2877191</v>
      </c>
      <c r="BB117">
        <v>45153.13</v>
      </c>
      <c r="BC117">
        <v>75.406199999999998</v>
      </c>
      <c r="BD117" t="s">
        <v>130</v>
      </c>
      <c r="BE117" t="s">
        <v>112</v>
      </c>
      <c r="BF117" t="s">
        <v>157</v>
      </c>
      <c r="BG117" t="s">
        <v>133</v>
      </c>
      <c r="BH117" t="s">
        <v>134</v>
      </c>
      <c r="BI117" t="s">
        <v>112</v>
      </c>
      <c r="BJ117" t="s">
        <v>178</v>
      </c>
      <c r="BK117" t="s">
        <v>112</v>
      </c>
      <c r="BL117" t="s">
        <v>125</v>
      </c>
      <c r="BM117" t="s">
        <v>179</v>
      </c>
      <c r="BN117" t="s">
        <v>180</v>
      </c>
      <c r="BO117" t="s">
        <v>181</v>
      </c>
      <c r="BP117">
        <v>1</v>
      </c>
      <c r="BQ117" t="s">
        <v>416</v>
      </c>
      <c r="BR117" s="45">
        <f>ISNUMBER(SEARCH($BR$1,Таблица1[[#This Row],[31_1 Описание и характеристика товара]]))*1</f>
        <v>1</v>
      </c>
      <c r="BT117" t="s">
        <v>150</v>
      </c>
      <c r="BU117">
        <v>33</v>
      </c>
      <c r="BV117">
        <v>1</v>
      </c>
      <c r="BW117">
        <v>0</v>
      </c>
      <c r="BY117">
        <v>0</v>
      </c>
      <c r="CA117" t="s">
        <v>106</v>
      </c>
      <c r="CB117" t="s">
        <v>142</v>
      </c>
      <c r="CC117" t="s">
        <v>112</v>
      </c>
      <c r="CD117" t="s">
        <v>112</v>
      </c>
      <c r="CE117" t="s">
        <v>121</v>
      </c>
      <c r="CF117">
        <v>16496.490000000002</v>
      </c>
      <c r="CG117" t="s">
        <v>144</v>
      </c>
      <c r="CH117">
        <v>4000000</v>
      </c>
      <c r="CI117">
        <v>16323.69</v>
      </c>
      <c r="CJ117">
        <v>0</v>
      </c>
      <c r="CK117" t="s">
        <v>112</v>
      </c>
      <c r="CL117" t="s">
        <v>112</v>
      </c>
      <c r="CM117">
        <v>38155.9</v>
      </c>
      <c r="CN117">
        <v>2877191</v>
      </c>
      <c r="CO117">
        <v>0</v>
      </c>
      <c r="CP117">
        <v>1</v>
      </c>
      <c r="CQ117">
        <v>3130791.31</v>
      </c>
      <c r="CR117">
        <v>45153.13</v>
      </c>
      <c r="CS117" t="s">
        <v>145</v>
      </c>
      <c r="CT117">
        <v>45152.958909000001</v>
      </c>
      <c r="CU117">
        <v>2.7660999999999998</v>
      </c>
      <c r="CV117">
        <v>941</v>
      </c>
      <c r="CW117" t="s">
        <v>183</v>
      </c>
      <c r="CX117" t="s">
        <v>147</v>
      </c>
      <c r="CY117">
        <v>180</v>
      </c>
    </row>
    <row r="118" spans="1:103" x14ac:dyDescent="0.25">
      <c r="A118" t="s">
        <v>106</v>
      </c>
      <c r="B118" s="38">
        <v>45244</v>
      </c>
      <c r="C118" s="43">
        <f>IF(YEAR(Таблица1[[#This Row],[Дата]])=2023,MONTH(Таблица1[[#This Row],[Дата]]),0)</f>
        <v>11</v>
      </c>
      <c r="D118" t="s">
        <v>411</v>
      </c>
      <c r="E118" t="s">
        <v>108</v>
      </c>
      <c r="F118" t="s">
        <v>412</v>
      </c>
      <c r="G118" t="s">
        <v>110</v>
      </c>
      <c r="H118" t="s">
        <v>111</v>
      </c>
      <c r="I118" t="s">
        <v>112</v>
      </c>
      <c r="J118" t="s">
        <v>112</v>
      </c>
      <c r="K118" t="s">
        <v>112</v>
      </c>
      <c r="L118" t="s">
        <v>175</v>
      </c>
      <c r="M118" t="s">
        <v>176</v>
      </c>
      <c r="N118" t="s">
        <v>112</v>
      </c>
      <c r="O118" t="s">
        <v>112</v>
      </c>
      <c r="P118">
        <v>1</v>
      </c>
      <c r="Q118">
        <v>0</v>
      </c>
      <c r="R118">
        <v>1</v>
      </c>
      <c r="S118">
        <v>33</v>
      </c>
      <c r="T118" t="s">
        <v>166</v>
      </c>
      <c r="U118" t="s">
        <v>152</v>
      </c>
      <c r="V118" t="s">
        <v>153</v>
      </c>
      <c r="W118" t="s">
        <v>177</v>
      </c>
      <c r="X118" t="s">
        <v>119</v>
      </c>
      <c r="Y118" t="s">
        <v>112</v>
      </c>
      <c r="Z118" t="s">
        <v>166</v>
      </c>
      <c r="AA118" t="s">
        <v>152</v>
      </c>
      <c r="AB118" t="s">
        <v>153</v>
      </c>
      <c r="AC118" t="s">
        <v>177</v>
      </c>
      <c r="AD118" t="s">
        <v>119</v>
      </c>
      <c r="AE118" t="s">
        <v>112</v>
      </c>
      <c r="AF118" t="s">
        <v>121</v>
      </c>
      <c r="AG118" t="s">
        <v>122</v>
      </c>
      <c r="AH118">
        <v>3173731.37</v>
      </c>
      <c r="AI118" t="s">
        <v>166</v>
      </c>
      <c r="AJ118" t="s">
        <v>152</v>
      </c>
      <c r="AK118" t="s">
        <v>153</v>
      </c>
      <c r="AL118" t="s">
        <v>177</v>
      </c>
      <c r="AM118" t="s">
        <v>119</v>
      </c>
      <c r="AN118" t="s">
        <v>112</v>
      </c>
      <c r="AO118" t="s">
        <v>121</v>
      </c>
      <c r="AP118" t="s">
        <v>122</v>
      </c>
      <c r="AQ118" t="s">
        <v>122</v>
      </c>
      <c r="AR118" t="s">
        <v>124</v>
      </c>
      <c r="AS118" t="s">
        <v>125</v>
      </c>
      <c r="AT118">
        <v>2</v>
      </c>
      <c r="AU118" t="s">
        <v>106</v>
      </c>
      <c r="AV118" t="s">
        <v>155</v>
      </c>
      <c r="AW118" t="s">
        <v>156</v>
      </c>
      <c r="AX118">
        <v>1</v>
      </c>
      <c r="AY118" t="s">
        <v>129</v>
      </c>
      <c r="AZ118">
        <v>38725.35</v>
      </c>
      <c r="BA118">
        <v>2920131</v>
      </c>
      <c r="BB118">
        <v>45772.42</v>
      </c>
      <c r="BC118">
        <v>75.406199999999998</v>
      </c>
      <c r="BD118" t="s">
        <v>130</v>
      </c>
      <c r="BE118" t="s">
        <v>112</v>
      </c>
      <c r="BF118" t="s">
        <v>157</v>
      </c>
      <c r="BG118" t="s">
        <v>133</v>
      </c>
      <c r="BH118" t="s">
        <v>134</v>
      </c>
      <c r="BI118" t="s">
        <v>112</v>
      </c>
      <c r="BJ118" t="s">
        <v>178</v>
      </c>
      <c r="BK118" t="s">
        <v>112</v>
      </c>
      <c r="BL118" t="s">
        <v>125</v>
      </c>
      <c r="BM118" t="s">
        <v>179</v>
      </c>
      <c r="BN118" t="s">
        <v>180</v>
      </c>
      <c r="BO118" t="s">
        <v>181</v>
      </c>
      <c r="BP118">
        <v>1</v>
      </c>
      <c r="BQ118" t="s">
        <v>413</v>
      </c>
      <c r="BR118" s="45">
        <f>ISNUMBER(SEARCH($BR$1,Таблица1[[#This Row],[31_1 Описание и характеристика товара]]))*1</f>
        <v>1</v>
      </c>
      <c r="BT118" t="s">
        <v>150</v>
      </c>
      <c r="BU118">
        <v>33</v>
      </c>
      <c r="BV118">
        <v>1</v>
      </c>
      <c r="BW118">
        <v>0</v>
      </c>
      <c r="BY118">
        <v>0</v>
      </c>
      <c r="CA118" t="s">
        <v>106</v>
      </c>
      <c r="CB118" t="s">
        <v>142</v>
      </c>
      <c r="CC118" t="s">
        <v>112</v>
      </c>
      <c r="CD118" t="s">
        <v>112</v>
      </c>
      <c r="CE118" t="s">
        <v>121</v>
      </c>
      <c r="CF118">
        <v>16512.8</v>
      </c>
      <c r="CG118" t="s">
        <v>144</v>
      </c>
      <c r="CH118">
        <v>4000000</v>
      </c>
      <c r="CI118">
        <v>16426.400000000001</v>
      </c>
      <c r="CJ118">
        <v>0</v>
      </c>
      <c r="CK118" t="s">
        <v>112</v>
      </c>
      <c r="CL118" t="s">
        <v>112</v>
      </c>
      <c r="CM118">
        <v>38725.35</v>
      </c>
      <c r="CN118">
        <v>2920131</v>
      </c>
      <c r="CO118">
        <v>0</v>
      </c>
      <c r="CP118">
        <v>1</v>
      </c>
      <c r="CQ118">
        <v>3173731.37</v>
      </c>
      <c r="CR118">
        <v>45772.42</v>
      </c>
      <c r="CS118" t="s">
        <v>145</v>
      </c>
      <c r="CT118">
        <v>45772.163600000007</v>
      </c>
      <c r="CU118">
        <v>2.7865000000000002</v>
      </c>
      <c r="CV118">
        <v>941</v>
      </c>
      <c r="CW118" t="s">
        <v>183</v>
      </c>
      <c r="CX118" t="s">
        <v>147</v>
      </c>
      <c r="CY118">
        <v>124</v>
      </c>
    </row>
    <row r="119" spans="1:103" x14ac:dyDescent="0.25">
      <c r="A119" t="s">
        <v>106</v>
      </c>
      <c r="B119" s="38">
        <v>44855</v>
      </c>
      <c r="C119" s="43">
        <f>IF(YEAR(Таблица1[[#This Row],[Дата]])=2023,MONTH(Таблица1[[#This Row],[Дата]]),0)</f>
        <v>0</v>
      </c>
      <c r="D119" t="s">
        <v>284</v>
      </c>
      <c r="E119" t="s">
        <v>108</v>
      </c>
      <c r="F119" t="s">
        <v>285</v>
      </c>
      <c r="G119" t="s">
        <v>110</v>
      </c>
      <c r="H119" t="s">
        <v>111</v>
      </c>
      <c r="I119" t="s">
        <v>112</v>
      </c>
      <c r="J119" t="s">
        <v>112</v>
      </c>
      <c r="K119" t="s">
        <v>112</v>
      </c>
      <c r="L119" t="s">
        <v>150</v>
      </c>
      <c r="M119" t="s">
        <v>151</v>
      </c>
      <c r="N119" t="s">
        <v>112</v>
      </c>
      <c r="O119" t="s">
        <v>112</v>
      </c>
      <c r="P119">
        <v>1</v>
      </c>
      <c r="R119">
        <v>1</v>
      </c>
      <c r="S119">
        <v>33</v>
      </c>
      <c r="T119" t="s">
        <v>112</v>
      </c>
      <c r="U119" t="s">
        <v>152</v>
      </c>
      <c r="V119" t="s">
        <v>153</v>
      </c>
      <c r="W119" t="s">
        <v>154</v>
      </c>
      <c r="X119" t="s">
        <v>119</v>
      </c>
      <c r="Y119" t="s">
        <v>112</v>
      </c>
      <c r="Z119" t="s">
        <v>112</v>
      </c>
      <c r="AA119" t="s">
        <v>152</v>
      </c>
      <c r="AB119" t="s">
        <v>153</v>
      </c>
      <c r="AC119" t="s">
        <v>154</v>
      </c>
      <c r="AD119" t="s">
        <v>119</v>
      </c>
      <c r="AE119" t="s">
        <v>112</v>
      </c>
      <c r="AF119" t="s">
        <v>121</v>
      </c>
      <c r="AG119" t="s">
        <v>122</v>
      </c>
      <c r="AH119">
        <v>4452621.29</v>
      </c>
      <c r="AI119" t="s">
        <v>112</v>
      </c>
      <c r="AJ119" t="s">
        <v>152</v>
      </c>
      <c r="AK119" t="s">
        <v>153</v>
      </c>
      <c r="AL119" t="s">
        <v>154</v>
      </c>
      <c r="AM119" t="s">
        <v>119</v>
      </c>
      <c r="AN119" t="s">
        <v>112</v>
      </c>
      <c r="AO119" t="s">
        <v>121</v>
      </c>
      <c r="AP119" t="s">
        <v>122</v>
      </c>
      <c r="AQ119" t="s">
        <v>122</v>
      </c>
      <c r="AR119" t="s">
        <v>124</v>
      </c>
      <c r="AS119" t="s">
        <v>125</v>
      </c>
      <c r="AT119">
        <v>2</v>
      </c>
      <c r="AU119" t="s">
        <v>126</v>
      </c>
      <c r="AV119" t="s">
        <v>155</v>
      </c>
      <c r="AW119" t="s">
        <v>156</v>
      </c>
      <c r="AY119" t="s">
        <v>129</v>
      </c>
      <c r="AZ119">
        <v>39945.24</v>
      </c>
      <c r="BC119">
        <v>101.3451</v>
      </c>
      <c r="BD119" t="s">
        <v>112</v>
      </c>
      <c r="BE119" t="s">
        <v>112</v>
      </c>
      <c r="BF119" t="s">
        <v>157</v>
      </c>
      <c r="BG119" t="s">
        <v>133</v>
      </c>
      <c r="BH119" t="s">
        <v>134</v>
      </c>
      <c r="BI119" t="s">
        <v>112</v>
      </c>
      <c r="BJ119" t="s">
        <v>112</v>
      </c>
      <c r="BK119" t="s">
        <v>112</v>
      </c>
      <c r="BL119" t="s">
        <v>158</v>
      </c>
      <c r="BM119" t="s">
        <v>159</v>
      </c>
      <c r="BN119" t="s">
        <v>212</v>
      </c>
      <c r="BO119" t="s">
        <v>161</v>
      </c>
      <c r="BQ119" t="s">
        <v>281</v>
      </c>
      <c r="BR119" s="45">
        <f>ISNUMBER(SEARCH($BR$1,Таблица1[[#This Row],[31_1 Описание и характеристика товара]]))*1</f>
        <v>1</v>
      </c>
      <c r="BT119" t="s">
        <v>150</v>
      </c>
      <c r="BU119">
        <v>33</v>
      </c>
      <c r="BV119">
        <v>0</v>
      </c>
      <c r="BW119">
        <v>0</v>
      </c>
      <c r="BY119">
        <v>0</v>
      </c>
      <c r="CA119" t="s">
        <v>106</v>
      </c>
      <c r="CB119" t="s">
        <v>142</v>
      </c>
      <c r="CC119" t="s">
        <v>112</v>
      </c>
      <c r="CD119" t="s">
        <v>112</v>
      </c>
      <c r="CE119" t="s">
        <v>121</v>
      </c>
      <c r="CF119">
        <v>16163.71</v>
      </c>
      <c r="CG119" t="s">
        <v>144</v>
      </c>
      <c r="CH119">
        <v>4000000</v>
      </c>
      <c r="CI119">
        <v>15926.11</v>
      </c>
      <c r="CJ119">
        <v>0</v>
      </c>
      <c r="CK119" t="s">
        <v>112</v>
      </c>
      <c r="CL119" t="s">
        <v>112</v>
      </c>
      <c r="CM119">
        <v>39945.24</v>
      </c>
      <c r="CO119">
        <v>0</v>
      </c>
      <c r="CP119">
        <v>1</v>
      </c>
      <c r="CQ119">
        <v>4452621.29</v>
      </c>
      <c r="CR119">
        <v>48553.69</v>
      </c>
      <c r="CS119" t="s">
        <v>145</v>
      </c>
      <c r="CT119">
        <v>48574.635499999997</v>
      </c>
      <c r="CU119">
        <v>3.05</v>
      </c>
      <c r="CV119">
        <v>45</v>
      </c>
      <c r="CX119" t="s">
        <v>206</v>
      </c>
      <c r="CY119">
        <v>159</v>
      </c>
    </row>
    <row r="120" spans="1:103" x14ac:dyDescent="0.25">
      <c r="A120" t="s">
        <v>106</v>
      </c>
      <c r="B120" s="38">
        <v>44703</v>
      </c>
      <c r="C120" s="43">
        <f>IF(YEAR(Таблица1[[#This Row],[Дата]])=2023,MONTH(Таблица1[[#This Row],[Дата]]),0)</f>
        <v>0</v>
      </c>
      <c r="D120" t="s">
        <v>261</v>
      </c>
      <c r="E120" t="s">
        <v>108</v>
      </c>
      <c r="F120" t="s">
        <v>262</v>
      </c>
      <c r="G120" t="s">
        <v>110</v>
      </c>
      <c r="H120" t="s">
        <v>111</v>
      </c>
      <c r="I120" t="s">
        <v>112</v>
      </c>
      <c r="J120" t="s">
        <v>112</v>
      </c>
      <c r="K120" t="s">
        <v>112</v>
      </c>
      <c r="L120" t="s">
        <v>150</v>
      </c>
      <c r="M120" t="s">
        <v>151</v>
      </c>
      <c r="N120" t="s">
        <v>112</v>
      </c>
      <c r="O120" t="s">
        <v>112</v>
      </c>
      <c r="P120">
        <v>1</v>
      </c>
      <c r="R120">
        <v>1</v>
      </c>
      <c r="S120">
        <v>33</v>
      </c>
      <c r="T120" t="s">
        <v>112</v>
      </c>
      <c r="U120" t="s">
        <v>152</v>
      </c>
      <c r="V120" t="s">
        <v>153</v>
      </c>
      <c r="W120" t="s">
        <v>154</v>
      </c>
      <c r="X120" t="s">
        <v>119</v>
      </c>
      <c r="Y120" t="s">
        <v>112</v>
      </c>
      <c r="Z120" t="s">
        <v>112</v>
      </c>
      <c r="AA120" t="s">
        <v>152</v>
      </c>
      <c r="AB120" t="s">
        <v>153</v>
      </c>
      <c r="AC120" t="s">
        <v>154</v>
      </c>
      <c r="AD120" t="s">
        <v>119</v>
      </c>
      <c r="AE120" t="s">
        <v>112</v>
      </c>
      <c r="AF120" t="s">
        <v>121</v>
      </c>
      <c r="AG120" t="s">
        <v>122</v>
      </c>
      <c r="AH120">
        <v>4779641.66</v>
      </c>
      <c r="AI120" t="s">
        <v>112</v>
      </c>
      <c r="AJ120" t="s">
        <v>152</v>
      </c>
      <c r="AK120" t="s">
        <v>153</v>
      </c>
      <c r="AL120" t="s">
        <v>154</v>
      </c>
      <c r="AM120" t="s">
        <v>119</v>
      </c>
      <c r="AN120" t="s">
        <v>112</v>
      </c>
      <c r="AO120" t="s">
        <v>121</v>
      </c>
      <c r="AP120" t="s">
        <v>122</v>
      </c>
      <c r="AQ120" t="s">
        <v>122</v>
      </c>
      <c r="AR120" t="s">
        <v>124</v>
      </c>
      <c r="AS120" t="s">
        <v>125</v>
      </c>
      <c r="AT120">
        <v>2</v>
      </c>
      <c r="AU120" t="s">
        <v>126</v>
      </c>
      <c r="AV120" t="s">
        <v>155</v>
      </c>
      <c r="AW120" t="s">
        <v>156</v>
      </c>
      <c r="AY120" t="s">
        <v>129</v>
      </c>
      <c r="AZ120">
        <v>43172.04</v>
      </c>
      <c r="BC120">
        <v>101.3451</v>
      </c>
      <c r="BD120" t="s">
        <v>112</v>
      </c>
      <c r="BE120" t="s">
        <v>112</v>
      </c>
      <c r="BF120" t="s">
        <v>157</v>
      </c>
      <c r="BG120" t="s">
        <v>133</v>
      </c>
      <c r="BH120" t="s">
        <v>134</v>
      </c>
      <c r="BI120" t="s">
        <v>112</v>
      </c>
      <c r="BJ120" t="s">
        <v>112</v>
      </c>
      <c r="BK120" t="s">
        <v>112</v>
      </c>
      <c r="BL120" t="s">
        <v>158</v>
      </c>
      <c r="BM120" t="s">
        <v>159</v>
      </c>
      <c r="BN120" t="s">
        <v>212</v>
      </c>
      <c r="BO120" t="s">
        <v>161</v>
      </c>
      <c r="BQ120" t="s">
        <v>232</v>
      </c>
      <c r="BR120" s="45">
        <f>ISNUMBER(SEARCH($BR$1,Таблица1[[#This Row],[31_1 Описание и характеристика товара]]))*1</f>
        <v>1</v>
      </c>
      <c r="BT120" t="s">
        <v>150</v>
      </c>
      <c r="BU120">
        <v>33</v>
      </c>
      <c r="BV120">
        <v>0</v>
      </c>
      <c r="BW120">
        <v>0</v>
      </c>
      <c r="BY120">
        <v>0</v>
      </c>
      <c r="CA120" t="s">
        <v>106</v>
      </c>
      <c r="CB120" t="s">
        <v>142</v>
      </c>
      <c r="CC120" t="s">
        <v>112</v>
      </c>
      <c r="CD120" t="s">
        <v>112</v>
      </c>
      <c r="CE120" t="s">
        <v>121</v>
      </c>
      <c r="CF120">
        <v>16601.95</v>
      </c>
      <c r="CG120" t="s">
        <v>144</v>
      </c>
      <c r="CH120">
        <v>4000000</v>
      </c>
      <c r="CI120">
        <v>16517.95</v>
      </c>
      <c r="CJ120">
        <v>0</v>
      </c>
      <c r="CK120" t="s">
        <v>112</v>
      </c>
      <c r="CL120" t="s">
        <v>112</v>
      </c>
      <c r="CM120">
        <v>43172.04</v>
      </c>
      <c r="CO120">
        <v>0</v>
      </c>
      <c r="CP120">
        <v>1</v>
      </c>
      <c r="CQ120">
        <v>4779641.66</v>
      </c>
      <c r="CR120">
        <v>52119.69</v>
      </c>
      <c r="CS120" t="s">
        <v>145</v>
      </c>
      <c r="CT120">
        <v>52196.722000000002</v>
      </c>
      <c r="CU120">
        <v>3.16</v>
      </c>
      <c r="CV120">
        <v>45</v>
      </c>
      <c r="CX120" t="s">
        <v>233</v>
      </c>
      <c r="CY120">
        <v>303</v>
      </c>
    </row>
    <row r="121" spans="1:103" x14ac:dyDescent="0.25">
      <c r="A121" t="s">
        <v>106</v>
      </c>
      <c r="B121" s="38">
        <v>44565</v>
      </c>
      <c r="C121" s="43">
        <f>IF(YEAR(Таблица1[[#This Row],[Дата]])=2023,MONTH(Таблица1[[#This Row],[Дата]]),0)</f>
        <v>0</v>
      </c>
      <c r="D121" t="s">
        <v>279</v>
      </c>
      <c r="E121" t="s">
        <v>108</v>
      </c>
      <c r="F121" t="s">
        <v>280</v>
      </c>
      <c r="G121" t="s">
        <v>110</v>
      </c>
      <c r="H121" t="s">
        <v>111</v>
      </c>
      <c r="I121" t="s">
        <v>112</v>
      </c>
      <c r="J121" t="s">
        <v>112</v>
      </c>
      <c r="K121" t="s">
        <v>112</v>
      </c>
      <c r="L121" t="s">
        <v>150</v>
      </c>
      <c r="M121" t="s">
        <v>151</v>
      </c>
      <c r="N121" t="s">
        <v>112</v>
      </c>
      <c r="O121" t="s">
        <v>112</v>
      </c>
      <c r="P121">
        <v>1</v>
      </c>
      <c r="R121">
        <v>1</v>
      </c>
      <c r="S121">
        <v>33</v>
      </c>
      <c r="T121" t="s">
        <v>112</v>
      </c>
      <c r="U121" t="s">
        <v>152</v>
      </c>
      <c r="V121" t="s">
        <v>153</v>
      </c>
      <c r="W121" t="s">
        <v>154</v>
      </c>
      <c r="X121" t="s">
        <v>119</v>
      </c>
      <c r="Y121" t="s">
        <v>112</v>
      </c>
      <c r="Z121" t="s">
        <v>112</v>
      </c>
      <c r="AA121" t="s">
        <v>152</v>
      </c>
      <c r="AB121" t="s">
        <v>153</v>
      </c>
      <c r="AC121" t="s">
        <v>154</v>
      </c>
      <c r="AD121" t="s">
        <v>119</v>
      </c>
      <c r="AE121" t="s">
        <v>112</v>
      </c>
      <c r="AF121" t="s">
        <v>121</v>
      </c>
      <c r="AG121" t="s">
        <v>122</v>
      </c>
      <c r="AH121">
        <v>4935267.2</v>
      </c>
      <c r="AI121" t="s">
        <v>112</v>
      </c>
      <c r="AJ121" t="s">
        <v>152</v>
      </c>
      <c r="AK121" t="s">
        <v>153</v>
      </c>
      <c r="AL121" t="s">
        <v>154</v>
      </c>
      <c r="AM121" t="s">
        <v>119</v>
      </c>
      <c r="AN121" t="s">
        <v>112</v>
      </c>
      <c r="AO121" t="s">
        <v>121</v>
      </c>
      <c r="AP121" t="s">
        <v>122</v>
      </c>
      <c r="AQ121" t="s">
        <v>122</v>
      </c>
      <c r="AR121" t="s">
        <v>124</v>
      </c>
      <c r="AS121" t="s">
        <v>125</v>
      </c>
      <c r="AT121">
        <v>2</v>
      </c>
      <c r="AU121" t="s">
        <v>126</v>
      </c>
      <c r="AV121" t="s">
        <v>155</v>
      </c>
      <c r="AW121" t="s">
        <v>156</v>
      </c>
      <c r="AY121" t="s">
        <v>129</v>
      </c>
      <c r="AZ121">
        <v>44707.64</v>
      </c>
      <c r="BC121">
        <v>101.3451</v>
      </c>
      <c r="BD121" t="s">
        <v>112</v>
      </c>
      <c r="BE121" t="s">
        <v>112</v>
      </c>
      <c r="BF121" t="s">
        <v>157</v>
      </c>
      <c r="BG121" t="s">
        <v>133</v>
      </c>
      <c r="BH121" t="s">
        <v>134</v>
      </c>
      <c r="BI121" t="s">
        <v>112</v>
      </c>
      <c r="BJ121" t="s">
        <v>112</v>
      </c>
      <c r="BK121" t="s">
        <v>112</v>
      </c>
      <c r="BL121" t="s">
        <v>158</v>
      </c>
      <c r="BM121" t="s">
        <v>159</v>
      </c>
      <c r="BN121" t="s">
        <v>212</v>
      </c>
      <c r="BO121" t="s">
        <v>161</v>
      </c>
      <c r="BQ121" t="s">
        <v>281</v>
      </c>
      <c r="BR121" s="45">
        <f>ISNUMBER(SEARCH($BR$1,Таблица1[[#This Row],[31_1 Описание и характеристика товара]]))*1</f>
        <v>1</v>
      </c>
      <c r="BT121" t="s">
        <v>150</v>
      </c>
      <c r="BU121">
        <v>33</v>
      </c>
      <c r="BV121">
        <v>0</v>
      </c>
      <c r="BW121">
        <v>0</v>
      </c>
      <c r="BY121">
        <v>0</v>
      </c>
      <c r="CA121" t="s">
        <v>106</v>
      </c>
      <c r="CB121" t="s">
        <v>142</v>
      </c>
      <c r="CC121" t="s">
        <v>112</v>
      </c>
      <c r="CD121" t="s">
        <v>112</v>
      </c>
      <c r="CE121" t="s">
        <v>121</v>
      </c>
      <c r="CF121">
        <v>16579.45</v>
      </c>
      <c r="CG121" t="s">
        <v>144</v>
      </c>
      <c r="CH121">
        <v>4000000</v>
      </c>
      <c r="CI121">
        <v>16363.45</v>
      </c>
      <c r="CJ121">
        <v>0</v>
      </c>
      <c r="CK121" t="s">
        <v>112</v>
      </c>
      <c r="CL121" t="s">
        <v>112</v>
      </c>
      <c r="CM121">
        <v>44707.64</v>
      </c>
      <c r="CO121">
        <v>0</v>
      </c>
      <c r="CP121">
        <v>1</v>
      </c>
      <c r="CQ121">
        <v>4935267.2</v>
      </c>
      <c r="CR121">
        <v>53816.71</v>
      </c>
      <c r="CS121" t="s">
        <v>145</v>
      </c>
      <c r="CT121">
        <v>53835.750500000002</v>
      </c>
      <c r="CU121">
        <v>3.29</v>
      </c>
      <c r="CV121">
        <v>45</v>
      </c>
      <c r="CX121" t="s">
        <v>233</v>
      </c>
      <c r="CY121">
        <v>303</v>
      </c>
    </row>
    <row r="122" spans="1:103" x14ac:dyDescent="0.25">
      <c r="A122" t="s">
        <v>106</v>
      </c>
      <c r="B122" s="38">
        <v>45201</v>
      </c>
      <c r="C122" s="43">
        <f>IF(YEAR(Таблица1[[#This Row],[Дата]])=2023,MONTH(Таблица1[[#This Row],[Дата]]),0)</f>
        <v>10</v>
      </c>
      <c r="D122" t="s">
        <v>446</v>
      </c>
      <c r="E122" t="s">
        <v>108</v>
      </c>
      <c r="F122" t="s">
        <v>447</v>
      </c>
      <c r="G122" t="s">
        <v>110</v>
      </c>
      <c r="H122" t="s">
        <v>111</v>
      </c>
      <c r="I122" t="s">
        <v>112</v>
      </c>
      <c r="J122" t="s">
        <v>112</v>
      </c>
      <c r="K122" t="s">
        <v>112</v>
      </c>
      <c r="L122" t="s">
        <v>175</v>
      </c>
      <c r="M122" t="s">
        <v>448</v>
      </c>
      <c r="N122" t="s">
        <v>112</v>
      </c>
      <c r="O122" t="s">
        <v>112</v>
      </c>
      <c r="P122">
        <v>1</v>
      </c>
      <c r="R122">
        <v>1</v>
      </c>
      <c r="S122">
        <v>33</v>
      </c>
      <c r="T122" t="s">
        <v>112</v>
      </c>
      <c r="U122" t="s">
        <v>152</v>
      </c>
      <c r="V122" t="s">
        <v>153</v>
      </c>
      <c r="W122" t="s">
        <v>154</v>
      </c>
      <c r="X122" t="s">
        <v>119</v>
      </c>
      <c r="Y122" t="s">
        <v>112</v>
      </c>
      <c r="Z122" t="s">
        <v>112</v>
      </c>
      <c r="AA122" t="s">
        <v>152</v>
      </c>
      <c r="AB122" t="s">
        <v>153</v>
      </c>
      <c r="AC122" t="s">
        <v>154</v>
      </c>
      <c r="AD122" t="s">
        <v>119</v>
      </c>
      <c r="AE122" t="s">
        <v>112</v>
      </c>
      <c r="AF122" t="s">
        <v>121</v>
      </c>
      <c r="AG122" t="s">
        <v>122</v>
      </c>
      <c r="AH122">
        <v>4773196.1100000003</v>
      </c>
      <c r="AI122" t="s">
        <v>112</v>
      </c>
      <c r="AJ122" t="s">
        <v>152</v>
      </c>
      <c r="AK122" t="s">
        <v>153</v>
      </c>
      <c r="AL122" t="s">
        <v>154</v>
      </c>
      <c r="AM122" t="s">
        <v>119</v>
      </c>
      <c r="AN122" t="s">
        <v>112</v>
      </c>
      <c r="AO122" t="s">
        <v>121</v>
      </c>
      <c r="AP122" t="s">
        <v>122</v>
      </c>
      <c r="AQ122" t="s">
        <v>122</v>
      </c>
      <c r="AR122" t="s">
        <v>124</v>
      </c>
      <c r="AS122" t="s">
        <v>125</v>
      </c>
      <c r="AT122">
        <v>2</v>
      </c>
      <c r="AU122" t="s">
        <v>126</v>
      </c>
      <c r="AV122" t="s">
        <v>155</v>
      </c>
      <c r="AW122" t="s">
        <v>156</v>
      </c>
      <c r="AY122" t="s">
        <v>129</v>
      </c>
      <c r="AZ122">
        <v>43108.44</v>
      </c>
      <c r="BC122">
        <v>101.3451</v>
      </c>
      <c r="BD122" t="s">
        <v>112</v>
      </c>
      <c r="BE122" t="s">
        <v>112</v>
      </c>
      <c r="BF122" t="s">
        <v>157</v>
      </c>
      <c r="BG122" t="s">
        <v>133</v>
      </c>
      <c r="BH122" t="s">
        <v>134</v>
      </c>
      <c r="BI122" t="s">
        <v>112</v>
      </c>
      <c r="BJ122" t="s">
        <v>112</v>
      </c>
      <c r="BK122" t="s">
        <v>112</v>
      </c>
      <c r="BL122" t="s">
        <v>158</v>
      </c>
      <c r="BM122" t="s">
        <v>159</v>
      </c>
      <c r="BN122" t="s">
        <v>212</v>
      </c>
      <c r="BO122" t="s">
        <v>161</v>
      </c>
      <c r="BQ122" t="s">
        <v>232</v>
      </c>
      <c r="BR122" s="45">
        <f>ISNUMBER(SEARCH($BR$1,Таблица1[[#This Row],[31_1 Описание и характеристика товара]]))*1</f>
        <v>1</v>
      </c>
      <c r="BT122" t="s">
        <v>150</v>
      </c>
      <c r="BU122">
        <v>33</v>
      </c>
      <c r="BV122">
        <v>0</v>
      </c>
      <c r="BW122">
        <v>0</v>
      </c>
      <c r="BY122">
        <v>0</v>
      </c>
      <c r="CA122" t="s">
        <v>106</v>
      </c>
      <c r="CB122" t="s">
        <v>142</v>
      </c>
      <c r="CC122" t="s">
        <v>112</v>
      </c>
      <c r="CD122" t="s">
        <v>112</v>
      </c>
      <c r="CE122" t="s">
        <v>121</v>
      </c>
      <c r="CF122">
        <v>16636.509999999998</v>
      </c>
      <c r="CG122" t="s">
        <v>144</v>
      </c>
      <c r="CH122">
        <v>4000000</v>
      </c>
      <c r="CI122">
        <v>16528.509999999998</v>
      </c>
      <c r="CJ122">
        <v>0</v>
      </c>
      <c r="CK122" t="s">
        <v>112</v>
      </c>
      <c r="CL122" t="s">
        <v>112</v>
      </c>
      <c r="CM122">
        <v>43108.44</v>
      </c>
      <c r="CO122">
        <v>0</v>
      </c>
      <c r="CP122">
        <v>1</v>
      </c>
      <c r="CQ122">
        <v>4773196.1100000003</v>
      </c>
      <c r="CR122">
        <v>52049.41</v>
      </c>
      <c r="CS122" t="s">
        <v>145</v>
      </c>
      <c r="CT122">
        <v>52064.806499999992</v>
      </c>
      <c r="CU122">
        <v>3.15</v>
      </c>
      <c r="CV122">
        <v>45</v>
      </c>
      <c r="CX122" t="s">
        <v>233</v>
      </c>
      <c r="CY122">
        <v>302</v>
      </c>
    </row>
    <row r="123" spans="1:103" x14ac:dyDescent="0.25">
      <c r="A123" t="s">
        <v>106</v>
      </c>
      <c r="B123" s="38">
        <v>45048</v>
      </c>
      <c r="C123" s="43">
        <f>IF(YEAR(Таблица1[[#This Row],[Дата]])=2023,MONTH(Таблица1[[#This Row],[Дата]]),0)</f>
        <v>5</v>
      </c>
      <c r="D123" t="s">
        <v>210</v>
      </c>
      <c r="E123" t="s">
        <v>108</v>
      </c>
      <c r="F123" t="s">
        <v>211</v>
      </c>
      <c r="G123" t="s">
        <v>110</v>
      </c>
      <c r="H123" t="s">
        <v>111</v>
      </c>
      <c r="I123" t="s">
        <v>112</v>
      </c>
      <c r="J123" t="s">
        <v>112</v>
      </c>
      <c r="K123" t="s">
        <v>112</v>
      </c>
      <c r="L123" t="s">
        <v>150</v>
      </c>
      <c r="M123" t="s">
        <v>151</v>
      </c>
      <c r="N123" t="s">
        <v>112</v>
      </c>
      <c r="O123" t="s">
        <v>112</v>
      </c>
      <c r="P123">
        <v>1</v>
      </c>
      <c r="R123">
        <v>1</v>
      </c>
      <c r="S123">
        <v>33</v>
      </c>
      <c r="T123" t="s">
        <v>112</v>
      </c>
      <c r="U123" t="s">
        <v>152</v>
      </c>
      <c r="V123" t="s">
        <v>153</v>
      </c>
      <c r="W123" t="s">
        <v>154</v>
      </c>
      <c r="X123" t="s">
        <v>119</v>
      </c>
      <c r="Y123" t="s">
        <v>112</v>
      </c>
      <c r="Z123" t="s">
        <v>112</v>
      </c>
      <c r="AA123" t="s">
        <v>152</v>
      </c>
      <c r="AB123" t="s">
        <v>153</v>
      </c>
      <c r="AC123" t="s">
        <v>154</v>
      </c>
      <c r="AD123" t="s">
        <v>119</v>
      </c>
      <c r="AE123" t="s">
        <v>112</v>
      </c>
      <c r="AF123" t="s">
        <v>121</v>
      </c>
      <c r="AG123" t="s">
        <v>122</v>
      </c>
      <c r="AH123">
        <v>4237729.1399999997</v>
      </c>
      <c r="AI123" t="s">
        <v>112</v>
      </c>
      <c r="AJ123" t="s">
        <v>152</v>
      </c>
      <c r="AK123" t="s">
        <v>153</v>
      </c>
      <c r="AL123" t="s">
        <v>154</v>
      </c>
      <c r="AM123" t="s">
        <v>119</v>
      </c>
      <c r="AN123" t="s">
        <v>112</v>
      </c>
      <c r="AO123" t="s">
        <v>121</v>
      </c>
      <c r="AP123" t="s">
        <v>122</v>
      </c>
      <c r="AQ123" t="s">
        <v>122</v>
      </c>
      <c r="AR123" t="s">
        <v>124</v>
      </c>
      <c r="AS123" t="s">
        <v>125</v>
      </c>
      <c r="AT123">
        <v>2</v>
      </c>
      <c r="AU123" t="s">
        <v>126</v>
      </c>
      <c r="AV123" t="s">
        <v>155</v>
      </c>
      <c r="AW123" t="s">
        <v>156</v>
      </c>
      <c r="AY123" t="s">
        <v>129</v>
      </c>
      <c r="AZ123">
        <v>37824.839999999997</v>
      </c>
      <c r="BC123">
        <v>101.3451</v>
      </c>
      <c r="BD123" t="s">
        <v>112</v>
      </c>
      <c r="BE123" t="s">
        <v>112</v>
      </c>
      <c r="BF123" t="s">
        <v>157</v>
      </c>
      <c r="BG123" t="s">
        <v>133</v>
      </c>
      <c r="BH123" t="s">
        <v>134</v>
      </c>
      <c r="BI123" t="s">
        <v>112</v>
      </c>
      <c r="BJ123" t="s">
        <v>112</v>
      </c>
      <c r="BK123" t="s">
        <v>112</v>
      </c>
      <c r="BL123" t="s">
        <v>158</v>
      </c>
      <c r="BM123" t="s">
        <v>159</v>
      </c>
      <c r="BN123" t="s">
        <v>212</v>
      </c>
      <c r="BO123" t="s">
        <v>161</v>
      </c>
      <c r="BQ123" t="s">
        <v>213</v>
      </c>
      <c r="BR123" s="45">
        <f>ISNUMBER(SEARCH($BR$1,Таблица1[[#This Row],[31_1 Описание и характеристика товара]]))*1</f>
        <v>1</v>
      </c>
      <c r="BT123" t="s">
        <v>150</v>
      </c>
      <c r="BU123">
        <v>33</v>
      </c>
      <c r="BV123">
        <v>0</v>
      </c>
      <c r="BW123">
        <v>0</v>
      </c>
      <c r="BY123">
        <v>0</v>
      </c>
      <c r="CA123" t="s">
        <v>106</v>
      </c>
      <c r="CB123" t="s">
        <v>142</v>
      </c>
      <c r="CC123" t="s">
        <v>112</v>
      </c>
      <c r="CD123" t="s">
        <v>112</v>
      </c>
      <c r="CE123" t="s">
        <v>121</v>
      </c>
      <c r="CF123">
        <v>16163.71</v>
      </c>
      <c r="CG123" t="s">
        <v>144</v>
      </c>
      <c r="CH123">
        <v>4000000</v>
      </c>
      <c r="CI123">
        <v>15926.11</v>
      </c>
      <c r="CJ123">
        <v>0</v>
      </c>
      <c r="CK123" t="s">
        <v>112</v>
      </c>
      <c r="CL123" t="s">
        <v>112</v>
      </c>
      <c r="CM123">
        <v>37824.839999999997</v>
      </c>
      <c r="CO123">
        <v>0</v>
      </c>
      <c r="CP123">
        <v>1</v>
      </c>
      <c r="CQ123">
        <v>4237729.1399999997</v>
      </c>
      <c r="CR123">
        <v>46210.400000000001</v>
      </c>
      <c r="CS123" t="s">
        <v>145</v>
      </c>
      <c r="CT123">
        <v>46185.718999999997</v>
      </c>
      <c r="CU123">
        <v>2.9</v>
      </c>
      <c r="CV123">
        <v>45</v>
      </c>
      <c r="CX123" t="s">
        <v>206</v>
      </c>
      <c r="CY123">
        <v>93</v>
      </c>
    </row>
    <row r="124" spans="1:103" x14ac:dyDescent="0.25">
      <c r="A124" s="8" t="s">
        <v>106</v>
      </c>
      <c r="B124" s="38">
        <v>45232</v>
      </c>
      <c r="C124" s="43">
        <f>IF(YEAR(Таблица1[[#This Row],[Дата]])=2023,MONTH(Таблица1[[#This Row],[Дата]]),0)</f>
        <v>11</v>
      </c>
      <c r="D124" s="8" t="s">
        <v>2387</v>
      </c>
      <c r="E124" s="8" t="s">
        <v>108</v>
      </c>
      <c r="F124" s="8" t="s">
        <v>2388</v>
      </c>
      <c r="G124" t="s">
        <v>110</v>
      </c>
      <c r="H124" s="8" t="s">
        <v>111</v>
      </c>
      <c r="I124" s="8" t="s">
        <v>112</v>
      </c>
      <c r="J124" s="8" t="s">
        <v>112</v>
      </c>
      <c r="K124" s="8" t="s">
        <v>112</v>
      </c>
      <c r="L124" s="8" t="s">
        <v>2389</v>
      </c>
      <c r="M124" s="8" t="s">
        <v>2390</v>
      </c>
      <c r="N124" s="8" t="s">
        <v>112</v>
      </c>
      <c r="O124" s="8" t="s">
        <v>112</v>
      </c>
      <c r="P124">
        <v>4</v>
      </c>
      <c r="Q124">
        <v>0</v>
      </c>
      <c r="R124">
        <v>9</v>
      </c>
      <c r="S124">
        <v>21</v>
      </c>
      <c r="T124" s="8" t="s">
        <v>2391</v>
      </c>
      <c r="U124" s="8" t="s">
        <v>2392</v>
      </c>
      <c r="V124" s="8" t="s">
        <v>2393</v>
      </c>
      <c r="W124" s="8" t="s">
        <v>2394</v>
      </c>
      <c r="X124" s="8" t="s">
        <v>119</v>
      </c>
      <c r="Y124" s="8" t="s">
        <v>2395</v>
      </c>
      <c r="Z124" s="8" t="s">
        <v>2391</v>
      </c>
      <c r="AA124" s="8" t="s">
        <v>2392</v>
      </c>
      <c r="AB124" s="8" t="s">
        <v>2393</v>
      </c>
      <c r="AC124" s="8" t="s">
        <v>2394</v>
      </c>
      <c r="AD124" s="8" t="s">
        <v>119</v>
      </c>
      <c r="AE124" s="8" t="s">
        <v>2395</v>
      </c>
      <c r="AF124" s="8" t="s">
        <v>2396</v>
      </c>
      <c r="AG124" s="8" t="s">
        <v>2397</v>
      </c>
      <c r="AH124">
        <v>4394583.13</v>
      </c>
      <c r="AI124" s="8" t="s">
        <v>2391</v>
      </c>
      <c r="AJ124" s="8" t="s">
        <v>2392</v>
      </c>
      <c r="AK124" s="8" t="s">
        <v>2393</v>
      </c>
      <c r="AL124" s="8" t="s">
        <v>2394</v>
      </c>
      <c r="AM124" s="8" t="s">
        <v>119</v>
      </c>
      <c r="AN124" s="8" t="s">
        <v>2395</v>
      </c>
      <c r="AO124" s="8" t="s">
        <v>2398</v>
      </c>
      <c r="AP124" s="8" t="s">
        <v>2399</v>
      </c>
      <c r="AQ124" s="8" t="s">
        <v>2186</v>
      </c>
      <c r="AR124" s="8" t="s">
        <v>124</v>
      </c>
      <c r="AS124" s="8" t="s">
        <v>125</v>
      </c>
      <c r="AT124">
        <v>2</v>
      </c>
      <c r="AU124" s="8" t="s">
        <v>126</v>
      </c>
      <c r="AV124" s="8" t="s">
        <v>2400</v>
      </c>
      <c r="AW124" s="8" t="s">
        <v>2401</v>
      </c>
      <c r="AX124">
        <v>1</v>
      </c>
      <c r="AY124" s="8" t="s">
        <v>129</v>
      </c>
      <c r="AZ124">
        <v>59239.839999999902</v>
      </c>
      <c r="BA124">
        <v>4394583</v>
      </c>
      <c r="BB124">
        <v>62838.47</v>
      </c>
      <c r="BC124">
        <v>74.182900000000004</v>
      </c>
      <c r="BD124" s="8" t="s">
        <v>130</v>
      </c>
      <c r="BE124" s="8" t="s">
        <v>112</v>
      </c>
      <c r="BF124" s="8" t="s">
        <v>2402</v>
      </c>
      <c r="BG124" s="8" t="s">
        <v>133</v>
      </c>
      <c r="BH124" s="8" t="s">
        <v>134</v>
      </c>
      <c r="BI124" s="8" t="s">
        <v>112</v>
      </c>
      <c r="BJ124" s="8" t="s">
        <v>2403</v>
      </c>
      <c r="BK124" s="8" t="s">
        <v>112</v>
      </c>
      <c r="BL124" s="8" t="s">
        <v>2404</v>
      </c>
      <c r="BM124" s="8" t="s">
        <v>2405</v>
      </c>
      <c r="BN124" s="8" t="s">
        <v>2406</v>
      </c>
      <c r="BO124" s="8" t="s">
        <v>2407</v>
      </c>
      <c r="BP124">
        <v>3</v>
      </c>
      <c r="BQ124" s="8" t="s">
        <v>2408</v>
      </c>
      <c r="BR124" s="45">
        <f>ISNUMBER(SEARCH($BR$1,Таблица1[[#This Row],[31_1 Описание и характеристика товара]]))*1</f>
        <v>0</v>
      </c>
      <c r="BT124" s="8" t="s">
        <v>2409</v>
      </c>
      <c r="BU124">
        <v>20</v>
      </c>
      <c r="BV124">
        <v>0</v>
      </c>
      <c r="BW124">
        <v>200</v>
      </c>
      <c r="BX124" t="s">
        <v>2147</v>
      </c>
      <c r="BY124">
        <v>0</v>
      </c>
      <c r="CA124" s="8" t="s">
        <v>2410</v>
      </c>
      <c r="CB124" s="8" t="s">
        <v>2148</v>
      </c>
      <c r="CC124" s="8" t="s">
        <v>112</v>
      </c>
      <c r="CD124" s="8" t="s">
        <v>112</v>
      </c>
      <c r="CE124" s="8" t="s">
        <v>2185</v>
      </c>
      <c r="CF124">
        <v>6700</v>
      </c>
      <c r="CG124" t="s">
        <v>144</v>
      </c>
      <c r="CH124">
        <v>4000000</v>
      </c>
      <c r="CI124">
        <v>6200</v>
      </c>
      <c r="CJ124">
        <v>0</v>
      </c>
      <c r="CK124" s="8" t="s">
        <v>112</v>
      </c>
      <c r="CL124" s="8" t="s">
        <v>112</v>
      </c>
      <c r="CM124">
        <v>52232</v>
      </c>
      <c r="CN124">
        <v>3874721</v>
      </c>
      <c r="CO124">
        <v>0</v>
      </c>
      <c r="CP124">
        <v>1</v>
      </c>
      <c r="CQ124">
        <v>3874721.23</v>
      </c>
      <c r="CR124">
        <v>55404.92</v>
      </c>
      <c r="CS124" s="8" t="s">
        <v>145</v>
      </c>
      <c r="CT124">
        <v>8.9362999999999992</v>
      </c>
      <c r="CU124">
        <v>538</v>
      </c>
      <c r="CV124">
        <v>4</v>
      </c>
      <c r="CX124" t="s">
        <v>2411</v>
      </c>
      <c r="CY124">
        <v>167</v>
      </c>
    </row>
    <row r="125" spans="1:103" x14ac:dyDescent="0.25">
      <c r="A125" s="8" t="s">
        <v>106</v>
      </c>
      <c r="B125" s="38">
        <v>45187</v>
      </c>
      <c r="C125" s="43">
        <f>IF(YEAR(Таблица1[[#This Row],[Дата]])=2023,MONTH(Таблица1[[#This Row],[Дата]]),0)</f>
        <v>9</v>
      </c>
      <c r="D125" s="8" t="s">
        <v>2387</v>
      </c>
      <c r="E125" s="8" t="s">
        <v>108</v>
      </c>
      <c r="F125" s="8" t="s">
        <v>2388</v>
      </c>
      <c r="G125" t="s">
        <v>110</v>
      </c>
      <c r="H125" s="8" t="s">
        <v>111</v>
      </c>
      <c r="I125" s="8" t="s">
        <v>112</v>
      </c>
      <c r="J125" s="8" t="s">
        <v>112</v>
      </c>
      <c r="K125" s="8" t="s">
        <v>112</v>
      </c>
      <c r="L125" s="8" t="s">
        <v>2389</v>
      </c>
      <c r="M125" s="8" t="s">
        <v>2390</v>
      </c>
      <c r="N125" s="8" t="s">
        <v>112</v>
      </c>
      <c r="O125" s="8" t="s">
        <v>112</v>
      </c>
      <c r="P125">
        <v>4</v>
      </c>
      <c r="Q125">
        <v>0</v>
      </c>
      <c r="R125">
        <v>9</v>
      </c>
      <c r="S125">
        <v>21</v>
      </c>
      <c r="T125" s="8" t="s">
        <v>2391</v>
      </c>
      <c r="U125" s="8" t="s">
        <v>2392</v>
      </c>
      <c r="V125" s="8" t="s">
        <v>2393</v>
      </c>
      <c r="W125" s="8" t="s">
        <v>2394</v>
      </c>
      <c r="X125" s="8" t="s">
        <v>119</v>
      </c>
      <c r="Y125" s="8" t="s">
        <v>2395</v>
      </c>
      <c r="Z125" s="8" t="s">
        <v>2391</v>
      </c>
      <c r="AA125" s="8" t="s">
        <v>2392</v>
      </c>
      <c r="AB125" s="8" t="s">
        <v>2393</v>
      </c>
      <c r="AC125" s="8" t="s">
        <v>2394</v>
      </c>
      <c r="AD125" s="8" t="s">
        <v>119</v>
      </c>
      <c r="AE125" s="8" t="s">
        <v>2395</v>
      </c>
      <c r="AF125" s="8" t="s">
        <v>2396</v>
      </c>
      <c r="AG125" s="8" t="s">
        <v>2397</v>
      </c>
      <c r="AH125">
        <v>4394583.13</v>
      </c>
      <c r="AI125" s="8" t="s">
        <v>2391</v>
      </c>
      <c r="AJ125" s="8" t="s">
        <v>2392</v>
      </c>
      <c r="AK125" s="8" t="s">
        <v>2393</v>
      </c>
      <c r="AL125" s="8" t="s">
        <v>2394</v>
      </c>
      <c r="AM125" s="8" t="s">
        <v>119</v>
      </c>
      <c r="AN125" s="8" t="s">
        <v>2395</v>
      </c>
      <c r="AO125" s="8" t="s">
        <v>2398</v>
      </c>
      <c r="AP125" s="8" t="s">
        <v>2399</v>
      </c>
      <c r="AQ125" s="8" t="s">
        <v>2143</v>
      </c>
      <c r="AR125" s="8" t="s">
        <v>124</v>
      </c>
      <c r="AS125" s="8" t="s">
        <v>125</v>
      </c>
      <c r="AT125">
        <v>2</v>
      </c>
      <c r="AU125" s="8" t="s">
        <v>126</v>
      </c>
      <c r="AV125" s="8" t="s">
        <v>2412</v>
      </c>
      <c r="AW125" s="8" t="s">
        <v>2401</v>
      </c>
      <c r="AX125">
        <v>1</v>
      </c>
      <c r="AY125" s="8" t="s">
        <v>129</v>
      </c>
      <c r="AZ125">
        <v>59239.839999999902</v>
      </c>
      <c r="BA125">
        <v>4394583</v>
      </c>
      <c r="BB125">
        <v>62838.47</v>
      </c>
      <c r="BC125">
        <v>74.182900000000004</v>
      </c>
      <c r="BD125" s="8" t="s">
        <v>130</v>
      </c>
      <c r="BE125" s="8" t="s">
        <v>112</v>
      </c>
      <c r="BF125" s="8" t="s">
        <v>2402</v>
      </c>
      <c r="BG125" s="8" t="s">
        <v>133</v>
      </c>
      <c r="BH125" s="8" t="s">
        <v>134</v>
      </c>
      <c r="BI125" s="8" t="s">
        <v>112</v>
      </c>
      <c r="BJ125" s="8" t="s">
        <v>2403</v>
      </c>
      <c r="BK125" s="8" t="s">
        <v>112</v>
      </c>
      <c r="BL125" s="8" t="s">
        <v>2404</v>
      </c>
      <c r="BM125" s="8" t="s">
        <v>2405</v>
      </c>
      <c r="BN125" s="8" t="s">
        <v>2406</v>
      </c>
      <c r="BO125" s="8" t="s">
        <v>2407</v>
      </c>
      <c r="BP125">
        <v>2</v>
      </c>
      <c r="BQ125" s="8" t="s">
        <v>2408</v>
      </c>
      <c r="BR125" s="45">
        <f>ISNUMBER(SEARCH($BR$1,Таблица1[[#This Row],[31_1 Описание и характеристика товара]]))*1</f>
        <v>0</v>
      </c>
      <c r="BT125" s="8" t="s">
        <v>2413</v>
      </c>
      <c r="BU125">
        <v>1</v>
      </c>
      <c r="BV125">
        <v>0</v>
      </c>
      <c r="BW125">
        <v>1</v>
      </c>
      <c r="BX125" t="s">
        <v>2147</v>
      </c>
      <c r="BY125">
        <v>0</v>
      </c>
      <c r="CA125" s="8" t="s">
        <v>2414</v>
      </c>
      <c r="CB125" s="8" t="s">
        <v>2148</v>
      </c>
      <c r="CC125" s="8" t="s">
        <v>112</v>
      </c>
      <c r="CD125" s="8" t="s">
        <v>112</v>
      </c>
      <c r="CE125" s="8" t="s">
        <v>2142</v>
      </c>
      <c r="CF125">
        <v>30.25</v>
      </c>
      <c r="CG125" t="s">
        <v>144</v>
      </c>
      <c r="CH125">
        <v>4000000</v>
      </c>
      <c r="CI125">
        <v>25</v>
      </c>
      <c r="CJ125">
        <v>0</v>
      </c>
      <c r="CK125" s="8" t="s">
        <v>112</v>
      </c>
      <c r="CL125" s="8" t="s">
        <v>112</v>
      </c>
      <c r="CM125">
        <v>180.52</v>
      </c>
      <c r="CN125">
        <v>13391</v>
      </c>
      <c r="CO125">
        <v>0</v>
      </c>
      <c r="CP125">
        <v>1</v>
      </c>
      <c r="CQ125">
        <v>13391.5</v>
      </c>
      <c r="CR125">
        <v>191.49</v>
      </c>
      <c r="CS125" s="8" t="s">
        <v>145</v>
      </c>
      <c r="CT125">
        <v>7.6596000000000002</v>
      </c>
      <c r="CU125">
        <v>538</v>
      </c>
      <c r="CV125">
        <v>4</v>
      </c>
      <c r="CX125" t="s">
        <v>2411</v>
      </c>
      <c r="CY125">
        <v>167</v>
      </c>
    </row>
    <row r="126" spans="1:103" x14ac:dyDescent="0.25">
      <c r="A126" t="s">
        <v>106</v>
      </c>
      <c r="B126" s="38">
        <v>45201</v>
      </c>
      <c r="C126" s="43">
        <f>IF(YEAR(Таблица1[[#This Row],[Дата]])=2023,MONTH(Таблица1[[#This Row],[Дата]]),0)</f>
        <v>10</v>
      </c>
      <c r="D126" t="s">
        <v>1211</v>
      </c>
      <c r="E126" t="s">
        <v>108</v>
      </c>
      <c r="F126" t="s">
        <v>1212</v>
      </c>
      <c r="G126" t="s">
        <v>110</v>
      </c>
      <c r="H126" t="s">
        <v>111</v>
      </c>
      <c r="I126" t="s">
        <v>112</v>
      </c>
      <c r="J126" t="s">
        <v>112</v>
      </c>
      <c r="K126" t="s">
        <v>112</v>
      </c>
      <c r="L126" t="s">
        <v>150</v>
      </c>
      <c r="M126" t="s">
        <v>151</v>
      </c>
      <c r="N126" t="s">
        <v>112</v>
      </c>
      <c r="O126" t="s">
        <v>112</v>
      </c>
      <c r="P126">
        <v>1</v>
      </c>
      <c r="R126">
        <v>1</v>
      </c>
      <c r="S126">
        <v>33</v>
      </c>
      <c r="T126" t="s">
        <v>112</v>
      </c>
      <c r="U126" t="s">
        <v>152</v>
      </c>
      <c r="V126" t="s">
        <v>153</v>
      </c>
      <c r="W126" t="s">
        <v>154</v>
      </c>
      <c r="X126" t="s">
        <v>119</v>
      </c>
      <c r="Y126" t="s">
        <v>112</v>
      </c>
      <c r="Z126" t="s">
        <v>112</v>
      </c>
      <c r="AA126" t="s">
        <v>152</v>
      </c>
      <c r="AB126" t="s">
        <v>153</v>
      </c>
      <c r="AC126" t="s">
        <v>154</v>
      </c>
      <c r="AD126" t="s">
        <v>119</v>
      </c>
      <c r="AE126" t="s">
        <v>112</v>
      </c>
      <c r="AF126" t="s">
        <v>121</v>
      </c>
      <c r="AG126" t="s">
        <v>122</v>
      </c>
      <c r="AH126">
        <v>4501241.49</v>
      </c>
      <c r="AI126" t="s">
        <v>112</v>
      </c>
      <c r="AJ126" t="s">
        <v>152</v>
      </c>
      <c r="AK126" t="s">
        <v>153</v>
      </c>
      <c r="AL126" t="s">
        <v>154</v>
      </c>
      <c r="AM126" t="s">
        <v>119</v>
      </c>
      <c r="AN126" t="s">
        <v>112</v>
      </c>
      <c r="AO126" t="s">
        <v>121</v>
      </c>
      <c r="AP126" t="s">
        <v>122</v>
      </c>
      <c r="AQ126" t="s">
        <v>122</v>
      </c>
      <c r="AR126" t="s">
        <v>124</v>
      </c>
      <c r="AS126" t="s">
        <v>125</v>
      </c>
      <c r="AT126">
        <v>2</v>
      </c>
      <c r="AU126" t="s">
        <v>126</v>
      </c>
      <c r="AV126" t="s">
        <v>155</v>
      </c>
      <c r="AW126" t="s">
        <v>156</v>
      </c>
      <c r="AY126" t="s">
        <v>129</v>
      </c>
      <c r="AZ126">
        <v>42338.42</v>
      </c>
      <c r="BC126">
        <v>97.159400000000005</v>
      </c>
      <c r="BD126" t="s">
        <v>112</v>
      </c>
      <c r="BE126" t="s">
        <v>112</v>
      </c>
      <c r="BF126" t="s">
        <v>157</v>
      </c>
      <c r="BG126" t="s">
        <v>133</v>
      </c>
      <c r="BH126" t="s">
        <v>134</v>
      </c>
      <c r="BI126" t="s">
        <v>112</v>
      </c>
      <c r="BJ126" t="s">
        <v>112</v>
      </c>
      <c r="BK126" t="s">
        <v>112</v>
      </c>
      <c r="BL126" t="s">
        <v>158</v>
      </c>
      <c r="BM126" t="s">
        <v>159</v>
      </c>
      <c r="BN126" t="s">
        <v>212</v>
      </c>
      <c r="BO126" t="s">
        <v>161</v>
      </c>
      <c r="BQ126" t="s">
        <v>232</v>
      </c>
      <c r="BR126" s="45">
        <f>ISNUMBER(SEARCH($BR$1,Таблица1[[#This Row],[31_1 Описание и характеристика товара]]))*1</f>
        <v>1</v>
      </c>
      <c r="BT126" t="s">
        <v>150</v>
      </c>
      <c r="BU126">
        <v>33</v>
      </c>
      <c r="BV126">
        <v>0</v>
      </c>
      <c r="BW126">
        <v>0</v>
      </c>
      <c r="BY126">
        <v>0</v>
      </c>
      <c r="CA126" t="s">
        <v>106</v>
      </c>
      <c r="CB126" t="s">
        <v>142</v>
      </c>
      <c r="CC126" t="s">
        <v>112</v>
      </c>
      <c r="CD126" t="s">
        <v>112</v>
      </c>
      <c r="CE126" t="s">
        <v>121</v>
      </c>
      <c r="CF126">
        <v>16883.400000000001</v>
      </c>
      <c r="CG126" t="s">
        <v>144</v>
      </c>
      <c r="CH126">
        <v>4000000</v>
      </c>
      <c r="CI126">
        <v>16883.400000000001</v>
      </c>
      <c r="CJ126">
        <v>0</v>
      </c>
      <c r="CK126" t="s">
        <v>112</v>
      </c>
      <c r="CL126" t="s">
        <v>112</v>
      </c>
      <c r="CM126">
        <v>42338.42</v>
      </c>
      <c r="CO126">
        <v>0</v>
      </c>
      <c r="CP126">
        <v>1</v>
      </c>
      <c r="CQ126">
        <v>4501241.49</v>
      </c>
      <c r="CR126">
        <v>50744.23</v>
      </c>
      <c r="CS126" t="s">
        <v>145</v>
      </c>
      <c r="CT126">
        <v>50819.034</v>
      </c>
      <c r="CU126">
        <v>3.01</v>
      </c>
      <c r="CV126">
        <v>45</v>
      </c>
      <c r="CX126" t="s">
        <v>233</v>
      </c>
      <c r="CY126">
        <v>166</v>
      </c>
    </row>
    <row r="127" spans="1:103" x14ac:dyDescent="0.25">
      <c r="A127" t="s">
        <v>106</v>
      </c>
      <c r="B127" s="38">
        <v>45013</v>
      </c>
      <c r="C127" s="43">
        <f>IF(YEAR(Таблица1[[#This Row],[Дата]])=2023,MONTH(Таблица1[[#This Row],[Дата]]),0)</f>
        <v>3</v>
      </c>
      <c r="D127" t="s">
        <v>1258</v>
      </c>
      <c r="E127" t="s">
        <v>108</v>
      </c>
      <c r="F127" t="s">
        <v>1259</v>
      </c>
      <c r="G127" t="s">
        <v>110</v>
      </c>
      <c r="H127" t="s">
        <v>111</v>
      </c>
      <c r="I127" t="s">
        <v>112</v>
      </c>
      <c r="J127" t="s">
        <v>112</v>
      </c>
      <c r="K127" t="s">
        <v>112</v>
      </c>
      <c r="L127" t="s">
        <v>150</v>
      </c>
      <c r="M127" t="s">
        <v>151</v>
      </c>
      <c r="N127" t="s">
        <v>112</v>
      </c>
      <c r="O127" t="s">
        <v>112</v>
      </c>
      <c r="P127">
        <v>1</v>
      </c>
      <c r="R127">
        <v>1</v>
      </c>
      <c r="S127">
        <v>33</v>
      </c>
      <c r="T127" t="s">
        <v>112</v>
      </c>
      <c r="U127" t="s">
        <v>152</v>
      </c>
      <c r="V127" t="s">
        <v>153</v>
      </c>
      <c r="W127" t="s">
        <v>154</v>
      </c>
      <c r="X127" t="s">
        <v>119</v>
      </c>
      <c r="Y127" t="s">
        <v>112</v>
      </c>
      <c r="Z127" t="s">
        <v>112</v>
      </c>
      <c r="AA127" t="s">
        <v>152</v>
      </c>
      <c r="AB127" t="s">
        <v>153</v>
      </c>
      <c r="AC127" t="s">
        <v>154</v>
      </c>
      <c r="AD127" t="s">
        <v>119</v>
      </c>
      <c r="AE127" t="s">
        <v>112</v>
      </c>
      <c r="AF127" t="s">
        <v>121</v>
      </c>
      <c r="AG127" t="s">
        <v>122</v>
      </c>
      <c r="AH127">
        <v>4303403.58</v>
      </c>
      <c r="AI127" t="s">
        <v>112</v>
      </c>
      <c r="AJ127" t="s">
        <v>152</v>
      </c>
      <c r="AK127" t="s">
        <v>153</v>
      </c>
      <c r="AL127" t="s">
        <v>154</v>
      </c>
      <c r="AM127" t="s">
        <v>119</v>
      </c>
      <c r="AN127" t="s">
        <v>112</v>
      </c>
      <c r="AO127" t="s">
        <v>121</v>
      </c>
      <c r="AP127" t="s">
        <v>122</v>
      </c>
      <c r="AQ127" t="s">
        <v>122</v>
      </c>
      <c r="AR127" t="s">
        <v>124</v>
      </c>
      <c r="AS127" t="s">
        <v>125</v>
      </c>
      <c r="AT127">
        <v>2</v>
      </c>
      <c r="AU127" t="s">
        <v>126</v>
      </c>
      <c r="AV127" t="s">
        <v>155</v>
      </c>
      <c r="AW127" t="s">
        <v>156</v>
      </c>
      <c r="AY127" t="s">
        <v>129</v>
      </c>
      <c r="AZ127">
        <v>39772.199999999997</v>
      </c>
      <c r="BC127">
        <v>97.159400000000005</v>
      </c>
      <c r="BD127" t="s">
        <v>112</v>
      </c>
      <c r="BE127" t="s">
        <v>112</v>
      </c>
      <c r="BF127" t="s">
        <v>157</v>
      </c>
      <c r="BG127" t="s">
        <v>133</v>
      </c>
      <c r="BH127" t="s">
        <v>134</v>
      </c>
      <c r="BI127" t="s">
        <v>112</v>
      </c>
      <c r="BJ127" t="s">
        <v>112</v>
      </c>
      <c r="BK127" t="s">
        <v>112</v>
      </c>
      <c r="BL127" t="s">
        <v>158</v>
      </c>
      <c r="BM127" t="s">
        <v>159</v>
      </c>
      <c r="BN127" t="s">
        <v>212</v>
      </c>
      <c r="BO127" t="s">
        <v>161</v>
      </c>
      <c r="BQ127" t="s">
        <v>205</v>
      </c>
      <c r="BR127" s="45">
        <f>ISNUMBER(SEARCH($BR$1,Таблица1[[#This Row],[31_1 Описание и характеристика товара]]))*1</f>
        <v>1</v>
      </c>
      <c r="BT127" t="s">
        <v>150</v>
      </c>
      <c r="BU127">
        <v>33</v>
      </c>
      <c r="BV127">
        <v>0</v>
      </c>
      <c r="BW127">
        <v>0</v>
      </c>
      <c r="BY127">
        <v>0</v>
      </c>
      <c r="CA127" t="s">
        <v>106</v>
      </c>
      <c r="CB127" t="s">
        <v>142</v>
      </c>
      <c r="CC127" t="s">
        <v>112</v>
      </c>
      <c r="CD127" t="s">
        <v>112</v>
      </c>
      <c r="CE127" t="s">
        <v>121</v>
      </c>
      <c r="CF127">
        <v>17132.88</v>
      </c>
      <c r="CG127" t="s">
        <v>144</v>
      </c>
      <c r="CH127">
        <v>4000000</v>
      </c>
      <c r="CI127">
        <v>17132.88</v>
      </c>
      <c r="CJ127">
        <v>0</v>
      </c>
      <c r="CK127" t="s">
        <v>112</v>
      </c>
      <c r="CL127" t="s">
        <v>112</v>
      </c>
      <c r="CM127">
        <v>39772.199999999997</v>
      </c>
      <c r="CO127">
        <v>0</v>
      </c>
      <c r="CP127">
        <v>1</v>
      </c>
      <c r="CQ127">
        <v>4303403.58</v>
      </c>
      <c r="CR127">
        <v>48513.93</v>
      </c>
      <c r="CS127" t="s">
        <v>145</v>
      </c>
      <c r="CT127">
        <v>48486.050400000007</v>
      </c>
      <c r="CU127">
        <v>2.83</v>
      </c>
      <c r="CV127">
        <v>45</v>
      </c>
      <c r="CX127" t="s">
        <v>729</v>
      </c>
      <c r="CY127">
        <v>313</v>
      </c>
    </row>
    <row r="128" spans="1:103" x14ac:dyDescent="0.25">
      <c r="A128" t="s">
        <v>106</v>
      </c>
      <c r="B128" s="38">
        <v>45181</v>
      </c>
      <c r="C128" s="43">
        <f>IF(YEAR(Таблица1[[#This Row],[Дата]])=2023,MONTH(Таблица1[[#This Row],[Дата]]),0)</f>
        <v>9</v>
      </c>
      <c r="D128" t="s">
        <v>1215</v>
      </c>
      <c r="E128" t="s">
        <v>108</v>
      </c>
      <c r="F128" t="s">
        <v>1216</v>
      </c>
      <c r="G128" t="s">
        <v>110</v>
      </c>
      <c r="H128" t="s">
        <v>111</v>
      </c>
      <c r="I128" t="s">
        <v>112</v>
      </c>
      <c r="J128" t="s">
        <v>112</v>
      </c>
      <c r="K128" t="s">
        <v>112</v>
      </c>
      <c r="L128" t="s">
        <v>150</v>
      </c>
      <c r="M128" t="s">
        <v>151</v>
      </c>
      <c r="N128" t="s">
        <v>112</v>
      </c>
      <c r="O128" t="s">
        <v>112</v>
      </c>
      <c r="P128">
        <v>1</v>
      </c>
      <c r="R128">
        <v>1</v>
      </c>
      <c r="S128">
        <v>33</v>
      </c>
      <c r="T128" t="s">
        <v>112</v>
      </c>
      <c r="U128" t="s">
        <v>152</v>
      </c>
      <c r="V128" t="s">
        <v>153</v>
      </c>
      <c r="W128" t="s">
        <v>154</v>
      </c>
      <c r="X128" t="s">
        <v>119</v>
      </c>
      <c r="Y128" t="s">
        <v>112</v>
      </c>
      <c r="Z128" t="s">
        <v>112</v>
      </c>
      <c r="AA128" t="s">
        <v>152</v>
      </c>
      <c r="AB128" t="s">
        <v>153</v>
      </c>
      <c r="AC128" t="s">
        <v>154</v>
      </c>
      <c r="AD128" t="s">
        <v>119</v>
      </c>
      <c r="AE128" t="s">
        <v>112</v>
      </c>
      <c r="AF128" t="s">
        <v>121</v>
      </c>
      <c r="AG128" t="s">
        <v>122</v>
      </c>
      <c r="AH128">
        <v>4346056.5599999996</v>
      </c>
      <c r="AI128" t="s">
        <v>112</v>
      </c>
      <c r="AJ128" t="s">
        <v>152</v>
      </c>
      <c r="AK128" t="s">
        <v>153</v>
      </c>
      <c r="AL128" t="s">
        <v>154</v>
      </c>
      <c r="AM128" t="s">
        <v>119</v>
      </c>
      <c r="AN128" t="s">
        <v>112</v>
      </c>
      <c r="AO128" t="s">
        <v>121</v>
      </c>
      <c r="AP128" t="s">
        <v>122</v>
      </c>
      <c r="AQ128" t="s">
        <v>122</v>
      </c>
      <c r="AR128" t="s">
        <v>124</v>
      </c>
      <c r="AS128" t="s">
        <v>125</v>
      </c>
      <c r="AT128">
        <v>2</v>
      </c>
      <c r="AU128" t="s">
        <v>126</v>
      </c>
      <c r="AV128" t="s">
        <v>155</v>
      </c>
      <c r="AW128" t="s">
        <v>156</v>
      </c>
      <c r="AY128" t="s">
        <v>129</v>
      </c>
      <c r="AZ128">
        <v>40741.199999999997</v>
      </c>
      <c r="BC128">
        <v>97.159400000000005</v>
      </c>
      <c r="BD128" t="s">
        <v>112</v>
      </c>
      <c r="BE128" t="s">
        <v>112</v>
      </c>
      <c r="BF128" t="s">
        <v>157</v>
      </c>
      <c r="BG128" t="s">
        <v>133</v>
      </c>
      <c r="BH128" t="s">
        <v>134</v>
      </c>
      <c r="BI128" t="s">
        <v>112</v>
      </c>
      <c r="BJ128" t="s">
        <v>112</v>
      </c>
      <c r="BK128" t="s">
        <v>112</v>
      </c>
      <c r="BL128" t="s">
        <v>158</v>
      </c>
      <c r="BM128" t="s">
        <v>159</v>
      </c>
      <c r="BN128" t="s">
        <v>212</v>
      </c>
      <c r="BO128" t="s">
        <v>161</v>
      </c>
      <c r="BQ128" t="s">
        <v>162</v>
      </c>
      <c r="BR128" s="45">
        <f>ISNUMBER(SEARCH($BR$1,Таблица1[[#This Row],[31_1 Описание и характеристика товара]]))*1</f>
        <v>1</v>
      </c>
      <c r="BT128" t="s">
        <v>150</v>
      </c>
      <c r="BU128">
        <v>33</v>
      </c>
      <c r="BV128">
        <v>0</v>
      </c>
      <c r="BW128">
        <v>0</v>
      </c>
      <c r="BY128">
        <v>0</v>
      </c>
      <c r="CA128" t="s">
        <v>106</v>
      </c>
      <c r="CB128" t="s">
        <v>142</v>
      </c>
      <c r="CC128" t="s">
        <v>112</v>
      </c>
      <c r="CD128" t="s">
        <v>112</v>
      </c>
      <c r="CE128" t="s">
        <v>121</v>
      </c>
      <c r="CF128">
        <v>17138.28</v>
      </c>
      <c r="CG128" t="s">
        <v>144</v>
      </c>
      <c r="CH128">
        <v>4000000</v>
      </c>
      <c r="CI128">
        <v>17138.28</v>
      </c>
      <c r="CJ128">
        <v>0</v>
      </c>
      <c r="CK128" t="s">
        <v>112</v>
      </c>
      <c r="CL128" t="s">
        <v>112</v>
      </c>
      <c r="CM128">
        <v>40741.199999999997</v>
      </c>
      <c r="CO128">
        <v>0</v>
      </c>
      <c r="CP128">
        <v>1</v>
      </c>
      <c r="CQ128">
        <v>4346056.5599999996</v>
      </c>
      <c r="CR128">
        <v>48994.77</v>
      </c>
      <c r="CS128" t="s">
        <v>145</v>
      </c>
      <c r="CT128">
        <v>49015.480799999998</v>
      </c>
      <c r="CU128">
        <v>2.86</v>
      </c>
      <c r="CV128">
        <v>45</v>
      </c>
      <c r="CX128" t="s">
        <v>1140</v>
      </c>
      <c r="CY128">
        <v>1</v>
      </c>
    </row>
    <row r="129" spans="1:103" x14ac:dyDescent="0.25">
      <c r="A129" t="s">
        <v>106</v>
      </c>
      <c r="B129" s="38">
        <v>45185</v>
      </c>
      <c r="C129" s="43">
        <f>IF(YEAR(Таблица1[[#This Row],[Дата]])=2023,MONTH(Таблица1[[#This Row],[Дата]]),0)</f>
        <v>9</v>
      </c>
      <c r="D129" t="s">
        <v>2012</v>
      </c>
      <c r="E129" t="s">
        <v>108</v>
      </c>
      <c r="F129" t="s">
        <v>2013</v>
      </c>
      <c r="G129" t="s">
        <v>110</v>
      </c>
      <c r="H129" t="s">
        <v>111</v>
      </c>
      <c r="I129" t="s">
        <v>112</v>
      </c>
      <c r="J129" t="s">
        <v>112</v>
      </c>
      <c r="K129" t="s">
        <v>112</v>
      </c>
      <c r="L129" t="s">
        <v>150</v>
      </c>
      <c r="M129" t="s">
        <v>151</v>
      </c>
      <c r="N129" t="s">
        <v>112</v>
      </c>
      <c r="O129" t="s">
        <v>112</v>
      </c>
      <c r="P129">
        <v>1</v>
      </c>
      <c r="R129">
        <v>1</v>
      </c>
      <c r="S129">
        <v>33</v>
      </c>
      <c r="T129" t="s">
        <v>112</v>
      </c>
      <c r="U129" t="s">
        <v>152</v>
      </c>
      <c r="V129" t="s">
        <v>153</v>
      </c>
      <c r="W129" t="s">
        <v>154</v>
      </c>
      <c r="X129" t="s">
        <v>119</v>
      </c>
      <c r="Y129" t="s">
        <v>112</v>
      </c>
      <c r="Z129" t="s">
        <v>112</v>
      </c>
      <c r="AA129" t="s">
        <v>152</v>
      </c>
      <c r="AB129" t="s">
        <v>153</v>
      </c>
      <c r="AC129" t="s">
        <v>154</v>
      </c>
      <c r="AD129" t="s">
        <v>119</v>
      </c>
      <c r="AE129" t="s">
        <v>112</v>
      </c>
      <c r="AF129" t="s">
        <v>121</v>
      </c>
      <c r="AG129" t="s">
        <v>122</v>
      </c>
      <c r="AH129">
        <v>4533562.5199999996</v>
      </c>
      <c r="AI129" t="s">
        <v>112</v>
      </c>
      <c r="AJ129" t="s">
        <v>152</v>
      </c>
      <c r="AK129" t="s">
        <v>153</v>
      </c>
      <c r="AL129" t="s">
        <v>154</v>
      </c>
      <c r="AM129" t="s">
        <v>119</v>
      </c>
      <c r="AN129" t="s">
        <v>112</v>
      </c>
      <c r="AO129" t="s">
        <v>121</v>
      </c>
      <c r="AP129" t="s">
        <v>122</v>
      </c>
      <c r="AQ129" t="s">
        <v>122</v>
      </c>
      <c r="AR129" t="s">
        <v>124</v>
      </c>
      <c r="AS129" t="s">
        <v>125</v>
      </c>
      <c r="AT129">
        <v>2</v>
      </c>
      <c r="AU129" t="s">
        <v>126</v>
      </c>
      <c r="AV129" t="s">
        <v>155</v>
      </c>
      <c r="AW129" t="s">
        <v>156</v>
      </c>
      <c r="AY129" t="s">
        <v>129</v>
      </c>
      <c r="AZ129">
        <v>40466.28</v>
      </c>
      <c r="BC129">
        <v>101.97799999999999</v>
      </c>
      <c r="BD129" t="s">
        <v>112</v>
      </c>
      <c r="BE129" t="s">
        <v>112</v>
      </c>
      <c r="BF129" t="s">
        <v>157</v>
      </c>
      <c r="BG129" t="s">
        <v>133</v>
      </c>
      <c r="BH129" t="s">
        <v>134</v>
      </c>
      <c r="BI129" t="s">
        <v>112</v>
      </c>
      <c r="BJ129" t="s">
        <v>112</v>
      </c>
      <c r="BK129" t="s">
        <v>112</v>
      </c>
      <c r="BL129" t="s">
        <v>169</v>
      </c>
      <c r="BM129" t="s">
        <v>159</v>
      </c>
      <c r="BN129" t="s">
        <v>212</v>
      </c>
      <c r="BO129" t="s">
        <v>161</v>
      </c>
      <c r="BQ129" t="s">
        <v>232</v>
      </c>
      <c r="BR129" s="45">
        <f>ISNUMBER(SEARCH($BR$1,Таблица1[[#This Row],[31_1 Описание и характеристика товара]]))*1</f>
        <v>1</v>
      </c>
      <c r="BT129" t="s">
        <v>150</v>
      </c>
      <c r="BU129">
        <v>33</v>
      </c>
      <c r="CA129" t="s">
        <v>106</v>
      </c>
      <c r="CB129" t="s">
        <v>142</v>
      </c>
      <c r="CC129" t="s">
        <v>112</v>
      </c>
      <c r="CD129" t="s">
        <v>112</v>
      </c>
      <c r="CE129" t="s">
        <v>121</v>
      </c>
      <c r="CF129">
        <v>17186.48</v>
      </c>
      <c r="CG129" t="s">
        <v>144</v>
      </c>
      <c r="CH129">
        <v>4000000</v>
      </c>
      <c r="CI129">
        <v>17121.68</v>
      </c>
      <c r="CK129" t="s">
        <v>112</v>
      </c>
      <c r="CL129" t="s">
        <v>112</v>
      </c>
      <c r="CM129">
        <v>40466.28</v>
      </c>
      <c r="CO129">
        <v>0</v>
      </c>
      <c r="CP129">
        <v>1</v>
      </c>
      <c r="CQ129">
        <v>4533562.5199999996</v>
      </c>
      <c r="CR129">
        <v>46979.92</v>
      </c>
      <c r="CS129" t="s">
        <v>145</v>
      </c>
      <c r="CT129">
        <v>46913.403200000008</v>
      </c>
      <c r="CU129">
        <v>2.74</v>
      </c>
      <c r="CV129">
        <v>45</v>
      </c>
      <c r="CX129" t="s">
        <v>1140</v>
      </c>
      <c r="CY129">
        <v>278</v>
      </c>
    </row>
    <row r="130" spans="1:103" x14ac:dyDescent="0.25">
      <c r="A130" t="s">
        <v>106</v>
      </c>
      <c r="B130" s="38">
        <v>44638</v>
      </c>
      <c r="C130" s="43">
        <f>IF(YEAR(Таблица1[[#This Row],[Дата]])=2023,MONTH(Таблица1[[#This Row],[Дата]]),0)</f>
        <v>0</v>
      </c>
      <c r="D130" t="s">
        <v>2061</v>
      </c>
      <c r="E130" t="s">
        <v>108</v>
      </c>
      <c r="F130" t="s">
        <v>2062</v>
      </c>
      <c r="G130" t="s">
        <v>110</v>
      </c>
      <c r="H130" t="s">
        <v>111</v>
      </c>
      <c r="I130" t="s">
        <v>112</v>
      </c>
      <c r="J130" t="s">
        <v>112</v>
      </c>
      <c r="K130" t="s">
        <v>112</v>
      </c>
      <c r="L130" t="s">
        <v>150</v>
      </c>
      <c r="M130" t="s">
        <v>151</v>
      </c>
      <c r="N130" t="s">
        <v>112</v>
      </c>
      <c r="O130" t="s">
        <v>112</v>
      </c>
      <c r="P130">
        <v>1</v>
      </c>
      <c r="R130">
        <v>1</v>
      </c>
      <c r="S130">
        <v>33</v>
      </c>
      <c r="T130" t="s">
        <v>112</v>
      </c>
      <c r="U130" t="s">
        <v>152</v>
      </c>
      <c r="V130" t="s">
        <v>153</v>
      </c>
      <c r="W130" t="s">
        <v>154</v>
      </c>
      <c r="X130" t="s">
        <v>119</v>
      </c>
      <c r="Y130" t="s">
        <v>112</v>
      </c>
      <c r="Z130" t="s">
        <v>112</v>
      </c>
      <c r="AA130" t="s">
        <v>152</v>
      </c>
      <c r="AB130" t="s">
        <v>153</v>
      </c>
      <c r="AC130" t="s">
        <v>154</v>
      </c>
      <c r="AD130" t="s">
        <v>119</v>
      </c>
      <c r="AE130" t="s">
        <v>112</v>
      </c>
      <c r="AF130" t="s">
        <v>121</v>
      </c>
      <c r="AG130" t="s">
        <v>122</v>
      </c>
      <c r="AH130">
        <v>5385968.0700000003</v>
      </c>
      <c r="AI130" t="s">
        <v>112</v>
      </c>
      <c r="AJ130" t="s">
        <v>152</v>
      </c>
      <c r="AK130" t="s">
        <v>153</v>
      </c>
      <c r="AL130" t="s">
        <v>154</v>
      </c>
      <c r="AM130" t="s">
        <v>119</v>
      </c>
      <c r="AN130" t="s">
        <v>112</v>
      </c>
      <c r="AO130" t="s">
        <v>121</v>
      </c>
      <c r="AP130" t="s">
        <v>122</v>
      </c>
      <c r="AQ130" t="s">
        <v>122</v>
      </c>
      <c r="AR130" t="s">
        <v>124</v>
      </c>
      <c r="AS130" t="s">
        <v>125</v>
      </c>
      <c r="AT130">
        <v>2</v>
      </c>
      <c r="AU130" t="s">
        <v>126</v>
      </c>
      <c r="AV130" t="s">
        <v>155</v>
      </c>
      <c r="AW130" t="s">
        <v>156</v>
      </c>
      <c r="AY130" t="s">
        <v>129</v>
      </c>
      <c r="AZ130">
        <v>48825</v>
      </c>
      <c r="BC130">
        <v>101.97799999999999</v>
      </c>
      <c r="BD130" t="s">
        <v>112</v>
      </c>
      <c r="BE130" t="s">
        <v>112</v>
      </c>
      <c r="BF130" t="s">
        <v>157</v>
      </c>
      <c r="BG130" t="s">
        <v>133</v>
      </c>
      <c r="BH130" t="s">
        <v>134</v>
      </c>
      <c r="BI130" t="s">
        <v>112</v>
      </c>
      <c r="BJ130" t="s">
        <v>112</v>
      </c>
      <c r="BK130" t="s">
        <v>112</v>
      </c>
      <c r="BL130" t="s">
        <v>169</v>
      </c>
      <c r="BM130" t="s">
        <v>159</v>
      </c>
      <c r="BN130" t="s">
        <v>212</v>
      </c>
      <c r="BO130" t="s">
        <v>161</v>
      </c>
      <c r="BQ130" t="s">
        <v>232</v>
      </c>
      <c r="BR130" s="45">
        <f>ISNUMBER(SEARCH($BR$1,Таблица1[[#This Row],[31_1 Описание и характеристика товара]]))*1</f>
        <v>1</v>
      </c>
      <c r="BT130" t="s">
        <v>150</v>
      </c>
      <c r="BU130">
        <v>33</v>
      </c>
      <c r="CA130" t="s">
        <v>106</v>
      </c>
      <c r="CB130" t="s">
        <v>142</v>
      </c>
      <c r="CC130" t="s">
        <v>112</v>
      </c>
      <c r="CD130" t="s">
        <v>112</v>
      </c>
      <c r="CE130" t="s">
        <v>121</v>
      </c>
      <c r="CF130">
        <v>16907.04</v>
      </c>
      <c r="CG130" t="s">
        <v>144</v>
      </c>
      <c r="CH130">
        <v>4000000</v>
      </c>
      <c r="CI130">
        <v>16907.04</v>
      </c>
      <c r="CK130" t="s">
        <v>112</v>
      </c>
      <c r="CL130" t="s">
        <v>112</v>
      </c>
      <c r="CM130">
        <v>48825</v>
      </c>
      <c r="CO130">
        <v>0</v>
      </c>
      <c r="CP130">
        <v>1</v>
      </c>
      <c r="CQ130">
        <v>5385968.0700000003</v>
      </c>
      <c r="CR130">
        <v>55813.14</v>
      </c>
      <c r="CS130" t="s">
        <v>145</v>
      </c>
      <c r="CT130">
        <v>55793.231999999996</v>
      </c>
      <c r="CU130">
        <v>3.3</v>
      </c>
      <c r="CV130">
        <v>45</v>
      </c>
      <c r="CX130" t="s">
        <v>233</v>
      </c>
      <c r="CY130">
        <v>144</v>
      </c>
    </row>
    <row r="131" spans="1:103" x14ac:dyDescent="0.25">
      <c r="A131" t="s">
        <v>106</v>
      </c>
      <c r="B131" s="38">
        <v>44616</v>
      </c>
      <c r="C131" s="43">
        <f>IF(YEAR(Таблица1[[#This Row],[Дата]])=2023,MONTH(Таблица1[[#This Row],[Дата]]),0)</f>
        <v>0</v>
      </c>
      <c r="D131" t="s">
        <v>2063</v>
      </c>
      <c r="E131" t="s">
        <v>108</v>
      </c>
      <c r="F131" t="s">
        <v>2064</v>
      </c>
      <c r="G131" t="s">
        <v>110</v>
      </c>
      <c r="H131" t="s">
        <v>111</v>
      </c>
      <c r="I131" t="s">
        <v>112</v>
      </c>
      <c r="J131" t="s">
        <v>112</v>
      </c>
      <c r="K131" t="s">
        <v>112</v>
      </c>
      <c r="L131" t="s">
        <v>150</v>
      </c>
      <c r="M131" t="s">
        <v>151</v>
      </c>
      <c r="N131" t="s">
        <v>112</v>
      </c>
      <c r="O131" t="s">
        <v>112</v>
      </c>
      <c r="P131">
        <v>1</v>
      </c>
      <c r="R131">
        <v>1</v>
      </c>
      <c r="S131">
        <v>33</v>
      </c>
      <c r="T131" t="s">
        <v>112</v>
      </c>
      <c r="U131" t="s">
        <v>152</v>
      </c>
      <c r="V131" t="s">
        <v>153</v>
      </c>
      <c r="W131" t="s">
        <v>154</v>
      </c>
      <c r="X131" t="s">
        <v>119</v>
      </c>
      <c r="Y131" t="s">
        <v>112</v>
      </c>
      <c r="Z131" t="s">
        <v>112</v>
      </c>
      <c r="AA131" t="s">
        <v>152</v>
      </c>
      <c r="AB131" t="s">
        <v>153</v>
      </c>
      <c r="AC131" t="s">
        <v>154</v>
      </c>
      <c r="AD131" t="s">
        <v>119</v>
      </c>
      <c r="AE131" t="s">
        <v>112</v>
      </c>
      <c r="AF131" t="s">
        <v>121</v>
      </c>
      <c r="AG131" t="s">
        <v>122</v>
      </c>
      <c r="AH131">
        <v>4789667.01</v>
      </c>
      <c r="AI131" t="s">
        <v>112</v>
      </c>
      <c r="AJ131" t="s">
        <v>152</v>
      </c>
      <c r="AK131" t="s">
        <v>153</v>
      </c>
      <c r="AL131" t="s">
        <v>154</v>
      </c>
      <c r="AM131" t="s">
        <v>119</v>
      </c>
      <c r="AN131" t="s">
        <v>112</v>
      </c>
      <c r="AO131" t="s">
        <v>121</v>
      </c>
      <c r="AP131" t="s">
        <v>122</v>
      </c>
      <c r="AQ131" t="s">
        <v>122</v>
      </c>
      <c r="AR131" t="s">
        <v>124</v>
      </c>
      <c r="AS131" t="s">
        <v>125</v>
      </c>
      <c r="AT131">
        <v>2</v>
      </c>
      <c r="AU131" t="s">
        <v>126</v>
      </c>
      <c r="AV131" t="s">
        <v>155</v>
      </c>
      <c r="AW131" t="s">
        <v>156</v>
      </c>
      <c r="AY131" t="s">
        <v>129</v>
      </c>
      <c r="AZ131">
        <v>42977.65</v>
      </c>
      <c r="BC131">
        <v>101.97799999999999</v>
      </c>
      <c r="BD131" t="s">
        <v>112</v>
      </c>
      <c r="BE131" t="s">
        <v>112</v>
      </c>
      <c r="BF131" t="s">
        <v>157</v>
      </c>
      <c r="BG131" t="s">
        <v>133</v>
      </c>
      <c r="BH131" t="s">
        <v>134</v>
      </c>
      <c r="BI131" t="s">
        <v>112</v>
      </c>
      <c r="BJ131" t="s">
        <v>112</v>
      </c>
      <c r="BK131" t="s">
        <v>112</v>
      </c>
      <c r="BL131" t="s">
        <v>169</v>
      </c>
      <c r="BM131" t="s">
        <v>159</v>
      </c>
      <c r="BN131" t="s">
        <v>212</v>
      </c>
      <c r="BO131" t="s">
        <v>161</v>
      </c>
      <c r="BQ131" t="s">
        <v>205</v>
      </c>
      <c r="BR131" s="45">
        <f>ISNUMBER(SEARCH($BR$1,Таблица1[[#This Row],[31_1 Описание и характеристика товара]]))*1</f>
        <v>1</v>
      </c>
      <c r="BT131" t="s">
        <v>150</v>
      </c>
      <c r="BU131">
        <v>33</v>
      </c>
      <c r="BV131">
        <v>0</v>
      </c>
      <c r="BW131">
        <v>0</v>
      </c>
      <c r="BY131">
        <v>0</v>
      </c>
      <c r="CA131" t="s">
        <v>106</v>
      </c>
      <c r="CB131" t="s">
        <v>142</v>
      </c>
      <c r="CC131" t="s">
        <v>112</v>
      </c>
      <c r="CD131" t="s">
        <v>112</v>
      </c>
      <c r="CE131" t="s">
        <v>121</v>
      </c>
      <c r="CF131">
        <v>16294.34</v>
      </c>
      <c r="CG131" t="s">
        <v>144</v>
      </c>
      <c r="CH131">
        <v>4000000</v>
      </c>
      <c r="CI131">
        <v>16186.34</v>
      </c>
      <c r="CJ131">
        <v>0</v>
      </c>
      <c r="CK131" t="s">
        <v>112</v>
      </c>
      <c r="CL131" t="s">
        <v>112</v>
      </c>
      <c r="CM131">
        <v>42977.65</v>
      </c>
      <c r="CO131">
        <v>0</v>
      </c>
      <c r="CP131">
        <v>1</v>
      </c>
      <c r="CQ131">
        <v>4789667.01</v>
      </c>
      <c r="CR131">
        <v>49633.86</v>
      </c>
      <c r="CS131" t="s">
        <v>145</v>
      </c>
      <c r="CT131">
        <v>49692.063799999996</v>
      </c>
      <c r="CU131">
        <v>3.07</v>
      </c>
      <c r="CV131">
        <v>45</v>
      </c>
      <c r="CX131" t="s">
        <v>233</v>
      </c>
      <c r="CY131">
        <v>577</v>
      </c>
    </row>
    <row r="132" spans="1:103" x14ac:dyDescent="0.25">
      <c r="A132" t="s">
        <v>106</v>
      </c>
      <c r="B132" s="38">
        <v>44837</v>
      </c>
      <c r="C132" s="43">
        <f>IF(YEAR(Таблица1[[#This Row],[Дата]])=2023,MONTH(Таблица1[[#This Row],[Дата]]),0)</f>
        <v>0</v>
      </c>
      <c r="D132" t="s">
        <v>2059</v>
      </c>
      <c r="E132" t="s">
        <v>108</v>
      </c>
      <c r="F132" t="s">
        <v>2060</v>
      </c>
      <c r="G132" t="s">
        <v>110</v>
      </c>
      <c r="H132" t="s">
        <v>111</v>
      </c>
      <c r="I132" t="s">
        <v>112</v>
      </c>
      <c r="J132" t="s">
        <v>112</v>
      </c>
      <c r="K132" t="s">
        <v>112</v>
      </c>
      <c r="L132" t="s">
        <v>150</v>
      </c>
      <c r="M132" t="s">
        <v>151</v>
      </c>
      <c r="N132" t="s">
        <v>112</v>
      </c>
      <c r="O132" t="s">
        <v>112</v>
      </c>
      <c r="P132">
        <v>1</v>
      </c>
      <c r="R132">
        <v>1</v>
      </c>
      <c r="S132">
        <v>33</v>
      </c>
      <c r="T132" t="s">
        <v>112</v>
      </c>
      <c r="U132" t="s">
        <v>152</v>
      </c>
      <c r="V132" t="s">
        <v>153</v>
      </c>
      <c r="W132" t="s">
        <v>154</v>
      </c>
      <c r="X132" t="s">
        <v>119</v>
      </c>
      <c r="Y132" t="s">
        <v>112</v>
      </c>
      <c r="Z132" t="s">
        <v>112</v>
      </c>
      <c r="AA132" t="s">
        <v>152</v>
      </c>
      <c r="AB132" t="s">
        <v>153</v>
      </c>
      <c r="AC132" t="s">
        <v>154</v>
      </c>
      <c r="AD132" t="s">
        <v>119</v>
      </c>
      <c r="AE132" t="s">
        <v>112</v>
      </c>
      <c r="AF132" t="s">
        <v>121</v>
      </c>
      <c r="AG132" t="s">
        <v>122</v>
      </c>
      <c r="AH132">
        <v>5079383.45</v>
      </c>
      <c r="AI132" t="s">
        <v>112</v>
      </c>
      <c r="AJ132" t="s">
        <v>152</v>
      </c>
      <c r="AK132" t="s">
        <v>153</v>
      </c>
      <c r="AL132" t="s">
        <v>154</v>
      </c>
      <c r="AM132" t="s">
        <v>119</v>
      </c>
      <c r="AN132" t="s">
        <v>112</v>
      </c>
      <c r="AO132" t="s">
        <v>121</v>
      </c>
      <c r="AP132" t="s">
        <v>122</v>
      </c>
      <c r="AQ132" t="s">
        <v>122</v>
      </c>
      <c r="AR132" t="s">
        <v>124</v>
      </c>
      <c r="AS132" t="s">
        <v>125</v>
      </c>
      <c r="AT132">
        <v>2</v>
      </c>
      <c r="AU132" t="s">
        <v>126</v>
      </c>
      <c r="AV132" t="s">
        <v>155</v>
      </c>
      <c r="AW132" t="s">
        <v>156</v>
      </c>
      <c r="AY132" t="s">
        <v>129</v>
      </c>
      <c r="AZ132">
        <v>45678.62</v>
      </c>
      <c r="BC132">
        <v>101.97799999999999</v>
      </c>
      <c r="BD132" t="s">
        <v>112</v>
      </c>
      <c r="BE132" t="s">
        <v>112</v>
      </c>
      <c r="BF132" t="s">
        <v>157</v>
      </c>
      <c r="BG132" t="s">
        <v>133</v>
      </c>
      <c r="BH132" t="s">
        <v>134</v>
      </c>
      <c r="BI132" t="s">
        <v>112</v>
      </c>
      <c r="BJ132" t="s">
        <v>112</v>
      </c>
      <c r="BK132" t="s">
        <v>112</v>
      </c>
      <c r="BL132" t="s">
        <v>169</v>
      </c>
      <c r="BM132" t="s">
        <v>159</v>
      </c>
      <c r="BN132" t="s">
        <v>212</v>
      </c>
      <c r="BO132" t="s">
        <v>161</v>
      </c>
      <c r="BQ132" t="s">
        <v>205</v>
      </c>
      <c r="BR132" s="45">
        <f>ISNUMBER(SEARCH($BR$1,Таблица1[[#This Row],[31_1 Описание и характеристика товара]]))*1</f>
        <v>1</v>
      </c>
      <c r="BT132" t="s">
        <v>150</v>
      </c>
      <c r="BU132">
        <v>33</v>
      </c>
      <c r="BV132">
        <v>0</v>
      </c>
      <c r="BW132">
        <v>0</v>
      </c>
      <c r="BY132">
        <v>0</v>
      </c>
      <c r="CA132" t="s">
        <v>106</v>
      </c>
      <c r="CB132" t="s">
        <v>142</v>
      </c>
      <c r="CC132" t="s">
        <v>112</v>
      </c>
      <c r="CD132" t="s">
        <v>112</v>
      </c>
      <c r="CE132" t="s">
        <v>121</v>
      </c>
      <c r="CF132">
        <v>16058.46</v>
      </c>
      <c r="CG132" t="s">
        <v>144</v>
      </c>
      <c r="CH132">
        <v>4000000</v>
      </c>
      <c r="CI132">
        <v>15968.47</v>
      </c>
      <c r="CJ132">
        <v>0</v>
      </c>
      <c r="CK132" t="s">
        <v>112</v>
      </c>
      <c r="CL132" t="s">
        <v>112</v>
      </c>
      <c r="CM132">
        <v>45678.62</v>
      </c>
      <c r="CO132">
        <v>0</v>
      </c>
      <c r="CP132">
        <v>1</v>
      </c>
      <c r="CQ132">
        <v>5079383.45</v>
      </c>
      <c r="CR132">
        <v>52636.1</v>
      </c>
      <c r="CS132" t="s">
        <v>145</v>
      </c>
      <c r="CT132">
        <v>52695.950999999994</v>
      </c>
      <c r="CU132">
        <v>3.3</v>
      </c>
      <c r="CV132">
        <v>45</v>
      </c>
      <c r="CX132" t="s">
        <v>729</v>
      </c>
      <c r="CY132">
        <v>586</v>
      </c>
    </row>
    <row r="133" spans="1:103" x14ac:dyDescent="0.25">
      <c r="A133" t="s">
        <v>106</v>
      </c>
      <c r="B133" s="38">
        <v>45148</v>
      </c>
      <c r="C133" s="43">
        <f>IF(YEAR(Таблица1[[#This Row],[Дата]])=2023,MONTH(Таблица1[[#This Row],[Дата]]),0)</f>
        <v>8</v>
      </c>
      <c r="D133" t="s">
        <v>1802</v>
      </c>
      <c r="E133" t="s">
        <v>108</v>
      </c>
      <c r="F133" t="s">
        <v>1803</v>
      </c>
      <c r="G133" t="s">
        <v>110</v>
      </c>
      <c r="H133" t="s">
        <v>111</v>
      </c>
      <c r="I133" t="s">
        <v>112</v>
      </c>
      <c r="J133" t="s">
        <v>112</v>
      </c>
      <c r="K133" t="s">
        <v>112</v>
      </c>
      <c r="L133" t="s">
        <v>150</v>
      </c>
      <c r="M133" t="s">
        <v>151</v>
      </c>
      <c r="N133" t="s">
        <v>112</v>
      </c>
      <c r="O133" t="s">
        <v>112</v>
      </c>
      <c r="R133">
        <v>1</v>
      </c>
      <c r="S133">
        <v>33</v>
      </c>
      <c r="T133" t="s">
        <v>166</v>
      </c>
      <c r="U133" t="s">
        <v>152</v>
      </c>
      <c r="V133" t="s">
        <v>153</v>
      </c>
      <c r="W133" t="s">
        <v>154</v>
      </c>
      <c r="X133" t="s">
        <v>119</v>
      </c>
      <c r="Y133" t="s">
        <v>112</v>
      </c>
      <c r="Z133" t="s">
        <v>166</v>
      </c>
      <c r="AA133" t="s">
        <v>152</v>
      </c>
      <c r="AB133" t="s">
        <v>153</v>
      </c>
      <c r="AC133" t="s">
        <v>154</v>
      </c>
      <c r="AD133" t="s">
        <v>119</v>
      </c>
      <c r="AE133" t="s">
        <v>112</v>
      </c>
      <c r="AF133" t="s">
        <v>121</v>
      </c>
      <c r="AG133" t="s">
        <v>122</v>
      </c>
      <c r="AH133">
        <v>4716722.92</v>
      </c>
      <c r="AI133" t="s">
        <v>166</v>
      </c>
      <c r="AJ133" t="s">
        <v>152</v>
      </c>
      <c r="AK133" t="s">
        <v>153</v>
      </c>
      <c r="AL133" t="s">
        <v>154</v>
      </c>
      <c r="AM133" t="s">
        <v>119</v>
      </c>
      <c r="AN133" t="s">
        <v>112</v>
      </c>
      <c r="AO133" t="s">
        <v>121</v>
      </c>
      <c r="AP133" t="s">
        <v>122</v>
      </c>
      <c r="AQ133" t="s">
        <v>122</v>
      </c>
      <c r="AR133" t="s">
        <v>124</v>
      </c>
      <c r="AS133" t="s">
        <v>125</v>
      </c>
      <c r="AU133" t="s">
        <v>126</v>
      </c>
      <c r="AV133" t="s">
        <v>155</v>
      </c>
      <c r="AW133" t="s">
        <v>156</v>
      </c>
      <c r="AY133" t="s">
        <v>129</v>
      </c>
      <c r="AZ133">
        <v>41995.44</v>
      </c>
      <c r="BC133">
        <v>102.2586</v>
      </c>
      <c r="BD133" t="s">
        <v>112</v>
      </c>
      <c r="BE133" t="s">
        <v>112</v>
      </c>
      <c r="BF133" t="s">
        <v>112</v>
      </c>
      <c r="BG133" t="s">
        <v>133</v>
      </c>
      <c r="BH133" t="s">
        <v>167</v>
      </c>
      <c r="BI133" t="s">
        <v>112</v>
      </c>
      <c r="BJ133" t="s">
        <v>112</v>
      </c>
      <c r="BK133" t="s">
        <v>112</v>
      </c>
      <c r="BL133" t="s">
        <v>112</v>
      </c>
      <c r="BM133" t="s">
        <v>112</v>
      </c>
      <c r="BN133" t="s">
        <v>112</v>
      </c>
      <c r="BO133" t="s">
        <v>161</v>
      </c>
      <c r="BQ133" t="s">
        <v>466</v>
      </c>
      <c r="BR133" s="45">
        <f>ISNUMBER(SEARCH($BR$1,Таблица1[[#This Row],[31_1 Описание и характеристика товара]]))*1</f>
        <v>1</v>
      </c>
      <c r="BT133" t="s">
        <v>150</v>
      </c>
      <c r="BU133">
        <v>33</v>
      </c>
      <c r="CA133" t="s">
        <v>106</v>
      </c>
      <c r="CB133" t="s">
        <v>142</v>
      </c>
      <c r="CC133" t="s">
        <v>112</v>
      </c>
      <c r="CD133" t="s">
        <v>112</v>
      </c>
      <c r="CE133" t="s">
        <v>121</v>
      </c>
      <c r="CF133">
        <v>16091.94</v>
      </c>
      <c r="CG133" t="s">
        <v>144</v>
      </c>
      <c r="CH133">
        <v>4000000</v>
      </c>
      <c r="CI133">
        <v>16001.94</v>
      </c>
      <c r="CK133" t="s">
        <v>112</v>
      </c>
      <c r="CL133" t="s">
        <v>112</v>
      </c>
      <c r="CM133">
        <v>41995.44</v>
      </c>
      <c r="CO133">
        <v>0</v>
      </c>
      <c r="CP133">
        <v>1</v>
      </c>
      <c r="CQ133">
        <v>4716722.92</v>
      </c>
      <c r="CR133">
        <v>49800.85</v>
      </c>
      <c r="CS133" t="s">
        <v>145</v>
      </c>
      <c r="CT133">
        <v>49766.0334</v>
      </c>
      <c r="CU133">
        <v>3.11</v>
      </c>
      <c r="CY133">
        <v>30</v>
      </c>
    </row>
    <row r="134" spans="1:103" x14ac:dyDescent="0.25">
      <c r="A134" t="s">
        <v>106</v>
      </c>
      <c r="B134" s="38">
        <v>45206</v>
      </c>
      <c r="C134" s="43">
        <f>IF(YEAR(Таблица1[[#This Row],[Дата]])=2023,MONTH(Таблица1[[#This Row],[Дата]]),0)</f>
        <v>10</v>
      </c>
      <c r="D134" t="s">
        <v>1800</v>
      </c>
      <c r="E134" t="s">
        <v>108</v>
      </c>
      <c r="F134" t="s">
        <v>1801</v>
      </c>
      <c r="G134" t="s">
        <v>110</v>
      </c>
      <c r="H134" t="s">
        <v>111</v>
      </c>
      <c r="I134" t="s">
        <v>112</v>
      </c>
      <c r="J134" t="s">
        <v>112</v>
      </c>
      <c r="K134" t="s">
        <v>112</v>
      </c>
      <c r="L134" t="s">
        <v>150</v>
      </c>
      <c r="M134" t="s">
        <v>151</v>
      </c>
      <c r="N134" t="s">
        <v>112</v>
      </c>
      <c r="O134" t="s">
        <v>112</v>
      </c>
      <c r="R134">
        <v>1</v>
      </c>
      <c r="S134">
        <v>33</v>
      </c>
      <c r="T134" t="s">
        <v>166</v>
      </c>
      <c r="U134" t="s">
        <v>152</v>
      </c>
      <c r="V134" t="s">
        <v>153</v>
      </c>
      <c r="W134" t="s">
        <v>154</v>
      </c>
      <c r="X134" t="s">
        <v>119</v>
      </c>
      <c r="Y134" t="s">
        <v>112</v>
      </c>
      <c r="Z134" t="s">
        <v>166</v>
      </c>
      <c r="AA134" t="s">
        <v>152</v>
      </c>
      <c r="AB134" t="s">
        <v>153</v>
      </c>
      <c r="AC134" t="s">
        <v>154</v>
      </c>
      <c r="AD134" t="s">
        <v>119</v>
      </c>
      <c r="AE134" t="s">
        <v>112</v>
      </c>
      <c r="AF134" t="s">
        <v>121</v>
      </c>
      <c r="AG134" t="s">
        <v>122</v>
      </c>
      <c r="AH134">
        <v>4952026.09</v>
      </c>
      <c r="AI134" t="s">
        <v>166</v>
      </c>
      <c r="AJ134" t="s">
        <v>152</v>
      </c>
      <c r="AK134" t="s">
        <v>153</v>
      </c>
      <c r="AL134" t="s">
        <v>154</v>
      </c>
      <c r="AM134" t="s">
        <v>119</v>
      </c>
      <c r="AN134" t="s">
        <v>112</v>
      </c>
      <c r="AO134" t="s">
        <v>121</v>
      </c>
      <c r="AP134" t="s">
        <v>122</v>
      </c>
      <c r="AQ134" t="s">
        <v>122</v>
      </c>
      <c r="AR134" t="s">
        <v>124</v>
      </c>
      <c r="AS134" t="s">
        <v>125</v>
      </c>
      <c r="AU134" t="s">
        <v>126</v>
      </c>
      <c r="AV134" t="s">
        <v>155</v>
      </c>
      <c r="AW134" t="s">
        <v>156</v>
      </c>
      <c r="AY134" t="s">
        <v>129</v>
      </c>
      <c r="AZ134">
        <v>44296.5</v>
      </c>
      <c r="BC134">
        <v>102.2586</v>
      </c>
      <c r="BD134" t="s">
        <v>112</v>
      </c>
      <c r="BE134" t="s">
        <v>112</v>
      </c>
      <c r="BF134" t="s">
        <v>112</v>
      </c>
      <c r="BG134" t="s">
        <v>133</v>
      </c>
      <c r="BH134" t="s">
        <v>167</v>
      </c>
      <c r="BI134" t="s">
        <v>112</v>
      </c>
      <c r="BJ134" t="s">
        <v>112</v>
      </c>
      <c r="BK134" t="s">
        <v>112</v>
      </c>
      <c r="BL134" t="s">
        <v>112</v>
      </c>
      <c r="BM134" t="s">
        <v>112</v>
      </c>
      <c r="BN134" t="s">
        <v>112</v>
      </c>
      <c r="BO134" t="s">
        <v>161</v>
      </c>
      <c r="BQ134" t="s">
        <v>232</v>
      </c>
      <c r="BR134" s="45">
        <f>ISNUMBER(SEARCH($BR$1,Таблица1[[#This Row],[31_1 Описание и характеристика товара]]))*1</f>
        <v>1</v>
      </c>
      <c r="BT134" t="s">
        <v>150</v>
      </c>
      <c r="BU134">
        <v>33</v>
      </c>
      <c r="CA134" t="s">
        <v>106</v>
      </c>
      <c r="CB134" t="s">
        <v>142</v>
      </c>
      <c r="CC134" t="s">
        <v>112</v>
      </c>
      <c r="CD134" t="s">
        <v>112</v>
      </c>
      <c r="CE134" t="s">
        <v>121</v>
      </c>
      <c r="CF134">
        <v>16182.21</v>
      </c>
      <c r="CG134" t="s">
        <v>144</v>
      </c>
      <c r="CH134">
        <v>4000000</v>
      </c>
      <c r="CI134">
        <v>16074.21</v>
      </c>
      <c r="CK134" t="s">
        <v>112</v>
      </c>
      <c r="CL134" t="s">
        <v>112</v>
      </c>
      <c r="CM134">
        <v>44296.5</v>
      </c>
      <c r="CO134">
        <v>0</v>
      </c>
      <c r="CP134">
        <v>1</v>
      </c>
      <c r="CQ134">
        <v>4952026.09</v>
      </c>
      <c r="CR134">
        <v>52285.26</v>
      </c>
      <c r="CS134" t="s">
        <v>145</v>
      </c>
      <c r="CT134">
        <v>52241.182499999995</v>
      </c>
      <c r="CU134">
        <v>3.25</v>
      </c>
      <c r="CY134">
        <v>342</v>
      </c>
    </row>
    <row r="135" spans="1:103" x14ac:dyDescent="0.25">
      <c r="A135" t="s">
        <v>106</v>
      </c>
      <c r="B135" s="38">
        <v>44987</v>
      </c>
      <c r="C135" s="43">
        <f>IF(YEAR(Таблица1[[#This Row],[Дата]])=2023,MONTH(Таблица1[[#This Row],[Дата]]),0)</f>
        <v>3</v>
      </c>
      <c r="D135" t="s">
        <v>1798</v>
      </c>
      <c r="E135" t="s">
        <v>108</v>
      </c>
      <c r="F135" t="s">
        <v>1799</v>
      </c>
      <c r="G135" t="s">
        <v>110</v>
      </c>
      <c r="H135" t="s">
        <v>111</v>
      </c>
      <c r="I135" t="s">
        <v>112</v>
      </c>
      <c r="J135" t="s">
        <v>112</v>
      </c>
      <c r="K135" t="s">
        <v>112</v>
      </c>
      <c r="L135" t="s">
        <v>150</v>
      </c>
      <c r="M135" t="s">
        <v>151</v>
      </c>
      <c r="N135" t="s">
        <v>112</v>
      </c>
      <c r="O135" t="s">
        <v>112</v>
      </c>
      <c r="R135">
        <v>1</v>
      </c>
      <c r="S135">
        <v>33</v>
      </c>
      <c r="T135" t="s">
        <v>166</v>
      </c>
      <c r="U135" t="s">
        <v>152</v>
      </c>
      <c r="V135" t="s">
        <v>153</v>
      </c>
      <c r="W135" t="s">
        <v>154</v>
      </c>
      <c r="X135" t="s">
        <v>119</v>
      </c>
      <c r="Y135" t="s">
        <v>112</v>
      </c>
      <c r="Z135" t="s">
        <v>166</v>
      </c>
      <c r="AA135" t="s">
        <v>152</v>
      </c>
      <c r="AB135" t="s">
        <v>153</v>
      </c>
      <c r="AC135" t="s">
        <v>154</v>
      </c>
      <c r="AD135" t="s">
        <v>119</v>
      </c>
      <c r="AE135" t="s">
        <v>112</v>
      </c>
      <c r="AF135" t="s">
        <v>121</v>
      </c>
      <c r="AG135" t="s">
        <v>122</v>
      </c>
      <c r="AH135">
        <v>4795000.8600000003</v>
      </c>
      <c r="AI135" t="s">
        <v>166</v>
      </c>
      <c r="AJ135" t="s">
        <v>152</v>
      </c>
      <c r="AK135" t="s">
        <v>153</v>
      </c>
      <c r="AL135" t="s">
        <v>154</v>
      </c>
      <c r="AM135" t="s">
        <v>119</v>
      </c>
      <c r="AN135" t="s">
        <v>112</v>
      </c>
      <c r="AO135" t="s">
        <v>121</v>
      </c>
      <c r="AP135" t="s">
        <v>122</v>
      </c>
      <c r="AQ135" t="s">
        <v>122</v>
      </c>
      <c r="AR135" t="s">
        <v>124</v>
      </c>
      <c r="AS135" t="s">
        <v>125</v>
      </c>
      <c r="AU135" t="s">
        <v>126</v>
      </c>
      <c r="AV135" t="s">
        <v>155</v>
      </c>
      <c r="AW135" t="s">
        <v>156</v>
      </c>
      <c r="AY135" t="s">
        <v>129</v>
      </c>
      <c r="AZ135">
        <v>42060.93</v>
      </c>
      <c r="BC135">
        <v>102.2586</v>
      </c>
      <c r="BD135" t="s">
        <v>112</v>
      </c>
      <c r="BE135" t="s">
        <v>112</v>
      </c>
      <c r="BF135" t="s">
        <v>112</v>
      </c>
      <c r="BG135" t="s">
        <v>133</v>
      </c>
      <c r="BH135" t="s">
        <v>134</v>
      </c>
      <c r="BI135" t="s">
        <v>112</v>
      </c>
      <c r="BJ135" t="s">
        <v>112</v>
      </c>
      <c r="BK135" t="s">
        <v>112</v>
      </c>
      <c r="BL135" t="s">
        <v>112</v>
      </c>
      <c r="BM135" t="s">
        <v>112</v>
      </c>
      <c r="BN135" t="s">
        <v>112</v>
      </c>
      <c r="BO135" t="s">
        <v>161</v>
      </c>
      <c r="BQ135" t="s">
        <v>232</v>
      </c>
      <c r="BR135" s="45">
        <f>ISNUMBER(SEARCH($BR$1,Таблица1[[#This Row],[31_1 Описание и характеристика товара]]))*1</f>
        <v>1</v>
      </c>
      <c r="BT135" t="s">
        <v>150</v>
      </c>
      <c r="BU135">
        <v>33</v>
      </c>
      <c r="BV135">
        <v>0</v>
      </c>
      <c r="BW135">
        <v>0</v>
      </c>
      <c r="CA135" t="s">
        <v>106</v>
      </c>
      <c r="CB135" t="s">
        <v>142</v>
      </c>
      <c r="CC135" t="s">
        <v>112</v>
      </c>
      <c r="CD135" t="s">
        <v>112</v>
      </c>
      <c r="CE135" t="s">
        <v>121</v>
      </c>
      <c r="CF135">
        <v>16780.759999999998</v>
      </c>
      <c r="CG135" t="s">
        <v>144</v>
      </c>
      <c r="CH135">
        <v>4000000</v>
      </c>
      <c r="CI135">
        <v>16701.560000000001</v>
      </c>
      <c r="CJ135">
        <v>0</v>
      </c>
      <c r="CK135" t="s">
        <v>112</v>
      </c>
      <c r="CL135" t="s">
        <v>112</v>
      </c>
      <c r="CM135">
        <v>42060.93</v>
      </c>
      <c r="CO135">
        <v>0</v>
      </c>
      <c r="CP135">
        <v>1</v>
      </c>
      <c r="CQ135">
        <v>4795000.8600000003</v>
      </c>
      <c r="CR135">
        <v>50627.33</v>
      </c>
      <c r="CS135" t="s">
        <v>145</v>
      </c>
      <c r="CT135">
        <v>50605.726800000004</v>
      </c>
      <c r="CU135">
        <v>3.03</v>
      </c>
      <c r="CY135">
        <v>249</v>
      </c>
    </row>
    <row r="136" spans="1:103" x14ac:dyDescent="0.25">
      <c r="A136" t="s">
        <v>106</v>
      </c>
      <c r="B136" s="38">
        <v>45048</v>
      </c>
      <c r="C136" s="43">
        <f>IF(YEAR(Таблица1[[#This Row],[Дата]])=2023,MONTH(Таблица1[[#This Row],[Дата]]),0)</f>
        <v>5</v>
      </c>
      <c r="D136" t="s">
        <v>1796</v>
      </c>
      <c r="E136" t="s">
        <v>108</v>
      </c>
      <c r="F136" t="s">
        <v>1797</v>
      </c>
      <c r="G136" t="s">
        <v>110</v>
      </c>
      <c r="H136" t="s">
        <v>111</v>
      </c>
      <c r="I136" t="s">
        <v>112</v>
      </c>
      <c r="J136" t="s">
        <v>112</v>
      </c>
      <c r="K136" t="s">
        <v>112</v>
      </c>
      <c r="L136" t="s">
        <v>150</v>
      </c>
      <c r="M136" t="s">
        <v>151</v>
      </c>
      <c r="N136" t="s">
        <v>112</v>
      </c>
      <c r="O136" t="s">
        <v>112</v>
      </c>
      <c r="R136">
        <v>1</v>
      </c>
      <c r="S136">
        <v>33</v>
      </c>
      <c r="T136" t="s">
        <v>166</v>
      </c>
      <c r="U136" t="s">
        <v>152</v>
      </c>
      <c r="V136" t="s">
        <v>153</v>
      </c>
      <c r="W136" t="s">
        <v>154</v>
      </c>
      <c r="X136" t="s">
        <v>119</v>
      </c>
      <c r="Y136" t="s">
        <v>112</v>
      </c>
      <c r="Z136" t="s">
        <v>166</v>
      </c>
      <c r="AA136" t="s">
        <v>152</v>
      </c>
      <c r="AB136" t="s">
        <v>153</v>
      </c>
      <c r="AC136" t="s">
        <v>154</v>
      </c>
      <c r="AD136" t="s">
        <v>119</v>
      </c>
      <c r="AE136" t="s">
        <v>112</v>
      </c>
      <c r="AF136" t="s">
        <v>121</v>
      </c>
      <c r="AG136" t="s">
        <v>122</v>
      </c>
      <c r="AH136">
        <v>4553334.13</v>
      </c>
      <c r="AI136" t="s">
        <v>166</v>
      </c>
      <c r="AJ136" t="s">
        <v>152</v>
      </c>
      <c r="AK136" t="s">
        <v>153</v>
      </c>
      <c r="AL136" t="s">
        <v>154</v>
      </c>
      <c r="AM136" t="s">
        <v>119</v>
      </c>
      <c r="AN136" t="s">
        <v>112</v>
      </c>
      <c r="AO136" t="s">
        <v>121</v>
      </c>
      <c r="AP136" t="s">
        <v>122</v>
      </c>
      <c r="AQ136" t="s">
        <v>122</v>
      </c>
      <c r="AR136" t="s">
        <v>124</v>
      </c>
      <c r="AS136" t="s">
        <v>125</v>
      </c>
      <c r="AU136" t="s">
        <v>126</v>
      </c>
      <c r="AV136" t="s">
        <v>155</v>
      </c>
      <c r="AW136" t="s">
        <v>156</v>
      </c>
      <c r="AY136" t="s">
        <v>129</v>
      </c>
      <c r="AZ136">
        <v>40397.64</v>
      </c>
      <c r="BC136">
        <v>102.2586</v>
      </c>
      <c r="BD136" t="s">
        <v>112</v>
      </c>
      <c r="BE136" t="s">
        <v>112</v>
      </c>
      <c r="BF136" t="s">
        <v>112</v>
      </c>
      <c r="BG136" t="s">
        <v>133</v>
      </c>
      <c r="BH136" t="s">
        <v>134</v>
      </c>
      <c r="BI136" t="s">
        <v>112</v>
      </c>
      <c r="BJ136" t="s">
        <v>112</v>
      </c>
      <c r="BK136" t="s">
        <v>112</v>
      </c>
      <c r="BL136" t="s">
        <v>112</v>
      </c>
      <c r="BM136" t="s">
        <v>112</v>
      </c>
      <c r="BN136" t="s">
        <v>112</v>
      </c>
      <c r="BO136" t="s">
        <v>161</v>
      </c>
      <c r="BQ136" t="s">
        <v>232</v>
      </c>
      <c r="BR136" s="45">
        <f>ISNUMBER(SEARCH($BR$1,Таблица1[[#This Row],[31_1 Описание и характеристика товара]]))*1</f>
        <v>1</v>
      </c>
      <c r="BT136" t="s">
        <v>150</v>
      </c>
      <c r="BU136">
        <v>33</v>
      </c>
      <c r="BV136">
        <v>0</v>
      </c>
      <c r="BW136">
        <v>0</v>
      </c>
      <c r="CA136" t="s">
        <v>106</v>
      </c>
      <c r="CB136" t="s">
        <v>142</v>
      </c>
      <c r="CC136" t="s">
        <v>112</v>
      </c>
      <c r="CD136" t="s">
        <v>112</v>
      </c>
      <c r="CE136" t="s">
        <v>121</v>
      </c>
      <c r="CF136">
        <v>16964.830000000002</v>
      </c>
      <c r="CG136" t="s">
        <v>144</v>
      </c>
      <c r="CH136">
        <v>4000000</v>
      </c>
      <c r="CI136">
        <v>16931.23</v>
      </c>
      <c r="CJ136">
        <v>0</v>
      </c>
      <c r="CK136" t="s">
        <v>112</v>
      </c>
      <c r="CL136" t="s">
        <v>112</v>
      </c>
      <c r="CM136">
        <v>40397.64</v>
      </c>
      <c r="CO136">
        <v>0</v>
      </c>
      <c r="CP136">
        <v>1</v>
      </c>
      <c r="CQ136">
        <v>4553334.13</v>
      </c>
      <c r="CR136">
        <v>48075.73</v>
      </c>
      <c r="CS136" t="s">
        <v>145</v>
      </c>
      <c r="CT136">
        <v>48084.693199999994</v>
      </c>
      <c r="CU136">
        <v>2.84</v>
      </c>
      <c r="CY136">
        <v>582</v>
      </c>
    </row>
    <row r="137" spans="1:103" x14ac:dyDescent="0.25">
      <c r="A137" t="s">
        <v>106</v>
      </c>
      <c r="B137" s="38">
        <v>45241</v>
      </c>
      <c r="C137" s="43">
        <f>IF(YEAR(Таблица1[[#This Row],[Дата]])=2023,MONTH(Таблица1[[#This Row],[Дата]]),0)</f>
        <v>11</v>
      </c>
      <c r="D137" t="s">
        <v>1794</v>
      </c>
      <c r="E137" t="s">
        <v>108</v>
      </c>
      <c r="F137" t="s">
        <v>1795</v>
      </c>
      <c r="G137" t="s">
        <v>110</v>
      </c>
      <c r="H137" t="s">
        <v>111</v>
      </c>
      <c r="I137" t="s">
        <v>112</v>
      </c>
      <c r="J137" t="s">
        <v>112</v>
      </c>
      <c r="K137" t="s">
        <v>112</v>
      </c>
      <c r="L137" t="s">
        <v>150</v>
      </c>
      <c r="M137" t="s">
        <v>151</v>
      </c>
      <c r="N137" t="s">
        <v>112</v>
      </c>
      <c r="O137" t="s">
        <v>112</v>
      </c>
      <c r="R137">
        <v>1</v>
      </c>
      <c r="S137">
        <v>33</v>
      </c>
      <c r="T137" t="s">
        <v>166</v>
      </c>
      <c r="U137" t="s">
        <v>152</v>
      </c>
      <c r="V137" t="s">
        <v>153</v>
      </c>
      <c r="W137" t="s">
        <v>154</v>
      </c>
      <c r="X137" t="s">
        <v>119</v>
      </c>
      <c r="Y137" t="s">
        <v>112</v>
      </c>
      <c r="Z137" t="s">
        <v>166</v>
      </c>
      <c r="AA137" t="s">
        <v>152</v>
      </c>
      <c r="AB137" t="s">
        <v>153</v>
      </c>
      <c r="AC137" t="s">
        <v>154</v>
      </c>
      <c r="AD137" t="s">
        <v>119</v>
      </c>
      <c r="AE137" t="s">
        <v>112</v>
      </c>
      <c r="AF137" t="s">
        <v>121</v>
      </c>
      <c r="AG137" t="s">
        <v>122</v>
      </c>
      <c r="AH137">
        <v>4647686.09</v>
      </c>
      <c r="AI137" t="s">
        <v>166</v>
      </c>
      <c r="AJ137" t="s">
        <v>152</v>
      </c>
      <c r="AK137" t="s">
        <v>153</v>
      </c>
      <c r="AL137" t="s">
        <v>154</v>
      </c>
      <c r="AM137" t="s">
        <v>119</v>
      </c>
      <c r="AN137" t="s">
        <v>112</v>
      </c>
      <c r="AO137" t="s">
        <v>121</v>
      </c>
      <c r="AP137" t="s">
        <v>122</v>
      </c>
      <c r="AQ137" t="s">
        <v>122</v>
      </c>
      <c r="AR137" t="s">
        <v>124</v>
      </c>
      <c r="AS137" t="s">
        <v>125</v>
      </c>
      <c r="AU137" t="s">
        <v>126</v>
      </c>
      <c r="AV137" t="s">
        <v>155</v>
      </c>
      <c r="AW137" t="s">
        <v>156</v>
      </c>
      <c r="AY137" t="s">
        <v>129</v>
      </c>
      <c r="AZ137">
        <v>41320.32</v>
      </c>
      <c r="BC137">
        <v>102.2586</v>
      </c>
      <c r="BD137" t="s">
        <v>112</v>
      </c>
      <c r="BE137" t="s">
        <v>112</v>
      </c>
      <c r="BF137" t="s">
        <v>112</v>
      </c>
      <c r="BG137" t="s">
        <v>133</v>
      </c>
      <c r="BH137" t="s">
        <v>167</v>
      </c>
      <c r="BI137" t="s">
        <v>112</v>
      </c>
      <c r="BJ137" t="s">
        <v>112</v>
      </c>
      <c r="BK137" t="s">
        <v>112</v>
      </c>
      <c r="BL137" t="s">
        <v>112</v>
      </c>
      <c r="BM137" t="s">
        <v>112</v>
      </c>
      <c r="BN137" t="s">
        <v>112</v>
      </c>
      <c r="BO137" t="s">
        <v>161</v>
      </c>
      <c r="BQ137" t="s">
        <v>162</v>
      </c>
      <c r="BR137" s="45">
        <f>ISNUMBER(SEARCH($BR$1,Таблица1[[#This Row],[31_1 Описание и характеристика товара]]))*1</f>
        <v>1</v>
      </c>
      <c r="BT137" t="s">
        <v>150</v>
      </c>
      <c r="BU137">
        <v>33</v>
      </c>
      <c r="BV137">
        <v>0</v>
      </c>
      <c r="BW137">
        <v>0</v>
      </c>
      <c r="CA137" t="s">
        <v>106</v>
      </c>
      <c r="CB137" t="s">
        <v>142</v>
      </c>
      <c r="CC137" t="s">
        <v>112</v>
      </c>
      <c r="CD137" t="s">
        <v>112</v>
      </c>
      <c r="CE137" t="s">
        <v>121</v>
      </c>
      <c r="CF137">
        <v>16887.400000000001</v>
      </c>
      <c r="CG137" t="s">
        <v>144</v>
      </c>
      <c r="CH137">
        <v>4000000</v>
      </c>
      <c r="CI137">
        <v>16822.599999999999</v>
      </c>
      <c r="CJ137">
        <v>0</v>
      </c>
      <c r="CK137" t="s">
        <v>112</v>
      </c>
      <c r="CL137" t="s">
        <v>112</v>
      </c>
      <c r="CM137">
        <v>41320.32</v>
      </c>
      <c r="CO137">
        <v>0</v>
      </c>
      <c r="CP137">
        <v>1</v>
      </c>
      <c r="CQ137">
        <v>4647686.09</v>
      </c>
      <c r="CR137">
        <v>49071.93</v>
      </c>
      <c r="CS137" t="s">
        <v>145</v>
      </c>
      <c r="CT137">
        <v>49121.991999999991</v>
      </c>
      <c r="CU137">
        <v>2.92</v>
      </c>
      <c r="CY137">
        <v>205</v>
      </c>
    </row>
    <row r="138" spans="1:103" x14ac:dyDescent="0.25">
      <c r="A138" t="s">
        <v>106</v>
      </c>
      <c r="B138" s="38">
        <v>45156</v>
      </c>
      <c r="C138" s="43">
        <f>IF(YEAR(Таблица1[[#This Row],[Дата]])=2023,MONTH(Таблица1[[#This Row],[Дата]]),0)</f>
        <v>8</v>
      </c>
      <c r="D138" t="s">
        <v>1386</v>
      </c>
      <c r="E138" t="s">
        <v>108</v>
      </c>
      <c r="F138" t="s">
        <v>1387</v>
      </c>
      <c r="G138" t="s">
        <v>110</v>
      </c>
      <c r="H138" t="s">
        <v>111</v>
      </c>
      <c r="I138" t="s">
        <v>112</v>
      </c>
      <c r="J138" t="s">
        <v>112</v>
      </c>
      <c r="K138" t="s">
        <v>112</v>
      </c>
      <c r="L138" t="s">
        <v>150</v>
      </c>
      <c r="M138" t="s">
        <v>151</v>
      </c>
      <c r="N138" t="s">
        <v>112</v>
      </c>
      <c r="O138" t="s">
        <v>112</v>
      </c>
      <c r="P138">
        <v>1</v>
      </c>
      <c r="Q138">
        <v>0</v>
      </c>
      <c r="R138">
        <v>1</v>
      </c>
      <c r="S138">
        <v>33</v>
      </c>
      <c r="T138" t="s">
        <v>166</v>
      </c>
      <c r="U138" t="s">
        <v>152</v>
      </c>
      <c r="V138" t="s">
        <v>153</v>
      </c>
      <c r="W138" t="s">
        <v>154</v>
      </c>
      <c r="X138" t="s">
        <v>119</v>
      </c>
      <c r="Y138" t="s">
        <v>112</v>
      </c>
      <c r="Z138" t="s">
        <v>166</v>
      </c>
      <c r="AA138" t="s">
        <v>152</v>
      </c>
      <c r="AB138" t="s">
        <v>153</v>
      </c>
      <c r="AC138" t="s">
        <v>154</v>
      </c>
      <c r="AD138" t="s">
        <v>119</v>
      </c>
      <c r="AE138" t="s">
        <v>112</v>
      </c>
      <c r="AF138" t="s">
        <v>121</v>
      </c>
      <c r="AG138" t="s">
        <v>122</v>
      </c>
      <c r="AH138">
        <v>4430690.3899999997</v>
      </c>
      <c r="AI138" t="s">
        <v>166</v>
      </c>
      <c r="AJ138" t="s">
        <v>152</v>
      </c>
      <c r="AK138" t="s">
        <v>153</v>
      </c>
      <c r="AL138" t="s">
        <v>154</v>
      </c>
      <c r="AM138" t="s">
        <v>119</v>
      </c>
      <c r="AN138" t="s">
        <v>112</v>
      </c>
      <c r="AO138" t="s">
        <v>121</v>
      </c>
      <c r="AP138" t="s">
        <v>122</v>
      </c>
      <c r="AQ138" t="s">
        <v>122</v>
      </c>
      <c r="AR138" t="s">
        <v>124</v>
      </c>
      <c r="AS138" t="s">
        <v>125</v>
      </c>
      <c r="AT138">
        <v>2</v>
      </c>
      <c r="AU138" t="s">
        <v>126</v>
      </c>
      <c r="AV138" t="s">
        <v>155</v>
      </c>
      <c r="AW138" t="s">
        <v>156</v>
      </c>
      <c r="AX138">
        <v>1</v>
      </c>
      <c r="AY138" t="s">
        <v>129</v>
      </c>
      <c r="AZ138">
        <v>42921.599999999999</v>
      </c>
      <c r="BA138">
        <v>3997602</v>
      </c>
      <c r="BB138">
        <v>52094.879999999997</v>
      </c>
      <c r="BC138">
        <v>93.137299999999996</v>
      </c>
      <c r="BD138" t="s">
        <v>130</v>
      </c>
      <c r="BE138" t="s">
        <v>112</v>
      </c>
      <c r="BF138" t="s">
        <v>157</v>
      </c>
      <c r="BG138" t="s">
        <v>133</v>
      </c>
      <c r="BH138" t="s">
        <v>134</v>
      </c>
      <c r="BI138" t="s">
        <v>112</v>
      </c>
      <c r="BJ138" t="s">
        <v>112</v>
      </c>
      <c r="BK138" t="s">
        <v>112</v>
      </c>
      <c r="BL138" t="s">
        <v>169</v>
      </c>
      <c r="BM138" t="s">
        <v>159</v>
      </c>
      <c r="BN138" t="s">
        <v>722</v>
      </c>
      <c r="BO138" t="s">
        <v>161</v>
      </c>
      <c r="BP138">
        <v>1</v>
      </c>
      <c r="BQ138" t="s">
        <v>1388</v>
      </c>
      <c r="BR138" s="45">
        <f>ISNUMBER(SEARCH($BR$1,Таблица1[[#This Row],[31_1 Описание и характеристика товара]]))*1</f>
        <v>1</v>
      </c>
      <c r="BT138" t="s">
        <v>150</v>
      </c>
      <c r="BU138">
        <v>33</v>
      </c>
      <c r="BV138">
        <v>0</v>
      </c>
      <c r="BW138">
        <v>0</v>
      </c>
      <c r="BY138">
        <v>0</v>
      </c>
      <c r="CA138" t="s">
        <v>106</v>
      </c>
      <c r="CB138" t="s">
        <v>142</v>
      </c>
      <c r="CC138" t="s">
        <v>112</v>
      </c>
      <c r="CD138" t="s">
        <v>112</v>
      </c>
      <c r="CE138" t="s">
        <v>121</v>
      </c>
      <c r="CF138">
        <v>16918.02</v>
      </c>
      <c r="CG138" t="s">
        <v>144</v>
      </c>
      <c r="CH138">
        <v>4000000</v>
      </c>
      <c r="CI138">
        <v>16900.02</v>
      </c>
      <c r="CJ138">
        <v>0</v>
      </c>
      <c r="CK138" t="s">
        <v>112</v>
      </c>
      <c r="CL138" t="s">
        <v>112</v>
      </c>
      <c r="CM138">
        <v>42921.599999999999</v>
      </c>
      <c r="CN138">
        <v>3997602</v>
      </c>
      <c r="CO138">
        <v>0</v>
      </c>
      <c r="CP138">
        <v>1</v>
      </c>
      <c r="CQ138">
        <v>4430690.3899999997</v>
      </c>
      <c r="CR138">
        <v>52094.879999999997</v>
      </c>
      <c r="CS138" t="s">
        <v>145</v>
      </c>
      <c r="CT138">
        <v>52052.061600000001</v>
      </c>
      <c r="CU138">
        <v>3.08</v>
      </c>
      <c r="CV138">
        <v>45</v>
      </c>
      <c r="CW138" t="s">
        <v>171</v>
      </c>
      <c r="CX138" t="s">
        <v>463</v>
      </c>
      <c r="CY138">
        <v>552</v>
      </c>
    </row>
    <row r="139" spans="1:103" x14ac:dyDescent="0.25">
      <c r="A139" t="s">
        <v>106</v>
      </c>
      <c r="B139" s="38">
        <v>44964</v>
      </c>
      <c r="C139" s="43">
        <f>IF(YEAR(Таблица1[[#This Row],[Дата]])=2023,MONTH(Таблица1[[#This Row],[Дата]]),0)</f>
        <v>2</v>
      </c>
      <c r="D139" t="s">
        <v>1093</v>
      </c>
      <c r="E139" t="s">
        <v>108</v>
      </c>
      <c r="F139" t="s">
        <v>1094</v>
      </c>
      <c r="G139" t="s">
        <v>110</v>
      </c>
      <c r="H139" t="s">
        <v>111</v>
      </c>
      <c r="I139" t="s">
        <v>112</v>
      </c>
      <c r="J139" t="s">
        <v>112</v>
      </c>
      <c r="K139" t="s">
        <v>112</v>
      </c>
      <c r="L139" t="s">
        <v>150</v>
      </c>
      <c r="M139" t="s">
        <v>1020</v>
      </c>
      <c r="N139" t="s">
        <v>112</v>
      </c>
      <c r="O139" t="s">
        <v>112</v>
      </c>
      <c r="P139">
        <v>1</v>
      </c>
      <c r="Q139">
        <v>0</v>
      </c>
      <c r="R139">
        <v>1</v>
      </c>
      <c r="S139">
        <v>33</v>
      </c>
      <c r="T139" t="s">
        <v>166</v>
      </c>
      <c r="U139" t="s">
        <v>152</v>
      </c>
      <c r="V139" t="s">
        <v>153</v>
      </c>
      <c r="W139" t="s">
        <v>154</v>
      </c>
      <c r="X139" t="s">
        <v>119</v>
      </c>
      <c r="Y139" t="s">
        <v>112</v>
      </c>
      <c r="Z139" t="s">
        <v>166</v>
      </c>
      <c r="AA139" t="s">
        <v>152</v>
      </c>
      <c r="AB139" t="s">
        <v>153</v>
      </c>
      <c r="AC139" t="s">
        <v>154</v>
      </c>
      <c r="AD139" t="s">
        <v>119</v>
      </c>
      <c r="AE139" t="s">
        <v>112</v>
      </c>
      <c r="AF139" t="s">
        <v>121</v>
      </c>
      <c r="AG139" t="s">
        <v>122</v>
      </c>
      <c r="AH139">
        <v>4228079.47</v>
      </c>
      <c r="AI139" t="s">
        <v>166</v>
      </c>
      <c r="AJ139" t="s">
        <v>152</v>
      </c>
      <c r="AK139" t="s">
        <v>153</v>
      </c>
      <c r="AL139" t="s">
        <v>154</v>
      </c>
      <c r="AM139" t="s">
        <v>119</v>
      </c>
      <c r="AN139" t="s">
        <v>112</v>
      </c>
      <c r="AO139" t="s">
        <v>121</v>
      </c>
      <c r="AP139" t="s">
        <v>122</v>
      </c>
      <c r="AQ139" t="s">
        <v>122</v>
      </c>
      <c r="AR139" t="s">
        <v>124</v>
      </c>
      <c r="AS139" t="s">
        <v>125</v>
      </c>
      <c r="AT139">
        <v>2</v>
      </c>
      <c r="AU139" t="s">
        <v>126</v>
      </c>
      <c r="AV139" t="s">
        <v>155</v>
      </c>
      <c r="AW139" t="s">
        <v>156</v>
      </c>
      <c r="AX139">
        <v>1</v>
      </c>
      <c r="AY139" t="s">
        <v>129</v>
      </c>
      <c r="AZ139">
        <v>42523.3</v>
      </c>
      <c r="BA139">
        <v>3835699</v>
      </c>
      <c r="BB139">
        <v>51840.05</v>
      </c>
      <c r="BC139">
        <v>90.202299999999994</v>
      </c>
      <c r="BD139" t="s">
        <v>130</v>
      </c>
      <c r="BE139" t="s">
        <v>112</v>
      </c>
      <c r="BF139" t="s">
        <v>157</v>
      </c>
      <c r="BG139" t="s">
        <v>133</v>
      </c>
      <c r="BH139" t="s">
        <v>134</v>
      </c>
      <c r="BI139" t="s">
        <v>112</v>
      </c>
      <c r="BJ139" t="s">
        <v>112</v>
      </c>
      <c r="BK139" t="s">
        <v>112</v>
      </c>
      <c r="BL139" t="s">
        <v>169</v>
      </c>
      <c r="BM139" t="s">
        <v>159</v>
      </c>
      <c r="BN139" t="s">
        <v>722</v>
      </c>
      <c r="BO139" t="s">
        <v>161</v>
      </c>
      <c r="BP139">
        <v>1</v>
      </c>
      <c r="BQ139" t="s">
        <v>1088</v>
      </c>
      <c r="BR139" s="45">
        <f>ISNUMBER(SEARCH($BR$1,Таблица1[[#This Row],[31_1 Описание и характеристика товара]]))*1</f>
        <v>1</v>
      </c>
      <c r="BT139" t="s">
        <v>150</v>
      </c>
      <c r="BU139">
        <v>33</v>
      </c>
      <c r="BV139">
        <v>0</v>
      </c>
      <c r="BW139">
        <v>0</v>
      </c>
      <c r="BY139">
        <v>0</v>
      </c>
      <c r="CA139" t="s">
        <v>106</v>
      </c>
      <c r="CB139" t="s">
        <v>142</v>
      </c>
      <c r="CC139" t="s">
        <v>112</v>
      </c>
      <c r="CD139" t="s">
        <v>112</v>
      </c>
      <c r="CE139" t="s">
        <v>121</v>
      </c>
      <c r="CF139">
        <v>16565.77</v>
      </c>
      <c r="CG139" t="s">
        <v>144</v>
      </c>
      <c r="CH139">
        <v>4000000</v>
      </c>
      <c r="CI139">
        <v>16371.37</v>
      </c>
      <c r="CJ139">
        <v>0</v>
      </c>
      <c r="CK139" t="s">
        <v>112</v>
      </c>
      <c r="CL139" t="s">
        <v>112</v>
      </c>
      <c r="CM139">
        <v>42523.3</v>
      </c>
      <c r="CN139">
        <v>3835699</v>
      </c>
      <c r="CO139">
        <v>0</v>
      </c>
      <c r="CP139">
        <v>1</v>
      </c>
      <c r="CQ139">
        <v>4228079.47</v>
      </c>
      <c r="CR139">
        <v>51840.05</v>
      </c>
      <c r="CS139" t="s">
        <v>145</v>
      </c>
      <c r="CT139">
        <v>51839.943105000006</v>
      </c>
      <c r="CU139">
        <v>3.1665000000000001</v>
      </c>
      <c r="CV139">
        <v>45</v>
      </c>
      <c r="CW139" t="s">
        <v>171</v>
      </c>
      <c r="CX139" t="s">
        <v>369</v>
      </c>
      <c r="CY139">
        <v>13</v>
      </c>
    </row>
    <row r="140" spans="1:103" x14ac:dyDescent="0.25">
      <c r="A140" t="s">
        <v>106</v>
      </c>
      <c r="B140" s="38">
        <v>44949</v>
      </c>
      <c r="C140" s="43">
        <f>IF(YEAR(Таблица1[[#This Row],[Дата]])=2023,MONTH(Таблица1[[#This Row],[Дата]]),0)</f>
        <v>1</v>
      </c>
      <c r="D140" t="s">
        <v>1097</v>
      </c>
      <c r="E140" t="s">
        <v>108</v>
      </c>
      <c r="F140" t="s">
        <v>1098</v>
      </c>
      <c r="G140" t="s">
        <v>110</v>
      </c>
      <c r="H140" t="s">
        <v>111</v>
      </c>
      <c r="I140" t="s">
        <v>112</v>
      </c>
      <c r="J140" t="s">
        <v>112</v>
      </c>
      <c r="K140" t="s">
        <v>112</v>
      </c>
      <c r="L140" t="s">
        <v>150</v>
      </c>
      <c r="M140" t="s">
        <v>1020</v>
      </c>
      <c r="N140" t="s">
        <v>112</v>
      </c>
      <c r="O140" t="s">
        <v>112</v>
      </c>
      <c r="P140">
        <v>1</v>
      </c>
      <c r="Q140">
        <v>0</v>
      </c>
      <c r="R140">
        <v>1</v>
      </c>
      <c r="S140">
        <v>33</v>
      </c>
      <c r="T140" t="s">
        <v>166</v>
      </c>
      <c r="U140" t="s">
        <v>152</v>
      </c>
      <c r="V140" t="s">
        <v>153</v>
      </c>
      <c r="W140" t="s">
        <v>154</v>
      </c>
      <c r="X140" t="s">
        <v>119</v>
      </c>
      <c r="Y140" t="s">
        <v>112</v>
      </c>
      <c r="Z140" t="s">
        <v>166</v>
      </c>
      <c r="AA140" t="s">
        <v>152</v>
      </c>
      <c r="AB140" t="s">
        <v>153</v>
      </c>
      <c r="AC140" t="s">
        <v>154</v>
      </c>
      <c r="AD140" t="s">
        <v>119</v>
      </c>
      <c r="AE140" t="s">
        <v>112</v>
      </c>
      <c r="AF140" t="s">
        <v>121</v>
      </c>
      <c r="AG140" t="s">
        <v>122</v>
      </c>
      <c r="AH140">
        <v>4286819.21</v>
      </c>
      <c r="AI140" t="s">
        <v>166</v>
      </c>
      <c r="AJ140" t="s">
        <v>152</v>
      </c>
      <c r="AK140" t="s">
        <v>153</v>
      </c>
      <c r="AL140" t="s">
        <v>154</v>
      </c>
      <c r="AM140" t="s">
        <v>119</v>
      </c>
      <c r="AN140" t="s">
        <v>112</v>
      </c>
      <c r="AO140" t="s">
        <v>121</v>
      </c>
      <c r="AP140" t="s">
        <v>122</v>
      </c>
      <c r="AQ140" t="s">
        <v>122</v>
      </c>
      <c r="AR140" t="s">
        <v>124</v>
      </c>
      <c r="AS140" t="s">
        <v>125</v>
      </c>
      <c r="AT140">
        <v>2</v>
      </c>
      <c r="AU140" t="s">
        <v>126</v>
      </c>
      <c r="AV140" t="s">
        <v>155</v>
      </c>
      <c r="AW140" t="s">
        <v>156</v>
      </c>
      <c r="AX140">
        <v>1</v>
      </c>
      <c r="AY140" t="s">
        <v>129</v>
      </c>
      <c r="AZ140">
        <v>42474.5</v>
      </c>
      <c r="BA140">
        <v>3831298</v>
      </c>
      <c r="BB140">
        <v>52560.25</v>
      </c>
      <c r="BC140">
        <v>90.202299999999994</v>
      </c>
      <c r="BD140" t="s">
        <v>130</v>
      </c>
      <c r="BE140" t="s">
        <v>112</v>
      </c>
      <c r="BF140" t="s">
        <v>157</v>
      </c>
      <c r="BG140" t="s">
        <v>133</v>
      </c>
      <c r="BH140" t="s">
        <v>134</v>
      </c>
      <c r="BI140" t="s">
        <v>112</v>
      </c>
      <c r="BJ140" t="s">
        <v>112</v>
      </c>
      <c r="BK140" t="s">
        <v>112</v>
      </c>
      <c r="BL140" t="s">
        <v>169</v>
      </c>
      <c r="BM140" t="s">
        <v>159</v>
      </c>
      <c r="BN140" t="s">
        <v>722</v>
      </c>
      <c r="BO140" t="s">
        <v>161</v>
      </c>
      <c r="BP140">
        <v>1</v>
      </c>
      <c r="BQ140" t="s">
        <v>162</v>
      </c>
      <c r="BR140" s="45">
        <f>ISNUMBER(SEARCH($BR$1,Таблица1[[#This Row],[31_1 Описание и характеристика товара]]))*1</f>
        <v>1</v>
      </c>
      <c r="BT140" t="s">
        <v>150</v>
      </c>
      <c r="BU140">
        <v>33</v>
      </c>
      <c r="BV140">
        <v>0</v>
      </c>
      <c r="BW140">
        <v>0</v>
      </c>
      <c r="BY140">
        <v>0</v>
      </c>
      <c r="CA140" t="s">
        <v>106</v>
      </c>
      <c r="CB140" t="s">
        <v>142</v>
      </c>
      <c r="CC140" t="s">
        <v>112</v>
      </c>
      <c r="CD140" t="s">
        <v>112</v>
      </c>
      <c r="CE140" t="s">
        <v>121</v>
      </c>
      <c r="CF140">
        <v>16800.91</v>
      </c>
      <c r="CG140" t="s">
        <v>144</v>
      </c>
      <c r="CH140">
        <v>4000000</v>
      </c>
      <c r="CI140">
        <v>16736.11</v>
      </c>
      <c r="CJ140">
        <v>0</v>
      </c>
      <c r="CK140" t="s">
        <v>112</v>
      </c>
      <c r="CL140" t="s">
        <v>112</v>
      </c>
      <c r="CM140">
        <v>42474.5</v>
      </c>
      <c r="CN140">
        <v>3831298</v>
      </c>
      <c r="CO140">
        <v>0</v>
      </c>
      <c r="CP140">
        <v>1</v>
      </c>
      <c r="CQ140">
        <v>4286819.21</v>
      </c>
      <c r="CR140">
        <v>52560.25</v>
      </c>
      <c r="CS140" t="s">
        <v>145</v>
      </c>
      <c r="CT140">
        <v>52559.753454999998</v>
      </c>
      <c r="CU140">
        <v>3.1404999999999998</v>
      </c>
      <c r="CV140">
        <v>45</v>
      </c>
      <c r="CW140" t="s">
        <v>171</v>
      </c>
      <c r="CX140" t="s">
        <v>372</v>
      </c>
      <c r="CY140">
        <v>163</v>
      </c>
    </row>
    <row r="141" spans="1:103" x14ac:dyDescent="0.25">
      <c r="A141" t="s">
        <v>106</v>
      </c>
      <c r="B141" s="38">
        <v>45266</v>
      </c>
      <c r="C141" s="43">
        <f>IF(YEAR(Таблица1[[#This Row],[Дата]])=2023,MONTH(Таблица1[[#This Row],[Дата]]),0)</f>
        <v>12</v>
      </c>
      <c r="D141" t="s">
        <v>1099</v>
      </c>
      <c r="E141" t="s">
        <v>108</v>
      </c>
      <c r="F141" t="s">
        <v>1100</v>
      </c>
      <c r="G141" t="s">
        <v>110</v>
      </c>
      <c r="H141" t="s">
        <v>111</v>
      </c>
      <c r="I141" t="s">
        <v>112</v>
      </c>
      <c r="J141" t="s">
        <v>112</v>
      </c>
      <c r="K141" t="s">
        <v>112</v>
      </c>
      <c r="L141" t="s">
        <v>150</v>
      </c>
      <c r="M141" t="s">
        <v>1020</v>
      </c>
      <c r="N141" t="s">
        <v>112</v>
      </c>
      <c r="O141" t="s">
        <v>112</v>
      </c>
      <c r="P141">
        <v>1</v>
      </c>
      <c r="Q141">
        <v>0</v>
      </c>
      <c r="R141">
        <v>1</v>
      </c>
      <c r="S141">
        <v>33</v>
      </c>
      <c r="T141" t="s">
        <v>166</v>
      </c>
      <c r="U141" t="s">
        <v>152</v>
      </c>
      <c r="V141" t="s">
        <v>153</v>
      </c>
      <c r="W141" t="s">
        <v>154</v>
      </c>
      <c r="X141" t="s">
        <v>119</v>
      </c>
      <c r="Y141" t="s">
        <v>112</v>
      </c>
      <c r="Z141" t="s">
        <v>166</v>
      </c>
      <c r="AA141" t="s">
        <v>152</v>
      </c>
      <c r="AB141" t="s">
        <v>153</v>
      </c>
      <c r="AC141" t="s">
        <v>154</v>
      </c>
      <c r="AD141" t="s">
        <v>119</v>
      </c>
      <c r="AE141" t="s">
        <v>112</v>
      </c>
      <c r="AF141" t="s">
        <v>121</v>
      </c>
      <c r="AG141" t="s">
        <v>122</v>
      </c>
      <c r="AH141">
        <v>4280477.99</v>
      </c>
      <c r="AI141" t="s">
        <v>166</v>
      </c>
      <c r="AJ141" t="s">
        <v>152</v>
      </c>
      <c r="AK141" t="s">
        <v>153</v>
      </c>
      <c r="AL141" t="s">
        <v>154</v>
      </c>
      <c r="AM141" t="s">
        <v>119</v>
      </c>
      <c r="AN141" t="s">
        <v>112</v>
      </c>
      <c r="AO141" t="s">
        <v>121</v>
      </c>
      <c r="AP141" t="s">
        <v>122</v>
      </c>
      <c r="AQ141" t="s">
        <v>122</v>
      </c>
      <c r="AR141" t="s">
        <v>124</v>
      </c>
      <c r="AS141" t="s">
        <v>125</v>
      </c>
      <c r="AT141">
        <v>2</v>
      </c>
      <c r="AU141" t="s">
        <v>126</v>
      </c>
      <c r="AV141" t="s">
        <v>155</v>
      </c>
      <c r="AW141" t="s">
        <v>156</v>
      </c>
      <c r="AX141">
        <v>1</v>
      </c>
      <c r="AY141" t="s">
        <v>129</v>
      </c>
      <c r="AZ141">
        <v>42604.2</v>
      </c>
      <c r="BA141">
        <v>3842997</v>
      </c>
      <c r="BB141">
        <v>52482.5</v>
      </c>
      <c r="BC141">
        <v>90.202299999999994</v>
      </c>
      <c r="BD141" t="s">
        <v>130</v>
      </c>
      <c r="BE141" t="s">
        <v>112</v>
      </c>
      <c r="BF141" t="s">
        <v>157</v>
      </c>
      <c r="BG141" t="s">
        <v>133</v>
      </c>
      <c r="BH141" t="s">
        <v>134</v>
      </c>
      <c r="BI141" t="s">
        <v>112</v>
      </c>
      <c r="BJ141" t="s">
        <v>112</v>
      </c>
      <c r="BK141" t="s">
        <v>112</v>
      </c>
      <c r="BL141" t="s">
        <v>169</v>
      </c>
      <c r="BM141" t="s">
        <v>159</v>
      </c>
      <c r="BN141" t="s">
        <v>722</v>
      </c>
      <c r="BO141" t="s">
        <v>161</v>
      </c>
      <c r="BP141">
        <v>1</v>
      </c>
      <c r="BQ141" t="s">
        <v>205</v>
      </c>
      <c r="BR141" s="45">
        <f>ISNUMBER(SEARCH($BR$1,Таблица1[[#This Row],[31_1 Описание и характеристика товара]]))*1</f>
        <v>1</v>
      </c>
      <c r="BT141" t="s">
        <v>150</v>
      </c>
      <c r="BU141">
        <v>33</v>
      </c>
      <c r="BV141">
        <v>0</v>
      </c>
      <c r="BW141">
        <v>0</v>
      </c>
      <c r="BY141">
        <v>0</v>
      </c>
      <c r="CA141" t="s">
        <v>106</v>
      </c>
      <c r="CB141" t="s">
        <v>142</v>
      </c>
      <c r="CC141" t="s">
        <v>112</v>
      </c>
      <c r="CD141" t="s">
        <v>112</v>
      </c>
      <c r="CE141" t="s">
        <v>121</v>
      </c>
      <c r="CF141">
        <v>17728.580000000002</v>
      </c>
      <c r="CG141" t="s">
        <v>144</v>
      </c>
      <c r="CH141">
        <v>4000000</v>
      </c>
      <c r="CI141">
        <v>17728.580000000002</v>
      </c>
      <c r="CJ141">
        <v>0</v>
      </c>
      <c r="CK141" t="s">
        <v>112</v>
      </c>
      <c r="CL141" t="s">
        <v>112</v>
      </c>
      <c r="CM141">
        <v>42604.2</v>
      </c>
      <c r="CN141">
        <v>3842997</v>
      </c>
      <c r="CO141">
        <v>0</v>
      </c>
      <c r="CP141">
        <v>1</v>
      </c>
      <c r="CQ141">
        <v>4280477.99</v>
      </c>
      <c r="CR141">
        <v>52482.5</v>
      </c>
      <c r="CS141" t="s">
        <v>145</v>
      </c>
      <c r="CT141">
        <v>52481.915374000011</v>
      </c>
      <c r="CU141">
        <v>2.9603000000000002</v>
      </c>
      <c r="CV141">
        <v>45</v>
      </c>
      <c r="CW141" t="s">
        <v>171</v>
      </c>
      <c r="CX141" t="s">
        <v>172</v>
      </c>
      <c r="CY141">
        <v>163</v>
      </c>
    </row>
    <row r="142" spans="1:103" x14ac:dyDescent="0.25">
      <c r="A142" t="s">
        <v>106</v>
      </c>
      <c r="B142" s="38">
        <v>45131</v>
      </c>
      <c r="C142" s="43">
        <f>IF(YEAR(Таблица1[[#This Row],[Дата]])=2023,MONTH(Таблица1[[#This Row],[Дата]]),0)</f>
        <v>7</v>
      </c>
      <c r="D142" t="s">
        <v>889</v>
      </c>
      <c r="E142" t="s">
        <v>108</v>
      </c>
      <c r="F142" t="s">
        <v>890</v>
      </c>
      <c r="G142" t="s">
        <v>110</v>
      </c>
      <c r="H142" t="s">
        <v>111</v>
      </c>
      <c r="I142" t="s">
        <v>112</v>
      </c>
      <c r="J142" t="s">
        <v>112</v>
      </c>
      <c r="K142" t="s">
        <v>112</v>
      </c>
      <c r="L142" t="s">
        <v>150</v>
      </c>
      <c r="M142" t="s">
        <v>151</v>
      </c>
      <c r="N142" t="s">
        <v>112</v>
      </c>
      <c r="O142" t="s">
        <v>112</v>
      </c>
      <c r="P142">
        <v>1</v>
      </c>
      <c r="Q142">
        <v>0</v>
      </c>
      <c r="R142">
        <v>1</v>
      </c>
      <c r="S142">
        <v>33</v>
      </c>
      <c r="T142" t="s">
        <v>166</v>
      </c>
      <c r="U142" t="s">
        <v>152</v>
      </c>
      <c r="V142" t="s">
        <v>153</v>
      </c>
      <c r="W142" t="s">
        <v>154</v>
      </c>
      <c r="X142" t="s">
        <v>119</v>
      </c>
      <c r="Y142" t="s">
        <v>112</v>
      </c>
      <c r="Z142" t="s">
        <v>166</v>
      </c>
      <c r="AA142" t="s">
        <v>152</v>
      </c>
      <c r="AB142" t="s">
        <v>153</v>
      </c>
      <c r="AC142" t="s">
        <v>154</v>
      </c>
      <c r="AD142" t="s">
        <v>119</v>
      </c>
      <c r="AE142" t="s">
        <v>112</v>
      </c>
      <c r="AF142" t="s">
        <v>121</v>
      </c>
      <c r="AG142" t="s">
        <v>122</v>
      </c>
      <c r="AH142">
        <v>4093783.98</v>
      </c>
      <c r="AI142" t="s">
        <v>166</v>
      </c>
      <c r="AJ142" t="s">
        <v>152</v>
      </c>
      <c r="AK142" t="s">
        <v>153</v>
      </c>
      <c r="AL142" t="s">
        <v>154</v>
      </c>
      <c r="AM142" t="s">
        <v>119</v>
      </c>
      <c r="AN142" t="s">
        <v>112</v>
      </c>
      <c r="AO142" t="s">
        <v>121</v>
      </c>
      <c r="AP142" t="s">
        <v>122</v>
      </c>
      <c r="AQ142" t="s">
        <v>122</v>
      </c>
      <c r="AR142" t="s">
        <v>124</v>
      </c>
      <c r="AS142" t="s">
        <v>125</v>
      </c>
      <c r="AT142">
        <v>2</v>
      </c>
      <c r="AU142" t="s">
        <v>126</v>
      </c>
      <c r="AV142" t="s">
        <v>155</v>
      </c>
      <c r="AW142" t="s">
        <v>156</v>
      </c>
      <c r="AX142">
        <v>1</v>
      </c>
      <c r="AY142" t="s">
        <v>129</v>
      </c>
      <c r="AZ142">
        <v>45397.47</v>
      </c>
      <c r="BA142">
        <v>3735817</v>
      </c>
      <c r="BB142">
        <v>53467.25</v>
      </c>
      <c r="BC142">
        <v>82.291300000000007</v>
      </c>
      <c r="BD142" t="s">
        <v>130</v>
      </c>
      <c r="BE142" t="s">
        <v>112</v>
      </c>
      <c r="BF142" t="s">
        <v>157</v>
      </c>
      <c r="BG142" t="s">
        <v>133</v>
      </c>
      <c r="BH142" t="s">
        <v>134</v>
      </c>
      <c r="BI142" t="s">
        <v>112</v>
      </c>
      <c r="BJ142" t="s">
        <v>112</v>
      </c>
      <c r="BK142" t="s">
        <v>112</v>
      </c>
      <c r="BL142" t="s">
        <v>169</v>
      </c>
      <c r="BM142" t="s">
        <v>159</v>
      </c>
      <c r="BN142" t="s">
        <v>722</v>
      </c>
      <c r="BO142" t="s">
        <v>161</v>
      </c>
      <c r="BP142">
        <v>1</v>
      </c>
      <c r="BQ142" t="s">
        <v>891</v>
      </c>
      <c r="BR142" s="45">
        <f>ISNUMBER(SEARCH($BR$1,Таблица1[[#This Row],[31_1 Описание и характеристика товара]]))*1</f>
        <v>1</v>
      </c>
      <c r="BT142" t="s">
        <v>150</v>
      </c>
      <c r="BU142">
        <v>33</v>
      </c>
      <c r="BV142">
        <v>0</v>
      </c>
      <c r="BW142">
        <v>0</v>
      </c>
      <c r="BY142">
        <v>0</v>
      </c>
      <c r="CA142" t="s">
        <v>106</v>
      </c>
      <c r="CB142" t="s">
        <v>142</v>
      </c>
      <c r="CC142" t="s">
        <v>112</v>
      </c>
      <c r="CD142" t="s">
        <v>112</v>
      </c>
      <c r="CE142" t="s">
        <v>121</v>
      </c>
      <c r="CF142">
        <v>16470.419999999998</v>
      </c>
      <c r="CG142" t="s">
        <v>144</v>
      </c>
      <c r="CH142">
        <v>4000000</v>
      </c>
      <c r="CI142">
        <v>16330.02</v>
      </c>
      <c r="CJ142">
        <v>0</v>
      </c>
      <c r="CK142" t="s">
        <v>112</v>
      </c>
      <c r="CL142" t="s">
        <v>112</v>
      </c>
      <c r="CM142">
        <v>45397.47</v>
      </c>
      <c r="CN142">
        <v>3735817</v>
      </c>
      <c r="CO142">
        <v>0</v>
      </c>
      <c r="CP142">
        <v>1</v>
      </c>
      <c r="CQ142">
        <v>4093783.98</v>
      </c>
      <c r="CR142">
        <v>53467.25</v>
      </c>
      <c r="CS142" t="s">
        <v>145</v>
      </c>
      <c r="CT142">
        <v>53467.751484</v>
      </c>
      <c r="CU142">
        <v>3.2742</v>
      </c>
      <c r="CV142">
        <v>45</v>
      </c>
      <c r="CW142" t="s">
        <v>171</v>
      </c>
      <c r="CX142" t="s">
        <v>369</v>
      </c>
      <c r="CY142">
        <v>221</v>
      </c>
    </row>
    <row r="143" spans="1:103" x14ac:dyDescent="0.25">
      <c r="A143" t="s">
        <v>106</v>
      </c>
      <c r="B143" s="38">
        <v>45265</v>
      </c>
      <c r="C143" s="43">
        <f>IF(YEAR(Таблица1[[#This Row],[Дата]])=2023,MONTH(Таблица1[[#This Row],[Дата]]),0)</f>
        <v>12</v>
      </c>
      <c r="D143" t="s">
        <v>403</v>
      </c>
      <c r="E143" t="s">
        <v>108</v>
      </c>
      <c r="F143" t="s">
        <v>404</v>
      </c>
      <c r="G143" t="s">
        <v>110</v>
      </c>
      <c r="H143" t="s">
        <v>111</v>
      </c>
      <c r="I143" t="s">
        <v>112</v>
      </c>
      <c r="J143" t="s">
        <v>112</v>
      </c>
      <c r="K143" t="s">
        <v>112</v>
      </c>
      <c r="L143" t="s">
        <v>175</v>
      </c>
      <c r="M143" t="s">
        <v>176</v>
      </c>
      <c r="N143" t="s">
        <v>112</v>
      </c>
      <c r="O143" t="s">
        <v>112</v>
      </c>
      <c r="P143">
        <v>1</v>
      </c>
      <c r="Q143">
        <v>0</v>
      </c>
      <c r="R143">
        <v>1</v>
      </c>
      <c r="S143">
        <v>33</v>
      </c>
      <c r="T143" t="s">
        <v>166</v>
      </c>
      <c r="U143" t="s">
        <v>152</v>
      </c>
      <c r="V143" t="s">
        <v>153</v>
      </c>
      <c r="W143" t="s">
        <v>177</v>
      </c>
      <c r="X143" t="s">
        <v>119</v>
      </c>
      <c r="Y143" t="s">
        <v>112</v>
      </c>
      <c r="Z143" t="s">
        <v>166</v>
      </c>
      <c r="AA143" t="s">
        <v>152</v>
      </c>
      <c r="AB143" t="s">
        <v>153</v>
      </c>
      <c r="AC143" t="s">
        <v>177</v>
      </c>
      <c r="AD143" t="s">
        <v>119</v>
      </c>
      <c r="AE143" t="s">
        <v>112</v>
      </c>
      <c r="AF143" t="s">
        <v>121</v>
      </c>
      <c r="AG143" t="s">
        <v>122</v>
      </c>
      <c r="AH143">
        <v>3184381.74</v>
      </c>
      <c r="AI143" t="s">
        <v>166</v>
      </c>
      <c r="AJ143" t="s">
        <v>152</v>
      </c>
      <c r="AK143" t="s">
        <v>153</v>
      </c>
      <c r="AL143" t="s">
        <v>177</v>
      </c>
      <c r="AM143" t="s">
        <v>119</v>
      </c>
      <c r="AN143" t="s">
        <v>112</v>
      </c>
      <c r="AO143" t="s">
        <v>121</v>
      </c>
      <c r="AP143" t="s">
        <v>122</v>
      </c>
      <c r="AQ143" t="s">
        <v>122</v>
      </c>
      <c r="AR143" t="s">
        <v>124</v>
      </c>
      <c r="AS143" t="s">
        <v>125</v>
      </c>
      <c r="AT143">
        <v>2</v>
      </c>
      <c r="AU143" t="s">
        <v>106</v>
      </c>
      <c r="AV143" t="s">
        <v>155</v>
      </c>
      <c r="AW143" t="s">
        <v>156</v>
      </c>
      <c r="AX143">
        <v>1</v>
      </c>
      <c r="AY143" t="s">
        <v>129</v>
      </c>
      <c r="AZ143">
        <v>38866.589999999997</v>
      </c>
      <c r="BA143">
        <v>2930782</v>
      </c>
      <c r="BB143">
        <v>45926.02</v>
      </c>
      <c r="BC143">
        <v>75.406199999999998</v>
      </c>
      <c r="BD143" t="s">
        <v>130</v>
      </c>
      <c r="BE143" t="s">
        <v>112</v>
      </c>
      <c r="BF143" t="s">
        <v>157</v>
      </c>
      <c r="BG143" t="s">
        <v>133</v>
      </c>
      <c r="BH143" t="s">
        <v>134</v>
      </c>
      <c r="BI143" t="s">
        <v>112</v>
      </c>
      <c r="BJ143" t="s">
        <v>178</v>
      </c>
      <c r="BK143" t="s">
        <v>112</v>
      </c>
      <c r="BL143" t="s">
        <v>125</v>
      </c>
      <c r="BM143" t="s">
        <v>179</v>
      </c>
      <c r="BN143" t="s">
        <v>180</v>
      </c>
      <c r="BO143" t="s">
        <v>181</v>
      </c>
      <c r="BP143">
        <v>1</v>
      </c>
      <c r="BQ143" t="s">
        <v>405</v>
      </c>
      <c r="BR143" s="45">
        <f>ISNUMBER(SEARCH($BR$1,Таблица1[[#This Row],[31_1 Описание и характеристика товара]]))*1</f>
        <v>1</v>
      </c>
      <c r="BT143" t="s">
        <v>150</v>
      </c>
      <c r="BU143">
        <v>33</v>
      </c>
      <c r="BV143">
        <v>1</v>
      </c>
      <c r="BW143">
        <v>0</v>
      </c>
      <c r="BY143">
        <v>0</v>
      </c>
      <c r="CA143" t="s">
        <v>106</v>
      </c>
      <c r="CB143" t="s">
        <v>142</v>
      </c>
      <c r="CC143" t="s">
        <v>112</v>
      </c>
      <c r="CD143" t="s">
        <v>112</v>
      </c>
      <c r="CE143" t="s">
        <v>121</v>
      </c>
      <c r="CF143">
        <v>15864.91</v>
      </c>
      <c r="CG143" t="s">
        <v>144</v>
      </c>
      <c r="CH143">
        <v>4000000</v>
      </c>
      <c r="CI143">
        <v>15627.31</v>
      </c>
      <c r="CJ143">
        <v>0</v>
      </c>
      <c r="CK143" t="s">
        <v>112</v>
      </c>
      <c r="CL143" t="s">
        <v>112</v>
      </c>
      <c r="CM143">
        <v>38866.589999999997</v>
      </c>
      <c r="CN143">
        <v>2930782</v>
      </c>
      <c r="CO143">
        <v>0</v>
      </c>
      <c r="CP143">
        <v>1</v>
      </c>
      <c r="CQ143">
        <v>3184381.74</v>
      </c>
      <c r="CR143">
        <v>45926.02</v>
      </c>
      <c r="CS143" t="s">
        <v>145</v>
      </c>
      <c r="CT143">
        <v>45925.538628000002</v>
      </c>
      <c r="CU143">
        <v>2.9388000000000001</v>
      </c>
      <c r="CV143">
        <v>941</v>
      </c>
      <c r="CW143" t="s">
        <v>183</v>
      </c>
      <c r="CX143" t="s">
        <v>147</v>
      </c>
      <c r="CY143">
        <v>564</v>
      </c>
    </row>
    <row r="144" spans="1:103" x14ac:dyDescent="0.25">
      <c r="A144" t="s">
        <v>106</v>
      </c>
      <c r="B144" s="38">
        <v>45289</v>
      </c>
      <c r="C144" s="43">
        <f>IF(YEAR(Таблица1[[#This Row],[Дата]])=2023,MONTH(Таблица1[[#This Row],[Дата]]),0)</f>
        <v>12</v>
      </c>
      <c r="D144" t="s">
        <v>400</v>
      </c>
      <c r="E144" t="s">
        <v>108</v>
      </c>
      <c r="F144" t="s">
        <v>401</v>
      </c>
      <c r="G144" t="s">
        <v>110</v>
      </c>
      <c r="H144" t="s">
        <v>111</v>
      </c>
      <c r="I144" t="s">
        <v>112</v>
      </c>
      <c r="J144" t="s">
        <v>112</v>
      </c>
      <c r="K144" t="s">
        <v>112</v>
      </c>
      <c r="L144" t="s">
        <v>175</v>
      </c>
      <c r="M144" t="s">
        <v>176</v>
      </c>
      <c r="N144" t="s">
        <v>112</v>
      </c>
      <c r="O144" t="s">
        <v>112</v>
      </c>
      <c r="P144">
        <v>1</v>
      </c>
      <c r="Q144">
        <v>0</v>
      </c>
      <c r="R144">
        <v>1</v>
      </c>
      <c r="S144">
        <v>33</v>
      </c>
      <c r="T144" t="s">
        <v>166</v>
      </c>
      <c r="U144" t="s">
        <v>152</v>
      </c>
      <c r="V144" t="s">
        <v>153</v>
      </c>
      <c r="W144" t="s">
        <v>177</v>
      </c>
      <c r="X144" t="s">
        <v>119</v>
      </c>
      <c r="Y144" t="s">
        <v>112</v>
      </c>
      <c r="Z144" t="s">
        <v>166</v>
      </c>
      <c r="AA144" t="s">
        <v>152</v>
      </c>
      <c r="AB144" t="s">
        <v>153</v>
      </c>
      <c r="AC144" t="s">
        <v>177</v>
      </c>
      <c r="AD144" t="s">
        <v>119</v>
      </c>
      <c r="AE144" t="s">
        <v>112</v>
      </c>
      <c r="AF144" t="s">
        <v>121</v>
      </c>
      <c r="AG144" t="s">
        <v>122</v>
      </c>
      <c r="AH144">
        <v>3351014.36</v>
      </c>
      <c r="AI144" t="s">
        <v>166</v>
      </c>
      <c r="AJ144" t="s">
        <v>152</v>
      </c>
      <c r="AK144" t="s">
        <v>153</v>
      </c>
      <c r="AL144" t="s">
        <v>177</v>
      </c>
      <c r="AM144" t="s">
        <v>119</v>
      </c>
      <c r="AN144" t="s">
        <v>112</v>
      </c>
      <c r="AO144" t="s">
        <v>121</v>
      </c>
      <c r="AP144" t="s">
        <v>122</v>
      </c>
      <c r="AQ144" t="s">
        <v>122</v>
      </c>
      <c r="AR144" t="s">
        <v>124</v>
      </c>
      <c r="AS144" t="s">
        <v>125</v>
      </c>
      <c r="AT144">
        <v>2</v>
      </c>
      <c r="AU144" t="s">
        <v>106</v>
      </c>
      <c r="AV144" t="s">
        <v>155</v>
      </c>
      <c r="AW144" t="s">
        <v>156</v>
      </c>
      <c r="AX144">
        <v>1</v>
      </c>
      <c r="AY144" t="s">
        <v>129</v>
      </c>
      <c r="AZ144">
        <v>41076.39</v>
      </c>
      <c r="BA144">
        <v>3097414</v>
      </c>
      <c r="BB144">
        <v>48329.24</v>
      </c>
      <c r="BC144">
        <v>75.406199999999998</v>
      </c>
      <c r="BD144" t="s">
        <v>130</v>
      </c>
      <c r="BE144" t="s">
        <v>112</v>
      </c>
      <c r="BF144" t="s">
        <v>157</v>
      </c>
      <c r="BG144" t="s">
        <v>133</v>
      </c>
      <c r="BH144" t="s">
        <v>134</v>
      </c>
      <c r="BI144" t="s">
        <v>112</v>
      </c>
      <c r="BJ144" t="s">
        <v>178</v>
      </c>
      <c r="BK144" t="s">
        <v>112</v>
      </c>
      <c r="BL144" t="s">
        <v>125</v>
      </c>
      <c r="BM144" t="s">
        <v>179</v>
      </c>
      <c r="BN144" t="s">
        <v>180</v>
      </c>
      <c r="BO144" t="s">
        <v>181</v>
      </c>
      <c r="BP144">
        <v>1</v>
      </c>
      <c r="BQ144" t="s">
        <v>402</v>
      </c>
      <c r="BR144" s="45">
        <f>ISNUMBER(SEARCH($BR$1,Таблица1[[#This Row],[31_1 Описание и характеристика товара]]))*1</f>
        <v>1</v>
      </c>
      <c r="BT144" t="s">
        <v>150</v>
      </c>
      <c r="BU144">
        <v>33</v>
      </c>
      <c r="BV144">
        <v>1</v>
      </c>
      <c r="BW144">
        <v>0</v>
      </c>
      <c r="BY144">
        <v>0</v>
      </c>
      <c r="CA144" t="s">
        <v>106</v>
      </c>
      <c r="CB144" t="s">
        <v>142</v>
      </c>
      <c r="CC144" t="s">
        <v>112</v>
      </c>
      <c r="CD144" t="s">
        <v>112</v>
      </c>
      <c r="CE144" t="s">
        <v>121</v>
      </c>
      <c r="CF144">
        <v>14943.33</v>
      </c>
      <c r="CG144" t="s">
        <v>144</v>
      </c>
      <c r="CH144">
        <v>4000000</v>
      </c>
      <c r="CI144">
        <v>14604.33</v>
      </c>
      <c r="CJ144">
        <v>0</v>
      </c>
      <c r="CK144" t="s">
        <v>112</v>
      </c>
      <c r="CL144" t="s">
        <v>112</v>
      </c>
      <c r="CM144">
        <v>41076.39</v>
      </c>
      <c r="CN144">
        <v>3097414</v>
      </c>
      <c r="CO144">
        <v>0</v>
      </c>
      <c r="CP144">
        <v>1</v>
      </c>
      <c r="CQ144">
        <v>3351014.36</v>
      </c>
      <c r="CR144">
        <v>48329.24</v>
      </c>
      <c r="CS144" t="s">
        <v>145</v>
      </c>
      <c r="CT144">
        <v>48328.648836</v>
      </c>
      <c r="CU144">
        <v>3.3092000000000001</v>
      </c>
      <c r="CV144">
        <v>941</v>
      </c>
      <c r="CW144" t="s">
        <v>183</v>
      </c>
      <c r="CX144" t="s">
        <v>147</v>
      </c>
      <c r="CY144">
        <v>544</v>
      </c>
    </row>
    <row r="145" spans="1:103" x14ac:dyDescent="0.25">
      <c r="A145" t="s">
        <v>106</v>
      </c>
      <c r="B145" s="38">
        <v>45088</v>
      </c>
      <c r="C145" s="43">
        <f>IF(YEAR(Таблица1[[#This Row],[Дата]])=2023,MONTH(Таблица1[[#This Row],[Дата]]),0)</f>
        <v>6</v>
      </c>
      <c r="D145" t="s">
        <v>406</v>
      </c>
      <c r="E145" t="s">
        <v>108</v>
      </c>
      <c r="F145" t="s">
        <v>407</v>
      </c>
      <c r="G145" t="s">
        <v>110</v>
      </c>
      <c r="H145" t="s">
        <v>111</v>
      </c>
      <c r="I145" t="s">
        <v>112</v>
      </c>
      <c r="J145" t="s">
        <v>112</v>
      </c>
      <c r="K145" t="s">
        <v>112</v>
      </c>
      <c r="L145" t="s">
        <v>175</v>
      </c>
      <c r="M145" t="s">
        <v>176</v>
      </c>
      <c r="N145" t="s">
        <v>112</v>
      </c>
      <c r="O145" t="s">
        <v>112</v>
      </c>
      <c r="P145">
        <v>1</v>
      </c>
      <c r="Q145">
        <v>0</v>
      </c>
      <c r="R145">
        <v>1</v>
      </c>
      <c r="S145">
        <v>33</v>
      </c>
      <c r="T145" t="s">
        <v>166</v>
      </c>
      <c r="U145" t="s">
        <v>152</v>
      </c>
      <c r="V145" t="s">
        <v>153</v>
      </c>
      <c r="W145" t="s">
        <v>177</v>
      </c>
      <c r="X145" t="s">
        <v>119</v>
      </c>
      <c r="Y145" t="s">
        <v>112</v>
      </c>
      <c r="Z145" t="s">
        <v>166</v>
      </c>
      <c r="AA145" t="s">
        <v>152</v>
      </c>
      <c r="AB145" t="s">
        <v>153</v>
      </c>
      <c r="AC145" t="s">
        <v>177</v>
      </c>
      <c r="AD145" t="s">
        <v>119</v>
      </c>
      <c r="AE145" t="s">
        <v>112</v>
      </c>
      <c r="AF145" t="s">
        <v>121</v>
      </c>
      <c r="AG145" t="s">
        <v>122</v>
      </c>
      <c r="AH145">
        <v>3798973.19</v>
      </c>
      <c r="AI145" t="s">
        <v>166</v>
      </c>
      <c r="AJ145" t="s">
        <v>152</v>
      </c>
      <c r="AK145" t="s">
        <v>153</v>
      </c>
      <c r="AL145" t="s">
        <v>177</v>
      </c>
      <c r="AM145" t="s">
        <v>119</v>
      </c>
      <c r="AN145" t="s">
        <v>112</v>
      </c>
      <c r="AO145" t="s">
        <v>121</v>
      </c>
      <c r="AP145" t="s">
        <v>122</v>
      </c>
      <c r="AQ145" t="s">
        <v>122</v>
      </c>
      <c r="AR145" t="s">
        <v>124</v>
      </c>
      <c r="AS145" t="s">
        <v>125</v>
      </c>
      <c r="AT145">
        <v>2</v>
      </c>
      <c r="AU145" t="s">
        <v>106</v>
      </c>
      <c r="AV145" t="s">
        <v>155</v>
      </c>
      <c r="AW145" t="s">
        <v>156</v>
      </c>
      <c r="AX145">
        <v>1</v>
      </c>
      <c r="AY145" t="s">
        <v>129</v>
      </c>
      <c r="AZ145">
        <v>47017</v>
      </c>
      <c r="BA145">
        <v>3545373</v>
      </c>
      <c r="BB145">
        <v>54789.83</v>
      </c>
      <c r="BC145">
        <v>75.406199999999998</v>
      </c>
      <c r="BD145" t="s">
        <v>130</v>
      </c>
      <c r="BE145" t="s">
        <v>112</v>
      </c>
      <c r="BF145" t="s">
        <v>157</v>
      </c>
      <c r="BG145" t="s">
        <v>133</v>
      </c>
      <c r="BH145" t="s">
        <v>134</v>
      </c>
      <c r="BI145" t="s">
        <v>112</v>
      </c>
      <c r="BJ145" t="s">
        <v>178</v>
      </c>
      <c r="BK145" t="s">
        <v>112</v>
      </c>
      <c r="BL145" t="s">
        <v>125</v>
      </c>
      <c r="BM145" t="s">
        <v>179</v>
      </c>
      <c r="BN145" t="s">
        <v>180</v>
      </c>
      <c r="BO145" t="s">
        <v>181</v>
      </c>
      <c r="BP145">
        <v>1</v>
      </c>
      <c r="BQ145" t="s">
        <v>408</v>
      </c>
      <c r="BR145" s="45">
        <f>ISNUMBER(SEARCH($BR$1,Таблица1[[#This Row],[31_1 Описание и характеристика товара]]))*1</f>
        <v>1</v>
      </c>
      <c r="BT145" t="s">
        <v>150</v>
      </c>
      <c r="BU145">
        <v>33</v>
      </c>
      <c r="BV145">
        <v>1</v>
      </c>
      <c r="BW145">
        <v>0</v>
      </c>
      <c r="BY145">
        <v>0</v>
      </c>
      <c r="CA145" t="s">
        <v>106</v>
      </c>
      <c r="CB145" t="s">
        <v>142</v>
      </c>
      <c r="CC145" t="s">
        <v>112</v>
      </c>
      <c r="CD145" t="s">
        <v>112</v>
      </c>
      <c r="CE145" t="s">
        <v>121</v>
      </c>
      <c r="CF145">
        <v>16525.080000000002</v>
      </c>
      <c r="CG145" t="s">
        <v>144</v>
      </c>
      <c r="CH145">
        <v>4000000</v>
      </c>
      <c r="CI145">
        <v>16525.080000000002</v>
      </c>
      <c r="CJ145">
        <v>0</v>
      </c>
      <c r="CK145" t="s">
        <v>112</v>
      </c>
      <c r="CL145" t="s">
        <v>112</v>
      </c>
      <c r="CM145">
        <v>47017</v>
      </c>
      <c r="CN145">
        <v>3545373</v>
      </c>
      <c r="CO145">
        <v>0</v>
      </c>
      <c r="CP145">
        <v>1</v>
      </c>
      <c r="CQ145">
        <v>3798973.19</v>
      </c>
      <c r="CR145">
        <v>54789.83</v>
      </c>
      <c r="CS145" t="s">
        <v>145</v>
      </c>
      <c r="CT145">
        <v>54790.555248000004</v>
      </c>
      <c r="CU145">
        <v>3.3155999999999999</v>
      </c>
      <c r="CV145">
        <v>941</v>
      </c>
      <c r="CW145" t="s">
        <v>183</v>
      </c>
      <c r="CX145" t="s">
        <v>147</v>
      </c>
      <c r="CY145">
        <v>24</v>
      </c>
    </row>
    <row r="146" spans="1:103" x14ac:dyDescent="0.25">
      <c r="A146" t="s">
        <v>106</v>
      </c>
      <c r="B146" s="38">
        <v>44979</v>
      </c>
      <c r="C146" s="43">
        <f>IF(YEAR(Таблица1[[#This Row],[Дата]])=2023,MONTH(Таблица1[[#This Row],[Дата]]),0)</f>
        <v>2</v>
      </c>
      <c r="D146" t="s">
        <v>398</v>
      </c>
      <c r="E146" t="s">
        <v>108</v>
      </c>
      <c r="F146" t="s">
        <v>399</v>
      </c>
      <c r="G146" t="s">
        <v>110</v>
      </c>
      <c r="H146" t="s">
        <v>111</v>
      </c>
      <c r="I146" t="s">
        <v>112</v>
      </c>
      <c r="J146" t="s">
        <v>112</v>
      </c>
      <c r="K146" t="s">
        <v>112</v>
      </c>
      <c r="L146" t="s">
        <v>175</v>
      </c>
      <c r="M146" t="s">
        <v>176</v>
      </c>
      <c r="N146" t="s">
        <v>112</v>
      </c>
      <c r="O146" t="s">
        <v>112</v>
      </c>
      <c r="P146">
        <v>1</v>
      </c>
      <c r="Q146">
        <v>0</v>
      </c>
      <c r="R146">
        <v>1</v>
      </c>
      <c r="S146">
        <v>33</v>
      </c>
      <c r="T146" t="s">
        <v>166</v>
      </c>
      <c r="U146" t="s">
        <v>152</v>
      </c>
      <c r="V146" t="s">
        <v>153</v>
      </c>
      <c r="W146" t="s">
        <v>177</v>
      </c>
      <c r="X146" t="s">
        <v>119</v>
      </c>
      <c r="Y146" t="s">
        <v>112</v>
      </c>
      <c r="Z146" t="s">
        <v>166</v>
      </c>
      <c r="AA146" t="s">
        <v>152</v>
      </c>
      <c r="AB146" t="s">
        <v>153</v>
      </c>
      <c r="AC146" t="s">
        <v>177</v>
      </c>
      <c r="AD146" t="s">
        <v>119</v>
      </c>
      <c r="AE146" t="s">
        <v>112</v>
      </c>
      <c r="AF146" t="s">
        <v>121</v>
      </c>
      <c r="AG146" t="s">
        <v>122</v>
      </c>
      <c r="AH146">
        <v>3941686.96</v>
      </c>
      <c r="AI146" t="s">
        <v>166</v>
      </c>
      <c r="AJ146" t="s">
        <v>152</v>
      </c>
      <c r="AK146" t="s">
        <v>153</v>
      </c>
      <c r="AL146" t="s">
        <v>177</v>
      </c>
      <c r="AM146" t="s">
        <v>119</v>
      </c>
      <c r="AN146" t="s">
        <v>112</v>
      </c>
      <c r="AO146" t="s">
        <v>121</v>
      </c>
      <c r="AP146" t="s">
        <v>122</v>
      </c>
      <c r="AQ146" t="s">
        <v>122</v>
      </c>
      <c r="AR146" t="s">
        <v>124</v>
      </c>
      <c r="AS146" t="s">
        <v>125</v>
      </c>
      <c r="AT146">
        <v>2</v>
      </c>
      <c r="AU146" t="s">
        <v>106</v>
      </c>
      <c r="AV146" t="s">
        <v>155</v>
      </c>
      <c r="AW146" t="s">
        <v>156</v>
      </c>
      <c r="AX146">
        <v>1</v>
      </c>
      <c r="AY146" t="s">
        <v>129</v>
      </c>
      <c r="AZ146">
        <v>48909.599999999999</v>
      </c>
      <c r="BA146">
        <v>3688087</v>
      </c>
      <c r="BB146">
        <v>56848.08</v>
      </c>
      <c r="BC146">
        <v>75.406199999999998</v>
      </c>
      <c r="BD146" t="s">
        <v>130</v>
      </c>
      <c r="BE146" t="s">
        <v>112</v>
      </c>
      <c r="BF146" t="s">
        <v>157</v>
      </c>
      <c r="BG146" t="s">
        <v>133</v>
      </c>
      <c r="BH146" t="s">
        <v>134</v>
      </c>
      <c r="BI146" t="s">
        <v>112</v>
      </c>
      <c r="BJ146" t="s">
        <v>178</v>
      </c>
      <c r="BK146" t="s">
        <v>112</v>
      </c>
      <c r="BL146" t="s">
        <v>125</v>
      </c>
      <c r="BM146" t="s">
        <v>179</v>
      </c>
      <c r="BN146" t="s">
        <v>180</v>
      </c>
      <c r="BO146" t="s">
        <v>181</v>
      </c>
      <c r="BP146">
        <v>1</v>
      </c>
      <c r="BQ146" t="s">
        <v>333</v>
      </c>
      <c r="BR146" s="45">
        <f>ISNUMBER(SEARCH($BR$1,Таблица1[[#This Row],[31_1 Описание и характеристика товара]]))*1</f>
        <v>1</v>
      </c>
      <c r="BT146" t="s">
        <v>150</v>
      </c>
      <c r="BU146">
        <v>33</v>
      </c>
      <c r="BV146">
        <v>1</v>
      </c>
      <c r="BW146">
        <v>0</v>
      </c>
      <c r="BY146">
        <v>0</v>
      </c>
      <c r="CA146" t="s">
        <v>106</v>
      </c>
      <c r="CB146" t="s">
        <v>142</v>
      </c>
      <c r="CC146" t="s">
        <v>112</v>
      </c>
      <c r="CD146" t="s">
        <v>112</v>
      </c>
      <c r="CE146" t="s">
        <v>121</v>
      </c>
      <c r="CF146">
        <v>15237.99</v>
      </c>
      <c r="CG146" t="s">
        <v>144</v>
      </c>
      <c r="CH146">
        <v>4000000</v>
      </c>
      <c r="CI146">
        <v>15122.19</v>
      </c>
      <c r="CJ146">
        <v>0</v>
      </c>
      <c r="CK146" t="s">
        <v>112</v>
      </c>
      <c r="CL146" t="s">
        <v>112</v>
      </c>
      <c r="CM146">
        <v>48909.599999999999</v>
      </c>
      <c r="CN146">
        <v>3688087</v>
      </c>
      <c r="CO146">
        <v>0</v>
      </c>
      <c r="CP146">
        <v>1</v>
      </c>
      <c r="CQ146">
        <v>3941686.96</v>
      </c>
      <c r="CR146">
        <v>56848.08</v>
      </c>
      <c r="CS146" t="s">
        <v>145</v>
      </c>
      <c r="CT146">
        <v>56847.336647999997</v>
      </c>
      <c r="CU146">
        <v>3.7591999999999999</v>
      </c>
      <c r="CV146">
        <v>941</v>
      </c>
      <c r="CW146" t="s">
        <v>183</v>
      </c>
      <c r="CX146" t="s">
        <v>147</v>
      </c>
      <c r="CY146">
        <v>201</v>
      </c>
    </row>
    <row r="147" spans="1:103" x14ac:dyDescent="0.25">
      <c r="A147" t="s">
        <v>106</v>
      </c>
      <c r="B147" s="38">
        <v>44942</v>
      </c>
      <c r="C147" s="43">
        <f>IF(YEAR(Таблица1[[#This Row],[Дата]])=2023,MONTH(Таблица1[[#This Row],[Дата]]),0)</f>
        <v>1</v>
      </c>
      <c r="D147" t="s">
        <v>148</v>
      </c>
      <c r="E147" t="s">
        <v>108</v>
      </c>
      <c r="F147" t="s">
        <v>149</v>
      </c>
      <c r="G147" t="s">
        <v>110</v>
      </c>
      <c r="H147" t="s">
        <v>111</v>
      </c>
      <c r="I147" t="s">
        <v>112</v>
      </c>
      <c r="J147" t="s">
        <v>112</v>
      </c>
      <c r="K147" t="s">
        <v>112</v>
      </c>
      <c r="L147" t="s">
        <v>150</v>
      </c>
      <c r="M147" t="s">
        <v>151</v>
      </c>
      <c r="N147" t="s">
        <v>112</v>
      </c>
      <c r="O147" t="s">
        <v>112</v>
      </c>
      <c r="P147">
        <v>1</v>
      </c>
      <c r="R147">
        <v>1</v>
      </c>
      <c r="S147">
        <v>33</v>
      </c>
      <c r="T147" t="s">
        <v>112</v>
      </c>
      <c r="U147" t="s">
        <v>152</v>
      </c>
      <c r="V147" t="s">
        <v>153</v>
      </c>
      <c r="W147" t="s">
        <v>154</v>
      </c>
      <c r="X147" t="s">
        <v>119</v>
      </c>
      <c r="Y147" t="s">
        <v>112</v>
      </c>
      <c r="Z147" t="s">
        <v>112</v>
      </c>
      <c r="AA147" t="s">
        <v>152</v>
      </c>
      <c r="AB147" t="s">
        <v>153</v>
      </c>
      <c r="AC147" t="s">
        <v>154</v>
      </c>
      <c r="AD147" t="s">
        <v>119</v>
      </c>
      <c r="AE147" t="s">
        <v>112</v>
      </c>
      <c r="AF147" t="s">
        <v>121</v>
      </c>
      <c r="AG147" t="s">
        <v>122</v>
      </c>
      <c r="AH147">
        <v>4968139.97</v>
      </c>
      <c r="AI147" t="s">
        <v>112</v>
      </c>
      <c r="AJ147" t="s">
        <v>152</v>
      </c>
      <c r="AK147" t="s">
        <v>153</v>
      </c>
      <c r="AL147" t="s">
        <v>154</v>
      </c>
      <c r="AM147" t="s">
        <v>119</v>
      </c>
      <c r="AN147" t="s">
        <v>112</v>
      </c>
      <c r="AO147" t="s">
        <v>121</v>
      </c>
      <c r="AP147" t="s">
        <v>122</v>
      </c>
      <c r="AQ147" t="s">
        <v>122</v>
      </c>
      <c r="AR147" t="s">
        <v>124</v>
      </c>
      <c r="AS147" t="s">
        <v>125</v>
      </c>
      <c r="AT147">
        <v>2</v>
      </c>
      <c r="AU147" t="s">
        <v>126</v>
      </c>
      <c r="AV147" t="s">
        <v>155</v>
      </c>
      <c r="AW147" t="s">
        <v>156</v>
      </c>
      <c r="AY147" t="s">
        <v>129</v>
      </c>
      <c r="AZ147">
        <v>45142.2</v>
      </c>
      <c r="BC147">
        <v>101.1178</v>
      </c>
      <c r="BD147" t="s">
        <v>112</v>
      </c>
      <c r="BE147" t="s">
        <v>112</v>
      </c>
      <c r="BF147" t="s">
        <v>157</v>
      </c>
      <c r="BG147" t="s">
        <v>133</v>
      </c>
      <c r="BH147" t="s">
        <v>134</v>
      </c>
      <c r="BI147" t="s">
        <v>112</v>
      </c>
      <c r="BJ147" t="s">
        <v>112</v>
      </c>
      <c r="BK147" t="s">
        <v>112</v>
      </c>
      <c r="BL147" t="s">
        <v>158</v>
      </c>
      <c r="BM147" t="s">
        <v>159</v>
      </c>
      <c r="BN147" t="s">
        <v>160</v>
      </c>
      <c r="BO147" t="s">
        <v>161</v>
      </c>
      <c r="BQ147" t="s">
        <v>162</v>
      </c>
      <c r="BR147" s="45">
        <f>ISNUMBER(SEARCH($BR$1,Таблица1[[#This Row],[31_1 Описание и характеристика товара]]))*1</f>
        <v>1</v>
      </c>
      <c r="BT147" t="s">
        <v>150</v>
      </c>
      <c r="BU147">
        <v>33</v>
      </c>
      <c r="BV147">
        <v>0</v>
      </c>
      <c r="BW147">
        <v>0</v>
      </c>
      <c r="BY147">
        <v>0</v>
      </c>
      <c r="CA147" t="s">
        <v>106</v>
      </c>
      <c r="CB147" t="s">
        <v>142</v>
      </c>
      <c r="CC147" t="s">
        <v>112</v>
      </c>
      <c r="CD147" t="s">
        <v>112</v>
      </c>
      <c r="CE147" t="s">
        <v>121</v>
      </c>
      <c r="CF147">
        <v>16204.08</v>
      </c>
      <c r="CG147" t="s">
        <v>144</v>
      </c>
      <c r="CH147">
        <v>4000000</v>
      </c>
      <c r="CI147">
        <v>16096.08</v>
      </c>
      <c r="CJ147">
        <v>0</v>
      </c>
      <c r="CK147" t="s">
        <v>112</v>
      </c>
      <c r="CL147" t="s">
        <v>112</v>
      </c>
      <c r="CM147">
        <v>45142.2</v>
      </c>
      <c r="CO147">
        <v>0</v>
      </c>
      <c r="CP147">
        <v>1</v>
      </c>
      <c r="CQ147">
        <v>4968139.97</v>
      </c>
      <c r="CR147">
        <v>54174.11</v>
      </c>
      <c r="CS147" t="s">
        <v>145</v>
      </c>
      <c r="CT147">
        <v>54243.789600000004</v>
      </c>
      <c r="CU147">
        <v>3.37</v>
      </c>
      <c r="CV147">
        <v>45</v>
      </c>
      <c r="CX147" t="s">
        <v>163</v>
      </c>
      <c r="CY147">
        <v>94</v>
      </c>
    </row>
    <row r="148" spans="1:103" x14ac:dyDescent="0.25">
      <c r="A148" t="s">
        <v>106</v>
      </c>
      <c r="B148" s="38">
        <v>44701</v>
      </c>
      <c r="C148" s="43">
        <f>IF(YEAR(Таблица1[[#This Row],[Дата]])=2023,MONTH(Таблица1[[#This Row],[Дата]]),0)</f>
        <v>0</v>
      </c>
      <c r="D148" t="s">
        <v>277</v>
      </c>
      <c r="E148" t="s">
        <v>108</v>
      </c>
      <c r="F148" t="s">
        <v>278</v>
      </c>
      <c r="G148" t="s">
        <v>110</v>
      </c>
      <c r="H148" t="s">
        <v>111</v>
      </c>
      <c r="I148" t="s">
        <v>112</v>
      </c>
      <c r="J148" t="s">
        <v>112</v>
      </c>
      <c r="K148" t="s">
        <v>112</v>
      </c>
      <c r="L148" t="s">
        <v>150</v>
      </c>
      <c r="M148" t="s">
        <v>151</v>
      </c>
      <c r="N148" t="s">
        <v>112</v>
      </c>
      <c r="O148" t="s">
        <v>112</v>
      </c>
      <c r="P148">
        <v>1</v>
      </c>
      <c r="R148">
        <v>1</v>
      </c>
      <c r="S148">
        <v>33</v>
      </c>
      <c r="T148" t="s">
        <v>112</v>
      </c>
      <c r="U148" t="s">
        <v>152</v>
      </c>
      <c r="V148" t="s">
        <v>153</v>
      </c>
      <c r="W148" t="s">
        <v>154</v>
      </c>
      <c r="X148" t="s">
        <v>119</v>
      </c>
      <c r="Y148" t="s">
        <v>112</v>
      </c>
      <c r="Z148" t="s">
        <v>112</v>
      </c>
      <c r="AA148" t="s">
        <v>152</v>
      </c>
      <c r="AB148" t="s">
        <v>153</v>
      </c>
      <c r="AC148" t="s">
        <v>154</v>
      </c>
      <c r="AD148" t="s">
        <v>119</v>
      </c>
      <c r="AE148" t="s">
        <v>112</v>
      </c>
      <c r="AF148" t="s">
        <v>121</v>
      </c>
      <c r="AG148" t="s">
        <v>122</v>
      </c>
      <c r="AH148">
        <v>4504332.8499999996</v>
      </c>
      <c r="AI148" t="s">
        <v>112</v>
      </c>
      <c r="AJ148" t="s">
        <v>152</v>
      </c>
      <c r="AK148" t="s">
        <v>153</v>
      </c>
      <c r="AL148" t="s">
        <v>154</v>
      </c>
      <c r="AM148" t="s">
        <v>119</v>
      </c>
      <c r="AN148" t="s">
        <v>112</v>
      </c>
      <c r="AO148" t="s">
        <v>121</v>
      </c>
      <c r="AP148" t="s">
        <v>122</v>
      </c>
      <c r="AQ148" t="s">
        <v>122</v>
      </c>
      <c r="AR148" t="s">
        <v>124</v>
      </c>
      <c r="AS148" t="s">
        <v>125</v>
      </c>
      <c r="AT148">
        <v>2</v>
      </c>
      <c r="AU148" t="s">
        <v>126</v>
      </c>
      <c r="AV148" t="s">
        <v>155</v>
      </c>
      <c r="AW148" t="s">
        <v>156</v>
      </c>
      <c r="AY148" t="s">
        <v>129</v>
      </c>
      <c r="AZ148">
        <v>40025.4</v>
      </c>
      <c r="BC148">
        <v>101.1178</v>
      </c>
      <c r="BD148" t="s">
        <v>112</v>
      </c>
      <c r="BE148" t="s">
        <v>112</v>
      </c>
      <c r="BF148" t="s">
        <v>157</v>
      </c>
      <c r="BG148" t="s">
        <v>133</v>
      </c>
      <c r="BH148" t="s">
        <v>134</v>
      </c>
      <c r="BI148" t="s">
        <v>112</v>
      </c>
      <c r="BJ148" t="s">
        <v>112</v>
      </c>
      <c r="BK148" t="s">
        <v>112</v>
      </c>
      <c r="BL148" t="s">
        <v>158</v>
      </c>
      <c r="BM148" t="s">
        <v>159</v>
      </c>
      <c r="BN148" t="s">
        <v>212</v>
      </c>
      <c r="BO148" t="s">
        <v>161</v>
      </c>
      <c r="BQ148" t="s">
        <v>205</v>
      </c>
      <c r="BR148" s="45">
        <f>ISNUMBER(SEARCH($BR$1,Таблица1[[#This Row],[31_1 Описание и характеристика товара]]))*1</f>
        <v>1</v>
      </c>
      <c r="BT148" t="s">
        <v>150</v>
      </c>
      <c r="BU148">
        <v>33</v>
      </c>
      <c r="BV148">
        <v>0</v>
      </c>
      <c r="BW148">
        <v>0</v>
      </c>
      <c r="BY148">
        <v>0</v>
      </c>
      <c r="CA148" t="s">
        <v>106</v>
      </c>
      <c r="CB148" t="s">
        <v>142</v>
      </c>
      <c r="CC148" t="s">
        <v>112</v>
      </c>
      <c r="CD148" t="s">
        <v>112</v>
      </c>
      <c r="CE148" t="s">
        <v>121</v>
      </c>
      <c r="CF148">
        <v>17323.86</v>
      </c>
      <c r="CG148" t="s">
        <v>144</v>
      </c>
      <c r="CH148">
        <v>4000000</v>
      </c>
      <c r="CI148">
        <v>17323.86</v>
      </c>
      <c r="CJ148">
        <v>0</v>
      </c>
      <c r="CK148" t="s">
        <v>112</v>
      </c>
      <c r="CL148" t="s">
        <v>112</v>
      </c>
      <c r="CM148">
        <v>40025.4</v>
      </c>
      <c r="CO148">
        <v>0</v>
      </c>
      <c r="CP148">
        <v>1</v>
      </c>
      <c r="CQ148">
        <v>4504332.8499999996</v>
      </c>
      <c r="CR148">
        <v>49116.62</v>
      </c>
      <c r="CS148" t="s">
        <v>145</v>
      </c>
      <c r="CT148">
        <v>49199.7624</v>
      </c>
      <c r="CU148">
        <v>2.84</v>
      </c>
      <c r="CV148">
        <v>45</v>
      </c>
      <c r="CX148" t="s">
        <v>233</v>
      </c>
      <c r="CY148">
        <v>302</v>
      </c>
    </row>
    <row r="149" spans="1:103" x14ac:dyDescent="0.25">
      <c r="A149" t="s">
        <v>106</v>
      </c>
      <c r="B149" s="38">
        <v>44755</v>
      </c>
      <c r="C149" s="43">
        <f>IF(YEAR(Таблица1[[#This Row],[Дата]])=2023,MONTH(Таблица1[[#This Row],[Дата]]),0)</f>
        <v>0</v>
      </c>
      <c r="D149" t="s">
        <v>250</v>
      </c>
      <c r="E149" t="s">
        <v>108</v>
      </c>
      <c r="F149" t="s">
        <v>251</v>
      </c>
      <c r="G149" t="s">
        <v>110</v>
      </c>
      <c r="H149" t="s">
        <v>111</v>
      </c>
      <c r="I149" t="s">
        <v>112</v>
      </c>
      <c r="J149" t="s">
        <v>112</v>
      </c>
      <c r="K149" t="s">
        <v>112</v>
      </c>
      <c r="L149" t="s">
        <v>150</v>
      </c>
      <c r="M149" t="s">
        <v>151</v>
      </c>
      <c r="N149" t="s">
        <v>112</v>
      </c>
      <c r="O149" t="s">
        <v>112</v>
      </c>
      <c r="P149">
        <v>1</v>
      </c>
      <c r="R149">
        <v>1</v>
      </c>
      <c r="S149">
        <v>33</v>
      </c>
      <c r="T149" t="s">
        <v>112</v>
      </c>
      <c r="U149" t="s">
        <v>152</v>
      </c>
      <c r="V149" t="s">
        <v>153</v>
      </c>
      <c r="W149" t="s">
        <v>154</v>
      </c>
      <c r="X149" t="s">
        <v>119</v>
      </c>
      <c r="Y149" t="s">
        <v>112</v>
      </c>
      <c r="Z149" t="s">
        <v>112</v>
      </c>
      <c r="AA149" t="s">
        <v>152</v>
      </c>
      <c r="AB149" t="s">
        <v>153</v>
      </c>
      <c r="AC149" t="s">
        <v>154</v>
      </c>
      <c r="AD149" t="s">
        <v>119</v>
      </c>
      <c r="AE149" t="s">
        <v>112</v>
      </c>
      <c r="AF149" t="s">
        <v>121</v>
      </c>
      <c r="AG149" t="s">
        <v>122</v>
      </c>
      <c r="AH149">
        <v>4537171.8600000003</v>
      </c>
      <c r="AI149" t="s">
        <v>112</v>
      </c>
      <c r="AJ149" t="s">
        <v>152</v>
      </c>
      <c r="AK149" t="s">
        <v>153</v>
      </c>
      <c r="AL149" t="s">
        <v>154</v>
      </c>
      <c r="AM149" t="s">
        <v>119</v>
      </c>
      <c r="AN149" t="s">
        <v>112</v>
      </c>
      <c r="AO149" t="s">
        <v>121</v>
      </c>
      <c r="AP149" t="s">
        <v>122</v>
      </c>
      <c r="AQ149" t="s">
        <v>122</v>
      </c>
      <c r="AR149" t="s">
        <v>124</v>
      </c>
      <c r="AS149" t="s">
        <v>125</v>
      </c>
      <c r="AT149">
        <v>2</v>
      </c>
      <c r="AU149" t="s">
        <v>126</v>
      </c>
      <c r="AV149" t="s">
        <v>155</v>
      </c>
      <c r="AW149" t="s">
        <v>156</v>
      </c>
      <c r="AY149" t="s">
        <v>129</v>
      </c>
      <c r="AZ149">
        <v>40880.160000000003</v>
      </c>
      <c r="BC149">
        <v>101.1178</v>
      </c>
      <c r="BD149" t="s">
        <v>112</v>
      </c>
      <c r="BE149" t="s">
        <v>112</v>
      </c>
      <c r="BF149" t="s">
        <v>157</v>
      </c>
      <c r="BG149" t="s">
        <v>133</v>
      </c>
      <c r="BH149" t="s">
        <v>167</v>
      </c>
      <c r="BI149" t="s">
        <v>112</v>
      </c>
      <c r="BJ149" t="s">
        <v>112</v>
      </c>
      <c r="BK149" t="s">
        <v>112</v>
      </c>
      <c r="BL149" t="s">
        <v>158</v>
      </c>
      <c r="BM149" t="s">
        <v>159</v>
      </c>
      <c r="BN149" t="s">
        <v>160</v>
      </c>
      <c r="BO149" t="s">
        <v>161</v>
      </c>
      <c r="BQ149" t="s">
        <v>213</v>
      </c>
      <c r="BR149" s="45">
        <f>ISNUMBER(SEARCH($BR$1,Таблица1[[#This Row],[31_1 Описание и характеристика товара]]))*1</f>
        <v>1</v>
      </c>
      <c r="BT149" t="s">
        <v>150</v>
      </c>
      <c r="BU149">
        <v>33</v>
      </c>
      <c r="BV149">
        <v>0</v>
      </c>
      <c r="BW149">
        <v>0</v>
      </c>
      <c r="BY149">
        <v>0</v>
      </c>
      <c r="CA149" t="s">
        <v>106</v>
      </c>
      <c r="CB149" t="s">
        <v>142</v>
      </c>
      <c r="CC149" t="s">
        <v>112</v>
      </c>
      <c r="CD149" t="s">
        <v>112</v>
      </c>
      <c r="CE149" t="s">
        <v>121</v>
      </c>
      <c r="CF149">
        <v>17353.91</v>
      </c>
      <c r="CG149" t="s">
        <v>144</v>
      </c>
      <c r="CH149">
        <v>4000000</v>
      </c>
      <c r="CI149">
        <v>17353.91</v>
      </c>
      <c r="CJ149">
        <v>0</v>
      </c>
      <c r="CK149" t="s">
        <v>112</v>
      </c>
      <c r="CL149" t="s">
        <v>112</v>
      </c>
      <c r="CM149">
        <v>40880.160000000003</v>
      </c>
      <c r="CO149">
        <v>0</v>
      </c>
      <c r="CP149">
        <v>1</v>
      </c>
      <c r="CQ149">
        <v>4537171.8600000003</v>
      </c>
      <c r="CR149">
        <v>49474.71</v>
      </c>
      <c r="CS149" t="s">
        <v>145</v>
      </c>
      <c r="CT149">
        <v>49458.643499999998</v>
      </c>
      <c r="CU149">
        <v>2.85</v>
      </c>
      <c r="CV149">
        <v>45</v>
      </c>
      <c r="CX149" t="s">
        <v>163</v>
      </c>
      <c r="CY149">
        <v>249</v>
      </c>
    </row>
    <row r="150" spans="1:103" x14ac:dyDescent="0.25">
      <c r="A150" s="8" t="s">
        <v>106</v>
      </c>
      <c r="B150" s="38">
        <v>44735</v>
      </c>
      <c r="C150" s="43">
        <f>IF(YEAR(Таблица1[[#This Row],[Дата]])=2023,MONTH(Таблица1[[#This Row],[Дата]]),0)</f>
        <v>0</v>
      </c>
      <c r="D150" s="8" t="s">
        <v>2489</v>
      </c>
      <c r="E150" s="8" t="s">
        <v>108</v>
      </c>
      <c r="F150" s="8" t="s">
        <v>2490</v>
      </c>
      <c r="G150" t="s">
        <v>110</v>
      </c>
      <c r="H150" s="8" t="s">
        <v>111</v>
      </c>
      <c r="I150" s="8" t="s">
        <v>112</v>
      </c>
      <c r="J150" s="8" t="s">
        <v>112</v>
      </c>
      <c r="K150" s="8" t="s">
        <v>112</v>
      </c>
      <c r="L150" s="8" t="s">
        <v>2237</v>
      </c>
      <c r="M150" s="8" t="s">
        <v>2238</v>
      </c>
      <c r="N150" s="8" t="s">
        <v>112</v>
      </c>
      <c r="O150" s="8" t="s">
        <v>112</v>
      </c>
      <c r="P150">
        <v>2</v>
      </c>
      <c r="Q150">
        <v>0</v>
      </c>
      <c r="R150">
        <v>2</v>
      </c>
      <c r="S150">
        <v>613</v>
      </c>
      <c r="T150" s="8" t="s">
        <v>2239</v>
      </c>
      <c r="U150" s="8" t="s">
        <v>2240</v>
      </c>
      <c r="V150" s="8" t="s">
        <v>2241</v>
      </c>
      <c r="W150" s="8" t="s">
        <v>2242</v>
      </c>
      <c r="X150" s="8" t="s">
        <v>2243</v>
      </c>
      <c r="Y150" s="8" t="s">
        <v>2244</v>
      </c>
      <c r="Z150" s="8" t="s">
        <v>2245</v>
      </c>
      <c r="AA150" s="8" t="s">
        <v>2246</v>
      </c>
      <c r="AB150" s="8" t="s">
        <v>2247</v>
      </c>
      <c r="AC150" s="8" t="s">
        <v>2248</v>
      </c>
      <c r="AD150" s="8" t="s">
        <v>2249</v>
      </c>
      <c r="AE150" s="8" t="s">
        <v>2250</v>
      </c>
      <c r="AF150" s="8" t="s">
        <v>2142</v>
      </c>
      <c r="AG150" s="8" t="s">
        <v>2143</v>
      </c>
      <c r="AH150">
        <v>7685640.8200000003</v>
      </c>
      <c r="AI150" s="8" t="s">
        <v>2245</v>
      </c>
      <c r="AJ150" s="8" t="s">
        <v>2246</v>
      </c>
      <c r="AK150" s="8" t="s">
        <v>2247</v>
      </c>
      <c r="AL150" s="8" t="s">
        <v>2248</v>
      </c>
      <c r="AM150" s="8" t="s">
        <v>2249</v>
      </c>
      <c r="AN150" s="8" t="s">
        <v>2250</v>
      </c>
      <c r="AO150" s="8" t="s">
        <v>2142</v>
      </c>
      <c r="AP150" s="8" t="s">
        <v>2143</v>
      </c>
      <c r="AQ150" s="8" t="s">
        <v>2143</v>
      </c>
      <c r="AR150" s="8" t="s">
        <v>124</v>
      </c>
      <c r="AS150" s="8" t="s">
        <v>125</v>
      </c>
      <c r="AT150">
        <v>1</v>
      </c>
      <c r="AU150" s="8" t="s">
        <v>106</v>
      </c>
      <c r="AV150" s="8" t="s">
        <v>2251</v>
      </c>
      <c r="AW150" s="8" t="s">
        <v>2252</v>
      </c>
      <c r="AX150">
        <v>0</v>
      </c>
      <c r="AY150" s="8" t="s">
        <v>2253</v>
      </c>
      <c r="AZ150">
        <v>750107.9</v>
      </c>
      <c r="BA150">
        <v>7301055</v>
      </c>
      <c r="BB150">
        <v>112283.23</v>
      </c>
      <c r="BC150">
        <v>97.333399999999898</v>
      </c>
      <c r="BD150" s="8" t="s">
        <v>130</v>
      </c>
      <c r="BE150" s="8" t="s">
        <v>112</v>
      </c>
      <c r="BF150" s="8" t="s">
        <v>2254</v>
      </c>
      <c r="BG150" s="8" t="s">
        <v>133</v>
      </c>
      <c r="BH150" s="8" t="s">
        <v>167</v>
      </c>
      <c r="BI150" s="8" t="s">
        <v>2255</v>
      </c>
      <c r="BJ150" s="8" t="s">
        <v>112</v>
      </c>
      <c r="BK150" s="8" t="s">
        <v>2256</v>
      </c>
      <c r="BL150" s="8" t="s">
        <v>169</v>
      </c>
      <c r="BM150" s="8" t="s">
        <v>159</v>
      </c>
      <c r="BN150" s="8" t="s">
        <v>160</v>
      </c>
      <c r="BO150" s="8" t="s">
        <v>161</v>
      </c>
      <c r="BP150">
        <v>1</v>
      </c>
      <c r="BQ150" s="8" t="s">
        <v>2257</v>
      </c>
      <c r="BR150" s="45">
        <f>ISNUMBER(SEARCH($BR$1,Таблица1[[#This Row],[31_1 Описание и характеристика товара]]))*1</f>
        <v>0</v>
      </c>
      <c r="BT150" s="8" t="s">
        <v>2258</v>
      </c>
      <c r="BU150">
        <v>513</v>
      </c>
      <c r="BV150">
        <v>1</v>
      </c>
      <c r="BW150">
        <v>513</v>
      </c>
      <c r="BX150" t="s">
        <v>2147</v>
      </c>
      <c r="BY150">
        <v>0</v>
      </c>
      <c r="CA150" s="8" t="s">
        <v>106</v>
      </c>
      <c r="CB150" s="8" t="s">
        <v>2148</v>
      </c>
      <c r="CC150" s="8" t="s">
        <v>112</v>
      </c>
      <c r="CD150" s="8" t="s">
        <v>112</v>
      </c>
      <c r="CE150" s="8" t="s">
        <v>2142</v>
      </c>
      <c r="CF150">
        <v>15394.85</v>
      </c>
      <c r="CG150" t="s">
        <v>144</v>
      </c>
      <c r="CH150">
        <v>4000000</v>
      </c>
      <c r="CI150">
        <v>15394.85</v>
      </c>
      <c r="CJ150">
        <v>0</v>
      </c>
      <c r="CK150" s="8" t="s">
        <v>112</v>
      </c>
      <c r="CL150" s="8" t="s">
        <v>112</v>
      </c>
      <c r="CM150">
        <v>742507.9</v>
      </c>
      <c r="CN150">
        <v>7227082</v>
      </c>
      <c r="CO150">
        <v>0</v>
      </c>
      <c r="CP150">
        <v>1</v>
      </c>
      <c r="CQ150">
        <v>7604316.2599999905</v>
      </c>
      <c r="CR150">
        <v>111095.12</v>
      </c>
      <c r="CS150" s="8" t="s">
        <v>145</v>
      </c>
      <c r="CT150">
        <v>7.2164000000000001</v>
      </c>
      <c r="CX150" t="s">
        <v>2259</v>
      </c>
      <c r="CY150">
        <v>146</v>
      </c>
    </row>
    <row r="151" spans="1:103" x14ac:dyDescent="0.25">
      <c r="A151" s="8" t="s">
        <v>106</v>
      </c>
      <c r="B151" s="38">
        <v>44702</v>
      </c>
      <c r="C151" s="43">
        <f>IF(YEAR(Таблица1[[#This Row],[Дата]])=2023,MONTH(Таблица1[[#This Row],[Дата]]),0)</f>
        <v>0</v>
      </c>
      <c r="D151" s="8" t="s">
        <v>2491</v>
      </c>
      <c r="E151" s="8" t="s">
        <v>108</v>
      </c>
      <c r="F151" s="8" t="s">
        <v>2492</v>
      </c>
      <c r="G151" t="s">
        <v>110</v>
      </c>
      <c r="H151" s="8" t="s">
        <v>111</v>
      </c>
      <c r="I151" s="8" t="s">
        <v>112</v>
      </c>
      <c r="J151" s="8" t="s">
        <v>112</v>
      </c>
      <c r="K151" s="8" t="s">
        <v>112</v>
      </c>
      <c r="L151" s="8" t="s">
        <v>2161</v>
      </c>
      <c r="M151" s="8" t="s">
        <v>2162</v>
      </c>
      <c r="N151" s="8" t="s">
        <v>112</v>
      </c>
      <c r="O151" s="8" t="s">
        <v>112</v>
      </c>
      <c r="P151">
        <v>1</v>
      </c>
      <c r="Q151">
        <v>0</v>
      </c>
      <c r="R151">
        <v>1</v>
      </c>
      <c r="S151">
        <v>71</v>
      </c>
      <c r="T151" s="8" t="s">
        <v>2136</v>
      </c>
      <c r="U151" s="8" t="s">
        <v>2137</v>
      </c>
      <c r="V151" s="8" t="s">
        <v>2141</v>
      </c>
      <c r="W151" s="8" t="s">
        <v>2139</v>
      </c>
      <c r="X151" s="8" t="s">
        <v>119</v>
      </c>
      <c r="Y151" s="8" t="s">
        <v>2140</v>
      </c>
      <c r="Z151" s="8" t="s">
        <v>2136</v>
      </c>
      <c r="AA151" s="8" t="s">
        <v>2137</v>
      </c>
      <c r="AB151" s="8" t="s">
        <v>2141</v>
      </c>
      <c r="AC151" s="8" t="s">
        <v>2139</v>
      </c>
      <c r="AD151" s="8" t="s">
        <v>119</v>
      </c>
      <c r="AE151" s="8" t="s">
        <v>2140</v>
      </c>
      <c r="AF151" s="8" t="s">
        <v>2163</v>
      </c>
      <c r="AG151" s="8" t="s">
        <v>2164</v>
      </c>
      <c r="AH151">
        <v>12765207.74</v>
      </c>
      <c r="AI151" s="8" t="s">
        <v>2136</v>
      </c>
      <c r="AJ151" s="8" t="s">
        <v>2137</v>
      </c>
      <c r="AK151" s="8" t="s">
        <v>2141</v>
      </c>
      <c r="AL151" s="8" t="s">
        <v>2139</v>
      </c>
      <c r="AM151" s="8" t="s">
        <v>119</v>
      </c>
      <c r="AN151" s="8" t="s">
        <v>2140</v>
      </c>
      <c r="AO151" s="8" t="s">
        <v>2163</v>
      </c>
      <c r="AP151" s="8" t="s">
        <v>2164</v>
      </c>
      <c r="AQ151" s="8" t="s">
        <v>2164</v>
      </c>
      <c r="AR151" s="8" t="s">
        <v>124</v>
      </c>
      <c r="AS151" s="8" t="s">
        <v>125</v>
      </c>
      <c r="AT151">
        <v>2</v>
      </c>
      <c r="AU151" s="8" t="s">
        <v>126</v>
      </c>
      <c r="AV151" s="8" t="s">
        <v>127</v>
      </c>
      <c r="AW151" s="8" t="s">
        <v>2493</v>
      </c>
      <c r="AX151">
        <v>1</v>
      </c>
      <c r="AY151" s="8" t="s">
        <v>129</v>
      </c>
      <c r="AZ151">
        <v>169774.59</v>
      </c>
      <c r="BA151">
        <v>12329472</v>
      </c>
      <c r="BB151">
        <v>186493.06</v>
      </c>
      <c r="BC151">
        <v>72.622600000000006</v>
      </c>
      <c r="BD151" s="8" t="s">
        <v>130</v>
      </c>
      <c r="BE151" s="8" t="s">
        <v>112</v>
      </c>
      <c r="BF151" s="8" t="s">
        <v>2166</v>
      </c>
      <c r="BG151" s="8" t="s">
        <v>133</v>
      </c>
      <c r="BH151" s="8" t="s">
        <v>134</v>
      </c>
      <c r="BI151" s="8" t="s">
        <v>112</v>
      </c>
      <c r="BJ151" s="8" t="s">
        <v>112</v>
      </c>
      <c r="BK151" s="8" t="s">
        <v>112</v>
      </c>
      <c r="BL151" s="8" t="s">
        <v>2494</v>
      </c>
      <c r="BM151" s="8" t="s">
        <v>2495</v>
      </c>
      <c r="BN151" s="8" t="s">
        <v>2496</v>
      </c>
      <c r="BO151" s="8" t="s">
        <v>2497</v>
      </c>
      <c r="BP151">
        <v>1</v>
      </c>
      <c r="BQ151" s="8" t="s">
        <v>2146</v>
      </c>
      <c r="BR151" s="45">
        <f>ISNUMBER(SEARCH($BR$1,Таблица1[[#This Row],[31_1 Описание и характеристика товара]]))*1</f>
        <v>0</v>
      </c>
      <c r="BT151" s="8" t="s">
        <v>2161</v>
      </c>
      <c r="BU151">
        <v>71</v>
      </c>
      <c r="BV151">
        <v>0</v>
      </c>
      <c r="BW151">
        <v>321</v>
      </c>
      <c r="BX151" t="s">
        <v>2147</v>
      </c>
      <c r="BY151">
        <v>0</v>
      </c>
      <c r="CA151" s="8" t="s">
        <v>106</v>
      </c>
      <c r="CB151" s="8" t="s">
        <v>2148</v>
      </c>
      <c r="CC151" s="8" t="s">
        <v>112</v>
      </c>
      <c r="CD151" s="8" t="s">
        <v>112</v>
      </c>
      <c r="CE151" s="8" t="s">
        <v>2163</v>
      </c>
      <c r="CF151">
        <v>15104.6</v>
      </c>
      <c r="CG151" t="s">
        <v>144</v>
      </c>
      <c r="CH151">
        <v>4000000</v>
      </c>
      <c r="CI151">
        <v>15030</v>
      </c>
      <c r="CJ151">
        <v>0</v>
      </c>
      <c r="CK151" s="8" t="s">
        <v>112</v>
      </c>
      <c r="CL151" s="8" t="s">
        <v>112</v>
      </c>
      <c r="CM151">
        <v>169774.59</v>
      </c>
      <c r="CN151">
        <v>12329472</v>
      </c>
      <c r="CO151">
        <v>0</v>
      </c>
      <c r="CP151">
        <v>1</v>
      </c>
      <c r="CQ151">
        <v>12765207.74</v>
      </c>
      <c r="CR151">
        <v>186493.06</v>
      </c>
      <c r="CS151" s="8" t="s">
        <v>145</v>
      </c>
      <c r="CT151">
        <v>12.408099999999999</v>
      </c>
      <c r="CU151">
        <v>1053</v>
      </c>
      <c r="CV151" t="s">
        <v>2149</v>
      </c>
      <c r="CX151" t="s">
        <v>2150</v>
      </c>
      <c r="CY151">
        <v>0</v>
      </c>
    </row>
    <row r="152" spans="1:103" x14ac:dyDescent="0.25">
      <c r="A152" t="s">
        <v>106</v>
      </c>
      <c r="B152" s="38">
        <v>44993</v>
      </c>
      <c r="C152" s="43">
        <f>IF(YEAR(Таблица1[[#This Row],[Дата]])=2023,MONTH(Таблица1[[#This Row],[Дата]]),0)</f>
        <v>3</v>
      </c>
      <c r="D152" t="s">
        <v>1164</v>
      </c>
      <c r="E152" t="s">
        <v>108</v>
      </c>
      <c r="F152" t="s">
        <v>1165</v>
      </c>
      <c r="G152" t="s">
        <v>110</v>
      </c>
      <c r="H152" t="s">
        <v>111</v>
      </c>
      <c r="I152" t="s">
        <v>112</v>
      </c>
      <c r="J152" t="s">
        <v>112</v>
      </c>
      <c r="K152" t="s">
        <v>112</v>
      </c>
      <c r="L152" t="s">
        <v>150</v>
      </c>
      <c r="M152" t="s">
        <v>151</v>
      </c>
      <c r="N152" t="s">
        <v>112</v>
      </c>
      <c r="O152" t="s">
        <v>112</v>
      </c>
      <c r="P152">
        <v>1</v>
      </c>
      <c r="R152">
        <v>1</v>
      </c>
      <c r="S152">
        <v>33</v>
      </c>
      <c r="T152" t="s">
        <v>112</v>
      </c>
      <c r="U152" t="s">
        <v>152</v>
      </c>
      <c r="V152" t="s">
        <v>153</v>
      </c>
      <c r="W152" t="s">
        <v>154</v>
      </c>
      <c r="X152" t="s">
        <v>119</v>
      </c>
      <c r="Y152" t="s">
        <v>112</v>
      </c>
      <c r="Z152" t="s">
        <v>112</v>
      </c>
      <c r="AA152" t="s">
        <v>152</v>
      </c>
      <c r="AB152" t="s">
        <v>153</v>
      </c>
      <c r="AC152" t="s">
        <v>154</v>
      </c>
      <c r="AD152" t="s">
        <v>119</v>
      </c>
      <c r="AE152" t="s">
        <v>112</v>
      </c>
      <c r="AF152" t="s">
        <v>121</v>
      </c>
      <c r="AG152" t="s">
        <v>122</v>
      </c>
      <c r="AH152">
        <v>4331393.62</v>
      </c>
      <c r="AI152" t="s">
        <v>112</v>
      </c>
      <c r="AJ152" t="s">
        <v>152</v>
      </c>
      <c r="AK152" t="s">
        <v>153</v>
      </c>
      <c r="AL152" t="s">
        <v>154</v>
      </c>
      <c r="AM152" t="s">
        <v>119</v>
      </c>
      <c r="AN152" t="s">
        <v>112</v>
      </c>
      <c r="AO152" t="s">
        <v>121</v>
      </c>
      <c r="AP152" t="s">
        <v>122</v>
      </c>
      <c r="AQ152" t="s">
        <v>122</v>
      </c>
      <c r="AR152" t="s">
        <v>124</v>
      </c>
      <c r="AS152" t="s">
        <v>125</v>
      </c>
      <c r="AT152">
        <v>2</v>
      </c>
      <c r="AU152" t="s">
        <v>126</v>
      </c>
      <c r="AV152" t="s">
        <v>155</v>
      </c>
      <c r="AW152" t="s">
        <v>156</v>
      </c>
      <c r="AY152" t="s">
        <v>129</v>
      </c>
      <c r="AZ152">
        <v>40701</v>
      </c>
      <c r="BC152">
        <v>96.918700000000001</v>
      </c>
      <c r="BD152" t="s">
        <v>112</v>
      </c>
      <c r="BE152" t="s">
        <v>112</v>
      </c>
      <c r="BF152" t="s">
        <v>157</v>
      </c>
      <c r="BG152" t="s">
        <v>133</v>
      </c>
      <c r="BH152" t="s">
        <v>134</v>
      </c>
      <c r="BI152" t="s">
        <v>112</v>
      </c>
      <c r="BJ152" t="s">
        <v>112</v>
      </c>
      <c r="BK152" t="s">
        <v>112</v>
      </c>
      <c r="BL152" t="s">
        <v>158</v>
      </c>
      <c r="BM152" t="s">
        <v>159</v>
      </c>
      <c r="BN152" t="s">
        <v>212</v>
      </c>
      <c r="BO152" t="s">
        <v>161</v>
      </c>
      <c r="BQ152" t="s">
        <v>232</v>
      </c>
      <c r="BR152" s="45">
        <f>ISNUMBER(SEARCH($BR$1,Таблица1[[#This Row],[31_1 Описание и характеристика товара]]))*1</f>
        <v>1</v>
      </c>
      <c r="BT152" t="s">
        <v>150</v>
      </c>
      <c r="BU152">
        <v>33</v>
      </c>
      <c r="BV152">
        <v>0</v>
      </c>
      <c r="BW152">
        <v>0</v>
      </c>
      <c r="BY152">
        <v>0</v>
      </c>
      <c r="CA152" t="s">
        <v>106</v>
      </c>
      <c r="CB152" t="s">
        <v>142</v>
      </c>
      <c r="CC152" t="s">
        <v>112</v>
      </c>
      <c r="CD152" t="s">
        <v>112</v>
      </c>
      <c r="CE152" t="s">
        <v>121</v>
      </c>
      <c r="CF152">
        <v>16383.09</v>
      </c>
      <c r="CG152" t="s">
        <v>144</v>
      </c>
      <c r="CH152">
        <v>4000000</v>
      </c>
      <c r="CI152">
        <v>16240.89</v>
      </c>
      <c r="CJ152">
        <v>0</v>
      </c>
      <c r="CK152" t="s">
        <v>112</v>
      </c>
      <c r="CL152" t="s">
        <v>112</v>
      </c>
      <c r="CM152">
        <v>40701</v>
      </c>
      <c r="CO152">
        <v>0</v>
      </c>
      <c r="CP152">
        <v>1</v>
      </c>
      <c r="CQ152">
        <v>4331393.62</v>
      </c>
      <c r="CR152">
        <v>48769.65</v>
      </c>
      <c r="CS152" t="s">
        <v>145</v>
      </c>
      <c r="CT152">
        <v>48722.67</v>
      </c>
      <c r="CU152">
        <v>3</v>
      </c>
      <c r="CV152">
        <v>45</v>
      </c>
      <c r="CX152" t="s">
        <v>233</v>
      </c>
      <c r="CY152">
        <v>551</v>
      </c>
    </row>
    <row r="153" spans="1:103" x14ac:dyDescent="0.25">
      <c r="A153" t="s">
        <v>106</v>
      </c>
      <c r="B153" s="38">
        <v>44939</v>
      </c>
      <c r="C153" s="43">
        <f>IF(YEAR(Таблица1[[#This Row],[Дата]])=2023,MONTH(Таблица1[[#This Row],[Дата]]),0)</f>
        <v>1</v>
      </c>
      <c r="D153" t="s">
        <v>1254</v>
      </c>
      <c r="E153" t="s">
        <v>108</v>
      </c>
      <c r="F153" t="s">
        <v>1255</v>
      </c>
      <c r="G153" t="s">
        <v>110</v>
      </c>
      <c r="H153" t="s">
        <v>111</v>
      </c>
      <c r="I153" t="s">
        <v>112</v>
      </c>
      <c r="J153" t="s">
        <v>112</v>
      </c>
      <c r="K153" t="s">
        <v>112</v>
      </c>
      <c r="L153" t="s">
        <v>150</v>
      </c>
      <c r="M153" t="s">
        <v>151</v>
      </c>
      <c r="N153" t="s">
        <v>112</v>
      </c>
      <c r="O153" t="s">
        <v>112</v>
      </c>
      <c r="P153">
        <v>1</v>
      </c>
      <c r="R153">
        <v>1</v>
      </c>
      <c r="S153">
        <v>33</v>
      </c>
      <c r="T153" t="s">
        <v>112</v>
      </c>
      <c r="U153" t="s">
        <v>152</v>
      </c>
      <c r="V153" t="s">
        <v>153</v>
      </c>
      <c r="W153" t="s">
        <v>154</v>
      </c>
      <c r="X153" t="s">
        <v>119</v>
      </c>
      <c r="Y153" t="s">
        <v>112</v>
      </c>
      <c r="Z153" t="s">
        <v>112</v>
      </c>
      <c r="AA153" t="s">
        <v>152</v>
      </c>
      <c r="AB153" t="s">
        <v>153</v>
      </c>
      <c r="AC153" t="s">
        <v>154</v>
      </c>
      <c r="AD153" t="s">
        <v>119</v>
      </c>
      <c r="AE153" t="s">
        <v>112</v>
      </c>
      <c r="AF153" t="s">
        <v>121</v>
      </c>
      <c r="AG153" t="s">
        <v>122</v>
      </c>
      <c r="AH153">
        <v>4547286.8099999996</v>
      </c>
      <c r="AI153" t="s">
        <v>112</v>
      </c>
      <c r="AJ153" t="s">
        <v>152</v>
      </c>
      <c r="AK153" t="s">
        <v>153</v>
      </c>
      <c r="AL153" t="s">
        <v>154</v>
      </c>
      <c r="AM153" t="s">
        <v>119</v>
      </c>
      <c r="AN153" t="s">
        <v>112</v>
      </c>
      <c r="AO153" t="s">
        <v>121</v>
      </c>
      <c r="AP153" t="s">
        <v>122</v>
      </c>
      <c r="AQ153" t="s">
        <v>122</v>
      </c>
      <c r="AR153" t="s">
        <v>124</v>
      </c>
      <c r="AS153" t="s">
        <v>125</v>
      </c>
      <c r="AT153">
        <v>2</v>
      </c>
      <c r="AU153" t="s">
        <v>126</v>
      </c>
      <c r="AV153" t="s">
        <v>155</v>
      </c>
      <c r="AW153" t="s">
        <v>156</v>
      </c>
      <c r="AY153" t="s">
        <v>129</v>
      </c>
      <c r="AZ153">
        <v>42928.57</v>
      </c>
      <c r="BC153">
        <v>96.918700000000001</v>
      </c>
      <c r="BD153" t="s">
        <v>112</v>
      </c>
      <c r="BE153" t="s">
        <v>112</v>
      </c>
      <c r="BF153" t="s">
        <v>157</v>
      </c>
      <c r="BG153" t="s">
        <v>133</v>
      </c>
      <c r="BH153" t="s">
        <v>167</v>
      </c>
      <c r="BI153" t="s">
        <v>112</v>
      </c>
      <c r="BJ153" t="s">
        <v>112</v>
      </c>
      <c r="BK153" t="s">
        <v>112</v>
      </c>
      <c r="BL153" t="s">
        <v>158</v>
      </c>
      <c r="BM153" t="s">
        <v>159</v>
      </c>
      <c r="BN153" t="s">
        <v>160</v>
      </c>
      <c r="BO153" t="s">
        <v>161</v>
      </c>
      <c r="BQ153" t="s">
        <v>281</v>
      </c>
      <c r="BR153" s="45">
        <f>ISNUMBER(SEARCH($BR$1,Таблица1[[#This Row],[31_1 Описание и характеристика товара]]))*1</f>
        <v>1</v>
      </c>
      <c r="BT153" t="s">
        <v>150</v>
      </c>
      <c r="BU153">
        <v>33</v>
      </c>
      <c r="BV153">
        <v>0</v>
      </c>
      <c r="BW153">
        <v>0</v>
      </c>
      <c r="BY153">
        <v>0</v>
      </c>
      <c r="CA153" t="s">
        <v>106</v>
      </c>
      <c r="CB153" t="s">
        <v>142</v>
      </c>
      <c r="CC153" t="s">
        <v>112</v>
      </c>
      <c r="CD153" t="s">
        <v>112</v>
      </c>
      <c r="CE153" t="s">
        <v>121</v>
      </c>
      <c r="CF153">
        <v>16213.36</v>
      </c>
      <c r="CG153" t="s">
        <v>144</v>
      </c>
      <c r="CH153">
        <v>4000000</v>
      </c>
      <c r="CI153">
        <v>16018.96</v>
      </c>
      <c r="CJ153">
        <v>0</v>
      </c>
      <c r="CK153" t="s">
        <v>112</v>
      </c>
      <c r="CL153" t="s">
        <v>112</v>
      </c>
      <c r="CM153">
        <v>42928.57</v>
      </c>
      <c r="CO153">
        <v>0</v>
      </c>
      <c r="CP153">
        <v>1</v>
      </c>
      <c r="CQ153">
        <v>4547286.8099999996</v>
      </c>
      <c r="CR153">
        <v>51200.52</v>
      </c>
      <c r="CS153" t="s">
        <v>145</v>
      </c>
      <c r="CT153">
        <v>51260.671999999999</v>
      </c>
      <c r="CU153">
        <v>3.2</v>
      </c>
      <c r="CV153">
        <v>45</v>
      </c>
      <c r="CX153" t="s">
        <v>206</v>
      </c>
      <c r="CY153">
        <v>310</v>
      </c>
    </row>
    <row r="154" spans="1:103" x14ac:dyDescent="0.25">
      <c r="A154" t="s">
        <v>106</v>
      </c>
      <c r="B154" s="38">
        <v>45189</v>
      </c>
      <c r="C154" s="43">
        <f>IF(YEAR(Таблица1[[#This Row],[Дата]])=2023,MONTH(Таблица1[[#This Row],[Дата]]),0)</f>
        <v>9</v>
      </c>
      <c r="D154" t="s">
        <v>1250</v>
      </c>
      <c r="E154" t="s">
        <v>108</v>
      </c>
      <c r="F154" t="s">
        <v>1251</v>
      </c>
      <c r="G154" t="s">
        <v>110</v>
      </c>
      <c r="H154" t="s">
        <v>111</v>
      </c>
      <c r="I154" t="s">
        <v>112</v>
      </c>
      <c r="J154" t="s">
        <v>112</v>
      </c>
      <c r="K154" t="s">
        <v>112</v>
      </c>
      <c r="L154" t="s">
        <v>150</v>
      </c>
      <c r="M154" t="s">
        <v>151</v>
      </c>
      <c r="N154" t="s">
        <v>112</v>
      </c>
      <c r="O154" t="s">
        <v>112</v>
      </c>
      <c r="P154">
        <v>1</v>
      </c>
      <c r="R154">
        <v>1</v>
      </c>
      <c r="S154">
        <v>33</v>
      </c>
      <c r="T154" t="s">
        <v>112</v>
      </c>
      <c r="U154" t="s">
        <v>152</v>
      </c>
      <c r="V154" t="s">
        <v>153</v>
      </c>
      <c r="W154" t="s">
        <v>154</v>
      </c>
      <c r="X154" t="s">
        <v>119</v>
      </c>
      <c r="Y154" t="s">
        <v>112</v>
      </c>
      <c r="Z154" t="s">
        <v>112</v>
      </c>
      <c r="AA154" t="s">
        <v>152</v>
      </c>
      <c r="AB154" t="s">
        <v>153</v>
      </c>
      <c r="AC154" t="s">
        <v>154</v>
      </c>
      <c r="AD154" t="s">
        <v>119</v>
      </c>
      <c r="AE154" t="s">
        <v>112</v>
      </c>
      <c r="AF154" t="s">
        <v>121</v>
      </c>
      <c r="AG154" t="s">
        <v>122</v>
      </c>
      <c r="AH154">
        <v>4076517.79</v>
      </c>
      <c r="AI154" t="s">
        <v>112</v>
      </c>
      <c r="AJ154" t="s">
        <v>152</v>
      </c>
      <c r="AK154" t="s">
        <v>153</v>
      </c>
      <c r="AL154" t="s">
        <v>154</v>
      </c>
      <c r="AM154" t="s">
        <v>119</v>
      </c>
      <c r="AN154" t="s">
        <v>112</v>
      </c>
      <c r="AO154" t="s">
        <v>121</v>
      </c>
      <c r="AP154" t="s">
        <v>122</v>
      </c>
      <c r="AQ154" t="s">
        <v>122</v>
      </c>
      <c r="AR154" t="s">
        <v>124</v>
      </c>
      <c r="AS154" t="s">
        <v>125</v>
      </c>
      <c r="AT154">
        <v>2</v>
      </c>
      <c r="AU154" t="s">
        <v>126</v>
      </c>
      <c r="AV154" t="s">
        <v>155</v>
      </c>
      <c r="AW154" t="s">
        <v>156</v>
      </c>
      <c r="AY154" t="s">
        <v>129</v>
      </c>
      <c r="AZ154">
        <v>38071.21</v>
      </c>
      <c r="BC154">
        <v>96.918700000000001</v>
      </c>
      <c r="BD154" t="s">
        <v>112</v>
      </c>
      <c r="BE154" t="s">
        <v>112</v>
      </c>
      <c r="BF154" t="s">
        <v>157</v>
      </c>
      <c r="BG154" t="s">
        <v>133</v>
      </c>
      <c r="BH154" t="s">
        <v>167</v>
      </c>
      <c r="BI154" t="s">
        <v>112</v>
      </c>
      <c r="BJ154" t="s">
        <v>112</v>
      </c>
      <c r="BK154" t="s">
        <v>112</v>
      </c>
      <c r="BL154" t="s">
        <v>158</v>
      </c>
      <c r="BM154" t="s">
        <v>159</v>
      </c>
      <c r="BN154" t="s">
        <v>160</v>
      </c>
      <c r="BO154" t="s">
        <v>161</v>
      </c>
      <c r="BQ154" t="s">
        <v>281</v>
      </c>
      <c r="BR154" s="45">
        <f>ISNUMBER(SEARCH($BR$1,Таблица1[[#This Row],[31_1 Описание и характеристика товара]]))*1</f>
        <v>1</v>
      </c>
      <c r="BT154" t="s">
        <v>150</v>
      </c>
      <c r="BU154">
        <v>33</v>
      </c>
      <c r="BV154">
        <v>0</v>
      </c>
      <c r="BW154">
        <v>0</v>
      </c>
      <c r="BY154">
        <v>0</v>
      </c>
      <c r="CA154" t="s">
        <v>106</v>
      </c>
      <c r="CB154" t="s">
        <v>142</v>
      </c>
      <c r="CC154" t="s">
        <v>112</v>
      </c>
      <c r="CD154" t="s">
        <v>112</v>
      </c>
      <c r="CE154" t="s">
        <v>121</v>
      </c>
      <c r="CF154">
        <v>16027.04</v>
      </c>
      <c r="CG154" t="s">
        <v>144</v>
      </c>
      <c r="CH154">
        <v>4000000</v>
      </c>
      <c r="CI154">
        <v>15811.04</v>
      </c>
      <c r="CJ154">
        <v>0</v>
      </c>
      <c r="CK154" t="s">
        <v>112</v>
      </c>
      <c r="CL154" t="s">
        <v>112</v>
      </c>
      <c r="CM154">
        <v>38071.21</v>
      </c>
      <c r="CO154">
        <v>0</v>
      </c>
      <c r="CP154">
        <v>1</v>
      </c>
      <c r="CQ154">
        <v>4076517.79</v>
      </c>
      <c r="CR154">
        <v>45899.86</v>
      </c>
      <c r="CS154" t="s">
        <v>145</v>
      </c>
      <c r="CT154">
        <v>45852.016000000003</v>
      </c>
      <c r="CU154">
        <v>2.9</v>
      </c>
      <c r="CV154">
        <v>45</v>
      </c>
      <c r="CX154" t="s">
        <v>233</v>
      </c>
      <c r="CY154">
        <v>590</v>
      </c>
    </row>
    <row r="155" spans="1:103" x14ac:dyDescent="0.25">
      <c r="A155" t="s">
        <v>106</v>
      </c>
      <c r="B155" s="38">
        <v>45218</v>
      </c>
      <c r="C155" s="43">
        <f>IF(YEAR(Таблица1[[#This Row],[Дата]])=2023,MONTH(Таблица1[[#This Row],[Дата]]),0)</f>
        <v>10</v>
      </c>
      <c r="D155" t="s">
        <v>1138</v>
      </c>
      <c r="E155" t="s">
        <v>108</v>
      </c>
      <c r="F155" t="s">
        <v>1139</v>
      </c>
      <c r="G155" t="s">
        <v>110</v>
      </c>
      <c r="H155" t="s">
        <v>111</v>
      </c>
      <c r="I155" t="s">
        <v>112</v>
      </c>
      <c r="J155" t="s">
        <v>112</v>
      </c>
      <c r="K155" t="s">
        <v>112</v>
      </c>
      <c r="L155" t="s">
        <v>150</v>
      </c>
      <c r="M155" t="s">
        <v>151</v>
      </c>
      <c r="N155" t="s">
        <v>112</v>
      </c>
      <c r="O155" t="s">
        <v>112</v>
      </c>
      <c r="P155">
        <v>1</v>
      </c>
      <c r="R155">
        <v>1</v>
      </c>
      <c r="S155">
        <v>33</v>
      </c>
      <c r="T155" t="s">
        <v>112</v>
      </c>
      <c r="U155" t="s">
        <v>152</v>
      </c>
      <c r="V155" t="s">
        <v>153</v>
      </c>
      <c r="W155" t="s">
        <v>154</v>
      </c>
      <c r="X155" t="s">
        <v>119</v>
      </c>
      <c r="Y155" t="s">
        <v>112</v>
      </c>
      <c r="Z155" t="s">
        <v>112</v>
      </c>
      <c r="AA155" t="s">
        <v>152</v>
      </c>
      <c r="AB155" t="s">
        <v>153</v>
      </c>
      <c r="AC155" t="s">
        <v>154</v>
      </c>
      <c r="AD155" t="s">
        <v>119</v>
      </c>
      <c r="AE155" t="s">
        <v>112</v>
      </c>
      <c r="AF155" t="s">
        <v>121</v>
      </c>
      <c r="AG155" t="s">
        <v>122</v>
      </c>
      <c r="AH155">
        <v>4367028.6900000004</v>
      </c>
      <c r="AI155" t="s">
        <v>112</v>
      </c>
      <c r="AJ155" t="s">
        <v>152</v>
      </c>
      <c r="AK155" t="s">
        <v>153</v>
      </c>
      <c r="AL155" t="s">
        <v>154</v>
      </c>
      <c r="AM155" t="s">
        <v>119</v>
      </c>
      <c r="AN155" t="s">
        <v>112</v>
      </c>
      <c r="AO155" t="s">
        <v>121</v>
      </c>
      <c r="AP155" t="s">
        <v>122</v>
      </c>
      <c r="AQ155" t="s">
        <v>122</v>
      </c>
      <c r="AR155" t="s">
        <v>124</v>
      </c>
      <c r="AS155" t="s">
        <v>125</v>
      </c>
      <c r="AT155">
        <v>2</v>
      </c>
      <c r="AU155" t="s">
        <v>126</v>
      </c>
      <c r="AV155" t="s">
        <v>155</v>
      </c>
      <c r="AW155" t="s">
        <v>156</v>
      </c>
      <c r="AY155" t="s">
        <v>129</v>
      </c>
      <c r="AZ155">
        <v>41068.68</v>
      </c>
      <c r="BC155">
        <v>96.918700000000001</v>
      </c>
      <c r="BD155" t="s">
        <v>112</v>
      </c>
      <c r="BE155" t="s">
        <v>112</v>
      </c>
      <c r="BF155" t="s">
        <v>157</v>
      </c>
      <c r="BG155" t="s">
        <v>133</v>
      </c>
      <c r="BH155" t="s">
        <v>167</v>
      </c>
      <c r="BI155" t="s">
        <v>112</v>
      </c>
      <c r="BJ155" t="s">
        <v>112</v>
      </c>
      <c r="BK155" t="s">
        <v>112</v>
      </c>
      <c r="BL155" t="s">
        <v>158</v>
      </c>
      <c r="BM155" t="s">
        <v>159</v>
      </c>
      <c r="BN155" t="s">
        <v>160</v>
      </c>
      <c r="BO155" t="s">
        <v>161</v>
      </c>
      <c r="BQ155" t="s">
        <v>616</v>
      </c>
      <c r="BR155" s="45">
        <f>ISNUMBER(SEARCH($BR$1,Таблица1[[#This Row],[31_1 Описание и характеристика товара]]))*1</f>
        <v>1</v>
      </c>
      <c r="BT155" t="s">
        <v>150</v>
      </c>
      <c r="BU155">
        <v>33</v>
      </c>
      <c r="BV155">
        <v>0</v>
      </c>
      <c r="BW155">
        <v>0</v>
      </c>
      <c r="BY155">
        <v>0</v>
      </c>
      <c r="CA155" t="s">
        <v>106</v>
      </c>
      <c r="CB155" t="s">
        <v>142</v>
      </c>
      <c r="CC155" t="s">
        <v>112</v>
      </c>
      <c r="CD155" t="s">
        <v>112</v>
      </c>
      <c r="CE155" t="s">
        <v>121</v>
      </c>
      <c r="CF155">
        <v>16168.82</v>
      </c>
      <c r="CG155" t="s">
        <v>144</v>
      </c>
      <c r="CH155">
        <v>4000000</v>
      </c>
      <c r="CI155">
        <v>15974.42</v>
      </c>
      <c r="CJ155">
        <v>0</v>
      </c>
      <c r="CK155" t="s">
        <v>112</v>
      </c>
      <c r="CL155" t="s">
        <v>112</v>
      </c>
      <c r="CM155">
        <v>41068.68</v>
      </c>
      <c r="CO155">
        <v>0</v>
      </c>
      <c r="CP155">
        <v>1</v>
      </c>
      <c r="CQ155">
        <v>4367028.6900000004</v>
      </c>
      <c r="CR155">
        <v>49170.89</v>
      </c>
      <c r="CS155" t="s">
        <v>145</v>
      </c>
      <c r="CT155">
        <v>49201.213600000003</v>
      </c>
      <c r="CU155">
        <v>3.08</v>
      </c>
      <c r="CV155">
        <v>45</v>
      </c>
      <c r="CX155" t="s">
        <v>1140</v>
      </c>
      <c r="CY155">
        <v>589</v>
      </c>
    </row>
    <row r="156" spans="1:103" x14ac:dyDescent="0.25">
      <c r="A156" t="s">
        <v>106</v>
      </c>
      <c r="B156" s="38">
        <v>45187</v>
      </c>
      <c r="C156" s="43">
        <f>IF(YEAR(Таблица1[[#This Row],[Дата]])=2023,MONTH(Таблица1[[#This Row],[Дата]]),0)</f>
        <v>9</v>
      </c>
      <c r="D156" t="s">
        <v>1293</v>
      </c>
      <c r="E156" t="s">
        <v>108</v>
      </c>
      <c r="F156" t="s">
        <v>1294</v>
      </c>
      <c r="G156" t="s">
        <v>110</v>
      </c>
      <c r="H156" t="s">
        <v>111</v>
      </c>
      <c r="I156" t="s">
        <v>112</v>
      </c>
      <c r="J156" t="s">
        <v>112</v>
      </c>
      <c r="K156" t="s">
        <v>112</v>
      </c>
      <c r="L156" t="s">
        <v>150</v>
      </c>
      <c r="M156" t="s">
        <v>151</v>
      </c>
      <c r="N156" t="s">
        <v>112</v>
      </c>
      <c r="O156" t="s">
        <v>112</v>
      </c>
      <c r="P156">
        <v>1</v>
      </c>
      <c r="R156">
        <v>1</v>
      </c>
      <c r="S156">
        <v>33</v>
      </c>
      <c r="T156" t="s">
        <v>112</v>
      </c>
      <c r="U156" t="s">
        <v>152</v>
      </c>
      <c r="V156" t="s">
        <v>153</v>
      </c>
      <c r="W156" t="s">
        <v>154</v>
      </c>
      <c r="X156" t="s">
        <v>119</v>
      </c>
      <c r="Y156" t="s">
        <v>112</v>
      </c>
      <c r="Z156" t="s">
        <v>112</v>
      </c>
      <c r="AA156" t="s">
        <v>152</v>
      </c>
      <c r="AB156" t="s">
        <v>153</v>
      </c>
      <c r="AC156" t="s">
        <v>154</v>
      </c>
      <c r="AD156" t="s">
        <v>119</v>
      </c>
      <c r="AE156" t="s">
        <v>112</v>
      </c>
      <c r="AF156" t="s">
        <v>121</v>
      </c>
      <c r="AG156" t="s">
        <v>122</v>
      </c>
      <c r="AH156">
        <v>3952301.94</v>
      </c>
      <c r="AI156" t="s">
        <v>112</v>
      </c>
      <c r="AJ156" t="s">
        <v>152</v>
      </c>
      <c r="AK156" t="s">
        <v>153</v>
      </c>
      <c r="AL156" t="s">
        <v>154</v>
      </c>
      <c r="AM156" t="s">
        <v>119</v>
      </c>
      <c r="AN156" t="s">
        <v>112</v>
      </c>
      <c r="AO156" t="s">
        <v>121</v>
      </c>
      <c r="AP156" t="s">
        <v>122</v>
      </c>
      <c r="AQ156" t="s">
        <v>122</v>
      </c>
      <c r="AR156" t="s">
        <v>124</v>
      </c>
      <c r="AS156" t="s">
        <v>125</v>
      </c>
      <c r="AT156">
        <v>2</v>
      </c>
      <c r="AU156" t="s">
        <v>126</v>
      </c>
      <c r="AV156" t="s">
        <v>155</v>
      </c>
      <c r="AW156" t="s">
        <v>156</v>
      </c>
      <c r="AY156" t="s">
        <v>129</v>
      </c>
      <c r="AZ156">
        <v>36789.56</v>
      </c>
      <c r="BC156">
        <v>96.918700000000001</v>
      </c>
      <c r="BD156" t="s">
        <v>112</v>
      </c>
      <c r="BE156" t="s">
        <v>112</v>
      </c>
      <c r="BF156" t="s">
        <v>157</v>
      </c>
      <c r="BG156" t="s">
        <v>133</v>
      </c>
      <c r="BH156" t="s">
        <v>167</v>
      </c>
      <c r="BI156" t="s">
        <v>112</v>
      </c>
      <c r="BJ156" t="s">
        <v>112</v>
      </c>
      <c r="BK156" t="s">
        <v>112</v>
      </c>
      <c r="BL156" t="s">
        <v>158</v>
      </c>
      <c r="BM156" t="s">
        <v>159</v>
      </c>
      <c r="BN156" t="s">
        <v>160</v>
      </c>
      <c r="BO156" t="s">
        <v>161</v>
      </c>
      <c r="BQ156" t="s">
        <v>213</v>
      </c>
      <c r="BR156" s="45">
        <f>ISNUMBER(SEARCH($BR$1,Таблица1[[#This Row],[31_1 Описание и характеристика товара]]))*1</f>
        <v>1</v>
      </c>
      <c r="BT156" t="s">
        <v>150</v>
      </c>
      <c r="BU156">
        <v>33</v>
      </c>
      <c r="BV156">
        <v>0</v>
      </c>
      <c r="BW156">
        <v>0</v>
      </c>
      <c r="BY156">
        <v>0</v>
      </c>
      <c r="CA156" t="s">
        <v>106</v>
      </c>
      <c r="CB156" t="s">
        <v>142</v>
      </c>
      <c r="CC156" t="s">
        <v>112</v>
      </c>
      <c r="CD156" t="s">
        <v>112</v>
      </c>
      <c r="CE156" t="s">
        <v>121</v>
      </c>
      <c r="CF156">
        <v>15807.2</v>
      </c>
      <c r="CG156" t="s">
        <v>144</v>
      </c>
      <c r="CH156">
        <v>4000000</v>
      </c>
      <c r="CI156">
        <v>15603.8</v>
      </c>
      <c r="CJ156">
        <v>0</v>
      </c>
      <c r="CK156" t="s">
        <v>112</v>
      </c>
      <c r="CL156" t="s">
        <v>112</v>
      </c>
      <c r="CM156">
        <v>36789.56</v>
      </c>
      <c r="CO156">
        <v>0</v>
      </c>
      <c r="CP156">
        <v>1</v>
      </c>
      <c r="CQ156">
        <v>3952301.94</v>
      </c>
      <c r="CR156">
        <v>44501.24</v>
      </c>
      <c r="CS156" t="s">
        <v>145</v>
      </c>
      <c r="CT156">
        <v>44470.83</v>
      </c>
      <c r="CU156">
        <v>2.85</v>
      </c>
      <c r="CV156">
        <v>45</v>
      </c>
      <c r="CX156" t="s">
        <v>206</v>
      </c>
      <c r="CY156">
        <v>80</v>
      </c>
    </row>
    <row r="157" spans="1:103" x14ac:dyDescent="0.25">
      <c r="A157" t="s">
        <v>106</v>
      </c>
      <c r="B157" s="38">
        <v>45025</v>
      </c>
      <c r="C157" s="43">
        <f>IF(YEAR(Таблица1[[#This Row],[Дата]])=2023,MONTH(Таблица1[[#This Row],[Дата]]),0)</f>
        <v>4</v>
      </c>
      <c r="D157" t="s">
        <v>1284</v>
      </c>
      <c r="E157" t="s">
        <v>108</v>
      </c>
      <c r="F157" t="s">
        <v>1285</v>
      </c>
      <c r="G157" t="s">
        <v>110</v>
      </c>
      <c r="H157" t="s">
        <v>111</v>
      </c>
      <c r="I157" t="s">
        <v>112</v>
      </c>
      <c r="J157" t="s">
        <v>112</v>
      </c>
      <c r="K157" t="s">
        <v>112</v>
      </c>
      <c r="L157" t="s">
        <v>150</v>
      </c>
      <c r="M157" t="s">
        <v>151</v>
      </c>
      <c r="N157" t="s">
        <v>112</v>
      </c>
      <c r="O157" t="s">
        <v>112</v>
      </c>
      <c r="P157">
        <v>1</v>
      </c>
      <c r="R157">
        <v>1</v>
      </c>
      <c r="S157">
        <v>33</v>
      </c>
      <c r="T157" t="s">
        <v>112</v>
      </c>
      <c r="U157" t="s">
        <v>152</v>
      </c>
      <c r="V157" t="s">
        <v>153</v>
      </c>
      <c r="W157" t="s">
        <v>154</v>
      </c>
      <c r="X157" t="s">
        <v>119</v>
      </c>
      <c r="Y157" t="s">
        <v>112</v>
      </c>
      <c r="Z157" t="s">
        <v>112</v>
      </c>
      <c r="AA157" t="s">
        <v>152</v>
      </c>
      <c r="AB157" t="s">
        <v>153</v>
      </c>
      <c r="AC157" t="s">
        <v>154</v>
      </c>
      <c r="AD157" t="s">
        <v>119</v>
      </c>
      <c r="AE157" t="s">
        <v>112</v>
      </c>
      <c r="AF157" t="s">
        <v>121</v>
      </c>
      <c r="AG157" t="s">
        <v>122</v>
      </c>
      <c r="AH157">
        <v>3999283.28</v>
      </c>
      <c r="AI157" t="s">
        <v>112</v>
      </c>
      <c r="AJ157" t="s">
        <v>152</v>
      </c>
      <c r="AK157" t="s">
        <v>153</v>
      </c>
      <c r="AL157" t="s">
        <v>154</v>
      </c>
      <c r="AM157" t="s">
        <v>119</v>
      </c>
      <c r="AN157" t="s">
        <v>112</v>
      </c>
      <c r="AO157" t="s">
        <v>121</v>
      </c>
      <c r="AP157" t="s">
        <v>122</v>
      </c>
      <c r="AQ157" t="s">
        <v>122</v>
      </c>
      <c r="AR157" t="s">
        <v>124</v>
      </c>
      <c r="AS157" t="s">
        <v>125</v>
      </c>
      <c r="AT157">
        <v>2</v>
      </c>
      <c r="AU157" t="s">
        <v>126</v>
      </c>
      <c r="AV157" t="s">
        <v>155</v>
      </c>
      <c r="AW157" t="s">
        <v>156</v>
      </c>
      <c r="AY157" t="s">
        <v>129</v>
      </c>
      <c r="AZ157">
        <v>37274.31</v>
      </c>
      <c r="BC157">
        <v>96.918700000000001</v>
      </c>
      <c r="BD157" t="s">
        <v>112</v>
      </c>
      <c r="BE157" t="s">
        <v>112</v>
      </c>
      <c r="BF157" t="s">
        <v>157</v>
      </c>
      <c r="BG157" t="s">
        <v>133</v>
      </c>
      <c r="BH157" t="s">
        <v>167</v>
      </c>
      <c r="BI157" t="s">
        <v>112</v>
      </c>
      <c r="BJ157" t="s">
        <v>112</v>
      </c>
      <c r="BK157" t="s">
        <v>112</v>
      </c>
      <c r="BL157" t="s">
        <v>158</v>
      </c>
      <c r="BM157" t="s">
        <v>159</v>
      </c>
      <c r="BN157" t="s">
        <v>160</v>
      </c>
      <c r="BO157" t="s">
        <v>161</v>
      </c>
      <c r="BQ157" t="s">
        <v>213</v>
      </c>
      <c r="BR157" s="45">
        <f>ISNUMBER(SEARCH($BR$1,Таблица1[[#This Row],[31_1 Описание и характеристика товара]]))*1</f>
        <v>1</v>
      </c>
      <c r="BT157" t="s">
        <v>150</v>
      </c>
      <c r="BU157">
        <v>33</v>
      </c>
      <c r="BV157">
        <v>0</v>
      </c>
      <c r="BW157">
        <v>0</v>
      </c>
      <c r="BY157">
        <v>0</v>
      </c>
      <c r="CA157" t="s">
        <v>106</v>
      </c>
      <c r="CB157" t="s">
        <v>142</v>
      </c>
      <c r="CC157" t="s">
        <v>112</v>
      </c>
      <c r="CD157" t="s">
        <v>112</v>
      </c>
      <c r="CE157" t="s">
        <v>121</v>
      </c>
      <c r="CF157">
        <v>15453.24</v>
      </c>
      <c r="CG157" t="s">
        <v>144</v>
      </c>
      <c r="CH157">
        <v>4000000</v>
      </c>
      <c r="CI157">
        <v>15249.84</v>
      </c>
      <c r="CJ157">
        <v>0</v>
      </c>
      <c r="CK157" t="s">
        <v>112</v>
      </c>
      <c r="CL157" t="s">
        <v>112</v>
      </c>
      <c r="CM157">
        <v>37274.31</v>
      </c>
      <c r="CO157">
        <v>0</v>
      </c>
      <c r="CP157">
        <v>1</v>
      </c>
      <c r="CQ157">
        <v>3999283.28</v>
      </c>
      <c r="CR157">
        <v>45030.23</v>
      </c>
      <c r="CS157" t="s">
        <v>145</v>
      </c>
      <c r="CT157">
        <v>44987.028000000006</v>
      </c>
      <c r="CU157">
        <v>2.95</v>
      </c>
      <c r="CV157">
        <v>45</v>
      </c>
      <c r="CX157" t="s">
        <v>1140</v>
      </c>
      <c r="CY157">
        <v>96</v>
      </c>
    </row>
    <row r="158" spans="1:103" x14ac:dyDescent="0.25">
      <c r="A158" t="s">
        <v>106</v>
      </c>
      <c r="B158" s="38">
        <v>45150</v>
      </c>
      <c r="C158" s="43">
        <f>IF(YEAR(Таблица1[[#This Row],[Дата]])=2023,MONTH(Таблица1[[#This Row],[Дата]]),0)</f>
        <v>8</v>
      </c>
      <c r="D158" t="s">
        <v>1126</v>
      </c>
      <c r="E158" t="s">
        <v>108</v>
      </c>
      <c r="F158" t="s">
        <v>1127</v>
      </c>
      <c r="G158" t="s">
        <v>110</v>
      </c>
      <c r="H158" t="s">
        <v>111</v>
      </c>
      <c r="I158" t="s">
        <v>112</v>
      </c>
      <c r="J158" t="s">
        <v>112</v>
      </c>
      <c r="K158" t="s">
        <v>112</v>
      </c>
      <c r="L158" t="s">
        <v>150</v>
      </c>
      <c r="M158" t="s">
        <v>151</v>
      </c>
      <c r="N158" t="s">
        <v>112</v>
      </c>
      <c r="O158" t="s">
        <v>112</v>
      </c>
      <c r="P158">
        <v>1</v>
      </c>
      <c r="R158">
        <v>1</v>
      </c>
      <c r="S158">
        <v>33</v>
      </c>
      <c r="T158" t="s">
        <v>112</v>
      </c>
      <c r="U158" t="s">
        <v>152</v>
      </c>
      <c r="V158" t="s">
        <v>153</v>
      </c>
      <c r="W158" t="s">
        <v>154</v>
      </c>
      <c r="X158" t="s">
        <v>119</v>
      </c>
      <c r="Y158" t="s">
        <v>112</v>
      </c>
      <c r="Z158" t="s">
        <v>112</v>
      </c>
      <c r="AA158" t="s">
        <v>152</v>
      </c>
      <c r="AB158" t="s">
        <v>153</v>
      </c>
      <c r="AC158" t="s">
        <v>154</v>
      </c>
      <c r="AD158" t="s">
        <v>119</v>
      </c>
      <c r="AE158" t="s">
        <v>112</v>
      </c>
      <c r="AF158" t="s">
        <v>121</v>
      </c>
      <c r="AG158" t="s">
        <v>122</v>
      </c>
      <c r="AH158">
        <v>4675705.05</v>
      </c>
      <c r="AI158" t="s">
        <v>112</v>
      </c>
      <c r="AJ158" t="s">
        <v>152</v>
      </c>
      <c r="AK158" t="s">
        <v>153</v>
      </c>
      <c r="AL158" t="s">
        <v>154</v>
      </c>
      <c r="AM158" t="s">
        <v>119</v>
      </c>
      <c r="AN158" t="s">
        <v>112</v>
      </c>
      <c r="AO158" t="s">
        <v>121</v>
      </c>
      <c r="AP158" t="s">
        <v>122</v>
      </c>
      <c r="AQ158" t="s">
        <v>122</v>
      </c>
      <c r="AR158" t="s">
        <v>124</v>
      </c>
      <c r="AS158" t="s">
        <v>125</v>
      </c>
      <c r="AT158">
        <v>2</v>
      </c>
      <c r="AU158" t="s">
        <v>126</v>
      </c>
      <c r="AV158" t="s">
        <v>155</v>
      </c>
      <c r="AW158" t="s">
        <v>156</v>
      </c>
      <c r="AY158" t="s">
        <v>129</v>
      </c>
      <c r="AZ158">
        <v>43723.58</v>
      </c>
      <c r="BC158">
        <v>96.918700000000001</v>
      </c>
      <c r="BD158" t="s">
        <v>112</v>
      </c>
      <c r="BE158" t="s">
        <v>112</v>
      </c>
      <c r="BF158" t="s">
        <v>157</v>
      </c>
      <c r="BG158" t="s">
        <v>133</v>
      </c>
      <c r="BH158" t="s">
        <v>167</v>
      </c>
      <c r="BI158" t="s">
        <v>112</v>
      </c>
      <c r="BJ158" t="s">
        <v>112</v>
      </c>
      <c r="BK158" t="s">
        <v>112</v>
      </c>
      <c r="BL158" t="s">
        <v>158</v>
      </c>
      <c r="BM158" t="s">
        <v>159</v>
      </c>
      <c r="BN158" t="s">
        <v>160</v>
      </c>
      <c r="BO158" t="s">
        <v>161</v>
      </c>
      <c r="BQ158" t="s">
        <v>1088</v>
      </c>
      <c r="BR158" s="45">
        <f>ISNUMBER(SEARCH($BR$1,Таблица1[[#This Row],[31_1 Описание и характеристика товара]]))*1</f>
        <v>1</v>
      </c>
      <c r="BT158" t="s">
        <v>150</v>
      </c>
      <c r="BU158">
        <v>33</v>
      </c>
      <c r="BV158">
        <v>0</v>
      </c>
      <c r="BW158">
        <v>0</v>
      </c>
      <c r="BY158">
        <v>0</v>
      </c>
      <c r="CA158" t="s">
        <v>106</v>
      </c>
      <c r="CB158" t="s">
        <v>142</v>
      </c>
      <c r="CC158" t="s">
        <v>112</v>
      </c>
      <c r="CD158" t="s">
        <v>112</v>
      </c>
      <c r="CE158" t="s">
        <v>121</v>
      </c>
      <c r="CF158">
        <v>16315.08</v>
      </c>
      <c r="CG158" t="s">
        <v>144</v>
      </c>
      <c r="CH158">
        <v>4000000</v>
      </c>
      <c r="CI158">
        <v>16099.08</v>
      </c>
      <c r="CJ158">
        <v>0</v>
      </c>
      <c r="CK158" t="s">
        <v>112</v>
      </c>
      <c r="CL158" t="s">
        <v>112</v>
      </c>
      <c r="CM158">
        <v>43723.58</v>
      </c>
      <c r="CO158">
        <v>0</v>
      </c>
      <c r="CP158">
        <v>1</v>
      </c>
      <c r="CQ158">
        <v>4675705.05</v>
      </c>
      <c r="CR158">
        <v>52646.45</v>
      </c>
      <c r="CS158" t="s">
        <v>145</v>
      </c>
      <c r="CT158">
        <v>52643.991600000001</v>
      </c>
      <c r="CU158">
        <v>3.27</v>
      </c>
      <c r="CV158">
        <v>45</v>
      </c>
      <c r="CX158" t="s">
        <v>729</v>
      </c>
      <c r="CY158">
        <v>602</v>
      </c>
    </row>
    <row r="159" spans="1:103" x14ac:dyDescent="0.25">
      <c r="A159" t="s">
        <v>106</v>
      </c>
      <c r="B159" s="38">
        <v>44975</v>
      </c>
      <c r="C159" s="43">
        <f>IF(YEAR(Таблица1[[#This Row],[Дата]])=2023,MONTH(Таблица1[[#This Row],[Дата]]),0)</f>
        <v>2</v>
      </c>
      <c r="D159" t="s">
        <v>1880</v>
      </c>
      <c r="E159" t="s">
        <v>108</v>
      </c>
      <c r="F159" t="s">
        <v>1881</v>
      </c>
      <c r="G159" t="s">
        <v>110</v>
      </c>
      <c r="H159" t="s">
        <v>111</v>
      </c>
      <c r="I159" t="s">
        <v>112</v>
      </c>
      <c r="J159" t="s">
        <v>112</v>
      </c>
      <c r="K159" t="s">
        <v>112</v>
      </c>
      <c r="L159" t="s">
        <v>150</v>
      </c>
      <c r="M159" t="s">
        <v>151</v>
      </c>
      <c r="N159" t="s">
        <v>112</v>
      </c>
      <c r="O159" t="s">
        <v>112</v>
      </c>
      <c r="P159">
        <v>1</v>
      </c>
      <c r="R159">
        <v>1</v>
      </c>
      <c r="S159">
        <v>33</v>
      </c>
      <c r="T159" t="s">
        <v>112</v>
      </c>
      <c r="U159" t="s">
        <v>152</v>
      </c>
      <c r="V159" t="s">
        <v>153</v>
      </c>
      <c r="W159" t="s">
        <v>154</v>
      </c>
      <c r="X159" t="s">
        <v>119</v>
      </c>
      <c r="Y159" t="s">
        <v>112</v>
      </c>
      <c r="Z159" t="s">
        <v>112</v>
      </c>
      <c r="AA159" t="s">
        <v>152</v>
      </c>
      <c r="AB159" t="s">
        <v>153</v>
      </c>
      <c r="AC159" t="s">
        <v>154</v>
      </c>
      <c r="AD159" t="s">
        <v>119</v>
      </c>
      <c r="AE159" t="s">
        <v>112</v>
      </c>
      <c r="AF159" t="s">
        <v>121</v>
      </c>
      <c r="AG159" t="s">
        <v>122</v>
      </c>
      <c r="AH159">
        <v>4328320.67</v>
      </c>
      <c r="AI159" t="s">
        <v>112</v>
      </c>
      <c r="AJ159" t="s">
        <v>152</v>
      </c>
      <c r="AK159" t="s">
        <v>153</v>
      </c>
      <c r="AL159" t="s">
        <v>154</v>
      </c>
      <c r="AM159" t="s">
        <v>119</v>
      </c>
      <c r="AN159" t="s">
        <v>112</v>
      </c>
      <c r="AO159" t="s">
        <v>121</v>
      </c>
      <c r="AP159" t="s">
        <v>122</v>
      </c>
      <c r="AQ159" t="s">
        <v>122</v>
      </c>
      <c r="AR159" t="s">
        <v>124</v>
      </c>
      <c r="AS159" t="s">
        <v>125</v>
      </c>
      <c r="AT159">
        <v>2</v>
      </c>
      <c r="AU159" t="s">
        <v>126</v>
      </c>
      <c r="AV159" t="s">
        <v>155</v>
      </c>
      <c r="AW159" t="s">
        <v>156</v>
      </c>
      <c r="AY159" t="s">
        <v>129</v>
      </c>
      <c r="AZ159">
        <v>39846.6</v>
      </c>
      <c r="BC159">
        <v>98.7376</v>
      </c>
      <c r="BD159" t="s">
        <v>112</v>
      </c>
      <c r="BE159" t="s">
        <v>112</v>
      </c>
      <c r="BF159" t="s">
        <v>157</v>
      </c>
      <c r="BG159" t="s">
        <v>133</v>
      </c>
      <c r="BH159" t="s">
        <v>134</v>
      </c>
      <c r="BI159" t="s">
        <v>112</v>
      </c>
      <c r="BJ159" t="s">
        <v>112</v>
      </c>
      <c r="BK159" t="s">
        <v>112</v>
      </c>
      <c r="BL159" t="s">
        <v>158</v>
      </c>
      <c r="BM159" t="s">
        <v>159</v>
      </c>
      <c r="BN159" t="s">
        <v>212</v>
      </c>
      <c r="BO159" t="s">
        <v>161</v>
      </c>
      <c r="BQ159" t="s">
        <v>213</v>
      </c>
      <c r="BR159" s="45">
        <f>ISNUMBER(SEARCH($BR$1,Таблица1[[#This Row],[31_1 Описание и характеристика товара]]))*1</f>
        <v>1</v>
      </c>
      <c r="BT159" t="s">
        <v>150</v>
      </c>
      <c r="BU159">
        <v>33</v>
      </c>
      <c r="BV159">
        <v>0</v>
      </c>
      <c r="BW159">
        <v>0</v>
      </c>
      <c r="BY159">
        <v>0</v>
      </c>
      <c r="CA159" t="s">
        <v>106</v>
      </c>
      <c r="CB159" t="s">
        <v>142</v>
      </c>
      <c r="CC159" t="s">
        <v>112</v>
      </c>
      <c r="CD159" t="s">
        <v>112</v>
      </c>
      <c r="CE159" t="s">
        <v>121</v>
      </c>
      <c r="CF159">
        <v>14268.6</v>
      </c>
      <c r="CG159" t="s">
        <v>144</v>
      </c>
      <c r="CH159">
        <v>4000000</v>
      </c>
      <c r="CI159">
        <v>13728.6</v>
      </c>
      <c r="CJ159">
        <v>0</v>
      </c>
      <c r="CK159" t="s">
        <v>112</v>
      </c>
      <c r="CL159" t="s">
        <v>112</v>
      </c>
      <c r="CM159">
        <v>39846.6</v>
      </c>
      <c r="CO159">
        <v>0</v>
      </c>
      <c r="CP159">
        <v>1</v>
      </c>
      <c r="CQ159">
        <v>4328320.67</v>
      </c>
      <c r="CR159">
        <v>46261.72</v>
      </c>
      <c r="CS159" t="s">
        <v>145</v>
      </c>
      <c r="CT159">
        <v>46265.382000000005</v>
      </c>
      <c r="CU159">
        <v>3.37</v>
      </c>
      <c r="CV159">
        <v>45</v>
      </c>
      <c r="CX159" t="s">
        <v>233</v>
      </c>
      <c r="CY159">
        <v>205</v>
      </c>
    </row>
    <row r="160" spans="1:103" x14ac:dyDescent="0.25">
      <c r="A160" t="s">
        <v>126</v>
      </c>
      <c r="B160" s="38">
        <v>44928</v>
      </c>
      <c r="C160" s="43">
        <f>IF(YEAR(Таблица1[[#This Row],[Дата]])=2023,MONTH(Таблица1[[#This Row],[Дата]]),0)</f>
        <v>1</v>
      </c>
      <c r="D160" t="s">
        <v>1870</v>
      </c>
      <c r="E160" t="s">
        <v>108</v>
      </c>
      <c r="F160" t="s">
        <v>1871</v>
      </c>
      <c r="G160" t="s">
        <v>110</v>
      </c>
      <c r="H160" t="s">
        <v>111</v>
      </c>
      <c r="I160" t="s">
        <v>112</v>
      </c>
      <c r="J160" t="s">
        <v>112</v>
      </c>
      <c r="K160" t="s">
        <v>112</v>
      </c>
      <c r="L160" t="s">
        <v>150</v>
      </c>
      <c r="M160" t="s">
        <v>151</v>
      </c>
      <c r="N160" t="s">
        <v>112</v>
      </c>
      <c r="O160" t="s">
        <v>112</v>
      </c>
      <c r="P160">
        <v>1</v>
      </c>
      <c r="R160">
        <v>1</v>
      </c>
      <c r="S160">
        <v>33</v>
      </c>
      <c r="T160" t="s">
        <v>112</v>
      </c>
      <c r="U160" t="s">
        <v>152</v>
      </c>
      <c r="V160" t="s">
        <v>153</v>
      </c>
      <c r="W160" t="s">
        <v>154</v>
      </c>
      <c r="X160" t="s">
        <v>112</v>
      </c>
      <c r="Y160" t="s">
        <v>112</v>
      </c>
      <c r="Z160" t="s">
        <v>112</v>
      </c>
      <c r="AA160" t="s">
        <v>152</v>
      </c>
      <c r="AB160" t="s">
        <v>153</v>
      </c>
      <c r="AC160" t="s">
        <v>154</v>
      </c>
      <c r="AD160" t="s">
        <v>112</v>
      </c>
      <c r="AE160" t="s">
        <v>112</v>
      </c>
      <c r="AF160" t="s">
        <v>121</v>
      </c>
      <c r="AG160" t="s">
        <v>122</v>
      </c>
      <c r="AH160">
        <v>5187377.29</v>
      </c>
      <c r="AI160" t="s">
        <v>112</v>
      </c>
      <c r="AJ160" t="s">
        <v>152</v>
      </c>
      <c r="AK160" t="s">
        <v>153</v>
      </c>
      <c r="AL160" t="s">
        <v>154</v>
      </c>
      <c r="AM160" t="s">
        <v>112</v>
      </c>
      <c r="AN160" t="s">
        <v>112</v>
      </c>
      <c r="AO160" t="s">
        <v>121</v>
      </c>
      <c r="AP160" t="s">
        <v>122</v>
      </c>
      <c r="AQ160" t="s">
        <v>122</v>
      </c>
      <c r="AR160" t="s">
        <v>124</v>
      </c>
      <c r="AS160" t="s">
        <v>125</v>
      </c>
      <c r="AT160">
        <v>2</v>
      </c>
      <c r="AU160" t="s">
        <v>126</v>
      </c>
      <c r="AV160" t="s">
        <v>155</v>
      </c>
      <c r="AW160" t="s">
        <v>156</v>
      </c>
      <c r="AY160" t="s">
        <v>129</v>
      </c>
      <c r="AZ160">
        <v>48547</v>
      </c>
      <c r="BC160">
        <v>98.7376</v>
      </c>
      <c r="BD160" t="s">
        <v>112</v>
      </c>
      <c r="BE160" t="s">
        <v>112</v>
      </c>
      <c r="BF160" t="s">
        <v>157</v>
      </c>
      <c r="BG160" t="s">
        <v>133</v>
      </c>
      <c r="BH160" t="s">
        <v>134</v>
      </c>
      <c r="BI160" t="s">
        <v>112</v>
      </c>
      <c r="BJ160" t="s">
        <v>112</v>
      </c>
      <c r="BK160" t="s">
        <v>112</v>
      </c>
      <c r="BL160" t="s">
        <v>158</v>
      </c>
      <c r="BM160" t="s">
        <v>159</v>
      </c>
      <c r="BN160" t="s">
        <v>212</v>
      </c>
      <c r="BO160" t="s">
        <v>161</v>
      </c>
      <c r="BQ160" t="s">
        <v>232</v>
      </c>
      <c r="BR160" s="45">
        <f>ISNUMBER(SEARCH($BR$1,Таблица1[[#This Row],[31_1 Описание и характеристика товара]]))*1</f>
        <v>1</v>
      </c>
      <c r="BT160" t="s">
        <v>150</v>
      </c>
      <c r="BU160">
        <v>33</v>
      </c>
      <c r="BV160">
        <v>0</v>
      </c>
      <c r="BW160">
        <v>0</v>
      </c>
      <c r="BY160">
        <v>0</v>
      </c>
      <c r="CA160" t="s">
        <v>106</v>
      </c>
      <c r="CB160" t="s">
        <v>142</v>
      </c>
      <c r="CC160" t="s">
        <v>112</v>
      </c>
      <c r="CD160" t="s">
        <v>112</v>
      </c>
      <c r="CE160" t="s">
        <v>121</v>
      </c>
      <c r="CF160">
        <v>16525.080000000002</v>
      </c>
      <c r="CG160" t="s">
        <v>144</v>
      </c>
      <c r="CH160">
        <v>4000000</v>
      </c>
      <c r="CI160">
        <v>16525.080000000002</v>
      </c>
      <c r="CJ160">
        <v>0</v>
      </c>
      <c r="CK160" t="s">
        <v>112</v>
      </c>
      <c r="CL160" t="s">
        <v>112</v>
      </c>
      <c r="CM160">
        <v>48547</v>
      </c>
      <c r="CP160">
        <v>1</v>
      </c>
      <c r="CQ160">
        <v>5187377.29</v>
      </c>
      <c r="CR160">
        <v>55443.44</v>
      </c>
      <c r="CS160" t="s">
        <v>112</v>
      </c>
      <c r="CT160">
        <v>55524.268800000005</v>
      </c>
      <c r="CU160">
        <v>3.36</v>
      </c>
      <c r="CV160">
        <v>45</v>
      </c>
      <c r="CX160" t="s">
        <v>163</v>
      </c>
    </row>
    <row r="161" spans="1:103" x14ac:dyDescent="0.25">
      <c r="A161" t="s">
        <v>106</v>
      </c>
      <c r="B161" s="38">
        <v>45268</v>
      </c>
      <c r="C161" s="43">
        <f>IF(YEAR(Таблица1[[#This Row],[Дата]])=2023,MONTH(Таблица1[[#This Row],[Дата]]),0)</f>
        <v>12</v>
      </c>
      <c r="D161" t="s">
        <v>1864</v>
      </c>
      <c r="E161" t="s">
        <v>108</v>
      </c>
      <c r="F161" t="s">
        <v>1865</v>
      </c>
      <c r="G161" t="s">
        <v>110</v>
      </c>
      <c r="H161" t="s">
        <v>111</v>
      </c>
      <c r="I161" t="s">
        <v>112</v>
      </c>
      <c r="J161" t="s">
        <v>112</v>
      </c>
      <c r="K161" t="s">
        <v>112</v>
      </c>
      <c r="L161" t="s">
        <v>150</v>
      </c>
      <c r="M161" t="s">
        <v>151</v>
      </c>
      <c r="N161" t="s">
        <v>112</v>
      </c>
      <c r="O161" t="s">
        <v>112</v>
      </c>
      <c r="P161">
        <v>1</v>
      </c>
      <c r="R161">
        <v>1</v>
      </c>
      <c r="S161">
        <v>33</v>
      </c>
      <c r="T161" t="s">
        <v>112</v>
      </c>
      <c r="U161" t="s">
        <v>152</v>
      </c>
      <c r="V161" t="s">
        <v>153</v>
      </c>
      <c r="W161" t="s">
        <v>154</v>
      </c>
      <c r="X161" t="s">
        <v>119</v>
      </c>
      <c r="Y161" t="s">
        <v>112</v>
      </c>
      <c r="Z161" t="s">
        <v>112</v>
      </c>
      <c r="AA161" t="s">
        <v>152</v>
      </c>
      <c r="AB161" t="s">
        <v>153</v>
      </c>
      <c r="AC161" t="s">
        <v>154</v>
      </c>
      <c r="AD161" t="s">
        <v>119</v>
      </c>
      <c r="AE161" t="s">
        <v>112</v>
      </c>
      <c r="AF161" t="s">
        <v>121</v>
      </c>
      <c r="AG161" t="s">
        <v>122</v>
      </c>
      <c r="AH161">
        <v>4964309.3</v>
      </c>
      <c r="AI161" t="s">
        <v>112</v>
      </c>
      <c r="AJ161" t="s">
        <v>152</v>
      </c>
      <c r="AK161" t="s">
        <v>153</v>
      </c>
      <c r="AL161" t="s">
        <v>154</v>
      </c>
      <c r="AM161" t="s">
        <v>119</v>
      </c>
      <c r="AN161" t="s">
        <v>112</v>
      </c>
      <c r="AO161" t="s">
        <v>121</v>
      </c>
      <c r="AP161" t="s">
        <v>122</v>
      </c>
      <c r="AQ161" t="s">
        <v>122</v>
      </c>
      <c r="AR161" t="s">
        <v>124</v>
      </c>
      <c r="AS161" t="s">
        <v>125</v>
      </c>
      <c r="AT161">
        <v>2</v>
      </c>
      <c r="AU161" t="s">
        <v>126</v>
      </c>
      <c r="AV161" t="s">
        <v>155</v>
      </c>
      <c r="AW161" t="s">
        <v>156</v>
      </c>
      <c r="AY161" t="s">
        <v>129</v>
      </c>
      <c r="AZ161">
        <v>45757.8</v>
      </c>
      <c r="BC161">
        <v>98.7376</v>
      </c>
      <c r="BD161" t="s">
        <v>112</v>
      </c>
      <c r="BE161" t="s">
        <v>112</v>
      </c>
      <c r="BF161" t="s">
        <v>157</v>
      </c>
      <c r="BG161" t="s">
        <v>133</v>
      </c>
      <c r="BH161" t="s">
        <v>134</v>
      </c>
      <c r="BI161" t="s">
        <v>112</v>
      </c>
      <c r="BJ161" t="s">
        <v>112</v>
      </c>
      <c r="BK161" t="s">
        <v>112</v>
      </c>
      <c r="BL161" t="s">
        <v>158</v>
      </c>
      <c r="BM161" t="s">
        <v>159</v>
      </c>
      <c r="BN161" t="s">
        <v>212</v>
      </c>
      <c r="BO161" t="s">
        <v>161</v>
      </c>
      <c r="BQ161" t="s">
        <v>162</v>
      </c>
      <c r="BR161" s="45">
        <f>ISNUMBER(SEARCH($BR$1,Таблица1[[#This Row],[31_1 Описание и характеристика товара]]))*1</f>
        <v>1</v>
      </c>
      <c r="BT161" t="s">
        <v>150</v>
      </c>
      <c r="BU161">
        <v>33</v>
      </c>
      <c r="BV161">
        <v>0</v>
      </c>
      <c r="BW161">
        <v>0</v>
      </c>
      <c r="BY161">
        <v>0</v>
      </c>
      <c r="CA161" t="s">
        <v>106</v>
      </c>
      <c r="CB161" t="s">
        <v>142</v>
      </c>
      <c r="CC161" t="s">
        <v>112</v>
      </c>
      <c r="CD161" t="s">
        <v>112</v>
      </c>
      <c r="CE161" t="s">
        <v>121</v>
      </c>
      <c r="CF161">
        <v>16415.64</v>
      </c>
      <c r="CG161" t="s">
        <v>144</v>
      </c>
      <c r="CH161">
        <v>4000000</v>
      </c>
      <c r="CI161">
        <v>16361.64</v>
      </c>
      <c r="CJ161">
        <v>0</v>
      </c>
      <c r="CK161" t="s">
        <v>112</v>
      </c>
      <c r="CL161" t="s">
        <v>112</v>
      </c>
      <c r="CM161">
        <v>45757.8</v>
      </c>
      <c r="CO161">
        <v>0</v>
      </c>
      <c r="CP161">
        <v>1</v>
      </c>
      <c r="CQ161">
        <v>4964309.3</v>
      </c>
      <c r="CR161">
        <v>53059.26</v>
      </c>
      <c r="CS161" t="s">
        <v>145</v>
      </c>
      <c r="CT161">
        <v>53011.713600000003</v>
      </c>
      <c r="CU161">
        <v>3.24</v>
      </c>
      <c r="CV161">
        <v>45</v>
      </c>
      <c r="CX161" t="s">
        <v>1140</v>
      </c>
      <c r="CY161">
        <v>155</v>
      </c>
    </row>
    <row r="162" spans="1:103" x14ac:dyDescent="0.25">
      <c r="A162" t="s">
        <v>106</v>
      </c>
      <c r="B162" s="38">
        <v>44952</v>
      </c>
      <c r="C162" s="43">
        <f>IF(YEAR(Таблица1[[#This Row],[Дата]])=2023,MONTH(Таблица1[[#This Row],[Дата]]),0)</f>
        <v>1</v>
      </c>
      <c r="D162" t="s">
        <v>1876</v>
      </c>
      <c r="E162" t="s">
        <v>108</v>
      </c>
      <c r="F162" t="s">
        <v>1877</v>
      </c>
      <c r="G162" t="s">
        <v>110</v>
      </c>
      <c r="H162" t="s">
        <v>111</v>
      </c>
      <c r="I162" t="s">
        <v>112</v>
      </c>
      <c r="J162" t="s">
        <v>112</v>
      </c>
      <c r="K162" t="s">
        <v>112</v>
      </c>
      <c r="L162" t="s">
        <v>150</v>
      </c>
      <c r="M162" t="s">
        <v>151</v>
      </c>
      <c r="N162" t="s">
        <v>112</v>
      </c>
      <c r="O162" t="s">
        <v>112</v>
      </c>
      <c r="P162">
        <v>1</v>
      </c>
      <c r="R162">
        <v>1</v>
      </c>
      <c r="S162">
        <v>33</v>
      </c>
      <c r="T162" t="s">
        <v>112</v>
      </c>
      <c r="U162" t="s">
        <v>152</v>
      </c>
      <c r="V162" t="s">
        <v>153</v>
      </c>
      <c r="W162" t="s">
        <v>154</v>
      </c>
      <c r="X162" t="s">
        <v>119</v>
      </c>
      <c r="Y162" t="s">
        <v>112</v>
      </c>
      <c r="Z162" t="s">
        <v>112</v>
      </c>
      <c r="AA162" t="s">
        <v>152</v>
      </c>
      <c r="AB162" t="s">
        <v>153</v>
      </c>
      <c r="AC162" t="s">
        <v>154</v>
      </c>
      <c r="AD162" t="s">
        <v>119</v>
      </c>
      <c r="AE162" t="s">
        <v>112</v>
      </c>
      <c r="AF162" t="s">
        <v>121</v>
      </c>
      <c r="AG162" t="s">
        <v>122</v>
      </c>
      <c r="AH162">
        <v>4853920.66</v>
      </c>
      <c r="AI162" t="s">
        <v>112</v>
      </c>
      <c r="AJ162" t="s">
        <v>152</v>
      </c>
      <c r="AK162" t="s">
        <v>153</v>
      </c>
      <c r="AL162" t="s">
        <v>154</v>
      </c>
      <c r="AM162" t="s">
        <v>119</v>
      </c>
      <c r="AN162" t="s">
        <v>112</v>
      </c>
      <c r="AO162" t="s">
        <v>121</v>
      </c>
      <c r="AP162" t="s">
        <v>122</v>
      </c>
      <c r="AQ162" t="s">
        <v>122</v>
      </c>
      <c r="AR162" t="s">
        <v>124</v>
      </c>
      <c r="AS162" t="s">
        <v>125</v>
      </c>
      <c r="AT162">
        <v>2</v>
      </c>
      <c r="AU162" t="s">
        <v>126</v>
      </c>
      <c r="AV162" t="s">
        <v>155</v>
      </c>
      <c r="AW162" t="s">
        <v>156</v>
      </c>
      <c r="AY162" t="s">
        <v>129</v>
      </c>
      <c r="AZ162">
        <v>45169.8</v>
      </c>
      <c r="BC162">
        <v>98.7376</v>
      </c>
      <c r="BD162" t="s">
        <v>112</v>
      </c>
      <c r="BE162" t="s">
        <v>112</v>
      </c>
      <c r="BF162" t="s">
        <v>157</v>
      </c>
      <c r="BG162" t="s">
        <v>133</v>
      </c>
      <c r="BH162" t="s">
        <v>134</v>
      </c>
      <c r="BI162" t="s">
        <v>112</v>
      </c>
      <c r="BJ162" t="s">
        <v>112</v>
      </c>
      <c r="BK162" t="s">
        <v>112</v>
      </c>
      <c r="BL162" t="s">
        <v>158</v>
      </c>
      <c r="BM162" t="s">
        <v>159</v>
      </c>
      <c r="BN162" t="s">
        <v>212</v>
      </c>
      <c r="BO162" t="s">
        <v>161</v>
      </c>
      <c r="BQ162" t="s">
        <v>466</v>
      </c>
      <c r="BR162" s="45">
        <f>ISNUMBER(SEARCH($BR$1,Таблица1[[#This Row],[31_1 Описание и характеристика товара]]))*1</f>
        <v>1</v>
      </c>
      <c r="BT162" t="s">
        <v>150</v>
      </c>
      <c r="BU162">
        <v>33</v>
      </c>
      <c r="BV162">
        <v>0</v>
      </c>
      <c r="BW162">
        <v>0</v>
      </c>
      <c r="BY162">
        <v>0</v>
      </c>
      <c r="CA162" t="s">
        <v>106</v>
      </c>
      <c r="CB162" t="s">
        <v>142</v>
      </c>
      <c r="CC162" t="s">
        <v>112</v>
      </c>
      <c r="CD162" t="s">
        <v>112</v>
      </c>
      <c r="CE162" t="s">
        <v>121</v>
      </c>
      <c r="CF162">
        <v>15594.99</v>
      </c>
      <c r="CG162" t="s">
        <v>144</v>
      </c>
      <c r="CH162">
        <v>4000000</v>
      </c>
      <c r="CI162">
        <v>15440.19</v>
      </c>
      <c r="CJ162">
        <v>0</v>
      </c>
      <c r="CK162" t="s">
        <v>112</v>
      </c>
      <c r="CL162" t="s">
        <v>112</v>
      </c>
      <c r="CM162">
        <v>45169.8</v>
      </c>
      <c r="CO162">
        <v>0</v>
      </c>
      <c r="CP162">
        <v>1</v>
      </c>
      <c r="CQ162">
        <v>4853920.66</v>
      </c>
      <c r="CR162">
        <v>51879.41</v>
      </c>
      <c r="CS162" t="s">
        <v>145</v>
      </c>
      <c r="CT162">
        <v>51879.038399999998</v>
      </c>
      <c r="CU162">
        <v>3.36</v>
      </c>
      <c r="CV162">
        <v>45</v>
      </c>
      <c r="CX162" t="s">
        <v>729</v>
      </c>
      <c r="CY162">
        <v>552</v>
      </c>
    </row>
    <row r="163" spans="1:103" x14ac:dyDescent="0.25">
      <c r="A163" t="s">
        <v>106</v>
      </c>
      <c r="B163" s="38">
        <v>45138</v>
      </c>
      <c r="C163" s="43">
        <f>IF(YEAR(Таблица1[[#This Row],[Дата]])=2023,MONTH(Таблица1[[#This Row],[Дата]]),0)</f>
        <v>7</v>
      </c>
      <c r="D163" t="s">
        <v>1595</v>
      </c>
      <c r="E163" t="s">
        <v>108</v>
      </c>
      <c r="F163" t="s">
        <v>1596</v>
      </c>
      <c r="G163" t="s">
        <v>110</v>
      </c>
      <c r="H163" t="s">
        <v>111</v>
      </c>
      <c r="I163" t="s">
        <v>112</v>
      </c>
      <c r="J163" t="s">
        <v>112</v>
      </c>
      <c r="K163" t="s">
        <v>112</v>
      </c>
      <c r="L163" t="s">
        <v>150</v>
      </c>
      <c r="M163" t="s">
        <v>1143</v>
      </c>
      <c r="N163" t="s">
        <v>112</v>
      </c>
      <c r="O163" t="s">
        <v>112</v>
      </c>
      <c r="P163">
        <v>1</v>
      </c>
      <c r="Q163">
        <v>0</v>
      </c>
      <c r="R163">
        <v>1</v>
      </c>
      <c r="S163">
        <v>33</v>
      </c>
      <c r="T163" t="s">
        <v>166</v>
      </c>
      <c r="U163" t="s">
        <v>152</v>
      </c>
      <c r="V163" t="s">
        <v>153</v>
      </c>
      <c r="W163" t="s">
        <v>154</v>
      </c>
      <c r="X163" t="s">
        <v>119</v>
      </c>
      <c r="Y163" t="s">
        <v>112</v>
      </c>
      <c r="Z163" t="s">
        <v>166</v>
      </c>
      <c r="AA163" t="s">
        <v>152</v>
      </c>
      <c r="AB163" t="s">
        <v>153</v>
      </c>
      <c r="AC163" t="s">
        <v>154</v>
      </c>
      <c r="AD163" t="s">
        <v>119</v>
      </c>
      <c r="AE163" t="s">
        <v>112</v>
      </c>
      <c r="AF163" t="s">
        <v>121</v>
      </c>
      <c r="AG163" t="s">
        <v>122</v>
      </c>
      <c r="AH163">
        <v>4761360.07</v>
      </c>
      <c r="AI163" t="s">
        <v>166</v>
      </c>
      <c r="AJ163" t="s">
        <v>152</v>
      </c>
      <c r="AK163" t="s">
        <v>153</v>
      </c>
      <c r="AL163" t="s">
        <v>154</v>
      </c>
      <c r="AM163" t="s">
        <v>119</v>
      </c>
      <c r="AN163" t="s">
        <v>112</v>
      </c>
      <c r="AO163" t="s">
        <v>121</v>
      </c>
      <c r="AP163" t="s">
        <v>122</v>
      </c>
      <c r="AQ163" t="s">
        <v>122</v>
      </c>
      <c r="AR163" t="s">
        <v>124</v>
      </c>
      <c r="AS163" t="s">
        <v>125</v>
      </c>
      <c r="AT163">
        <v>2</v>
      </c>
      <c r="AU163" t="s">
        <v>126</v>
      </c>
      <c r="AV163" t="s">
        <v>155</v>
      </c>
      <c r="AW163" t="s">
        <v>156</v>
      </c>
      <c r="AX163">
        <v>1</v>
      </c>
      <c r="AY163" t="s">
        <v>129</v>
      </c>
      <c r="AZ163">
        <v>43619.4</v>
      </c>
      <c r="BA163">
        <v>4349535</v>
      </c>
      <c r="BB163">
        <v>52876.5</v>
      </c>
      <c r="BC163">
        <v>99.715599999999995</v>
      </c>
      <c r="BD163" t="s">
        <v>130</v>
      </c>
      <c r="BE163" t="s">
        <v>112</v>
      </c>
      <c r="BF163" t="s">
        <v>157</v>
      </c>
      <c r="BG163" t="s">
        <v>133</v>
      </c>
      <c r="BH163" t="s">
        <v>134</v>
      </c>
      <c r="BI163" t="s">
        <v>112</v>
      </c>
      <c r="BJ163" t="s">
        <v>112</v>
      </c>
      <c r="BK163" t="s">
        <v>112</v>
      </c>
      <c r="BL163" t="s">
        <v>169</v>
      </c>
      <c r="BM163" t="s">
        <v>159</v>
      </c>
      <c r="BN163" t="s">
        <v>722</v>
      </c>
      <c r="BO163" t="s">
        <v>161</v>
      </c>
      <c r="BP163">
        <v>1</v>
      </c>
      <c r="BQ163" t="s">
        <v>528</v>
      </c>
      <c r="BR163" s="45">
        <f>ISNUMBER(SEARCH($BR$1,Таблица1[[#This Row],[31_1 Описание и характеристика товара]]))*1</f>
        <v>1</v>
      </c>
      <c r="BT163" t="s">
        <v>150</v>
      </c>
      <c r="BU163">
        <v>33</v>
      </c>
      <c r="BV163">
        <v>0</v>
      </c>
      <c r="BW163">
        <v>0</v>
      </c>
      <c r="BY163">
        <v>0</v>
      </c>
      <c r="CA163" t="s">
        <v>106</v>
      </c>
      <c r="CB163" t="s">
        <v>142</v>
      </c>
      <c r="CC163" t="s">
        <v>112</v>
      </c>
      <c r="CD163" t="s">
        <v>112</v>
      </c>
      <c r="CE163" t="s">
        <v>121</v>
      </c>
      <c r="CF163">
        <v>16536.36</v>
      </c>
      <c r="CG163" t="s">
        <v>144</v>
      </c>
      <c r="CH163">
        <v>4000000</v>
      </c>
      <c r="CI163">
        <v>16428.36</v>
      </c>
      <c r="CJ163">
        <v>0</v>
      </c>
      <c r="CK163" t="s">
        <v>112</v>
      </c>
      <c r="CL163" t="s">
        <v>112</v>
      </c>
      <c r="CM163">
        <v>43619.4</v>
      </c>
      <c r="CN163">
        <v>4349535</v>
      </c>
      <c r="CO163">
        <v>0</v>
      </c>
      <c r="CP163">
        <v>1</v>
      </c>
      <c r="CQ163">
        <v>4761360.07</v>
      </c>
      <c r="CR163">
        <v>52876.5</v>
      </c>
      <c r="CS163" t="s">
        <v>145</v>
      </c>
      <c r="CT163">
        <v>52899.319200000005</v>
      </c>
      <c r="CU163">
        <v>3.22</v>
      </c>
      <c r="CV163">
        <v>45</v>
      </c>
      <c r="CW163" t="s">
        <v>171</v>
      </c>
      <c r="CX163" t="s">
        <v>350</v>
      </c>
      <c r="CY163">
        <v>324</v>
      </c>
    </row>
    <row r="164" spans="1:103" x14ac:dyDescent="0.25">
      <c r="A164" t="s">
        <v>106</v>
      </c>
      <c r="B164" s="38">
        <v>45175</v>
      </c>
      <c r="C164" s="43">
        <f>IF(YEAR(Таблица1[[#This Row],[Дата]])=2023,MONTH(Таблица1[[#This Row],[Дата]]),0)</f>
        <v>9</v>
      </c>
      <c r="D164" t="s">
        <v>1593</v>
      </c>
      <c r="E164" t="s">
        <v>108</v>
      </c>
      <c r="F164" t="s">
        <v>1594</v>
      </c>
      <c r="G164" t="s">
        <v>110</v>
      </c>
      <c r="H164" t="s">
        <v>111</v>
      </c>
      <c r="I164" t="s">
        <v>112</v>
      </c>
      <c r="J164" t="s">
        <v>112</v>
      </c>
      <c r="K164" t="s">
        <v>112</v>
      </c>
      <c r="L164" t="s">
        <v>150</v>
      </c>
      <c r="M164" t="s">
        <v>1143</v>
      </c>
      <c r="N164" t="s">
        <v>112</v>
      </c>
      <c r="O164" t="s">
        <v>112</v>
      </c>
      <c r="P164">
        <v>1</v>
      </c>
      <c r="Q164">
        <v>0</v>
      </c>
      <c r="R164">
        <v>1</v>
      </c>
      <c r="S164">
        <v>33</v>
      </c>
      <c r="T164" t="s">
        <v>166</v>
      </c>
      <c r="U164" t="s">
        <v>152</v>
      </c>
      <c r="V164" t="s">
        <v>153</v>
      </c>
      <c r="W164" t="s">
        <v>154</v>
      </c>
      <c r="X164" t="s">
        <v>119</v>
      </c>
      <c r="Y164" t="s">
        <v>112</v>
      </c>
      <c r="Z164" t="s">
        <v>166</v>
      </c>
      <c r="AA164" t="s">
        <v>152</v>
      </c>
      <c r="AB164" t="s">
        <v>153</v>
      </c>
      <c r="AC164" t="s">
        <v>154</v>
      </c>
      <c r="AD164" t="s">
        <v>119</v>
      </c>
      <c r="AE164" t="s">
        <v>112</v>
      </c>
      <c r="AF164" t="s">
        <v>121</v>
      </c>
      <c r="AG164" t="s">
        <v>122</v>
      </c>
      <c r="AH164">
        <v>4618908.3600000003</v>
      </c>
      <c r="AI164" t="s">
        <v>166</v>
      </c>
      <c r="AJ164" t="s">
        <v>152</v>
      </c>
      <c r="AK164" t="s">
        <v>153</v>
      </c>
      <c r="AL164" t="s">
        <v>154</v>
      </c>
      <c r="AM164" t="s">
        <v>119</v>
      </c>
      <c r="AN164" t="s">
        <v>112</v>
      </c>
      <c r="AO164" t="s">
        <v>121</v>
      </c>
      <c r="AP164" t="s">
        <v>122</v>
      </c>
      <c r="AQ164" t="s">
        <v>122</v>
      </c>
      <c r="AR164" t="s">
        <v>124</v>
      </c>
      <c r="AS164" t="s">
        <v>125</v>
      </c>
      <c r="AT164">
        <v>2</v>
      </c>
      <c r="AU164" t="s">
        <v>126</v>
      </c>
      <c r="AV164" t="s">
        <v>155</v>
      </c>
      <c r="AW164" t="s">
        <v>156</v>
      </c>
      <c r="AX164">
        <v>1</v>
      </c>
      <c r="AY164" t="s">
        <v>129</v>
      </c>
      <c r="AZ164">
        <v>42190.82</v>
      </c>
      <c r="BA164">
        <v>4207083</v>
      </c>
      <c r="BB164">
        <v>51294.53</v>
      </c>
      <c r="BC164">
        <v>99.715599999999995</v>
      </c>
      <c r="BD164" t="s">
        <v>130</v>
      </c>
      <c r="BE164" t="s">
        <v>112</v>
      </c>
      <c r="BF164" t="s">
        <v>157</v>
      </c>
      <c r="BG164" t="s">
        <v>133</v>
      </c>
      <c r="BH164" t="s">
        <v>134</v>
      </c>
      <c r="BI164" t="s">
        <v>112</v>
      </c>
      <c r="BJ164" t="s">
        <v>112</v>
      </c>
      <c r="BK164" t="s">
        <v>112</v>
      </c>
      <c r="BL164" t="s">
        <v>169</v>
      </c>
      <c r="BM164" t="s">
        <v>159</v>
      </c>
      <c r="BN164" t="s">
        <v>722</v>
      </c>
      <c r="BO164" t="s">
        <v>161</v>
      </c>
      <c r="BP164">
        <v>1</v>
      </c>
      <c r="BQ164" t="s">
        <v>650</v>
      </c>
      <c r="BR164" s="45">
        <f>ISNUMBER(SEARCH($BR$1,Таблица1[[#This Row],[31_1 Описание и характеристика товара]]))*1</f>
        <v>1</v>
      </c>
      <c r="BT164" t="s">
        <v>150</v>
      </c>
      <c r="BU164">
        <v>33</v>
      </c>
      <c r="BV164">
        <v>0</v>
      </c>
      <c r="BW164">
        <v>0</v>
      </c>
      <c r="BY164">
        <v>0</v>
      </c>
      <c r="CA164" t="s">
        <v>106</v>
      </c>
      <c r="CB164" t="s">
        <v>142</v>
      </c>
      <c r="CC164" t="s">
        <v>112</v>
      </c>
      <c r="CD164" t="s">
        <v>112</v>
      </c>
      <c r="CE164" t="s">
        <v>121</v>
      </c>
      <c r="CF164">
        <v>16583.77</v>
      </c>
      <c r="CG164" t="s">
        <v>144</v>
      </c>
      <c r="CH164">
        <v>4000000</v>
      </c>
      <c r="CI164">
        <v>16497.37</v>
      </c>
      <c r="CJ164">
        <v>0</v>
      </c>
      <c r="CK164" t="s">
        <v>112</v>
      </c>
      <c r="CL164" t="s">
        <v>112</v>
      </c>
      <c r="CM164">
        <v>42190.82</v>
      </c>
      <c r="CN164">
        <v>4207083</v>
      </c>
      <c r="CO164">
        <v>0</v>
      </c>
      <c r="CP164">
        <v>1</v>
      </c>
      <c r="CQ164">
        <v>4618908.3600000003</v>
      </c>
      <c r="CR164">
        <v>51294.53</v>
      </c>
      <c r="CS164" t="s">
        <v>145</v>
      </c>
      <c r="CT164">
        <v>51306.820699999997</v>
      </c>
      <c r="CU164">
        <v>3.11</v>
      </c>
      <c r="CV164">
        <v>45</v>
      </c>
      <c r="CW164" t="s">
        <v>171</v>
      </c>
      <c r="CX164" t="s">
        <v>463</v>
      </c>
      <c r="CY164">
        <v>68</v>
      </c>
    </row>
    <row r="165" spans="1:103" x14ac:dyDescent="0.25">
      <c r="A165" t="s">
        <v>106</v>
      </c>
      <c r="B165" s="38">
        <v>45085</v>
      </c>
      <c r="C165" s="43">
        <f>IF(YEAR(Таблица1[[#This Row],[Дата]])=2023,MONTH(Таблица1[[#This Row],[Дата]]),0)</f>
        <v>6</v>
      </c>
      <c r="D165" t="s">
        <v>1589</v>
      </c>
      <c r="E165" t="s">
        <v>108</v>
      </c>
      <c r="F165" t="s">
        <v>1590</v>
      </c>
      <c r="G165" t="s">
        <v>110</v>
      </c>
      <c r="H165" t="s">
        <v>111</v>
      </c>
      <c r="I165" t="s">
        <v>112</v>
      </c>
      <c r="J165" t="s">
        <v>112</v>
      </c>
      <c r="K165" t="s">
        <v>112</v>
      </c>
      <c r="L165" t="s">
        <v>150</v>
      </c>
      <c r="M165" t="s">
        <v>1143</v>
      </c>
      <c r="N165" t="s">
        <v>112</v>
      </c>
      <c r="O165" t="s">
        <v>112</v>
      </c>
      <c r="P165">
        <v>1</v>
      </c>
      <c r="Q165">
        <v>0</v>
      </c>
      <c r="R165">
        <v>1</v>
      </c>
      <c r="S165">
        <v>33</v>
      </c>
      <c r="T165" t="s">
        <v>166</v>
      </c>
      <c r="U165" t="s">
        <v>152</v>
      </c>
      <c r="V165" t="s">
        <v>153</v>
      </c>
      <c r="W165" t="s">
        <v>154</v>
      </c>
      <c r="X165" t="s">
        <v>119</v>
      </c>
      <c r="Y165" t="s">
        <v>112</v>
      </c>
      <c r="Z165" t="s">
        <v>166</v>
      </c>
      <c r="AA165" t="s">
        <v>152</v>
      </c>
      <c r="AB165" t="s">
        <v>153</v>
      </c>
      <c r="AC165" t="s">
        <v>154</v>
      </c>
      <c r="AD165" t="s">
        <v>119</v>
      </c>
      <c r="AE165" t="s">
        <v>112</v>
      </c>
      <c r="AF165" t="s">
        <v>121</v>
      </c>
      <c r="AG165" t="s">
        <v>122</v>
      </c>
      <c r="AH165">
        <v>4810819.01</v>
      </c>
      <c r="AI165" t="s">
        <v>166</v>
      </c>
      <c r="AJ165" t="s">
        <v>152</v>
      </c>
      <c r="AK165" t="s">
        <v>153</v>
      </c>
      <c r="AL165" t="s">
        <v>154</v>
      </c>
      <c r="AM165" t="s">
        <v>119</v>
      </c>
      <c r="AN165" t="s">
        <v>112</v>
      </c>
      <c r="AO165" t="s">
        <v>121</v>
      </c>
      <c r="AP165" t="s">
        <v>122</v>
      </c>
      <c r="AQ165" t="s">
        <v>122</v>
      </c>
      <c r="AR165" t="s">
        <v>124</v>
      </c>
      <c r="AS165" t="s">
        <v>125</v>
      </c>
      <c r="AT165">
        <v>2</v>
      </c>
      <c r="AU165" t="s">
        <v>126</v>
      </c>
      <c r="AV165" t="s">
        <v>155</v>
      </c>
      <c r="AW165" t="s">
        <v>156</v>
      </c>
      <c r="AX165">
        <v>1</v>
      </c>
      <c r="AY165" t="s">
        <v>129</v>
      </c>
      <c r="AZ165">
        <v>43595.4</v>
      </c>
      <c r="BA165">
        <v>4347141</v>
      </c>
      <c r="BB165">
        <v>53425.760000000002</v>
      </c>
      <c r="BC165">
        <v>99.715599999999995</v>
      </c>
      <c r="BD165" t="s">
        <v>130</v>
      </c>
      <c r="BE165" t="s">
        <v>112</v>
      </c>
      <c r="BF165" t="s">
        <v>157</v>
      </c>
      <c r="BG165" t="s">
        <v>133</v>
      </c>
      <c r="BH165" t="s">
        <v>134</v>
      </c>
      <c r="BI165" t="s">
        <v>112</v>
      </c>
      <c r="BJ165" t="s">
        <v>112</v>
      </c>
      <c r="BK165" t="s">
        <v>112</v>
      </c>
      <c r="BL165" t="s">
        <v>169</v>
      </c>
      <c r="BM165" t="s">
        <v>159</v>
      </c>
      <c r="BN165" t="s">
        <v>722</v>
      </c>
      <c r="BO165" t="s">
        <v>161</v>
      </c>
      <c r="BP165">
        <v>1</v>
      </c>
      <c r="BQ165" t="s">
        <v>205</v>
      </c>
      <c r="BR165" s="45">
        <f>ISNUMBER(SEARCH($BR$1,Таблица1[[#This Row],[31_1 Описание и характеристика товара]]))*1</f>
        <v>1</v>
      </c>
      <c r="BT165" t="s">
        <v>150</v>
      </c>
      <c r="BU165">
        <v>33</v>
      </c>
      <c r="BV165">
        <v>0</v>
      </c>
      <c r="BW165">
        <v>0</v>
      </c>
      <c r="BY165">
        <v>0</v>
      </c>
      <c r="CA165" t="s">
        <v>106</v>
      </c>
      <c r="CB165" t="s">
        <v>142</v>
      </c>
      <c r="CC165" t="s">
        <v>112</v>
      </c>
      <c r="CD165" t="s">
        <v>112</v>
      </c>
      <c r="CE165" t="s">
        <v>121</v>
      </c>
      <c r="CF165">
        <v>16704.96</v>
      </c>
      <c r="CG165" t="s">
        <v>144</v>
      </c>
      <c r="CH165">
        <v>4000000</v>
      </c>
      <c r="CI165">
        <v>16661.759999999998</v>
      </c>
      <c r="CJ165">
        <v>0</v>
      </c>
      <c r="CK165" t="s">
        <v>112</v>
      </c>
      <c r="CL165" t="s">
        <v>112</v>
      </c>
      <c r="CM165">
        <v>43595.4</v>
      </c>
      <c r="CN165">
        <v>4347141</v>
      </c>
      <c r="CO165">
        <v>0</v>
      </c>
      <c r="CP165">
        <v>1</v>
      </c>
      <c r="CQ165">
        <v>4810819.01</v>
      </c>
      <c r="CR165">
        <v>53425.760000000002</v>
      </c>
      <c r="CS165" t="s">
        <v>145</v>
      </c>
      <c r="CT165">
        <v>53484.249599999996</v>
      </c>
      <c r="CU165">
        <v>3.21</v>
      </c>
      <c r="CV165">
        <v>45</v>
      </c>
      <c r="CW165" t="s">
        <v>171</v>
      </c>
      <c r="CX165" t="s">
        <v>369</v>
      </c>
      <c r="CY165">
        <v>112</v>
      </c>
    </row>
    <row r="166" spans="1:103" x14ac:dyDescent="0.25">
      <c r="A166" t="s">
        <v>106</v>
      </c>
      <c r="B166" s="38">
        <v>45221</v>
      </c>
      <c r="C166" s="43">
        <f>IF(YEAR(Таблица1[[#This Row],[Дата]])=2023,MONTH(Таблица1[[#This Row],[Дата]]),0)</f>
        <v>10</v>
      </c>
      <c r="D166" t="s">
        <v>1591</v>
      </c>
      <c r="E166" t="s">
        <v>108</v>
      </c>
      <c r="F166" t="s">
        <v>1592</v>
      </c>
      <c r="G166" t="s">
        <v>110</v>
      </c>
      <c r="H166" t="s">
        <v>111</v>
      </c>
      <c r="I166" t="s">
        <v>112</v>
      </c>
      <c r="J166" t="s">
        <v>112</v>
      </c>
      <c r="K166" t="s">
        <v>112</v>
      </c>
      <c r="L166" t="s">
        <v>150</v>
      </c>
      <c r="M166" t="s">
        <v>1143</v>
      </c>
      <c r="N166" t="s">
        <v>112</v>
      </c>
      <c r="O166" t="s">
        <v>112</v>
      </c>
      <c r="P166">
        <v>1</v>
      </c>
      <c r="Q166">
        <v>0</v>
      </c>
      <c r="R166">
        <v>1</v>
      </c>
      <c r="S166">
        <v>33</v>
      </c>
      <c r="T166" t="s">
        <v>166</v>
      </c>
      <c r="U166" t="s">
        <v>152</v>
      </c>
      <c r="V166" t="s">
        <v>153</v>
      </c>
      <c r="W166" t="s">
        <v>154</v>
      </c>
      <c r="X166" t="s">
        <v>119</v>
      </c>
      <c r="Y166" t="s">
        <v>112</v>
      </c>
      <c r="Z166" t="s">
        <v>166</v>
      </c>
      <c r="AA166" t="s">
        <v>152</v>
      </c>
      <c r="AB166" t="s">
        <v>153</v>
      </c>
      <c r="AC166" t="s">
        <v>154</v>
      </c>
      <c r="AD166" t="s">
        <v>119</v>
      </c>
      <c r="AE166" t="s">
        <v>112</v>
      </c>
      <c r="AF166" t="s">
        <v>121</v>
      </c>
      <c r="AG166" t="s">
        <v>122</v>
      </c>
      <c r="AH166">
        <v>4689215.84</v>
      </c>
      <c r="AI166" t="s">
        <v>166</v>
      </c>
      <c r="AJ166" t="s">
        <v>152</v>
      </c>
      <c r="AK166" t="s">
        <v>153</v>
      </c>
      <c r="AL166" t="s">
        <v>154</v>
      </c>
      <c r="AM166" t="s">
        <v>119</v>
      </c>
      <c r="AN166" t="s">
        <v>112</v>
      </c>
      <c r="AO166" t="s">
        <v>121</v>
      </c>
      <c r="AP166" t="s">
        <v>122</v>
      </c>
      <c r="AQ166" t="s">
        <v>122</v>
      </c>
      <c r="AR166" t="s">
        <v>124</v>
      </c>
      <c r="AS166" t="s">
        <v>125</v>
      </c>
      <c r="AT166">
        <v>2</v>
      </c>
      <c r="AU166" t="s">
        <v>126</v>
      </c>
      <c r="AV166" t="s">
        <v>155</v>
      </c>
      <c r="AW166" t="s">
        <v>156</v>
      </c>
      <c r="AX166">
        <v>1</v>
      </c>
      <c r="AY166" t="s">
        <v>129</v>
      </c>
      <c r="AZ166">
        <v>42895.9</v>
      </c>
      <c r="BA166">
        <v>4277390</v>
      </c>
      <c r="BB166">
        <v>52075.32</v>
      </c>
      <c r="BC166">
        <v>99.715599999999995</v>
      </c>
      <c r="BD166" t="s">
        <v>130</v>
      </c>
      <c r="BE166" t="s">
        <v>112</v>
      </c>
      <c r="BF166" t="s">
        <v>157</v>
      </c>
      <c r="BG166" t="s">
        <v>133</v>
      </c>
      <c r="BH166" t="s">
        <v>134</v>
      </c>
      <c r="BI166" t="s">
        <v>112</v>
      </c>
      <c r="BJ166" t="s">
        <v>112</v>
      </c>
      <c r="BK166" t="s">
        <v>112</v>
      </c>
      <c r="BL166" t="s">
        <v>169</v>
      </c>
      <c r="BM166" t="s">
        <v>159</v>
      </c>
      <c r="BN166" t="s">
        <v>722</v>
      </c>
      <c r="BO166" t="s">
        <v>161</v>
      </c>
      <c r="BP166">
        <v>1</v>
      </c>
      <c r="BQ166" t="s">
        <v>927</v>
      </c>
      <c r="BR166" s="45">
        <f>ISNUMBER(SEARCH($BR$1,Таблица1[[#This Row],[31_1 Описание и характеристика товара]]))*1</f>
        <v>1</v>
      </c>
      <c r="BT166" t="s">
        <v>150</v>
      </c>
      <c r="BU166">
        <v>33</v>
      </c>
      <c r="BV166">
        <v>0</v>
      </c>
      <c r="BW166">
        <v>0</v>
      </c>
      <c r="BY166">
        <v>0</v>
      </c>
      <c r="CA166" t="s">
        <v>106</v>
      </c>
      <c r="CB166" t="s">
        <v>142</v>
      </c>
      <c r="CC166" t="s">
        <v>112</v>
      </c>
      <c r="CD166" t="s">
        <v>112</v>
      </c>
      <c r="CE166" t="s">
        <v>121</v>
      </c>
      <c r="CF166">
        <v>16467.05</v>
      </c>
      <c r="CG166" t="s">
        <v>144</v>
      </c>
      <c r="CH166">
        <v>4000000</v>
      </c>
      <c r="CI166">
        <v>16467.05</v>
      </c>
      <c r="CJ166">
        <v>0</v>
      </c>
      <c r="CK166" t="s">
        <v>112</v>
      </c>
      <c r="CL166" t="s">
        <v>112</v>
      </c>
      <c r="CM166">
        <v>42895.9</v>
      </c>
      <c r="CN166">
        <v>4277390</v>
      </c>
      <c r="CO166">
        <v>0</v>
      </c>
      <c r="CP166">
        <v>1</v>
      </c>
      <c r="CQ166">
        <v>4689215.84</v>
      </c>
      <c r="CR166">
        <v>52075.32</v>
      </c>
      <c r="CS166" t="s">
        <v>145</v>
      </c>
      <c r="CT166">
        <v>52035.877999999997</v>
      </c>
      <c r="CU166">
        <v>3.16</v>
      </c>
      <c r="CV166">
        <v>45</v>
      </c>
      <c r="CW166" t="s">
        <v>171</v>
      </c>
      <c r="CX166" t="s">
        <v>350</v>
      </c>
      <c r="CY166">
        <v>172</v>
      </c>
    </row>
    <row r="167" spans="1:103" x14ac:dyDescent="0.25">
      <c r="A167" t="s">
        <v>106</v>
      </c>
      <c r="B167" s="38">
        <v>45087</v>
      </c>
      <c r="C167" s="43">
        <f>IF(YEAR(Таблица1[[#This Row],[Дата]])=2023,MONTH(Таблица1[[#This Row],[Дата]]),0)</f>
        <v>6</v>
      </c>
      <c r="D167" t="s">
        <v>1384</v>
      </c>
      <c r="E167" t="s">
        <v>108</v>
      </c>
      <c r="F167" t="s">
        <v>1385</v>
      </c>
      <c r="G167" t="s">
        <v>110</v>
      </c>
      <c r="H167" t="s">
        <v>111</v>
      </c>
      <c r="I167" t="s">
        <v>112</v>
      </c>
      <c r="J167" t="s">
        <v>112</v>
      </c>
      <c r="K167" t="s">
        <v>112</v>
      </c>
      <c r="L167" t="s">
        <v>150</v>
      </c>
      <c r="M167" t="s">
        <v>151</v>
      </c>
      <c r="N167" t="s">
        <v>112</v>
      </c>
      <c r="O167" t="s">
        <v>112</v>
      </c>
      <c r="P167">
        <v>1</v>
      </c>
      <c r="Q167">
        <v>0</v>
      </c>
      <c r="R167">
        <v>1</v>
      </c>
      <c r="S167">
        <v>33</v>
      </c>
      <c r="T167" t="s">
        <v>166</v>
      </c>
      <c r="U167" t="s">
        <v>152</v>
      </c>
      <c r="V167" t="s">
        <v>153</v>
      </c>
      <c r="W167" t="s">
        <v>154</v>
      </c>
      <c r="X167" t="s">
        <v>119</v>
      </c>
      <c r="Y167" t="s">
        <v>112</v>
      </c>
      <c r="Z167" t="s">
        <v>166</v>
      </c>
      <c r="AA167" t="s">
        <v>152</v>
      </c>
      <c r="AB167" t="s">
        <v>153</v>
      </c>
      <c r="AC167" t="s">
        <v>154</v>
      </c>
      <c r="AD167" t="s">
        <v>119</v>
      </c>
      <c r="AE167" t="s">
        <v>112</v>
      </c>
      <c r="AF167" t="s">
        <v>121</v>
      </c>
      <c r="AG167" t="s">
        <v>122</v>
      </c>
      <c r="AH167">
        <v>4473178.49</v>
      </c>
      <c r="AI167" t="s">
        <v>166</v>
      </c>
      <c r="AJ167" t="s">
        <v>152</v>
      </c>
      <c r="AK167" t="s">
        <v>153</v>
      </c>
      <c r="AL167" t="s">
        <v>154</v>
      </c>
      <c r="AM167" t="s">
        <v>119</v>
      </c>
      <c r="AN167" t="s">
        <v>112</v>
      </c>
      <c r="AO167" t="s">
        <v>121</v>
      </c>
      <c r="AP167" t="s">
        <v>122</v>
      </c>
      <c r="AQ167" t="s">
        <v>122</v>
      </c>
      <c r="AR167" t="s">
        <v>124</v>
      </c>
      <c r="AS167" t="s">
        <v>125</v>
      </c>
      <c r="AT167">
        <v>2</v>
      </c>
      <c r="AU167" t="s">
        <v>126</v>
      </c>
      <c r="AV167" t="s">
        <v>155</v>
      </c>
      <c r="AW167" t="s">
        <v>156</v>
      </c>
      <c r="AX167">
        <v>1</v>
      </c>
      <c r="AY167" t="s">
        <v>129</v>
      </c>
      <c r="AZ167">
        <v>44335.1</v>
      </c>
      <c r="BA167">
        <v>4091992</v>
      </c>
      <c r="BB167">
        <v>52834.36</v>
      </c>
      <c r="BC167">
        <v>92.296899999999994</v>
      </c>
      <c r="BD167" t="s">
        <v>130</v>
      </c>
      <c r="BE167" t="s">
        <v>112</v>
      </c>
      <c r="BF167" t="s">
        <v>157</v>
      </c>
      <c r="BG167" t="s">
        <v>133</v>
      </c>
      <c r="BH167" t="s">
        <v>134</v>
      </c>
      <c r="BI167" t="s">
        <v>112</v>
      </c>
      <c r="BJ167" t="s">
        <v>112</v>
      </c>
      <c r="BK167" t="s">
        <v>112</v>
      </c>
      <c r="BL167" t="s">
        <v>169</v>
      </c>
      <c r="BM167" t="s">
        <v>159</v>
      </c>
      <c r="BN167" t="s">
        <v>722</v>
      </c>
      <c r="BO167" t="s">
        <v>161</v>
      </c>
      <c r="BP167">
        <v>1</v>
      </c>
      <c r="BQ167" t="s">
        <v>1361</v>
      </c>
      <c r="BR167" s="45">
        <f>ISNUMBER(SEARCH($BR$1,Таблица1[[#This Row],[31_1 Описание и характеристика товара]]))*1</f>
        <v>1</v>
      </c>
      <c r="BT167" t="s">
        <v>150</v>
      </c>
      <c r="BU167">
        <v>33</v>
      </c>
      <c r="BV167">
        <v>0</v>
      </c>
      <c r="BW167">
        <v>0</v>
      </c>
      <c r="BY167">
        <v>0</v>
      </c>
      <c r="CA167" t="s">
        <v>106</v>
      </c>
      <c r="CB167" t="s">
        <v>142</v>
      </c>
      <c r="CC167" t="s">
        <v>112</v>
      </c>
      <c r="CD167" t="s">
        <v>112</v>
      </c>
      <c r="CE167" t="s">
        <v>121</v>
      </c>
      <c r="CF167">
        <v>17154.09</v>
      </c>
      <c r="CG167" t="s">
        <v>144</v>
      </c>
      <c r="CH167">
        <v>4000000</v>
      </c>
      <c r="CI167">
        <v>17154.09</v>
      </c>
      <c r="CJ167">
        <v>0</v>
      </c>
      <c r="CK167" t="s">
        <v>112</v>
      </c>
      <c r="CL167" t="s">
        <v>112</v>
      </c>
      <c r="CM167">
        <v>44335.1</v>
      </c>
      <c r="CN167">
        <v>4091992</v>
      </c>
      <c r="CO167">
        <v>0</v>
      </c>
      <c r="CP167">
        <v>1</v>
      </c>
      <c r="CQ167">
        <v>4473178.49</v>
      </c>
      <c r="CR167">
        <v>52834.36</v>
      </c>
      <c r="CS167" t="s">
        <v>145</v>
      </c>
      <c r="CT167">
        <v>52834.597200000004</v>
      </c>
      <c r="CU167">
        <v>3.08</v>
      </c>
      <c r="CV167">
        <v>45</v>
      </c>
      <c r="CW167" t="s">
        <v>171</v>
      </c>
      <c r="CX167" t="s">
        <v>172</v>
      </c>
      <c r="CY167">
        <v>116</v>
      </c>
    </row>
    <row r="168" spans="1:103" x14ac:dyDescent="0.25">
      <c r="A168" t="s">
        <v>106</v>
      </c>
      <c r="B168" s="38">
        <v>45185</v>
      </c>
      <c r="C168" s="43">
        <f>IF(YEAR(Таблица1[[#This Row],[Дата]])=2023,MONTH(Таблица1[[#This Row],[Дата]]),0)</f>
        <v>9</v>
      </c>
      <c r="D168" t="s">
        <v>1381</v>
      </c>
      <c r="E168" t="s">
        <v>108</v>
      </c>
      <c r="F168" t="s">
        <v>1382</v>
      </c>
      <c r="G168" t="s">
        <v>110</v>
      </c>
      <c r="H168" t="s">
        <v>111</v>
      </c>
      <c r="I168" t="s">
        <v>112</v>
      </c>
      <c r="J168" t="s">
        <v>112</v>
      </c>
      <c r="K168" t="s">
        <v>112</v>
      </c>
      <c r="L168" t="s">
        <v>150</v>
      </c>
      <c r="M168" t="s">
        <v>151</v>
      </c>
      <c r="N168" t="s">
        <v>112</v>
      </c>
      <c r="O168" t="s">
        <v>112</v>
      </c>
      <c r="P168">
        <v>1</v>
      </c>
      <c r="Q168">
        <v>0</v>
      </c>
      <c r="R168">
        <v>1</v>
      </c>
      <c r="S168">
        <v>33</v>
      </c>
      <c r="T168" t="s">
        <v>166</v>
      </c>
      <c r="U168" t="s">
        <v>152</v>
      </c>
      <c r="V168" t="s">
        <v>153</v>
      </c>
      <c r="W168" t="s">
        <v>154</v>
      </c>
      <c r="X168" t="s">
        <v>119</v>
      </c>
      <c r="Y168" t="s">
        <v>112</v>
      </c>
      <c r="Z168" t="s">
        <v>166</v>
      </c>
      <c r="AA168" t="s">
        <v>152</v>
      </c>
      <c r="AB168" t="s">
        <v>153</v>
      </c>
      <c r="AC168" t="s">
        <v>154</v>
      </c>
      <c r="AD168" t="s">
        <v>119</v>
      </c>
      <c r="AE168" t="s">
        <v>112</v>
      </c>
      <c r="AF168" t="s">
        <v>121</v>
      </c>
      <c r="AG168" t="s">
        <v>122</v>
      </c>
      <c r="AH168">
        <v>4088320.72</v>
      </c>
      <c r="AI168" t="s">
        <v>166</v>
      </c>
      <c r="AJ168" t="s">
        <v>152</v>
      </c>
      <c r="AK168" t="s">
        <v>153</v>
      </c>
      <c r="AL168" t="s">
        <v>154</v>
      </c>
      <c r="AM168" t="s">
        <v>119</v>
      </c>
      <c r="AN168" t="s">
        <v>112</v>
      </c>
      <c r="AO168" t="s">
        <v>121</v>
      </c>
      <c r="AP168" t="s">
        <v>122</v>
      </c>
      <c r="AQ168" t="s">
        <v>122</v>
      </c>
      <c r="AR168" t="s">
        <v>124</v>
      </c>
      <c r="AS168" t="s">
        <v>125</v>
      </c>
      <c r="AT168">
        <v>2</v>
      </c>
      <c r="AU168" t="s">
        <v>126</v>
      </c>
      <c r="AV168" t="s">
        <v>155</v>
      </c>
      <c r="AW168" t="s">
        <v>156</v>
      </c>
      <c r="AX168">
        <v>1</v>
      </c>
      <c r="AY168" t="s">
        <v>129</v>
      </c>
      <c r="AZ168">
        <v>40165.32</v>
      </c>
      <c r="BA168">
        <v>3707135</v>
      </c>
      <c r="BB168">
        <v>48288.66</v>
      </c>
      <c r="BC168">
        <v>92.296899999999994</v>
      </c>
      <c r="BD168" t="s">
        <v>130</v>
      </c>
      <c r="BE168" t="s">
        <v>112</v>
      </c>
      <c r="BF168" t="s">
        <v>157</v>
      </c>
      <c r="BG168" t="s">
        <v>133</v>
      </c>
      <c r="BH168" t="s">
        <v>134</v>
      </c>
      <c r="BI168" t="s">
        <v>112</v>
      </c>
      <c r="BJ168" t="s">
        <v>112</v>
      </c>
      <c r="BK168" t="s">
        <v>112</v>
      </c>
      <c r="BL168" t="s">
        <v>169</v>
      </c>
      <c r="BM168" t="s">
        <v>159</v>
      </c>
      <c r="BN168" t="s">
        <v>722</v>
      </c>
      <c r="BO168" t="s">
        <v>161</v>
      </c>
      <c r="BP168">
        <v>1</v>
      </c>
      <c r="BQ168" t="s">
        <v>1383</v>
      </c>
      <c r="BR168" s="45">
        <f>ISNUMBER(SEARCH($BR$1,Таблица1[[#This Row],[31_1 Описание и характеристика товара]]))*1</f>
        <v>1</v>
      </c>
      <c r="BT168" t="s">
        <v>150</v>
      </c>
      <c r="BU168">
        <v>33</v>
      </c>
      <c r="BV168">
        <v>0</v>
      </c>
      <c r="BW168">
        <v>0</v>
      </c>
      <c r="BY168">
        <v>0</v>
      </c>
      <c r="CA168" t="s">
        <v>106</v>
      </c>
      <c r="CB168" t="s">
        <v>142</v>
      </c>
      <c r="CC168" t="s">
        <v>112</v>
      </c>
      <c r="CD168" t="s">
        <v>112</v>
      </c>
      <c r="CE168" t="s">
        <v>121</v>
      </c>
      <c r="CF168">
        <v>17044.900000000001</v>
      </c>
      <c r="CG168" t="s">
        <v>144</v>
      </c>
      <c r="CH168">
        <v>4000000</v>
      </c>
      <c r="CI168">
        <v>17001.7</v>
      </c>
      <c r="CJ168">
        <v>0</v>
      </c>
      <c r="CK168" t="s">
        <v>112</v>
      </c>
      <c r="CL168" t="s">
        <v>112</v>
      </c>
      <c r="CM168">
        <v>40165.32</v>
      </c>
      <c r="CN168">
        <v>3707135</v>
      </c>
      <c r="CO168">
        <v>0</v>
      </c>
      <c r="CP168">
        <v>1</v>
      </c>
      <c r="CQ168">
        <v>4088320.72</v>
      </c>
      <c r="CR168">
        <v>48288.66</v>
      </c>
      <c r="CS168" t="s">
        <v>145</v>
      </c>
      <c r="CT168">
        <v>48284.828000000001</v>
      </c>
      <c r="CU168">
        <v>2.84</v>
      </c>
      <c r="CV168">
        <v>45</v>
      </c>
      <c r="CW168" t="s">
        <v>171</v>
      </c>
      <c r="CX168" t="s">
        <v>463</v>
      </c>
      <c r="CY168">
        <v>361</v>
      </c>
    </row>
    <row r="169" spans="1:103" x14ac:dyDescent="0.25">
      <c r="A169" t="s">
        <v>106</v>
      </c>
      <c r="B169" s="38">
        <v>44938</v>
      </c>
      <c r="C169" s="43">
        <f>IF(YEAR(Таблица1[[#This Row],[Дата]])=2023,MONTH(Таблица1[[#This Row],[Дата]]),0)</f>
        <v>1</v>
      </c>
      <c r="D169" t="s">
        <v>1091</v>
      </c>
      <c r="E169" t="s">
        <v>108</v>
      </c>
      <c r="F169" t="s">
        <v>1092</v>
      </c>
      <c r="G169" t="s">
        <v>110</v>
      </c>
      <c r="H169" t="s">
        <v>111</v>
      </c>
      <c r="I169" t="s">
        <v>112</v>
      </c>
      <c r="J169" t="s">
        <v>112</v>
      </c>
      <c r="K169" t="s">
        <v>112</v>
      </c>
      <c r="L169" t="s">
        <v>150</v>
      </c>
      <c r="M169" t="s">
        <v>1020</v>
      </c>
      <c r="N169" t="s">
        <v>112</v>
      </c>
      <c r="O169" t="s">
        <v>112</v>
      </c>
      <c r="P169">
        <v>1</v>
      </c>
      <c r="R169">
        <v>1</v>
      </c>
      <c r="S169">
        <v>33</v>
      </c>
      <c r="T169" t="s">
        <v>166</v>
      </c>
      <c r="U169" t="s">
        <v>152</v>
      </c>
      <c r="V169" t="s">
        <v>153</v>
      </c>
      <c r="W169" t="s">
        <v>154</v>
      </c>
      <c r="X169" t="s">
        <v>119</v>
      </c>
      <c r="Y169" t="s">
        <v>112</v>
      </c>
      <c r="Z169" t="s">
        <v>166</v>
      </c>
      <c r="AA169" t="s">
        <v>152</v>
      </c>
      <c r="AB169" t="s">
        <v>153</v>
      </c>
      <c r="AC169" t="s">
        <v>154</v>
      </c>
      <c r="AD169" t="s">
        <v>119</v>
      </c>
      <c r="AE169" t="s">
        <v>112</v>
      </c>
      <c r="AF169" t="s">
        <v>121</v>
      </c>
      <c r="AG169" t="s">
        <v>122</v>
      </c>
      <c r="AH169">
        <v>4296117.7699999996</v>
      </c>
      <c r="AI169" t="s">
        <v>166</v>
      </c>
      <c r="AJ169" t="s">
        <v>152</v>
      </c>
      <c r="AK169" t="s">
        <v>153</v>
      </c>
      <c r="AL169" t="s">
        <v>154</v>
      </c>
      <c r="AM169" t="s">
        <v>119</v>
      </c>
      <c r="AN169" t="s">
        <v>112</v>
      </c>
      <c r="AO169" t="s">
        <v>121</v>
      </c>
      <c r="AP169" t="s">
        <v>122</v>
      </c>
      <c r="AQ169" t="s">
        <v>122</v>
      </c>
      <c r="AR169" t="s">
        <v>124</v>
      </c>
      <c r="AS169" t="s">
        <v>125</v>
      </c>
      <c r="AT169">
        <v>2</v>
      </c>
      <c r="AU169" t="s">
        <v>126</v>
      </c>
      <c r="AV169" t="s">
        <v>155</v>
      </c>
      <c r="AW169" t="s">
        <v>156</v>
      </c>
      <c r="AX169">
        <v>1</v>
      </c>
      <c r="AY169" t="s">
        <v>129</v>
      </c>
      <c r="AZ169">
        <v>43308.6</v>
      </c>
      <c r="BA169">
        <v>3903993</v>
      </c>
      <c r="BB169">
        <v>52630.83</v>
      </c>
      <c r="BC169">
        <v>90.143600000000006</v>
      </c>
      <c r="BD169" t="s">
        <v>130</v>
      </c>
      <c r="BE169" t="s">
        <v>112</v>
      </c>
      <c r="BF169" t="s">
        <v>157</v>
      </c>
      <c r="BG169" t="s">
        <v>133</v>
      </c>
      <c r="BH169" t="s">
        <v>134</v>
      </c>
      <c r="BI169" t="s">
        <v>112</v>
      </c>
      <c r="BJ169" t="s">
        <v>112</v>
      </c>
      <c r="BK169" t="s">
        <v>112</v>
      </c>
      <c r="BL169" t="s">
        <v>169</v>
      </c>
      <c r="BM169" t="s">
        <v>159</v>
      </c>
      <c r="BN169" t="s">
        <v>722</v>
      </c>
      <c r="BO169" t="s">
        <v>161</v>
      </c>
      <c r="BP169">
        <v>1</v>
      </c>
      <c r="BQ169" t="s">
        <v>232</v>
      </c>
      <c r="BR169" s="45">
        <f>ISNUMBER(SEARCH($BR$1,Таблица1[[#This Row],[31_1 Описание и характеристика товара]]))*1</f>
        <v>1</v>
      </c>
      <c r="BT169" t="s">
        <v>150</v>
      </c>
      <c r="BU169">
        <v>33</v>
      </c>
      <c r="CA169" t="s">
        <v>106</v>
      </c>
      <c r="CB169" t="s">
        <v>142</v>
      </c>
      <c r="CC169" t="s">
        <v>112</v>
      </c>
      <c r="CD169" t="s">
        <v>112</v>
      </c>
      <c r="CE169" t="s">
        <v>121</v>
      </c>
      <c r="CF169">
        <v>17232.330000000002</v>
      </c>
      <c r="CG169" t="s">
        <v>144</v>
      </c>
      <c r="CH169">
        <v>4000000</v>
      </c>
      <c r="CI169">
        <v>17181.330000000002</v>
      </c>
      <c r="CK169" t="s">
        <v>112</v>
      </c>
      <c r="CL169" t="s">
        <v>112</v>
      </c>
      <c r="CM169">
        <v>43308.6</v>
      </c>
      <c r="CN169">
        <v>3903993</v>
      </c>
      <c r="CO169">
        <v>0</v>
      </c>
      <c r="CP169">
        <v>1</v>
      </c>
      <c r="CQ169">
        <v>4296117.7699999996</v>
      </c>
      <c r="CR169">
        <v>52630.83</v>
      </c>
      <c r="CS169" t="s">
        <v>145</v>
      </c>
      <c r="CT169">
        <v>52631.568189000005</v>
      </c>
      <c r="CU169">
        <v>3.0632999999999999</v>
      </c>
      <c r="CV169">
        <v>45</v>
      </c>
      <c r="CW169" t="s">
        <v>171</v>
      </c>
      <c r="CX169" t="s">
        <v>372</v>
      </c>
      <c r="CY169">
        <v>146</v>
      </c>
    </row>
    <row r="170" spans="1:103" x14ac:dyDescent="0.25">
      <c r="A170" t="s">
        <v>106</v>
      </c>
      <c r="B170" s="38">
        <v>44959</v>
      </c>
      <c r="C170" s="43">
        <f>IF(YEAR(Таблица1[[#This Row],[Дата]])=2023,MONTH(Таблица1[[#This Row],[Дата]]),0)</f>
        <v>2</v>
      </c>
      <c r="D170" t="s">
        <v>1030</v>
      </c>
      <c r="E170" t="s">
        <v>108</v>
      </c>
      <c r="F170" t="s">
        <v>1031</v>
      </c>
      <c r="G170" t="s">
        <v>110</v>
      </c>
      <c r="H170" t="s">
        <v>111</v>
      </c>
      <c r="I170" t="s">
        <v>112</v>
      </c>
      <c r="J170" t="s">
        <v>112</v>
      </c>
      <c r="K170" t="s">
        <v>112</v>
      </c>
      <c r="L170" t="s">
        <v>150</v>
      </c>
      <c r="M170" t="s">
        <v>1020</v>
      </c>
      <c r="N170" t="s">
        <v>112</v>
      </c>
      <c r="O170" t="s">
        <v>112</v>
      </c>
      <c r="P170">
        <v>1</v>
      </c>
      <c r="Q170">
        <v>0</v>
      </c>
      <c r="R170">
        <v>1</v>
      </c>
      <c r="S170">
        <v>33</v>
      </c>
      <c r="T170" t="s">
        <v>166</v>
      </c>
      <c r="U170" t="s">
        <v>152</v>
      </c>
      <c r="V170" t="s">
        <v>153</v>
      </c>
      <c r="W170" t="s">
        <v>154</v>
      </c>
      <c r="X170" t="s">
        <v>119</v>
      </c>
      <c r="Y170" t="s">
        <v>112</v>
      </c>
      <c r="Z170" t="s">
        <v>166</v>
      </c>
      <c r="AA170" t="s">
        <v>152</v>
      </c>
      <c r="AB170" t="s">
        <v>153</v>
      </c>
      <c r="AC170" t="s">
        <v>154</v>
      </c>
      <c r="AD170" t="s">
        <v>119</v>
      </c>
      <c r="AE170" t="s">
        <v>112</v>
      </c>
      <c r="AF170" t="s">
        <v>121</v>
      </c>
      <c r="AG170" t="s">
        <v>122</v>
      </c>
      <c r="AH170">
        <v>4174207.57</v>
      </c>
      <c r="AI170" t="s">
        <v>166</v>
      </c>
      <c r="AJ170" t="s">
        <v>152</v>
      </c>
      <c r="AK170" t="s">
        <v>153</v>
      </c>
      <c r="AL170" t="s">
        <v>154</v>
      </c>
      <c r="AM170" t="s">
        <v>119</v>
      </c>
      <c r="AN170" t="s">
        <v>112</v>
      </c>
      <c r="AO170" t="s">
        <v>121</v>
      </c>
      <c r="AP170" t="s">
        <v>122</v>
      </c>
      <c r="AQ170" t="s">
        <v>122</v>
      </c>
      <c r="AR170" t="s">
        <v>124</v>
      </c>
      <c r="AS170" t="s">
        <v>125</v>
      </c>
      <c r="AT170">
        <v>2</v>
      </c>
      <c r="AU170" t="s">
        <v>126</v>
      </c>
      <c r="AV170" t="s">
        <v>155</v>
      </c>
      <c r="AW170" t="s">
        <v>156</v>
      </c>
      <c r="AX170">
        <v>1</v>
      </c>
      <c r="AY170" t="s">
        <v>129</v>
      </c>
      <c r="AZ170">
        <v>41956.2</v>
      </c>
      <c r="BA170">
        <v>3782083</v>
      </c>
      <c r="BB170">
        <v>51137.33</v>
      </c>
      <c r="BC170">
        <v>90.143600000000006</v>
      </c>
      <c r="BD170" t="s">
        <v>130</v>
      </c>
      <c r="BE170" t="s">
        <v>112</v>
      </c>
      <c r="BF170" t="s">
        <v>157</v>
      </c>
      <c r="BG170" t="s">
        <v>133</v>
      </c>
      <c r="BH170" t="s">
        <v>134</v>
      </c>
      <c r="BI170" t="s">
        <v>112</v>
      </c>
      <c r="BJ170" t="s">
        <v>112</v>
      </c>
      <c r="BK170" t="s">
        <v>112</v>
      </c>
      <c r="BL170" t="s">
        <v>169</v>
      </c>
      <c r="BM170" t="s">
        <v>159</v>
      </c>
      <c r="BN170" t="s">
        <v>722</v>
      </c>
      <c r="BO170" t="s">
        <v>161</v>
      </c>
      <c r="BP170">
        <v>1</v>
      </c>
      <c r="BQ170" t="s">
        <v>466</v>
      </c>
      <c r="BR170" s="45">
        <f>ISNUMBER(SEARCH($BR$1,Таблица1[[#This Row],[31_1 Описание и характеристика товара]]))*1</f>
        <v>1</v>
      </c>
      <c r="BT170" t="s">
        <v>150</v>
      </c>
      <c r="BU170">
        <v>33</v>
      </c>
      <c r="BV170">
        <v>0</v>
      </c>
      <c r="BW170">
        <v>0</v>
      </c>
      <c r="BY170">
        <v>0</v>
      </c>
      <c r="CA170" t="s">
        <v>106</v>
      </c>
      <c r="CB170" t="s">
        <v>142</v>
      </c>
      <c r="CC170" t="s">
        <v>112</v>
      </c>
      <c r="CD170" t="s">
        <v>112</v>
      </c>
      <c r="CE170" t="s">
        <v>121</v>
      </c>
      <c r="CF170">
        <v>16642.5</v>
      </c>
      <c r="CG170" t="s">
        <v>144</v>
      </c>
      <c r="CH170">
        <v>4000000</v>
      </c>
      <c r="CI170">
        <v>16512.900000000001</v>
      </c>
      <c r="CJ170">
        <v>0</v>
      </c>
      <c r="CK170" t="s">
        <v>112</v>
      </c>
      <c r="CL170" t="s">
        <v>112</v>
      </c>
      <c r="CM170">
        <v>41956.2</v>
      </c>
      <c r="CN170">
        <v>3782083</v>
      </c>
      <c r="CO170">
        <v>0</v>
      </c>
      <c r="CP170">
        <v>1</v>
      </c>
      <c r="CQ170">
        <v>4174207.57</v>
      </c>
      <c r="CR170">
        <v>51137.33</v>
      </c>
      <c r="CS170" t="s">
        <v>145</v>
      </c>
      <c r="CT170">
        <v>51137.148720000005</v>
      </c>
      <c r="CU170">
        <v>3.0968</v>
      </c>
      <c r="CV170">
        <v>45</v>
      </c>
      <c r="CW170" t="s">
        <v>171</v>
      </c>
      <c r="CX170" t="s">
        <v>369</v>
      </c>
      <c r="CY170">
        <v>325</v>
      </c>
    </row>
    <row r="171" spans="1:103" x14ac:dyDescent="0.25">
      <c r="A171" t="s">
        <v>106</v>
      </c>
      <c r="B171" s="38">
        <v>45280</v>
      </c>
      <c r="C171" s="43">
        <f>IF(YEAR(Таблица1[[#This Row],[Дата]])=2023,MONTH(Таблица1[[#This Row],[Дата]]),0)</f>
        <v>12</v>
      </c>
      <c r="D171" t="s">
        <v>1032</v>
      </c>
      <c r="E171" t="s">
        <v>108</v>
      </c>
      <c r="F171" t="s">
        <v>1033</v>
      </c>
      <c r="G171" t="s">
        <v>110</v>
      </c>
      <c r="H171" t="s">
        <v>111</v>
      </c>
      <c r="I171" t="s">
        <v>112</v>
      </c>
      <c r="J171" t="s">
        <v>112</v>
      </c>
      <c r="K171" t="s">
        <v>112</v>
      </c>
      <c r="L171" t="s">
        <v>150</v>
      </c>
      <c r="M171" t="s">
        <v>1020</v>
      </c>
      <c r="N171" t="s">
        <v>112</v>
      </c>
      <c r="O171" t="s">
        <v>112</v>
      </c>
      <c r="P171">
        <v>1</v>
      </c>
      <c r="Q171">
        <v>0</v>
      </c>
      <c r="R171">
        <v>1</v>
      </c>
      <c r="S171">
        <v>33</v>
      </c>
      <c r="T171" t="s">
        <v>166</v>
      </c>
      <c r="U171" t="s">
        <v>152</v>
      </c>
      <c r="V171" t="s">
        <v>153</v>
      </c>
      <c r="W171" t="s">
        <v>154</v>
      </c>
      <c r="X171" t="s">
        <v>119</v>
      </c>
      <c r="Y171" t="s">
        <v>112</v>
      </c>
      <c r="Z171" t="s">
        <v>166</v>
      </c>
      <c r="AA171" t="s">
        <v>152</v>
      </c>
      <c r="AB171" t="s">
        <v>153</v>
      </c>
      <c r="AC171" t="s">
        <v>154</v>
      </c>
      <c r="AD171" t="s">
        <v>119</v>
      </c>
      <c r="AE171" t="s">
        <v>112</v>
      </c>
      <c r="AF171" t="s">
        <v>121</v>
      </c>
      <c r="AG171" t="s">
        <v>122</v>
      </c>
      <c r="AH171">
        <v>4398924.75</v>
      </c>
      <c r="AI171" t="s">
        <v>166</v>
      </c>
      <c r="AJ171" t="s">
        <v>152</v>
      </c>
      <c r="AK171" t="s">
        <v>153</v>
      </c>
      <c r="AL171" t="s">
        <v>154</v>
      </c>
      <c r="AM171" t="s">
        <v>119</v>
      </c>
      <c r="AN171" t="s">
        <v>112</v>
      </c>
      <c r="AO171" t="s">
        <v>121</v>
      </c>
      <c r="AP171" t="s">
        <v>122</v>
      </c>
      <c r="AQ171" t="s">
        <v>122</v>
      </c>
      <c r="AR171" t="s">
        <v>124</v>
      </c>
      <c r="AS171" t="s">
        <v>125</v>
      </c>
      <c r="AT171">
        <v>2</v>
      </c>
      <c r="AU171" t="s">
        <v>126</v>
      </c>
      <c r="AV171" t="s">
        <v>155</v>
      </c>
      <c r="AW171" t="s">
        <v>156</v>
      </c>
      <c r="AX171">
        <v>1</v>
      </c>
      <c r="AY171" t="s">
        <v>129</v>
      </c>
      <c r="AZ171">
        <v>44449.08</v>
      </c>
      <c r="BA171">
        <v>4006800</v>
      </c>
      <c r="BB171">
        <v>53890.3</v>
      </c>
      <c r="BC171">
        <v>90.143600000000006</v>
      </c>
      <c r="BD171" t="s">
        <v>130</v>
      </c>
      <c r="BE171" t="s">
        <v>112</v>
      </c>
      <c r="BF171" t="s">
        <v>157</v>
      </c>
      <c r="BG171" t="s">
        <v>133</v>
      </c>
      <c r="BH171" t="s">
        <v>134</v>
      </c>
      <c r="BI171" t="s">
        <v>112</v>
      </c>
      <c r="BJ171" t="s">
        <v>112</v>
      </c>
      <c r="BK171" t="s">
        <v>112</v>
      </c>
      <c r="BL171" t="s">
        <v>169</v>
      </c>
      <c r="BM171" t="s">
        <v>159</v>
      </c>
      <c r="BN171" t="s">
        <v>722</v>
      </c>
      <c r="BO171" t="s">
        <v>161</v>
      </c>
      <c r="BP171">
        <v>1</v>
      </c>
      <c r="BQ171" t="s">
        <v>232</v>
      </c>
      <c r="BR171" s="45">
        <f>ISNUMBER(SEARCH($BR$1,Таблица1[[#This Row],[31_1 Описание и характеристика товара]]))*1</f>
        <v>1</v>
      </c>
      <c r="BT171" t="s">
        <v>150</v>
      </c>
      <c r="BU171">
        <v>33</v>
      </c>
      <c r="BV171">
        <v>0</v>
      </c>
      <c r="BW171">
        <v>0</v>
      </c>
      <c r="BY171">
        <v>0</v>
      </c>
      <c r="CA171" t="s">
        <v>106</v>
      </c>
      <c r="CB171" t="s">
        <v>142</v>
      </c>
      <c r="CC171" t="s">
        <v>112</v>
      </c>
      <c r="CD171" t="s">
        <v>112</v>
      </c>
      <c r="CE171" t="s">
        <v>121</v>
      </c>
      <c r="CF171">
        <v>17034.38</v>
      </c>
      <c r="CG171" t="s">
        <v>144</v>
      </c>
      <c r="CH171">
        <v>4000000</v>
      </c>
      <c r="CI171">
        <v>16947.98</v>
      </c>
      <c r="CJ171">
        <v>0</v>
      </c>
      <c r="CK171" t="s">
        <v>112</v>
      </c>
      <c r="CL171" t="s">
        <v>112</v>
      </c>
      <c r="CM171">
        <v>44449.08</v>
      </c>
      <c r="CN171">
        <v>4006800</v>
      </c>
      <c r="CO171">
        <v>0</v>
      </c>
      <c r="CP171">
        <v>1</v>
      </c>
      <c r="CQ171">
        <v>4398924.75</v>
      </c>
      <c r="CR171">
        <v>53890.3</v>
      </c>
      <c r="CS171" t="s">
        <v>145</v>
      </c>
      <c r="CT171">
        <v>53889.492006</v>
      </c>
      <c r="CU171">
        <v>3.1797</v>
      </c>
      <c r="CV171">
        <v>45</v>
      </c>
      <c r="CW171" t="s">
        <v>171</v>
      </c>
      <c r="CX171" t="s">
        <v>350</v>
      </c>
      <c r="CY171">
        <v>544</v>
      </c>
    </row>
    <row r="172" spans="1:103" x14ac:dyDescent="0.25">
      <c r="A172" t="s">
        <v>106</v>
      </c>
      <c r="B172" s="38">
        <v>45180</v>
      </c>
      <c r="C172" s="43">
        <f>IF(YEAR(Таблица1[[#This Row],[Дата]])=2023,MONTH(Таблица1[[#This Row],[Дата]]),0)</f>
        <v>9</v>
      </c>
      <c r="D172" t="s">
        <v>720</v>
      </c>
      <c r="E172" t="s">
        <v>108</v>
      </c>
      <c r="F172" t="s">
        <v>721</v>
      </c>
      <c r="G172" t="s">
        <v>110</v>
      </c>
      <c r="H172" t="s">
        <v>111</v>
      </c>
      <c r="I172" t="s">
        <v>112</v>
      </c>
      <c r="J172" t="s">
        <v>112</v>
      </c>
      <c r="K172" t="s">
        <v>112</v>
      </c>
      <c r="L172" t="s">
        <v>150</v>
      </c>
      <c r="M172" t="s">
        <v>151</v>
      </c>
      <c r="N172" t="s">
        <v>112</v>
      </c>
      <c r="O172" t="s">
        <v>112</v>
      </c>
      <c r="P172">
        <v>1</v>
      </c>
      <c r="Q172">
        <v>0</v>
      </c>
      <c r="R172">
        <v>1</v>
      </c>
      <c r="S172">
        <v>33</v>
      </c>
      <c r="T172" t="s">
        <v>166</v>
      </c>
      <c r="U172" t="s">
        <v>152</v>
      </c>
      <c r="V172" t="s">
        <v>153</v>
      </c>
      <c r="W172" t="s">
        <v>154</v>
      </c>
      <c r="X172" t="s">
        <v>119</v>
      </c>
      <c r="Y172" t="s">
        <v>112</v>
      </c>
      <c r="Z172" t="s">
        <v>166</v>
      </c>
      <c r="AA172" t="s">
        <v>152</v>
      </c>
      <c r="AB172" t="s">
        <v>153</v>
      </c>
      <c r="AC172" t="s">
        <v>154</v>
      </c>
      <c r="AD172" t="s">
        <v>119</v>
      </c>
      <c r="AE172" t="s">
        <v>112</v>
      </c>
      <c r="AF172" t="s">
        <v>121</v>
      </c>
      <c r="AG172" t="s">
        <v>122</v>
      </c>
      <c r="AH172">
        <v>3890475.43</v>
      </c>
      <c r="AI172" t="s">
        <v>166</v>
      </c>
      <c r="AJ172" t="s">
        <v>152</v>
      </c>
      <c r="AK172" t="s">
        <v>153</v>
      </c>
      <c r="AL172" t="s">
        <v>154</v>
      </c>
      <c r="AM172" t="s">
        <v>119</v>
      </c>
      <c r="AN172" t="s">
        <v>112</v>
      </c>
      <c r="AO172" t="s">
        <v>121</v>
      </c>
      <c r="AP172" t="s">
        <v>122</v>
      </c>
      <c r="AQ172" t="s">
        <v>122</v>
      </c>
      <c r="AR172" t="s">
        <v>124</v>
      </c>
      <c r="AS172" t="s">
        <v>125</v>
      </c>
      <c r="AT172">
        <v>2</v>
      </c>
      <c r="AU172" t="s">
        <v>126</v>
      </c>
      <c r="AV172" t="s">
        <v>155</v>
      </c>
      <c r="AW172" t="s">
        <v>156</v>
      </c>
      <c r="AX172">
        <v>1</v>
      </c>
      <c r="AY172" t="s">
        <v>129</v>
      </c>
      <c r="AZ172">
        <v>42168.92</v>
      </c>
      <c r="BA172">
        <v>3474394</v>
      </c>
      <c r="BB172">
        <v>50890.55</v>
      </c>
      <c r="BC172">
        <v>82.392300000000006</v>
      </c>
      <c r="BD172" t="s">
        <v>130</v>
      </c>
      <c r="BE172" t="s">
        <v>112</v>
      </c>
      <c r="BF172" t="s">
        <v>157</v>
      </c>
      <c r="BG172" t="s">
        <v>133</v>
      </c>
      <c r="BH172" t="s">
        <v>134</v>
      </c>
      <c r="BI172" t="s">
        <v>112</v>
      </c>
      <c r="BJ172" t="s">
        <v>112</v>
      </c>
      <c r="BK172" t="s">
        <v>112</v>
      </c>
      <c r="BL172" t="s">
        <v>169</v>
      </c>
      <c r="BM172" t="s">
        <v>159</v>
      </c>
      <c r="BN172" t="s">
        <v>722</v>
      </c>
      <c r="BO172" t="s">
        <v>161</v>
      </c>
      <c r="BP172">
        <v>1</v>
      </c>
      <c r="BQ172" t="s">
        <v>723</v>
      </c>
      <c r="BR172" s="45">
        <f>ISNUMBER(SEARCH($BR$1,Таблица1[[#This Row],[31_1 Описание и характеристика товара]]))*1</f>
        <v>1</v>
      </c>
      <c r="BT172" t="s">
        <v>150</v>
      </c>
      <c r="BU172">
        <v>33</v>
      </c>
      <c r="BV172">
        <v>0</v>
      </c>
      <c r="BW172">
        <v>0</v>
      </c>
      <c r="BY172">
        <v>0</v>
      </c>
      <c r="CA172" t="s">
        <v>106</v>
      </c>
      <c r="CB172" t="s">
        <v>142</v>
      </c>
      <c r="CC172" t="s">
        <v>112</v>
      </c>
      <c r="CD172" t="s">
        <v>112</v>
      </c>
      <c r="CE172" t="s">
        <v>121</v>
      </c>
      <c r="CF172">
        <v>16253.74</v>
      </c>
      <c r="CG172" t="s">
        <v>144</v>
      </c>
      <c r="CH172">
        <v>4000000</v>
      </c>
      <c r="CI172">
        <v>16223.14</v>
      </c>
      <c r="CJ172">
        <v>0</v>
      </c>
      <c r="CK172" t="s">
        <v>112</v>
      </c>
      <c r="CL172" t="s">
        <v>112</v>
      </c>
      <c r="CM172">
        <v>42168.92</v>
      </c>
      <c r="CN172">
        <v>3474394</v>
      </c>
      <c r="CO172">
        <v>0</v>
      </c>
      <c r="CP172">
        <v>1</v>
      </c>
      <c r="CQ172">
        <v>3890475.43</v>
      </c>
      <c r="CR172">
        <v>50890.55</v>
      </c>
      <c r="CS172" t="s">
        <v>145</v>
      </c>
      <c r="CT172">
        <v>50890.367865999993</v>
      </c>
      <c r="CU172">
        <v>3.1368999999999998</v>
      </c>
      <c r="CV172">
        <v>45</v>
      </c>
      <c r="CW172" t="s">
        <v>171</v>
      </c>
      <c r="CX172" t="s">
        <v>372</v>
      </c>
      <c r="CY172">
        <v>314</v>
      </c>
    </row>
    <row r="173" spans="1:103" x14ac:dyDescent="0.25">
      <c r="A173" t="s">
        <v>106</v>
      </c>
      <c r="B173" s="38">
        <v>45044</v>
      </c>
      <c r="C173" s="43">
        <f>IF(YEAR(Таблица1[[#This Row],[Дата]])=2023,MONTH(Таблица1[[#This Row],[Дата]]),0)</f>
        <v>4</v>
      </c>
      <c r="D173" t="s">
        <v>759</v>
      </c>
      <c r="E173" t="s">
        <v>108</v>
      </c>
      <c r="F173" t="s">
        <v>760</v>
      </c>
      <c r="G173" t="s">
        <v>110</v>
      </c>
      <c r="H173" t="s">
        <v>111</v>
      </c>
      <c r="I173" t="s">
        <v>112</v>
      </c>
      <c r="J173" t="s">
        <v>112</v>
      </c>
      <c r="K173" t="s">
        <v>112</v>
      </c>
      <c r="L173" t="s">
        <v>150</v>
      </c>
      <c r="M173" t="s">
        <v>151</v>
      </c>
      <c r="N173" t="s">
        <v>112</v>
      </c>
      <c r="O173" t="s">
        <v>112</v>
      </c>
      <c r="P173">
        <v>1</v>
      </c>
      <c r="Q173">
        <v>0</v>
      </c>
      <c r="R173">
        <v>1</v>
      </c>
      <c r="S173">
        <v>33</v>
      </c>
      <c r="T173" t="s">
        <v>166</v>
      </c>
      <c r="U173" t="s">
        <v>152</v>
      </c>
      <c r="V173" t="s">
        <v>153</v>
      </c>
      <c r="W173" t="s">
        <v>154</v>
      </c>
      <c r="X173" t="s">
        <v>119</v>
      </c>
      <c r="Y173" t="s">
        <v>112</v>
      </c>
      <c r="Z173" t="s">
        <v>166</v>
      </c>
      <c r="AA173" t="s">
        <v>152</v>
      </c>
      <c r="AB173" t="s">
        <v>153</v>
      </c>
      <c r="AC173" t="s">
        <v>154</v>
      </c>
      <c r="AD173" t="s">
        <v>119</v>
      </c>
      <c r="AE173" t="s">
        <v>112</v>
      </c>
      <c r="AF173" t="s">
        <v>121</v>
      </c>
      <c r="AG173" t="s">
        <v>122</v>
      </c>
      <c r="AH173">
        <v>3970129.83</v>
      </c>
      <c r="AI173" t="s">
        <v>166</v>
      </c>
      <c r="AJ173" t="s">
        <v>152</v>
      </c>
      <c r="AK173" t="s">
        <v>153</v>
      </c>
      <c r="AL173" t="s">
        <v>154</v>
      </c>
      <c r="AM173" t="s">
        <v>119</v>
      </c>
      <c r="AN173" t="s">
        <v>112</v>
      </c>
      <c r="AO173" t="s">
        <v>121</v>
      </c>
      <c r="AP173" t="s">
        <v>122</v>
      </c>
      <c r="AQ173" t="s">
        <v>122</v>
      </c>
      <c r="AR173" t="s">
        <v>124</v>
      </c>
      <c r="AS173" t="s">
        <v>125</v>
      </c>
      <c r="AT173">
        <v>2</v>
      </c>
      <c r="AU173" t="s">
        <v>126</v>
      </c>
      <c r="AV173" t="s">
        <v>155</v>
      </c>
      <c r="AW173" t="s">
        <v>156</v>
      </c>
      <c r="AX173">
        <v>1</v>
      </c>
      <c r="AY173" t="s">
        <v>129</v>
      </c>
      <c r="AZ173">
        <v>43835.69</v>
      </c>
      <c r="BA173">
        <v>3611723</v>
      </c>
      <c r="BB173">
        <v>51932.49</v>
      </c>
      <c r="BC173">
        <v>82.392300000000006</v>
      </c>
      <c r="BD173" t="s">
        <v>130</v>
      </c>
      <c r="BE173" t="s">
        <v>112</v>
      </c>
      <c r="BF173" t="s">
        <v>157</v>
      </c>
      <c r="BG173" t="s">
        <v>133</v>
      </c>
      <c r="BH173" t="s">
        <v>134</v>
      </c>
      <c r="BI173" t="s">
        <v>112</v>
      </c>
      <c r="BJ173" t="s">
        <v>112</v>
      </c>
      <c r="BK173" t="s">
        <v>112</v>
      </c>
      <c r="BL173" t="s">
        <v>169</v>
      </c>
      <c r="BM173" t="s">
        <v>159</v>
      </c>
      <c r="BN173" t="s">
        <v>722</v>
      </c>
      <c r="BO173" t="s">
        <v>161</v>
      </c>
      <c r="BP173">
        <v>1</v>
      </c>
      <c r="BQ173" t="s">
        <v>761</v>
      </c>
      <c r="BR173" s="45">
        <f>ISNUMBER(SEARCH($BR$1,Таблица1[[#This Row],[31_1 Описание и характеристика товара]]))*1</f>
        <v>1</v>
      </c>
      <c r="BT173" t="s">
        <v>150</v>
      </c>
      <c r="BU173">
        <v>33</v>
      </c>
      <c r="BV173">
        <v>0</v>
      </c>
      <c r="BW173">
        <v>0</v>
      </c>
      <c r="BY173">
        <v>0</v>
      </c>
      <c r="CA173" t="s">
        <v>106</v>
      </c>
      <c r="CB173" t="s">
        <v>142</v>
      </c>
      <c r="CC173" t="s">
        <v>112</v>
      </c>
      <c r="CD173" t="s">
        <v>112</v>
      </c>
      <c r="CE173" t="s">
        <v>121</v>
      </c>
      <c r="CF173">
        <v>16430.41</v>
      </c>
      <c r="CG173" t="s">
        <v>144</v>
      </c>
      <c r="CH173">
        <v>4000000</v>
      </c>
      <c r="CI173">
        <v>16430.41</v>
      </c>
      <c r="CJ173">
        <v>0</v>
      </c>
      <c r="CK173" t="s">
        <v>112</v>
      </c>
      <c r="CL173" t="s">
        <v>112</v>
      </c>
      <c r="CM173">
        <v>43835.69</v>
      </c>
      <c r="CN173">
        <v>3611723</v>
      </c>
      <c r="CO173">
        <v>0</v>
      </c>
      <c r="CP173">
        <v>1</v>
      </c>
      <c r="CQ173">
        <v>3970129.83</v>
      </c>
      <c r="CR173">
        <v>51932.49</v>
      </c>
      <c r="CS173" t="s">
        <v>145</v>
      </c>
      <c r="CT173">
        <v>51933.239928000003</v>
      </c>
      <c r="CU173">
        <v>3.1608000000000001</v>
      </c>
      <c r="CV173">
        <v>45</v>
      </c>
      <c r="CW173" t="s">
        <v>171</v>
      </c>
      <c r="CX173" t="s">
        <v>369</v>
      </c>
      <c r="CY173">
        <v>178</v>
      </c>
    </row>
    <row r="174" spans="1:103" x14ac:dyDescent="0.25">
      <c r="A174" t="s">
        <v>106</v>
      </c>
      <c r="B174" s="38">
        <v>45219</v>
      </c>
      <c r="C174" s="43">
        <f>IF(YEAR(Таблица1[[#This Row],[Дата]])=2023,MONTH(Таблица1[[#This Row],[Дата]]),0)</f>
        <v>10</v>
      </c>
      <c r="D174" t="s">
        <v>724</v>
      </c>
      <c r="E174" t="s">
        <v>108</v>
      </c>
      <c r="F174" t="s">
        <v>725</v>
      </c>
      <c r="G174" t="s">
        <v>110</v>
      </c>
      <c r="H174" t="s">
        <v>111</v>
      </c>
      <c r="I174" t="s">
        <v>112</v>
      </c>
      <c r="J174" t="s">
        <v>112</v>
      </c>
      <c r="K174" t="s">
        <v>112</v>
      </c>
      <c r="L174" t="s">
        <v>150</v>
      </c>
      <c r="M174" t="s">
        <v>151</v>
      </c>
      <c r="N174" t="s">
        <v>112</v>
      </c>
      <c r="O174" t="s">
        <v>112</v>
      </c>
      <c r="P174">
        <v>1</v>
      </c>
      <c r="Q174">
        <v>0</v>
      </c>
      <c r="R174">
        <v>1</v>
      </c>
      <c r="S174">
        <v>33</v>
      </c>
      <c r="T174" t="s">
        <v>166</v>
      </c>
      <c r="U174" t="s">
        <v>152</v>
      </c>
      <c r="V174" t="s">
        <v>153</v>
      </c>
      <c r="W174" t="s">
        <v>154</v>
      </c>
      <c r="X174" t="s">
        <v>119</v>
      </c>
      <c r="Y174" t="s">
        <v>112</v>
      </c>
      <c r="Z174" t="s">
        <v>166</v>
      </c>
      <c r="AA174" t="s">
        <v>152</v>
      </c>
      <c r="AB174" t="s">
        <v>153</v>
      </c>
      <c r="AC174" t="s">
        <v>154</v>
      </c>
      <c r="AD174" t="s">
        <v>119</v>
      </c>
      <c r="AE174" t="s">
        <v>112</v>
      </c>
      <c r="AF174" t="s">
        <v>121</v>
      </c>
      <c r="AG174" t="s">
        <v>122</v>
      </c>
      <c r="AH174">
        <v>3887568.63</v>
      </c>
      <c r="AI174" t="s">
        <v>166</v>
      </c>
      <c r="AJ174" t="s">
        <v>152</v>
      </c>
      <c r="AK174" t="s">
        <v>153</v>
      </c>
      <c r="AL174" t="s">
        <v>154</v>
      </c>
      <c r="AM174" t="s">
        <v>119</v>
      </c>
      <c r="AN174" t="s">
        <v>112</v>
      </c>
      <c r="AO174" t="s">
        <v>121</v>
      </c>
      <c r="AP174" t="s">
        <v>122</v>
      </c>
      <c r="AQ174" t="s">
        <v>122</v>
      </c>
      <c r="AR174" t="s">
        <v>124</v>
      </c>
      <c r="AS174" t="s">
        <v>125</v>
      </c>
      <c r="AT174">
        <v>2</v>
      </c>
      <c r="AU174" t="s">
        <v>126</v>
      </c>
      <c r="AV174" t="s">
        <v>155</v>
      </c>
      <c r="AW174" t="s">
        <v>156</v>
      </c>
      <c r="AX174">
        <v>1</v>
      </c>
      <c r="AY174" t="s">
        <v>129</v>
      </c>
      <c r="AZ174">
        <v>42833.64</v>
      </c>
      <c r="BA174">
        <v>3529162</v>
      </c>
      <c r="BB174">
        <v>50852.52</v>
      </c>
      <c r="BC174">
        <v>82.392300000000006</v>
      </c>
      <c r="BD174" t="s">
        <v>130</v>
      </c>
      <c r="BE174" t="s">
        <v>112</v>
      </c>
      <c r="BF174" t="s">
        <v>157</v>
      </c>
      <c r="BG174" t="s">
        <v>133</v>
      </c>
      <c r="BH174" t="s">
        <v>167</v>
      </c>
      <c r="BI174" t="s">
        <v>168</v>
      </c>
      <c r="BJ174" t="s">
        <v>112</v>
      </c>
      <c r="BK174" t="s">
        <v>112</v>
      </c>
      <c r="BL174" t="s">
        <v>169</v>
      </c>
      <c r="BM174" t="s">
        <v>159</v>
      </c>
      <c r="BN174" t="s">
        <v>726</v>
      </c>
      <c r="BO174" t="s">
        <v>161</v>
      </c>
      <c r="BP174">
        <v>1</v>
      </c>
      <c r="BQ174" t="s">
        <v>650</v>
      </c>
      <c r="BR174" s="45">
        <f>ISNUMBER(SEARCH($BR$1,Таблица1[[#This Row],[31_1 Описание и характеристика товара]]))*1</f>
        <v>1</v>
      </c>
      <c r="BT174" t="s">
        <v>150</v>
      </c>
      <c r="BU174">
        <v>33</v>
      </c>
      <c r="BV174">
        <v>0</v>
      </c>
      <c r="BW174">
        <v>0</v>
      </c>
      <c r="BY174">
        <v>0</v>
      </c>
      <c r="CA174" t="s">
        <v>106</v>
      </c>
      <c r="CB174" t="s">
        <v>142</v>
      </c>
      <c r="CC174" t="s">
        <v>112</v>
      </c>
      <c r="CD174" t="s">
        <v>112</v>
      </c>
      <c r="CE174" t="s">
        <v>121</v>
      </c>
      <c r="CF174">
        <v>16419.419999999998</v>
      </c>
      <c r="CG174" t="s">
        <v>144</v>
      </c>
      <c r="CH174">
        <v>4000000</v>
      </c>
      <c r="CI174">
        <v>16419.419999999998</v>
      </c>
      <c r="CJ174">
        <v>0</v>
      </c>
      <c r="CK174" t="s">
        <v>112</v>
      </c>
      <c r="CL174" t="s">
        <v>112</v>
      </c>
      <c r="CM174">
        <v>42833.64</v>
      </c>
      <c r="CN174">
        <v>3529162</v>
      </c>
      <c r="CO174">
        <v>0</v>
      </c>
      <c r="CP174">
        <v>1</v>
      </c>
      <c r="CQ174">
        <v>3887568.63</v>
      </c>
      <c r="CR174">
        <v>50852.52</v>
      </c>
      <c r="CS174" t="s">
        <v>145</v>
      </c>
      <c r="CT174">
        <v>50852.585681999997</v>
      </c>
      <c r="CU174">
        <v>3.0971000000000002</v>
      </c>
      <c r="CV174">
        <v>45</v>
      </c>
      <c r="CW174" t="s">
        <v>171</v>
      </c>
      <c r="CX174" t="s">
        <v>172</v>
      </c>
      <c r="CY174">
        <v>229</v>
      </c>
    </row>
    <row r="175" spans="1:103" x14ac:dyDescent="0.25">
      <c r="A175" t="s">
        <v>106</v>
      </c>
      <c r="B175" s="38">
        <v>44954</v>
      </c>
      <c r="C175" s="43">
        <f>IF(YEAR(Таблица1[[#This Row],[Дата]])=2023,MONTH(Таблица1[[#This Row],[Дата]]),0)</f>
        <v>1</v>
      </c>
      <c r="D175" t="s">
        <v>683</v>
      </c>
      <c r="E175" t="s">
        <v>108</v>
      </c>
      <c r="F175" t="s">
        <v>684</v>
      </c>
      <c r="G175" t="s">
        <v>110</v>
      </c>
      <c r="H175" t="s">
        <v>111</v>
      </c>
      <c r="I175" t="s">
        <v>112</v>
      </c>
      <c r="J175" t="s">
        <v>112</v>
      </c>
      <c r="K175" t="s">
        <v>112</v>
      </c>
      <c r="L175" t="s">
        <v>150</v>
      </c>
      <c r="M175" t="s">
        <v>151</v>
      </c>
      <c r="N175" t="s">
        <v>112</v>
      </c>
      <c r="O175" t="s">
        <v>112</v>
      </c>
      <c r="P175">
        <v>1</v>
      </c>
      <c r="Q175">
        <v>0</v>
      </c>
      <c r="R175">
        <v>1</v>
      </c>
      <c r="S175">
        <v>33</v>
      </c>
      <c r="T175" t="s">
        <v>166</v>
      </c>
      <c r="U175" t="s">
        <v>152</v>
      </c>
      <c r="V175" t="s">
        <v>153</v>
      </c>
      <c r="W175" t="s">
        <v>154</v>
      </c>
      <c r="X175" t="s">
        <v>119</v>
      </c>
      <c r="Y175" t="s">
        <v>112</v>
      </c>
      <c r="Z175" t="s">
        <v>166</v>
      </c>
      <c r="AA175" t="s">
        <v>152</v>
      </c>
      <c r="AB175" t="s">
        <v>153</v>
      </c>
      <c r="AC175" t="s">
        <v>154</v>
      </c>
      <c r="AD175" t="s">
        <v>119</v>
      </c>
      <c r="AE175" t="s">
        <v>112</v>
      </c>
      <c r="AF175" t="s">
        <v>121</v>
      </c>
      <c r="AG175" t="s">
        <v>122</v>
      </c>
      <c r="AH175">
        <v>3772489.56</v>
      </c>
      <c r="AI175" t="s">
        <v>166</v>
      </c>
      <c r="AJ175" t="s">
        <v>152</v>
      </c>
      <c r="AK175" t="s">
        <v>153</v>
      </c>
      <c r="AL175" t="s">
        <v>154</v>
      </c>
      <c r="AM175" t="s">
        <v>119</v>
      </c>
      <c r="AN175" t="s">
        <v>112</v>
      </c>
      <c r="AO175" t="s">
        <v>121</v>
      </c>
      <c r="AP175" t="s">
        <v>122</v>
      </c>
      <c r="AQ175" t="s">
        <v>122</v>
      </c>
      <c r="AR175" t="s">
        <v>124</v>
      </c>
      <c r="AS175" t="s">
        <v>125</v>
      </c>
      <c r="AT175">
        <v>2</v>
      </c>
      <c r="AU175" t="s">
        <v>126</v>
      </c>
      <c r="AV175" t="s">
        <v>155</v>
      </c>
      <c r="AW175" t="s">
        <v>156</v>
      </c>
      <c r="AX175">
        <v>1</v>
      </c>
      <c r="AY175" t="s">
        <v>129</v>
      </c>
      <c r="AZ175">
        <v>42560</v>
      </c>
      <c r="BA175">
        <v>3386567</v>
      </c>
      <c r="BB175">
        <v>50495.99</v>
      </c>
      <c r="BC175">
        <v>79.571600000000004</v>
      </c>
      <c r="BD175" t="s">
        <v>130</v>
      </c>
      <c r="BE175" t="s">
        <v>112</v>
      </c>
      <c r="BF175" t="s">
        <v>157</v>
      </c>
      <c r="BG175" t="s">
        <v>133</v>
      </c>
      <c r="BH175" t="s">
        <v>134</v>
      </c>
      <c r="BI175" t="s">
        <v>112</v>
      </c>
      <c r="BJ175" t="s">
        <v>112</v>
      </c>
      <c r="BK175" t="s">
        <v>112</v>
      </c>
      <c r="BL175" t="s">
        <v>169</v>
      </c>
      <c r="BM175" t="s">
        <v>159</v>
      </c>
      <c r="BN175" t="s">
        <v>212</v>
      </c>
      <c r="BO175" t="s">
        <v>161</v>
      </c>
      <c r="BP175">
        <v>1</v>
      </c>
      <c r="BQ175" t="s">
        <v>685</v>
      </c>
      <c r="BR175" s="45">
        <f>ISNUMBER(SEARCH($BR$1,Таблица1[[#This Row],[31_1 Описание и характеристика товара]]))*1</f>
        <v>1</v>
      </c>
      <c r="BT175" t="s">
        <v>150</v>
      </c>
      <c r="BU175">
        <v>33</v>
      </c>
      <c r="BV175">
        <v>0</v>
      </c>
      <c r="BW175">
        <v>0</v>
      </c>
      <c r="BY175">
        <v>0</v>
      </c>
      <c r="CA175" t="s">
        <v>106</v>
      </c>
      <c r="CB175" t="s">
        <v>142</v>
      </c>
      <c r="CC175" t="s">
        <v>112</v>
      </c>
      <c r="CD175" t="s">
        <v>112</v>
      </c>
      <c r="CE175" t="s">
        <v>121</v>
      </c>
      <c r="CF175">
        <v>16680.939999999999</v>
      </c>
      <c r="CG175" t="s">
        <v>144</v>
      </c>
      <c r="CH175">
        <v>4000000</v>
      </c>
      <c r="CI175">
        <v>16645</v>
      </c>
      <c r="CJ175">
        <v>0</v>
      </c>
      <c r="CK175" t="s">
        <v>112</v>
      </c>
      <c r="CL175" t="s">
        <v>112</v>
      </c>
      <c r="CM175">
        <v>42560</v>
      </c>
      <c r="CN175">
        <v>3386567</v>
      </c>
      <c r="CO175">
        <v>0</v>
      </c>
      <c r="CP175">
        <v>1</v>
      </c>
      <c r="CQ175">
        <v>3772489.56</v>
      </c>
      <c r="CR175">
        <v>50495.99</v>
      </c>
      <c r="CS175" t="s">
        <v>145</v>
      </c>
      <c r="CT175">
        <v>50495.936500000003</v>
      </c>
      <c r="CU175">
        <v>3.0337000000000001</v>
      </c>
      <c r="CV175">
        <v>45</v>
      </c>
      <c r="CW175" t="s">
        <v>171</v>
      </c>
      <c r="CX175" t="s">
        <v>463</v>
      </c>
      <c r="CY175">
        <v>293</v>
      </c>
    </row>
    <row r="176" spans="1:103" x14ac:dyDescent="0.25">
      <c r="A176" t="s">
        <v>106</v>
      </c>
      <c r="B176" s="38">
        <v>45200</v>
      </c>
      <c r="C176" s="43">
        <f>IF(YEAR(Таблица1[[#This Row],[Дата]])=2023,MONTH(Таблица1[[#This Row],[Дата]]),0)</f>
        <v>10</v>
      </c>
      <c r="D176" t="s">
        <v>661</v>
      </c>
      <c r="E176" t="s">
        <v>108</v>
      </c>
      <c r="F176" t="s">
        <v>662</v>
      </c>
      <c r="G176" t="s">
        <v>110</v>
      </c>
      <c r="H176" t="s">
        <v>111</v>
      </c>
      <c r="I176" t="s">
        <v>112</v>
      </c>
      <c r="J176" t="s">
        <v>112</v>
      </c>
      <c r="K176" t="s">
        <v>112</v>
      </c>
      <c r="L176" t="s">
        <v>150</v>
      </c>
      <c r="M176" t="s">
        <v>151</v>
      </c>
      <c r="N176" t="s">
        <v>112</v>
      </c>
      <c r="O176" t="s">
        <v>112</v>
      </c>
      <c r="P176">
        <v>1</v>
      </c>
      <c r="Q176">
        <v>0</v>
      </c>
      <c r="R176">
        <v>1</v>
      </c>
      <c r="S176">
        <v>32</v>
      </c>
      <c r="T176" t="s">
        <v>166</v>
      </c>
      <c r="U176" t="s">
        <v>152</v>
      </c>
      <c r="V176" t="s">
        <v>153</v>
      </c>
      <c r="W176" t="s">
        <v>154</v>
      </c>
      <c r="X176" t="s">
        <v>119</v>
      </c>
      <c r="Y176" t="s">
        <v>112</v>
      </c>
      <c r="Z176" t="s">
        <v>166</v>
      </c>
      <c r="AA176" t="s">
        <v>152</v>
      </c>
      <c r="AB176" t="s">
        <v>153</v>
      </c>
      <c r="AC176" t="s">
        <v>154</v>
      </c>
      <c r="AD176" t="s">
        <v>119</v>
      </c>
      <c r="AE176" t="s">
        <v>112</v>
      </c>
      <c r="AF176" t="s">
        <v>121</v>
      </c>
      <c r="AG176" t="s">
        <v>122</v>
      </c>
      <c r="AH176">
        <v>3452638.78</v>
      </c>
      <c r="AI176" t="s">
        <v>166</v>
      </c>
      <c r="AJ176" t="s">
        <v>152</v>
      </c>
      <c r="AK176" t="s">
        <v>153</v>
      </c>
      <c r="AL176" t="s">
        <v>154</v>
      </c>
      <c r="AM176" t="s">
        <v>119</v>
      </c>
      <c r="AN176" t="s">
        <v>112</v>
      </c>
      <c r="AO176" t="s">
        <v>121</v>
      </c>
      <c r="AP176" t="s">
        <v>122</v>
      </c>
      <c r="AQ176" t="s">
        <v>122</v>
      </c>
      <c r="AR176" t="s">
        <v>124</v>
      </c>
      <c r="AS176" t="s">
        <v>125</v>
      </c>
      <c r="AT176">
        <v>2</v>
      </c>
      <c r="AU176" t="s">
        <v>126</v>
      </c>
      <c r="AV176" t="s">
        <v>155</v>
      </c>
      <c r="AW176" t="s">
        <v>156</v>
      </c>
      <c r="AX176">
        <v>1</v>
      </c>
      <c r="AY176" t="s">
        <v>129</v>
      </c>
      <c r="AZ176">
        <v>38540.339999999997</v>
      </c>
      <c r="BA176">
        <v>3066717</v>
      </c>
      <c r="BB176">
        <v>46214.68</v>
      </c>
      <c r="BC176">
        <v>79.571600000000004</v>
      </c>
      <c r="BD176" t="s">
        <v>130</v>
      </c>
      <c r="BE176" t="s">
        <v>112</v>
      </c>
      <c r="BF176" t="s">
        <v>157</v>
      </c>
      <c r="BG176" t="s">
        <v>133</v>
      </c>
      <c r="BH176" t="s">
        <v>134</v>
      </c>
      <c r="BI176" t="s">
        <v>112</v>
      </c>
      <c r="BJ176" t="s">
        <v>112</v>
      </c>
      <c r="BK176" t="s">
        <v>112</v>
      </c>
      <c r="BL176" t="s">
        <v>169</v>
      </c>
      <c r="BM176" t="s">
        <v>159</v>
      </c>
      <c r="BN176" t="s">
        <v>212</v>
      </c>
      <c r="BO176" t="s">
        <v>161</v>
      </c>
      <c r="BP176">
        <v>1</v>
      </c>
      <c r="BQ176" t="s">
        <v>663</v>
      </c>
      <c r="BR176" s="45">
        <f>ISNUMBER(SEARCH($BR$1,Таблица1[[#This Row],[31_1 Описание и характеристика товара]]))*1</f>
        <v>1</v>
      </c>
      <c r="BT176" t="s">
        <v>150</v>
      </c>
      <c r="BU176">
        <v>32</v>
      </c>
      <c r="BV176">
        <v>0</v>
      </c>
      <c r="BW176">
        <v>0</v>
      </c>
      <c r="BY176">
        <v>0</v>
      </c>
      <c r="CA176" t="s">
        <v>106</v>
      </c>
      <c r="CB176" t="s">
        <v>142</v>
      </c>
      <c r="CC176" t="s">
        <v>112</v>
      </c>
      <c r="CD176" t="s">
        <v>112</v>
      </c>
      <c r="CE176" t="s">
        <v>121</v>
      </c>
      <c r="CF176">
        <v>16105.42</v>
      </c>
      <c r="CG176" t="s">
        <v>144</v>
      </c>
      <c r="CH176">
        <v>4000000</v>
      </c>
      <c r="CI176">
        <v>16022.62</v>
      </c>
      <c r="CJ176">
        <v>0</v>
      </c>
      <c r="CK176" t="s">
        <v>112</v>
      </c>
      <c r="CL176" t="s">
        <v>112</v>
      </c>
      <c r="CM176">
        <v>38540.339999999997</v>
      </c>
      <c r="CN176">
        <v>3066717</v>
      </c>
      <c r="CO176">
        <v>0</v>
      </c>
      <c r="CP176">
        <v>1</v>
      </c>
      <c r="CQ176">
        <v>3452638.78</v>
      </c>
      <c r="CR176">
        <v>46214.68</v>
      </c>
      <c r="CS176" t="s">
        <v>145</v>
      </c>
      <c r="CT176">
        <v>46214.042866000003</v>
      </c>
      <c r="CU176">
        <v>2.8843000000000001</v>
      </c>
      <c r="CV176">
        <v>45</v>
      </c>
      <c r="CW176" t="s">
        <v>171</v>
      </c>
      <c r="CX176" t="s">
        <v>463</v>
      </c>
      <c r="CY176">
        <v>317</v>
      </c>
    </row>
    <row r="177" spans="1:103" x14ac:dyDescent="0.25">
      <c r="A177" t="s">
        <v>106</v>
      </c>
      <c r="B177" s="38">
        <v>44978</v>
      </c>
      <c r="C177" s="43">
        <f>IF(YEAR(Таблица1[[#This Row],[Дата]])=2023,MONTH(Таблица1[[#This Row],[Дата]]),0)</f>
        <v>2</v>
      </c>
      <c r="D177" t="s">
        <v>669</v>
      </c>
      <c r="E177" t="s">
        <v>108</v>
      </c>
      <c r="F177" t="s">
        <v>670</v>
      </c>
      <c r="G177" t="s">
        <v>110</v>
      </c>
      <c r="H177" t="s">
        <v>111</v>
      </c>
      <c r="I177" t="s">
        <v>112</v>
      </c>
      <c r="J177" t="s">
        <v>112</v>
      </c>
      <c r="K177" t="s">
        <v>112</v>
      </c>
      <c r="L177" t="s">
        <v>150</v>
      </c>
      <c r="M177" t="s">
        <v>151</v>
      </c>
      <c r="N177" t="s">
        <v>112</v>
      </c>
      <c r="O177" t="s">
        <v>112</v>
      </c>
      <c r="P177">
        <v>1</v>
      </c>
      <c r="Q177">
        <v>0</v>
      </c>
      <c r="R177">
        <v>1</v>
      </c>
      <c r="S177">
        <v>33</v>
      </c>
      <c r="T177" t="s">
        <v>166</v>
      </c>
      <c r="U177" t="s">
        <v>152</v>
      </c>
      <c r="V177" t="s">
        <v>153</v>
      </c>
      <c r="W177" t="s">
        <v>154</v>
      </c>
      <c r="X177" t="s">
        <v>119</v>
      </c>
      <c r="Y177" t="s">
        <v>112</v>
      </c>
      <c r="Z177" t="s">
        <v>166</v>
      </c>
      <c r="AA177" t="s">
        <v>152</v>
      </c>
      <c r="AB177" t="s">
        <v>153</v>
      </c>
      <c r="AC177" t="s">
        <v>154</v>
      </c>
      <c r="AD177" t="s">
        <v>119</v>
      </c>
      <c r="AE177" t="s">
        <v>112</v>
      </c>
      <c r="AF177" t="s">
        <v>121</v>
      </c>
      <c r="AG177" t="s">
        <v>122</v>
      </c>
      <c r="AH177">
        <v>3685952.26</v>
      </c>
      <c r="AI177" t="s">
        <v>166</v>
      </c>
      <c r="AJ177" t="s">
        <v>152</v>
      </c>
      <c r="AK177" t="s">
        <v>153</v>
      </c>
      <c r="AL177" t="s">
        <v>154</v>
      </c>
      <c r="AM177" t="s">
        <v>119</v>
      </c>
      <c r="AN177" t="s">
        <v>112</v>
      </c>
      <c r="AO177" t="s">
        <v>121</v>
      </c>
      <c r="AP177" t="s">
        <v>122</v>
      </c>
      <c r="AQ177" t="s">
        <v>122</v>
      </c>
      <c r="AR177" t="s">
        <v>124</v>
      </c>
      <c r="AS177" t="s">
        <v>125</v>
      </c>
      <c r="AT177">
        <v>2</v>
      </c>
      <c r="AU177" t="s">
        <v>126</v>
      </c>
      <c r="AV177" t="s">
        <v>155</v>
      </c>
      <c r="AW177" t="s">
        <v>156</v>
      </c>
      <c r="AX177">
        <v>1</v>
      </c>
      <c r="AY177" t="s">
        <v>129</v>
      </c>
      <c r="AZ177">
        <v>41972.46</v>
      </c>
      <c r="BA177">
        <v>3339816</v>
      </c>
      <c r="BB177">
        <v>49337.66</v>
      </c>
      <c r="BC177">
        <v>79.571600000000004</v>
      </c>
      <c r="BD177" t="s">
        <v>130</v>
      </c>
      <c r="BE177" t="s">
        <v>112</v>
      </c>
      <c r="BF177" t="s">
        <v>157</v>
      </c>
      <c r="BG177" t="s">
        <v>133</v>
      </c>
      <c r="BH177" t="s">
        <v>167</v>
      </c>
      <c r="BI177" t="s">
        <v>168</v>
      </c>
      <c r="BJ177" t="s">
        <v>112</v>
      </c>
      <c r="BK177" t="s">
        <v>112</v>
      </c>
      <c r="BL177" t="s">
        <v>169</v>
      </c>
      <c r="BM177" t="s">
        <v>159</v>
      </c>
      <c r="BN177" t="s">
        <v>160</v>
      </c>
      <c r="BO177" t="s">
        <v>161</v>
      </c>
      <c r="BP177">
        <v>1</v>
      </c>
      <c r="BQ177" t="s">
        <v>232</v>
      </c>
      <c r="BR177" s="45">
        <f>ISNUMBER(SEARCH($BR$1,Таблица1[[#This Row],[31_1 Описание и характеристика товара]]))*1</f>
        <v>1</v>
      </c>
      <c r="BT177" t="s">
        <v>150</v>
      </c>
      <c r="BU177">
        <v>33</v>
      </c>
      <c r="BV177">
        <v>0</v>
      </c>
      <c r="BW177">
        <v>0</v>
      </c>
      <c r="BY177">
        <v>0</v>
      </c>
      <c r="CA177" t="s">
        <v>106</v>
      </c>
      <c r="CB177" t="s">
        <v>142</v>
      </c>
      <c r="CC177" t="s">
        <v>112</v>
      </c>
      <c r="CD177" t="s">
        <v>112</v>
      </c>
      <c r="CE177" t="s">
        <v>121</v>
      </c>
      <c r="CF177">
        <v>15730.33</v>
      </c>
      <c r="CG177" t="s">
        <v>144</v>
      </c>
      <c r="CH177">
        <v>4000000</v>
      </c>
      <c r="CI177">
        <v>15503.53</v>
      </c>
      <c r="CJ177">
        <v>0</v>
      </c>
      <c r="CK177" t="s">
        <v>112</v>
      </c>
      <c r="CL177" t="s">
        <v>112</v>
      </c>
      <c r="CM177">
        <v>41972.46</v>
      </c>
      <c r="CN177">
        <v>3339816</v>
      </c>
      <c r="CO177">
        <v>0</v>
      </c>
      <c r="CP177">
        <v>1</v>
      </c>
      <c r="CQ177">
        <v>3685952.26</v>
      </c>
      <c r="CR177">
        <v>49337.66</v>
      </c>
      <c r="CS177" t="s">
        <v>145</v>
      </c>
      <c r="CT177">
        <v>49338.433872000001</v>
      </c>
      <c r="CU177">
        <v>3.1823999999999999</v>
      </c>
      <c r="CV177">
        <v>45</v>
      </c>
      <c r="CW177" t="s">
        <v>171</v>
      </c>
      <c r="CX177" t="s">
        <v>463</v>
      </c>
      <c r="CY177">
        <v>286</v>
      </c>
    </row>
    <row r="178" spans="1:103" x14ac:dyDescent="0.25">
      <c r="A178" t="s">
        <v>106</v>
      </c>
      <c r="B178" s="38">
        <v>45097</v>
      </c>
      <c r="C178" s="43">
        <f>IF(YEAR(Таблица1[[#This Row],[Дата]])=2023,MONTH(Таблица1[[#This Row],[Дата]]),0)</f>
        <v>6</v>
      </c>
      <c r="D178" t="s">
        <v>673</v>
      </c>
      <c r="E178" t="s">
        <v>108</v>
      </c>
      <c r="F178" t="s">
        <v>674</v>
      </c>
      <c r="G178" t="s">
        <v>110</v>
      </c>
      <c r="H178" t="s">
        <v>111</v>
      </c>
      <c r="I178" t="s">
        <v>112</v>
      </c>
      <c r="J178" t="s">
        <v>112</v>
      </c>
      <c r="K178" t="s">
        <v>112</v>
      </c>
      <c r="L178" t="s">
        <v>150</v>
      </c>
      <c r="M178" t="s">
        <v>151</v>
      </c>
      <c r="N178" t="s">
        <v>112</v>
      </c>
      <c r="O178" t="s">
        <v>112</v>
      </c>
      <c r="P178">
        <v>1</v>
      </c>
      <c r="Q178">
        <v>0</v>
      </c>
      <c r="R178">
        <v>1</v>
      </c>
      <c r="S178">
        <v>33</v>
      </c>
      <c r="T178" t="s">
        <v>166</v>
      </c>
      <c r="U178" t="s">
        <v>152</v>
      </c>
      <c r="V178" t="s">
        <v>153</v>
      </c>
      <c r="W178" t="s">
        <v>154</v>
      </c>
      <c r="X178" t="s">
        <v>119</v>
      </c>
      <c r="Y178" t="s">
        <v>112</v>
      </c>
      <c r="Z178" t="s">
        <v>166</v>
      </c>
      <c r="AA178" t="s">
        <v>152</v>
      </c>
      <c r="AB178" t="s">
        <v>153</v>
      </c>
      <c r="AC178" t="s">
        <v>154</v>
      </c>
      <c r="AD178" t="s">
        <v>119</v>
      </c>
      <c r="AE178" t="s">
        <v>112</v>
      </c>
      <c r="AF178" t="s">
        <v>121</v>
      </c>
      <c r="AG178" t="s">
        <v>122</v>
      </c>
      <c r="AH178">
        <v>3711461.32</v>
      </c>
      <c r="AI178" t="s">
        <v>166</v>
      </c>
      <c r="AJ178" t="s">
        <v>152</v>
      </c>
      <c r="AK178" t="s">
        <v>153</v>
      </c>
      <c r="AL178" t="s">
        <v>154</v>
      </c>
      <c r="AM178" t="s">
        <v>119</v>
      </c>
      <c r="AN178" t="s">
        <v>112</v>
      </c>
      <c r="AO178" t="s">
        <v>121</v>
      </c>
      <c r="AP178" t="s">
        <v>122</v>
      </c>
      <c r="AQ178" t="s">
        <v>122</v>
      </c>
      <c r="AR178" t="s">
        <v>124</v>
      </c>
      <c r="AS178" t="s">
        <v>125</v>
      </c>
      <c r="AT178">
        <v>2</v>
      </c>
      <c r="AU178" t="s">
        <v>126</v>
      </c>
      <c r="AV178" t="s">
        <v>155</v>
      </c>
      <c r="AW178" t="s">
        <v>156</v>
      </c>
      <c r="AX178">
        <v>1</v>
      </c>
      <c r="AY178" t="s">
        <v>129</v>
      </c>
      <c r="AZ178">
        <v>42293.04</v>
      </c>
      <c r="BA178">
        <v>3365325</v>
      </c>
      <c r="BB178">
        <v>49679.1</v>
      </c>
      <c r="BC178">
        <v>79.571600000000004</v>
      </c>
      <c r="BD178" t="s">
        <v>130</v>
      </c>
      <c r="BE178" t="s">
        <v>112</v>
      </c>
      <c r="BF178" t="s">
        <v>157</v>
      </c>
      <c r="BG178" t="s">
        <v>133</v>
      </c>
      <c r="BH178" t="s">
        <v>167</v>
      </c>
      <c r="BI178" t="s">
        <v>168</v>
      </c>
      <c r="BJ178" t="s">
        <v>112</v>
      </c>
      <c r="BK178" t="s">
        <v>112</v>
      </c>
      <c r="BL178" t="s">
        <v>169</v>
      </c>
      <c r="BM178" t="s">
        <v>159</v>
      </c>
      <c r="BN178" t="s">
        <v>160</v>
      </c>
      <c r="BO178" t="s">
        <v>161</v>
      </c>
      <c r="BP178">
        <v>1</v>
      </c>
      <c r="BQ178" t="s">
        <v>675</v>
      </c>
      <c r="BR178" s="45">
        <f>ISNUMBER(SEARCH($BR$1,Таблица1[[#This Row],[31_1 Описание и характеристика товара]]))*1</f>
        <v>1</v>
      </c>
      <c r="BT178" t="s">
        <v>150</v>
      </c>
      <c r="BU178">
        <v>33</v>
      </c>
      <c r="BV178">
        <v>0</v>
      </c>
      <c r="BW178">
        <v>0</v>
      </c>
      <c r="BY178">
        <v>0</v>
      </c>
      <c r="CA178" t="s">
        <v>106</v>
      </c>
      <c r="CB178" t="s">
        <v>142</v>
      </c>
      <c r="CC178" t="s">
        <v>112</v>
      </c>
      <c r="CD178" t="s">
        <v>112</v>
      </c>
      <c r="CE178" t="s">
        <v>121</v>
      </c>
      <c r="CF178">
        <v>15123.97</v>
      </c>
      <c r="CG178" t="s">
        <v>144</v>
      </c>
      <c r="CH178">
        <v>4000000</v>
      </c>
      <c r="CI178">
        <v>14753.17</v>
      </c>
      <c r="CJ178">
        <v>0</v>
      </c>
      <c r="CK178" t="s">
        <v>112</v>
      </c>
      <c r="CL178" t="s">
        <v>112</v>
      </c>
      <c r="CM178">
        <v>42293.04</v>
      </c>
      <c r="CN178">
        <v>3365325</v>
      </c>
      <c r="CO178">
        <v>0</v>
      </c>
      <c r="CP178">
        <v>1</v>
      </c>
      <c r="CQ178">
        <v>3711461.32</v>
      </c>
      <c r="CR178">
        <v>49679.1</v>
      </c>
      <c r="CS178" t="s">
        <v>145</v>
      </c>
      <c r="CT178">
        <v>49679.824657999998</v>
      </c>
      <c r="CU178">
        <v>3.3673999999999999</v>
      </c>
      <c r="CV178">
        <v>45</v>
      </c>
      <c r="CW178" t="s">
        <v>171</v>
      </c>
      <c r="CX178" t="s">
        <v>372</v>
      </c>
      <c r="CY178">
        <v>337</v>
      </c>
    </row>
    <row r="179" spans="1:103" x14ac:dyDescent="0.25">
      <c r="A179" t="s">
        <v>106</v>
      </c>
      <c r="B179" s="38">
        <v>44993</v>
      </c>
      <c r="C179" s="43">
        <f>IF(YEAR(Таблица1[[#This Row],[Дата]])=2023,MONTH(Таблица1[[#This Row],[Дата]]),0)</f>
        <v>3</v>
      </c>
      <c r="D179" t="s">
        <v>659</v>
      </c>
      <c r="E179" t="s">
        <v>108</v>
      </c>
      <c r="F179" t="s">
        <v>660</v>
      </c>
      <c r="G179" t="s">
        <v>110</v>
      </c>
      <c r="H179" t="s">
        <v>111</v>
      </c>
      <c r="I179" t="s">
        <v>112</v>
      </c>
      <c r="J179" t="s">
        <v>112</v>
      </c>
      <c r="K179" t="s">
        <v>112</v>
      </c>
      <c r="L179" t="s">
        <v>150</v>
      </c>
      <c r="M179" t="s">
        <v>151</v>
      </c>
      <c r="N179" t="s">
        <v>112</v>
      </c>
      <c r="O179" t="s">
        <v>112</v>
      </c>
      <c r="P179">
        <v>1</v>
      </c>
      <c r="Q179">
        <v>0</v>
      </c>
      <c r="R179">
        <v>1</v>
      </c>
      <c r="S179">
        <v>33</v>
      </c>
      <c r="T179" t="s">
        <v>166</v>
      </c>
      <c r="U179" t="s">
        <v>152</v>
      </c>
      <c r="V179" t="s">
        <v>153</v>
      </c>
      <c r="W179" t="s">
        <v>154</v>
      </c>
      <c r="X179" t="s">
        <v>119</v>
      </c>
      <c r="Y179" t="s">
        <v>112</v>
      </c>
      <c r="Z179" t="s">
        <v>166</v>
      </c>
      <c r="AA179" t="s">
        <v>152</v>
      </c>
      <c r="AB179" t="s">
        <v>153</v>
      </c>
      <c r="AC179" t="s">
        <v>154</v>
      </c>
      <c r="AD179" t="s">
        <v>119</v>
      </c>
      <c r="AE179" t="s">
        <v>112</v>
      </c>
      <c r="AF179" t="s">
        <v>121</v>
      </c>
      <c r="AG179" t="s">
        <v>122</v>
      </c>
      <c r="AH179">
        <v>3966289.37</v>
      </c>
      <c r="AI179" t="s">
        <v>166</v>
      </c>
      <c r="AJ179" t="s">
        <v>152</v>
      </c>
      <c r="AK179" t="s">
        <v>153</v>
      </c>
      <c r="AL179" t="s">
        <v>154</v>
      </c>
      <c r="AM179" t="s">
        <v>119</v>
      </c>
      <c r="AN179" t="s">
        <v>112</v>
      </c>
      <c r="AO179" t="s">
        <v>121</v>
      </c>
      <c r="AP179" t="s">
        <v>122</v>
      </c>
      <c r="AQ179" t="s">
        <v>122</v>
      </c>
      <c r="AR179" t="s">
        <v>124</v>
      </c>
      <c r="AS179" t="s">
        <v>125</v>
      </c>
      <c r="AT179">
        <v>2</v>
      </c>
      <c r="AU179" t="s">
        <v>126</v>
      </c>
      <c r="AV179" t="s">
        <v>155</v>
      </c>
      <c r="AW179" t="s">
        <v>156</v>
      </c>
      <c r="AX179">
        <v>1</v>
      </c>
      <c r="AY179" t="s">
        <v>129</v>
      </c>
      <c r="AZ179">
        <v>45495.54</v>
      </c>
      <c r="BA179">
        <v>3620153</v>
      </c>
      <c r="BB179">
        <v>53090.06</v>
      </c>
      <c r="BC179">
        <v>79.571600000000004</v>
      </c>
      <c r="BD179" t="s">
        <v>130</v>
      </c>
      <c r="BE179" t="s">
        <v>112</v>
      </c>
      <c r="BF179" t="s">
        <v>157</v>
      </c>
      <c r="BG179" t="s">
        <v>133</v>
      </c>
      <c r="BH179" t="s">
        <v>134</v>
      </c>
      <c r="BI179" t="s">
        <v>112</v>
      </c>
      <c r="BJ179" t="s">
        <v>112</v>
      </c>
      <c r="BK179" t="s">
        <v>112</v>
      </c>
      <c r="BL179" t="s">
        <v>169</v>
      </c>
      <c r="BM179" t="s">
        <v>159</v>
      </c>
      <c r="BN179" t="s">
        <v>212</v>
      </c>
      <c r="BO179" t="s">
        <v>161</v>
      </c>
      <c r="BP179">
        <v>1</v>
      </c>
      <c r="BQ179" t="s">
        <v>205</v>
      </c>
      <c r="BR179" s="45">
        <f>ISNUMBER(SEARCH($BR$1,Таблица1[[#This Row],[31_1 Описание и характеристика товара]]))*1</f>
        <v>1</v>
      </c>
      <c r="BT179" t="s">
        <v>150</v>
      </c>
      <c r="BU179">
        <v>33</v>
      </c>
      <c r="BV179">
        <v>0</v>
      </c>
      <c r="BW179">
        <v>0</v>
      </c>
      <c r="BY179">
        <v>0</v>
      </c>
      <c r="CA179" t="s">
        <v>106</v>
      </c>
      <c r="CB179" t="s">
        <v>142</v>
      </c>
      <c r="CC179" t="s">
        <v>112</v>
      </c>
      <c r="CD179" t="s">
        <v>112</v>
      </c>
      <c r="CE179" t="s">
        <v>121</v>
      </c>
      <c r="CF179">
        <v>15820.55</v>
      </c>
      <c r="CG179" t="s">
        <v>144</v>
      </c>
      <c r="CH179">
        <v>4000000</v>
      </c>
      <c r="CI179">
        <v>15640.65</v>
      </c>
      <c r="CJ179">
        <v>0</v>
      </c>
      <c r="CK179" t="s">
        <v>112</v>
      </c>
      <c r="CL179" t="s">
        <v>112</v>
      </c>
      <c r="CM179">
        <v>45495.54</v>
      </c>
      <c r="CN179">
        <v>3620153</v>
      </c>
      <c r="CO179">
        <v>0</v>
      </c>
      <c r="CP179">
        <v>1</v>
      </c>
      <c r="CQ179">
        <v>3966289.37</v>
      </c>
      <c r="CR179">
        <v>53090.06</v>
      </c>
      <c r="CS179" t="s">
        <v>145</v>
      </c>
      <c r="CT179">
        <v>53090.622360000001</v>
      </c>
      <c r="CU179">
        <v>3.3944000000000001</v>
      </c>
      <c r="CV179">
        <v>45</v>
      </c>
      <c r="CW179" t="s">
        <v>171</v>
      </c>
      <c r="CX179" t="s">
        <v>372</v>
      </c>
      <c r="CY179">
        <v>108</v>
      </c>
    </row>
    <row r="180" spans="1:103" x14ac:dyDescent="0.25">
      <c r="A180" t="s">
        <v>106</v>
      </c>
      <c r="B180" s="38">
        <v>45228</v>
      </c>
      <c r="C180" s="43">
        <f>IF(YEAR(Таблица1[[#This Row],[Дата]])=2023,MONTH(Таблица1[[#This Row],[Дата]]),0)</f>
        <v>10</v>
      </c>
      <c r="D180" t="s">
        <v>693</v>
      </c>
      <c r="E180" t="s">
        <v>108</v>
      </c>
      <c r="F180" t="s">
        <v>694</v>
      </c>
      <c r="G180" t="s">
        <v>110</v>
      </c>
      <c r="H180" t="s">
        <v>111</v>
      </c>
      <c r="I180" t="s">
        <v>112</v>
      </c>
      <c r="J180" t="s">
        <v>112</v>
      </c>
      <c r="K180" t="s">
        <v>112</v>
      </c>
      <c r="L180" t="s">
        <v>150</v>
      </c>
      <c r="M180" t="s">
        <v>151</v>
      </c>
      <c r="N180" t="s">
        <v>112</v>
      </c>
      <c r="O180" t="s">
        <v>112</v>
      </c>
      <c r="P180">
        <v>1</v>
      </c>
      <c r="Q180">
        <v>0</v>
      </c>
      <c r="R180">
        <v>1</v>
      </c>
      <c r="S180">
        <v>33</v>
      </c>
      <c r="T180" t="s">
        <v>166</v>
      </c>
      <c r="U180" t="s">
        <v>152</v>
      </c>
      <c r="V180" t="s">
        <v>153</v>
      </c>
      <c r="W180" t="s">
        <v>154</v>
      </c>
      <c r="X180" t="s">
        <v>119</v>
      </c>
      <c r="Y180" t="s">
        <v>112</v>
      </c>
      <c r="Z180" t="s">
        <v>166</v>
      </c>
      <c r="AA180" t="s">
        <v>152</v>
      </c>
      <c r="AB180" t="s">
        <v>153</v>
      </c>
      <c r="AC180" t="s">
        <v>154</v>
      </c>
      <c r="AD180" t="s">
        <v>119</v>
      </c>
      <c r="AE180" t="s">
        <v>112</v>
      </c>
      <c r="AF180" t="s">
        <v>121</v>
      </c>
      <c r="AG180" t="s">
        <v>122</v>
      </c>
      <c r="AH180">
        <v>3307673.65</v>
      </c>
      <c r="AI180" t="s">
        <v>166</v>
      </c>
      <c r="AJ180" t="s">
        <v>152</v>
      </c>
      <c r="AK180" t="s">
        <v>153</v>
      </c>
      <c r="AL180" t="s">
        <v>154</v>
      </c>
      <c r="AM180" t="s">
        <v>119</v>
      </c>
      <c r="AN180" t="s">
        <v>112</v>
      </c>
      <c r="AO180" t="s">
        <v>121</v>
      </c>
      <c r="AP180" t="s">
        <v>122</v>
      </c>
      <c r="AQ180" t="s">
        <v>122</v>
      </c>
      <c r="AR180" t="s">
        <v>124</v>
      </c>
      <c r="AS180" t="s">
        <v>125</v>
      </c>
      <c r="AT180">
        <v>2</v>
      </c>
      <c r="AU180" t="s">
        <v>126</v>
      </c>
      <c r="AV180" t="s">
        <v>155</v>
      </c>
      <c r="AW180" t="s">
        <v>156</v>
      </c>
      <c r="AX180">
        <v>1</v>
      </c>
      <c r="AY180" t="s">
        <v>129</v>
      </c>
      <c r="AZ180">
        <v>36518.519999999997</v>
      </c>
      <c r="BA180">
        <v>2905837</v>
      </c>
      <c r="BB180">
        <v>44274.28</v>
      </c>
      <c r="BC180">
        <v>79.571600000000004</v>
      </c>
      <c r="BD180" t="s">
        <v>130</v>
      </c>
      <c r="BE180" t="s">
        <v>112</v>
      </c>
      <c r="BF180" t="s">
        <v>157</v>
      </c>
      <c r="BG180" t="s">
        <v>133</v>
      </c>
      <c r="BH180" t="s">
        <v>134</v>
      </c>
      <c r="BI180" t="s">
        <v>112</v>
      </c>
      <c r="BJ180" t="s">
        <v>112</v>
      </c>
      <c r="BK180" t="s">
        <v>112</v>
      </c>
      <c r="BL180" t="s">
        <v>169</v>
      </c>
      <c r="BM180" t="s">
        <v>159</v>
      </c>
      <c r="BN180" t="s">
        <v>212</v>
      </c>
      <c r="BO180" t="s">
        <v>161</v>
      </c>
      <c r="BP180">
        <v>1</v>
      </c>
      <c r="BQ180" t="s">
        <v>695</v>
      </c>
      <c r="BR180" s="45">
        <f>ISNUMBER(SEARCH($BR$1,Таблица1[[#This Row],[31_1 Описание и характеристика товара]]))*1</f>
        <v>1</v>
      </c>
      <c r="BT180" t="s">
        <v>150</v>
      </c>
      <c r="BU180">
        <v>33</v>
      </c>
      <c r="BV180">
        <v>0</v>
      </c>
      <c r="BW180">
        <v>0</v>
      </c>
      <c r="BY180">
        <v>0</v>
      </c>
      <c r="CA180" t="s">
        <v>106</v>
      </c>
      <c r="CB180" t="s">
        <v>142</v>
      </c>
      <c r="CC180" t="s">
        <v>112</v>
      </c>
      <c r="CD180" t="s">
        <v>112</v>
      </c>
      <c r="CE180" t="s">
        <v>121</v>
      </c>
      <c r="CF180">
        <v>16646.46</v>
      </c>
      <c r="CG180" t="s">
        <v>144</v>
      </c>
      <c r="CH180">
        <v>4000000</v>
      </c>
      <c r="CI180">
        <v>16624.86</v>
      </c>
      <c r="CJ180">
        <v>0</v>
      </c>
      <c r="CK180" t="s">
        <v>112</v>
      </c>
      <c r="CL180" t="s">
        <v>112</v>
      </c>
      <c r="CM180">
        <v>36518.519999999997</v>
      </c>
      <c r="CN180">
        <v>2905837</v>
      </c>
      <c r="CO180">
        <v>0</v>
      </c>
      <c r="CP180">
        <v>1</v>
      </c>
      <c r="CQ180">
        <v>3307673.65</v>
      </c>
      <c r="CR180">
        <v>44274.28</v>
      </c>
      <c r="CS180" t="s">
        <v>145</v>
      </c>
      <c r="CT180">
        <v>44273.664666000004</v>
      </c>
      <c r="CU180">
        <v>2.6631</v>
      </c>
      <c r="CV180">
        <v>45</v>
      </c>
      <c r="CW180" t="s">
        <v>171</v>
      </c>
      <c r="CX180" t="s">
        <v>369</v>
      </c>
      <c r="CY180">
        <v>368</v>
      </c>
    </row>
    <row r="181" spans="1:103" x14ac:dyDescent="0.25">
      <c r="A181" t="s">
        <v>106</v>
      </c>
      <c r="B181" s="38">
        <v>45195</v>
      </c>
      <c r="C181" s="43">
        <f>IF(YEAR(Таблица1[[#This Row],[Дата]])=2023,MONTH(Таблица1[[#This Row],[Дата]]),0)</f>
        <v>9</v>
      </c>
      <c r="D181" t="s">
        <v>664</v>
      </c>
      <c r="E181" t="s">
        <v>108</v>
      </c>
      <c r="F181" t="s">
        <v>665</v>
      </c>
      <c r="G181" t="s">
        <v>110</v>
      </c>
      <c r="H181" t="s">
        <v>111</v>
      </c>
      <c r="I181" t="s">
        <v>112</v>
      </c>
      <c r="J181" t="s">
        <v>112</v>
      </c>
      <c r="K181" t="s">
        <v>112</v>
      </c>
      <c r="L181" t="s">
        <v>150</v>
      </c>
      <c r="M181" t="s">
        <v>151</v>
      </c>
      <c r="N181" t="s">
        <v>112</v>
      </c>
      <c r="O181" t="s">
        <v>112</v>
      </c>
      <c r="P181">
        <v>1</v>
      </c>
      <c r="Q181">
        <v>0</v>
      </c>
      <c r="R181">
        <v>1</v>
      </c>
      <c r="S181">
        <v>33</v>
      </c>
      <c r="T181" t="s">
        <v>166</v>
      </c>
      <c r="U181" t="s">
        <v>152</v>
      </c>
      <c r="V181" t="s">
        <v>153</v>
      </c>
      <c r="W181" t="s">
        <v>154</v>
      </c>
      <c r="X181" t="s">
        <v>119</v>
      </c>
      <c r="Y181" t="s">
        <v>112</v>
      </c>
      <c r="Z181" t="s">
        <v>166</v>
      </c>
      <c r="AA181" t="s">
        <v>152</v>
      </c>
      <c r="AB181" t="s">
        <v>153</v>
      </c>
      <c r="AC181" t="s">
        <v>154</v>
      </c>
      <c r="AD181" t="s">
        <v>119</v>
      </c>
      <c r="AE181" t="s">
        <v>112</v>
      </c>
      <c r="AF181" t="s">
        <v>121</v>
      </c>
      <c r="AG181" t="s">
        <v>122</v>
      </c>
      <c r="AH181">
        <v>3685928.39</v>
      </c>
      <c r="AI181" t="s">
        <v>166</v>
      </c>
      <c r="AJ181" t="s">
        <v>152</v>
      </c>
      <c r="AK181" t="s">
        <v>153</v>
      </c>
      <c r="AL181" t="s">
        <v>154</v>
      </c>
      <c r="AM181" t="s">
        <v>119</v>
      </c>
      <c r="AN181" t="s">
        <v>112</v>
      </c>
      <c r="AO181" t="s">
        <v>121</v>
      </c>
      <c r="AP181" t="s">
        <v>122</v>
      </c>
      <c r="AQ181" t="s">
        <v>122</v>
      </c>
      <c r="AR181" t="s">
        <v>124</v>
      </c>
      <c r="AS181" t="s">
        <v>125</v>
      </c>
      <c r="AT181">
        <v>2</v>
      </c>
      <c r="AU181" t="s">
        <v>126</v>
      </c>
      <c r="AV181" t="s">
        <v>155</v>
      </c>
      <c r="AW181" t="s">
        <v>156</v>
      </c>
      <c r="AX181">
        <v>1</v>
      </c>
      <c r="AY181" t="s">
        <v>129</v>
      </c>
      <c r="AZ181">
        <v>41972.160000000003</v>
      </c>
      <c r="BA181">
        <v>3339792</v>
      </c>
      <c r="BB181">
        <v>49337.34</v>
      </c>
      <c r="BC181">
        <v>79.571600000000004</v>
      </c>
      <c r="BD181" t="s">
        <v>130</v>
      </c>
      <c r="BE181" t="s">
        <v>112</v>
      </c>
      <c r="BF181" t="s">
        <v>157</v>
      </c>
      <c r="BG181" t="s">
        <v>133</v>
      </c>
      <c r="BH181" t="s">
        <v>134</v>
      </c>
      <c r="BI181" t="s">
        <v>112</v>
      </c>
      <c r="BJ181" t="s">
        <v>112</v>
      </c>
      <c r="BK181" t="s">
        <v>112</v>
      </c>
      <c r="BL181" t="s">
        <v>169</v>
      </c>
      <c r="BM181" t="s">
        <v>159</v>
      </c>
      <c r="BN181" t="s">
        <v>212</v>
      </c>
      <c r="BO181" t="s">
        <v>161</v>
      </c>
      <c r="BP181">
        <v>1</v>
      </c>
      <c r="BQ181" t="s">
        <v>666</v>
      </c>
      <c r="BR181" s="45">
        <f>ISNUMBER(SEARCH($BR$1,Таблица1[[#This Row],[31_1 Описание и характеристика товара]]))*1</f>
        <v>1</v>
      </c>
      <c r="BT181" t="s">
        <v>150</v>
      </c>
      <c r="BU181">
        <v>33</v>
      </c>
      <c r="BV181">
        <v>0</v>
      </c>
      <c r="BW181">
        <v>0</v>
      </c>
      <c r="BY181">
        <v>0</v>
      </c>
      <c r="CA181" t="s">
        <v>106</v>
      </c>
      <c r="CB181" t="s">
        <v>142</v>
      </c>
      <c r="CC181" t="s">
        <v>112</v>
      </c>
      <c r="CD181" t="s">
        <v>112</v>
      </c>
      <c r="CE181" t="s">
        <v>121</v>
      </c>
      <c r="CF181">
        <v>15597.9</v>
      </c>
      <c r="CG181" t="s">
        <v>144</v>
      </c>
      <c r="CH181">
        <v>4000000</v>
      </c>
      <c r="CI181">
        <v>15390.3</v>
      </c>
      <c r="CJ181">
        <v>0</v>
      </c>
      <c r="CK181" t="s">
        <v>112</v>
      </c>
      <c r="CL181" t="s">
        <v>112</v>
      </c>
      <c r="CM181">
        <v>41972.160000000003</v>
      </c>
      <c r="CN181">
        <v>3339792</v>
      </c>
      <c r="CO181">
        <v>0</v>
      </c>
      <c r="CP181">
        <v>1</v>
      </c>
      <c r="CQ181">
        <v>3685928.39</v>
      </c>
      <c r="CR181">
        <v>49337.34</v>
      </c>
      <c r="CS181" t="s">
        <v>145</v>
      </c>
      <c r="CT181">
        <v>49336.684710000001</v>
      </c>
      <c r="CU181">
        <v>3.2057000000000002</v>
      </c>
      <c r="CV181">
        <v>45</v>
      </c>
      <c r="CW181" t="s">
        <v>171</v>
      </c>
      <c r="CX181" t="s">
        <v>172</v>
      </c>
      <c r="CY181">
        <v>546</v>
      </c>
    </row>
    <row r="182" spans="1:103" x14ac:dyDescent="0.25">
      <c r="A182" t="s">
        <v>106</v>
      </c>
      <c r="B182" s="38">
        <v>44959</v>
      </c>
      <c r="C182" s="43">
        <f>IF(YEAR(Таблица1[[#This Row],[Дата]])=2023,MONTH(Таблица1[[#This Row],[Дата]]),0)</f>
        <v>2</v>
      </c>
      <c r="D182" t="s">
        <v>690</v>
      </c>
      <c r="E182" t="s">
        <v>108</v>
      </c>
      <c r="F182" t="s">
        <v>691</v>
      </c>
      <c r="G182" t="s">
        <v>110</v>
      </c>
      <c r="H182" t="s">
        <v>111</v>
      </c>
      <c r="I182" t="s">
        <v>112</v>
      </c>
      <c r="J182" t="s">
        <v>112</v>
      </c>
      <c r="K182" t="s">
        <v>112</v>
      </c>
      <c r="L182" t="s">
        <v>150</v>
      </c>
      <c r="M182" t="s">
        <v>151</v>
      </c>
      <c r="N182" t="s">
        <v>112</v>
      </c>
      <c r="O182" t="s">
        <v>112</v>
      </c>
      <c r="P182">
        <v>1</v>
      </c>
      <c r="Q182">
        <v>0</v>
      </c>
      <c r="R182">
        <v>1</v>
      </c>
      <c r="S182">
        <v>33</v>
      </c>
      <c r="T182" t="s">
        <v>166</v>
      </c>
      <c r="U182" t="s">
        <v>152</v>
      </c>
      <c r="V182" t="s">
        <v>153</v>
      </c>
      <c r="W182" t="s">
        <v>154</v>
      </c>
      <c r="X182" t="s">
        <v>119</v>
      </c>
      <c r="Y182" t="s">
        <v>112</v>
      </c>
      <c r="Z182" t="s">
        <v>166</v>
      </c>
      <c r="AA182" t="s">
        <v>152</v>
      </c>
      <c r="AB182" t="s">
        <v>153</v>
      </c>
      <c r="AC182" t="s">
        <v>154</v>
      </c>
      <c r="AD182" t="s">
        <v>119</v>
      </c>
      <c r="AE182" t="s">
        <v>112</v>
      </c>
      <c r="AF182" t="s">
        <v>121</v>
      </c>
      <c r="AG182" t="s">
        <v>122</v>
      </c>
      <c r="AH182">
        <v>3600349.13</v>
      </c>
      <c r="AI182" t="s">
        <v>166</v>
      </c>
      <c r="AJ182" t="s">
        <v>152</v>
      </c>
      <c r="AK182" t="s">
        <v>153</v>
      </c>
      <c r="AL182" t="s">
        <v>154</v>
      </c>
      <c r="AM182" t="s">
        <v>119</v>
      </c>
      <c r="AN182" t="s">
        <v>112</v>
      </c>
      <c r="AO182" t="s">
        <v>121</v>
      </c>
      <c r="AP182" t="s">
        <v>122</v>
      </c>
      <c r="AQ182" t="s">
        <v>122</v>
      </c>
      <c r="AR182" t="s">
        <v>124</v>
      </c>
      <c r="AS182" t="s">
        <v>125</v>
      </c>
      <c r="AT182">
        <v>2</v>
      </c>
      <c r="AU182" t="s">
        <v>126</v>
      </c>
      <c r="AV182" t="s">
        <v>155</v>
      </c>
      <c r="AW182" t="s">
        <v>156</v>
      </c>
      <c r="AX182">
        <v>1</v>
      </c>
      <c r="AY182" t="s">
        <v>129</v>
      </c>
      <c r="AZ182">
        <v>40896.660000000003</v>
      </c>
      <c r="BA182">
        <v>3254213</v>
      </c>
      <c r="BB182">
        <v>48191.83</v>
      </c>
      <c r="BC182">
        <v>79.571600000000004</v>
      </c>
      <c r="BD182" t="s">
        <v>130</v>
      </c>
      <c r="BE182" t="s">
        <v>112</v>
      </c>
      <c r="BF182" t="s">
        <v>157</v>
      </c>
      <c r="BG182" t="s">
        <v>133</v>
      </c>
      <c r="BH182" t="s">
        <v>167</v>
      </c>
      <c r="BI182" t="s">
        <v>168</v>
      </c>
      <c r="BJ182" t="s">
        <v>112</v>
      </c>
      <c r="BK182" t="s">
        <v>112</v>
      </c>
      <c r="BL182" t="s">
        <v>169</v>
      </c>
      <c r="BM182" t="s">
        <v>159</v>
      </c>
      <c r="BN182" t="s">
        <v>160</v>
      </c>
      <c r="BO182" t="s">
        <v>161</v>
      </c>
      <c r="BP182">
        <v>1</v>
      </c>
      <c r="BQ182" t="s">
        <v>692</v>
      </c>
      <c r="BR182" s="45">
        <f>ISNUMBER(SEARCH($BR$1,Таблица1[[#This Row],[31_1 Описание и характеристика товара]]))*1</f>
        <v>1</v>
      </c>
      <c r="BT182" t="s">
        <v>150</v>
      </c>
      <c r="BU182">
        <v>33</v>
      </c>
      <c r="BV182">
        <v>0</v>
      </c>
      <c r="BW182">
        <v>0</v>
      </c>
      <c r="BY182">
        <v>0</v>
      </c>
      <c r="CA182" t="s">
        <v>106</v>
      </c>
      <c r="CB182" t="s">
        <v>142</v>
      </c>
      <c r="CC182" t="s">
        <v>112</v>
      </c>
      <c r="CD182" t="s">
        <v>112</v>
      </c>
      <c r="CE182" t="s">
        <v>121</v>
      </c>
      <c r="CF182">
        <v>16633.150000000001</v>
      </c>
      <c r="CG182" t="s">
        <v>144</v>
      </c>
      <c r="CH182">
        <v>4000000</v>
      </c>
      <c r="CI182">
        <v>16460.349999999999</v>
      </c>
      <c r="CJ182">
        <v>0</v>
      </c>
      <c r="CK182" t="s">
        <v>112</v>
      </c>
      <c r="CL182" t="s">
        <v>112</v>
      </c>
      <c r="CM182">
        <v>40896.660000000003</v>
      </c>
      <c r="CN182">
        <v>3254213</v>
      </c>
      <c r="CO182">
        <v>0</v>
      </c>
      <c r="CP182">
        <v>1</v>
      </c>
      <c r="CQ182">
        <v>3600349.13</v>
      </c>
      <c r="CR182">
        <v>48191.83</v>
      </c>
      <c r="CS182" t="s">
        <v>145</v>
      </c>
      <c r="CT182">
        <v>48192.612729999993</v>
      </c>
      <c r="CU182">
        <v>2.9278</v>
      </c>
      <c r="CV182">
        <v>45</v>
      </c>
      <c r="CW182" t="s">
        <v>171</v>
      </c>
      <c r="CX182" t="s">
        <v>369</v>
      </c>
      <c r="CY182">
        <v>343</v>
      </c>
    </row>
    <row r="183" spans="1:103" x14ac:dyDescent="0.25">
      <c r="A183" t="s">
        <v>106</v>
      </c>
      <c r="B183" s="38">
        <v>45245</v>
      </c>
      <c r="C183" s="43">
        <f>IF(YEAR(Таблица1[[#This Row],[Дата]])=2023,MONTH(Таблица1[[#This Row],[Дата]]),0)</f>
        <v>11</v>
      </c>
      <c r="D183" t="s">
        <v>671</v>
      </c>
      <c r="E183" t="s">
        <v>108</v>
      </c>
      <c r="F183" t="s">
        <v>672</v>
      </c>
      <c r="G183" t="s">
        <v>110</v>
      </c>
      <c r="H183" t="s">
        <v>111</v>
      </c>
      <c r="I183" t="s">
        <v>112</v>
      </c>
      <c r="J183" t="s">
        <v>112</v>
      </c>
      <c r="K183" t="s">
        <v>112</v>
      </c>
      <c r="L183" t="s">
        <v>150</v>
      </c>
      <c r="M183" t="s">
        <v>151</v>
      </c>
      <c r="N183" t="s">
        <v>112</v>
      </c>
      <c r="O183" t="s">
        <v>112</v>
      </c>
      <c r="P183">
        <v>1</v>
      </c>
      <c r="Q183">
        <v>0</v>
      </c>
      <c r="R183">
        <v>1</v>
      </c>
      <c r="S183">
        <v>33</v>
      </c>
      <c r="T183" t="s">
        <v>166</v>
      </c>
      <c r="U183" t="s">
        <v>152</v>
      </c>
      <c r="V183" t="s">
        <v>153</v>
      </c>
      <c r="W183" t="s">
        <v>154</v>
      </c>
      <c r="X183" t="s">
        <v>119</v>
      </c>
      <c r="Y183" t="s">
        <v>112</v>
      </c>
      <c r="Z183" t="s">
        <v>166</v>
      </c>
      <c r="AA183" t="s">
        <v>152</v>
      </c>
      <c r="AB183" t="s">
        <v>153</v>
      </c>
      <c r="AC183" t="s">
        <v>154</v>
      </c>
      <c r="AD183" t="s">
        <v>119</v>
      </c>
      <c r="AE183" t="s">
        <v>112</v>
      </c>
      <c r="AF183" t="s">
        <v>121</v>
      </c>
      <c r="AG183" t="s">
        <v>122</v>
      </c>
      <c r="AH183">
        <v>3879688.42</v>
      </c>
      <c r="AI183" t="s">
        <v>166</v>
      </c>
      <c r="AJ183" t="s">
        <v>152</v>
      </c>
      <c r="AK183" t="s">
        <v>153</v>
      </c>
      <c r="AL183" t="s">
        <v>154</v>
      </c>
      <c r="AM183" t="s">
        <v>119</v>
      </c>
      <c r="AN183" t="s">
        <v>112</v>
      </c>
      <c r="AO183" t="s">
        <v>121</v>
      </c>
      <c r="AP183" t="s">
        <v>122</v>
      </c>
      <c r="AQ183" t="s">
        <v>122</v>
      </c>
      <c r="AR183" t="s">
        <v>124</v>
      </c>
      <c r="AS183" t="s">
        <v>125</v>
      </c>
      <c r="AT183">
        <v>2</v>
      </c>
      <c r="AU183" t="s">
        <v>126</v>
      </c>
      <c r="AV183" t="s">
        <v>155</v>
      </c>
      <c r="AW183" t="s">
        <v>156</v>
      </c>
      <c r="AX183">
        <v>1</v>
      </c>
      <c r="AY183" t="s">
        <v>129</v>
      </c>
      <c r="AZ183">
        <v>44407.199999999997</v>
      </c>
      <c r="BA183">
        <v>3533552</v>
      </c>
      <c r="BB183">
        <v>51930.879999999997</v>
      </c>
      <c r="BC183">
        <v>79.571600000000004</v>
      </c>
      <c r="BD183" t="s">
        <v>130</v>
      </c>
      <c r="BE183" t="s">
        <v>112</v>
      </c>
      <c r="BF183" t="s">
        <v>157</v>
      </c>
      <c r="BG183" t="s">
        <v>133</v>
      </c>
      <c r="BH183" t="s">
        <v>167</v>
      </c>
      <c r="BI183" t="s">
        <v>168</v>
      </c>
      <c r="BJ183" t="s">
        <v>112</v>
      </c>
      <c r="BK183" t="s">
        <v>112</v>
      </c>
      <c r="BL183" t="s">
        <v>169</v>
      </c>
      <c r="BM183" t="s">
        <v>159</v>
      </c>
      <c r="BN183" t="s">
        <v>160</v>
      </c>
      <c r="BO183" t="s">
        <v>161</v>
      </c>
      <c r="BP183">
        <v>1</v>
      </c>
      <c r="BQ183" t="s">
        <v>466</v>
      </c>
      <c r="BR183" s="45">
        <f>ISNUMBER(SEARCH($BR$1,Таблица1[[#This Row],[31_1 Описание и характеристика товара]]))*1</f>
        <v>1</v>
      </c>
      <c r="BT183" t="s">
        <v>150</v>
      </c>
      <c r="BU183">
        <v>33</v>
      </c>
      <c r="BV183">
        <v>0</v>
      </c>
      <c r="BW183">
        <v>0</v>
      </c>
      <c r="BY183">
        <v>0</v>
      </c>
      <c r="CA183" t="s">
        <v>106</v>
      </c>
      <c r="CB183" t="s">
        <v>142</v>
      </c>
      <c r="CC183" t="s">
        <v>112</v>
      </c>
      <c r="CD183" t="s">
        <v>112</v>
      </c>
      <c r="CE183" t="s">
        <v>121</v>
      </c>
      <c r="CF183">
        <v>16136.82</v>
      </c>
      <c r="CG183" t="s">
        <v>144</v>
      </c>
      <c r="CH183">
        <v>4000000</v>
      </c>
      <c r="CI183">
        <v>16028.82</v>
      </c>
      <c r="CJ183">
        <v>0</v>
      </c>
      <c r="CK183" t="s">
        <v>112</v>
      </c>
      <c r="CL183" t="s">
        <v>112</v>
      </c>
      <c r="CM183">
        <v>44407.199999999997</v>
      </c>
      <c r="CN183">
        <v>3533552</v>
      </c>
      <c r="CO183">
        <v>0</v>
      </c>
      <c r="CP183">
        <v>1</v>
      </c>
      <c r="CQ183">
        <v>3879688.42</v>
      </c>
      <c r="CR183">
        <v>51930.879999999997</v>
      </c>
      <c r="CS183" t="s">
        <v>145</v>
      </c>
      <c r="CT183">
        <v>51930.171035999992</v>
      </c>
      <c r="CU183">
        <v>3.2397999999999998</v>
      </c>
      <c r="CV183">
        <v>45</v>
      </c>
      <c r="CW183" t="s">
        <v>171</v>
      </c>
      <c r="CX183" t="s">
        <v>369</v>
      </c>
      <c r="CY183">
        <v>558</v>
      </c>
    </row>
    <row r="184" spans="1:103" x14ac:dyDescent="0.25">
      <c r="A184" t="s">
        <v>106</v>
      </c>
      <c r="B184" s="38">
        <v>44989</v>
      </c>
      <c r="C184" s="43">
        <f>IF(YEAR(Таблица1[[#This Row],[Дата]])=2023,MONTH(Таблица1[[#This Row],[Дата]]),0)</f>
        <v>3</v>
      </c>
      <c r="D184" t="s">
        <v>696</v>
      </c>
      <c r="E184" t="s">
        <v>108</v>
      </c>
      <c r="F184" t="s">
        <v>697</v>
      </c>
      <c r="G184" t="s">
        <v>110</v>
      </c>
      <c r="H184" t="s">
        <v>111</v>
      </c>
      <c r="I184" t="s">
        <v>112</v>
      </c>
      <c r="J184" t="s">
        <v>112</v>
      </c>
      <c r="K184" t="s">
        <v>112</v>
      </c>
      <c r="L184" t="s">
        <v>150</v>
      </c>
      <c r="M184" t="s">
        <v>151</v>
      </c>
      <c r="N184" t="s">
        <v>112</v>
      </c>
      <c r="O184" t="s">
        <v>112</v>
      </c>
      <c r="P184">
        <v>1</v>
      </c>
      <c r="Q184">
        <v>0</v>
      </c>
      <c r="R184">
        <v>1</v>
      </c>
      <c r="S184">
        <v>33</v>
      </c>
      <c r="T184" t="s">
        <v>166</v>
      </c>
      <c r="U184" t="s">
        <v>152</v>
      </c>
      <c r="V184" t="s">
        <v>153</v>
      </c>
      <c r="W184" t="s">
        <v>154</v>
      </c>
      <c r="X184" t="s">
        <v>119</v>
      </c>
      <c r="Y184" t="s">
        <v>112</v>
      </c>
      <c r="Z184" t="s">
        <v>166</v>
      </c>
      <c r="AA184" t="s">
        <v>152</v>
      </c>
      <c r="AB184" t="s">
        <v>153</v>
      </c>
      <c r="AC184" t="s">
        <v>154</v>
      </c>
      <c r="AD184" t="s">
        <v>119</v>
      </c>
      <c r="AE184" t="s">
        <v>112</v>
      </c>
      <c r="AF184" t="s">
        <v>121</v>
      </c>
      <c r="AG184" t="s">
        <v>122</v>
      </c>
      <c r="AH184">
        <v>3747383.12</v>
      </c>
      <c r="AI184" t="s">
        <v>166</v>
      </c>
      <c r="AJ184" t="s">
        <v>152</v>
      </c>
      <c r="AK184" t="s">
        <v>153</v>
      </c>
      <c r="AL184" t="s">
        <v>154</v>
      </c>
      <c r="AM184" t="s">
        <v>119</v>
      </c>
      <c r="AN184" t="s">
        <v>112</v>
      </c>
      <c r="AO184" t="s">
        <v>121</v>
      </c>
      <c r="AP184" t="s">
        <v>122</v>
      </c>
      <c r="AQ184" t="s">
        <v>122</v>
      </c>
      <c r="AR184" t="s">
        <v>124</v>
      </c>
      <c r="AS184" t="s">
        <v>125</v>
      </c>
      <c r="AT184">
        <v>2</v>
      </c>
      <c r="AU184" t="s">
        <v>126</v>
      </c>
      <c r="AV184" t="s">
        <v>155</v>
      </c>
      <c r="AW184" t="s">
        <v>156</v>
      </c>
      <c r="AX184">
        <v>1</v>
      </c>
      <c r="AY184" t="s">
        <v>129</v>
      </c>
      <c r="AZ184">
        <v>42744.480000000003</v>
      </c>
      <c r="BA184">
        <v>3401247</v>
      </c>
      <c r="BB184">
        <v>50159.93</v>
      </c>
      <c r="BC184">
        <v>79.571600000000004</v>
      </c>
      <c r="BD184" t="s">
        <v>130</v>
      </c>
      <c r="BE184" t="s">
        <v>112</v>
      </c>
      <c r="BF184" t="s">
        <v>157</v>
      </c>
      <c r="BG184" t="s">
        <v>133</v>
      </c>
      <c r="BH184" t="s">
        <v>167</v>
      </c>
      <c r="BI184" t="s">
        <v>168</v>
      </c>
      <c r="BJ184" t="s">
        <v>112</v>
      </c>
      <c r="BK184" t="s">
        <v>112</v>
      </c>
      <c r="BL184" t="s">
        <v>169</v>
      </c>
      <c r="BM184" t="s">
        <v>159</v>
      </c>
      <c r="BN184" t="s">
        <v>160</v>
      </c>
      <c r="BO184" t="s">
        <v>161</v>
      </c>
      <c r="BP184">
        <v>1</v>
      </c>
      <c r="BQ184" t="s">
        <v>232</v>
      </c>
      <c r="BR184" s="45">
        <f>ISNUMBER(SEARCH($BR$1,Таблица1[[#This Row],[31_1 Описание и характеристика товара]]))*1</f>
        <v>1</v>
      </c>
      <c r="BT184" t="s">
        <v>150</v>
      </c>
      <c r="BU184">
        <v>33</v>
      </c>
      <c r="BV184">
        <v>0</v>
      </c>
      <c r="BW184">
        <v>0</v>
      </c>
      <c r="BY184">
        <v>0</v>
      </c>
      <c r="CA184" t="s">
        <v>106</v>
      </c>
      <c r="CB184" t="s">
        <v>142</v>
      </c>
      <c r="CC184" t="s">
        <v>112</v>
      </c>
      <c r="CD184" t="s">
        <v>112</v>
      </c>
      <c r="CE184" t="s">
        <v>121</v>
      </c>
      <c r="CF184">
        <v>16824.37</v>
      </c>
      <c r="CG184" t="s">
        <v>144</v>
      </c>
      <c r="CH184">
        <v>4000000</v>
      </c>
      <c r="CI184">
        <v>16759.57</v>
      </c>
      <c r="CJ184">
        <v>0</v>
      </c>
      <c r="CK184" t="s">
        <v>112</v>
      </c>
      <c r="CL184" t="s">
        <v>112</v>
      </c>
      <c r="CM184">
        <v>42744.480000000003</v>
      </c>
      <c r="CN184">
        <v>3401247</v>
      </c>
      <c r="CO184">
        <v>0</v>
      </c>
      <c r="CP184">
        <v>1</v>
      </c>
      <c r="CQ184">
        <v>3747383.12</v>
      </c>
      <c r="CR184">
        <v>50159.93</v>
      </c>
      <c r="CS184" t="s">
        <v>145</v>
      </c>
      <c r="CT184">
        <v>50159.717053</v>
      </c>
      <c r="CU184">
        <v>2.9929000000000001</v>
      </c>
      <c r="CV184">
        <v>45</v>
      </c>
      <c r="CW184" t="s">
        <v>171</v>
      </c>
      <c r="CX184" t="s">
        <v>372</v>
      </c>
      <c r="CY184">
        <v>93</v>
      </c>
    </row>
    <row r="185" spans="1:103" x14ac:dyDescent="0.25">
      <c r="A185" t="s">
        <v>106</v>
      </c>
      <c r="B185" s="38">
        <v>45078</v>
      </c>
      <c r="C185" s="43">
        <f>IF(YEAR(Таблица1[[#This Row],[Дата]])=2023,MONTH(Таблица1[[#This Row],[Дата]]),0)</f>
        <v>6</v>
      </c>
      <c r="D185" t="s">
        <v>656</v>
      </c>
      <c r="E185" t="s">
        <v>108</v>
      </c>
      <c r="F185" t="s">
        <v>657</v>
      </c>
      <c r="G185" t="s">
        <v>110</v>
      </c>
      <c r="H185" t="s">
        <v>111</v>
      </c>
      <c r="I185" t="s">
        <v>112</v>
      </c>
      <c r="J185" t="s">
        <v>112</v>
      </c>
      <c r="K185" t="s">
        <v>112</v>
      </c>
      <c r="L185" t="s">
        <v>150</v>
      </c>
      <c r="M185" t="s">
        <v>151</v>
      </c>
      <c r="N185" t="s">
        <v>112</v>
      </c>
      <c r="O185" t="s">
        <v>112</v>
      </c>
      <c r="P185">
        <v>1</v>
      </c>
      <c r="Q185">
        <v>0</v>
      </c>
      <c r="R185">
        <v>1</v>
      </c>
      <c r="S185">
        <v>33</v>
      </c>
      <c r="T185" t="s">
        <v>166</v>
      </c>
      <c r="U185" t="s">
        <v>152</v>
      </c>
      <c r="V185" t="s">
        <v>153</v>
      </c>
      <c r="W185" t="s">
        <v>154</v>
      </c>
      <c r="X185" t="s">
        <v>119</v>
      </c>
      <c r="Y185" t="s">
        <v>112</v>
      </c>
      <c r="Z185" t="s">
        <v>166</v>
      </c>
      <c r="AA185" t="s">
        <v>152</v>
      </c>
      <c r="AB185" t="s">
        <v>153</v>
      </c>
      <c r="AC185" t="s">
        <v>154</v>
      </c>
      <c r="AD185" t="s">
        <v>119</v>
      </c>
      <c r="AE185" t="s">
        <v>112</v>
      </c>
      <c r="AF185" t="s">
        <v>121</v>
      </c>
      <c r="AG185" t="s">
        <v>122</v>
      </c>
      <c r="AH185">
        <v>3816168</v>
      </c>
      <c r="AI185" t="s">
        <v>166</v>
      </c>
      <c r="AJ185" t="s">
        <v>152</v>
      </c>
      <c r="AK185" t="s">
        <v>153</v>
      </c>
      <c r="AL185" t="s">
        <v>154</v>
      </c>
      <c r="AM185" t="s">
        <v>119</v>
      </c>
      <c r="AN185" t="s">
        <v>112</v>
      </c>
      <c r="AO185" t="s">
        <v>121</v>
      </c>
      <c r="AP185" t="s">
        <v>122</v>
      </c>
      <c r="AQ185" t="s">
        <v>122</v>
      </c>
      <c r="AR185" t="s">
        <v>124</v>
      </c>
      <c r="AS185" t="s">
        <v>125</v>
      </c>
      <c r="AT185">
        <v>2</v>
      </c>
      <c r="AU185" t="s">
        <v>126</v>
      </c>
      <c r="AV185" t="s">
        <v>155</v>
      </c>
      <c r="AW185" t="s">
        <v>156</v>
      </c>
      <c r="AX185">
        <v>1</v>
      </c>
      <c r="AY185" t="s">
        <v>129</v>
      </c>
      <c r="AZ185">
        <v>43608.92</v>
      </c>
      <c r="BA185">
        <v>3470032</v>
      </c>
      <c r="BB185">
        <v>51080.639999999999</v>
      </c>
      <c r="BC185">
        <v>79.571600000000004</v>
      </c>
      <c r="BD185" t="s">
        <v>130</v>
      </c>
      <c r="BE185" t="s">
        <v>112</v>
      </c>
      <c r="BF185" t="s">
        <v>157</v>
      </c>
      <c r="BG185" t="s">
        <v>133</v>
      </c>
      <c r="BH185" t="s">
        <v>167</v>
      </c>
      <c r="BI185" t="s">
        <v>168</v>
      </c>
      <c r="BJ185" t="s">
        <v>112</v>
      </c>
      <c r="BK185" t="s">
        <v>112</v>
      </c>
      <c r="BL185" t="s">
        <v>169</v>
      </c>
      <c r="BM185" t="s">
        <v>159</v>
      </c>
      <c r="BN185" t="s">
        <v>160</v>
      </c>
      <c r="BO185" t="s">
        <v>161</v>
      </c>
      <c r="BP185">
        <v>1</v>
      </c>
      <c r="BQ185" t="s">
        <v>658</v>
      </c>
      <c r="BR185" s="45">
        <f>ISNUMBER(SEARCH($BR$1,Таблица1[[#This Row],[31_1 Описание и характеристика товара]]))*1</f>
        <v>1</v>
      </c>
      <c r="BT185" t="s">
        <v>150</v>
      </c>
      <c r="BU185">
        <v>33</v>
      </c>
      <c r="BV185">
        <v>0</v>
      </c>
      <c r="BW185">
        <v>0</v>
      </c>
      <c r="BY185">
        <v>0</v>
      </c>
      <c r="CA185" t="s">
        <v>106</v>
      </c>
      <c r="CB185" t="s">
        <v>142</v>
      </c>
      <c r="CC185" t="s">
        <v>112</v>
      </c>
      <c r="CD185" t="s">
        <v>112</v>
      </c>
      <c r="CE185" t="s">
        <v>121</v>
      </c>
      <c r="CF185">
        <v>16704.53</v>
      </c>
      <c r="CG185" t="s">
        <v>144</v>
      </c>
      <c r="CH185">
        <v>4000000</v>
      </c>
      <c r="CI185">
        <v>16704.53</v>
      </c>
      <c r="CJ185">
        <v>0</v>
      </c>
      <c r="CK185" t="s">
        <v>112</v>
      </c>
      <c r="CL185" t="s">
        <v>112</v>
      </c>
      <c r="CM185">
        <v>43608.92</v>
      </c>
      <c r="CN185">
        <v>3470032</v>
      </c>
      <c r="CO185">
        <v>0</v>
      </c>
      <c r="CP185">
        <v>1</v>
      </c>
      <c r="CQ185">
        <v>3816168</v>
      </c>
      <c r="CR185">
        <v>51080.639999999999</v>
      </c>
      <c r="CS185" t="s">
        <v>145</v>
      </c>
      <c r="CT185">
        <v>51080.782286999995</v>
      </c>
      <c r="CU185">
        <v>3.0579000000000001</v>
      </c>
      <c r="CV185">
        <v>45</v>
      </c>
      <c r="CW185" t="s">
        <v>171</v>
      </c>
      <c r="CX185" t="s">
        <v>172</v>
      </c>
      <c r="CY185">
        <v>196</v>
      </c>
    </row>
    <row r="186" spans="1:103" x14ac:dyDescent="0.25">
      <c r="A186" t="s">
        <v>106</v>
      </c>
      <c r="B186" s="38">
        <v>45021</v>
      </c>
      <c r="C186" s="43">
        <f>IF(YEAR(Таблица1[[#This Row],[Дата]])=2023,MONTH(Таблица1[[#This Row],[Дата]]),0)</f>
        <v>4</v>
      </c>
      <c r="D186" t="s">
        <v>681</v>
      </c>
      <c r="E186" t="s">
        <v>108</v>
      </c>
      <c r="F186" t="s">
        <v>682</v>
      </c>
      <c r="G186" t="s">
        <v>110</v>
      </c>
      <c r="H186" t="s">
        <v>111</v>
      </c>
      <c r="I186" t="s">
        <v>112</v>
      </c>
      <c r="J186" t="s">
        <v>112</v>
      </c>
      <c r="K186" t="s">
        <v>112</v>
      </c>
      <c r="L186" t="s">
        <v>150</v>
      </c>
      <c r="M186" t="s">
        <v>151</v>
      </c>
      <c r="N186" t="s">
        <v>112</v>
      </c>
      <c r="O186" t="s">
        <v>112</v>
      </c>
      <c r="P186">
        <v>1</v>
      </c>
      <c r="Q186">
        <v>0</v>
      </c>
      <c r="R186">
        <v>1</v>
      </c>
      <c r="S186">
        <v>33</v>
      </c>
      <c r="T186" t="s">
        <v>166</v>
      </c>
      <c r="U186" t="s">
        <v>152</v>
      </c>
      <c r="V186" t="s">
        <v>153</v>
      </c>
      <c r="W186" t="s">
        <v>154</v>
      </c>
      <c r="X186" t="s">
        <v>119</v>
      </c>
      <c r="Y186" t="s">
        <v>112</v>
      </c>
      <c r="Z186" t="s">
        <v>166</v>
      </c>
      <c r="AA186" t="s">
        <v>152</v>
      </c>
      <c r="AB186" t="s">
        <v>153</v>
      </c>
      <c r="AC186" t="s">
        <v>154</v>
      </c>
      <c r="AD186" t="s">
        <v>119</v>
      </c>
      <c r="AE186" t="s">
        <v>112</v>
      </c>
      <c r="AF186" t="s">
        <v>121</v>
      </c>
      <c r="AG186" t="s">
        <v>122</v>
      </c>
      <c r="AH186">
        <v>3817779.32</v>
      </c>
      <c r="AI186" t="s">
        <v>166</v>
      </c>
      <c r="AJ186" t="s">
        <v>152</v>
      </c>
      <c r="AK186" t="s">
        <v>153</v>
      </c>
      <c r="AL186" t="s">
        <v>154</v>
      </c>
      <c r="AM186" t="s">
        <v>119</v>
      </c>
      <c r="AN186" t="s">
        <v>112</v>
      </c>
      <c r="AO186" t="s">
        <v>121</v>
      </c>
      <c r="AP186" t="s">
        <v>122</v>
      </c>
      <c r="AQ186" t="s">
        <v>122</v>
      </c>
      <c r="AR186" t="s">
        <v>124</v>
      </c>
      <c r="AS186" t="s">
        <v>125</v>
      </c>
      <c r="AT186">
        <v>2</v>
      </c>
      <c r="AU186" t="s">
        <v>126</v>
      </c>
      <c r="AV186" t="s">
        <v>155</v>
      </c>
      <c r="AW186" t="s">
        <v>156</v>
      </c>
      <c r="AX186">
        <v>1</v>
      </c>
      <c r="AY186" t="s">
        <v>129</v>
      </c>
      <c r="AZ186">
        <v>43129.17</v>
      </c>
      <c r="BA186">
        <v>3431857</v>
      </c>
      <c r="BB186">
        <v>51102.21</v>
      </c>
      <c r="BC186">
        <v>79.571600000000004</v>
      </c>
      <c r="BD186" t="s">
        <v>130</v>
      </c>
      <c r="BE186" t="s">
        <v>112</v>
      </c>
      <c r="BF186" t="s">
        <v>157</v>
      </c>
      <c r="BG186" t="s">
        <v>133</v>
      </c>
      <c r="BH186" t="s">
        <v>134</v>
      </c>
      <c r="BI186" t="s">
        <v>112</v>
      </c>
      <c r="BJ186" t="s">
        <v>112</v>
      </c>
      <c r="BK186" t="s">
        <v>112</v>
      </c>
      <c r="BL186" t="s">
        <v>169</v>
      </c>
      <c r="BM186" t="s">
        <v>159</v>
      </c>
      <c r="BN186" t="s">
        <v>212</v>
      </c>
      <c r="BO186" t="s">
        <v>161</v>
      </c>
      <c r="BP186">
        <v>1</v>
      </c>
      <c r="BQ186" t="s">
        <v>466</v>
      </c>
      <c r="BR186" s="45">
        <f>ISNUMBER(SEARCH($BR$1,Таблица1[[#This Row],[31_1 Описание и характеристика товара]]))*1</f>
        <v>1</v>
      </c>
      <c r="BT186" t="s">
        <v>150</v>
      </c>
      <c r="BU186">
        <v>33</v>
      </c>
      <c r="BV186">
        <v>0</v>
      </c>
      <c r="BW186">
        <v>0</v>
      </c>
      <c r="BY186">
        <v>0</v>
      </c>
      <c r="CA186" t="s">
        <v>106</v>
      </c>
      <c r="CB186" t="s">
        <v>142</v>
      </c>
      <c r="CC186" t="s">
        <v>112</v>
      </c>
      <c r="CD186" t="s">
        <v>112</v>
      </c>
      <c r="CE186" t="s">
        <v>121</v>
      </c>
      <c r="CF186">
        <v>16758.03</v>
      </c>
      <c r="CG186" t="s">
        <v>144</v>
      </c>
      <c r="CH186">
        <v>4000000</v>
      </c>
      <c r="CI186">
        <v>16693.23</v>
      </c>
      <c r="CJ186">
        <v>0</v>
      </c>
      <c r="CK186" t="s">
        <v>112</v>
      </c>
      <c r="CL186" t="s">
        <v>112</v>
      </c>
      <c r="CM186">
        <v>43129.17</v>
      </c>
      <c r="CN186">
        <v>3431857</v>
      </c>
      <c r="CO186">
        <v>0</v>
      </c>
      <c r="CP186">
        <v>1</v>
      </c>
      <c r="CQ186">
        <v>3817779.32</v>
      </c>
      <c r="CR186">
        <v>51102.21</v>
      </c>
      <c r="CS186" t="s">
        <v>145</v>
      </c>
      <c r="CT186">
        <v>51102.984999</v>
      </c>
      <c r="CU186">
        <v>3.0613000000000001</v>
      </c>
      <c r="CV186">
        <v>45</v>
      </c>
      <c r="CW186" t="s">
        <v>171</v>
      </c>
      <c r="CX186" t="s">
        <v>172</v>
      </c>
      <c r="CY186">
        <v>69</v>
      </c>
    </row>
    <row r="187" spans="1:103" x14ac:dyDescent="0.25">
      <c r="A187" t="s">
        <v>106</v>
      </c>
      <c r="B187" s="38">
        <v>45273</v>
      </c>
      <c r="C187" s="43">
        <f>IF(YEAR(Таблица1[[#This Row],[Дата]])=2023,MONTH(Таблица1[[#This Row],[Дата]]),0)</f>
        <v>12</v>
      </c>
      <c r="D187" t="s">
        <v>389</v>
      </c>
      <c r="E187" t="s">
        <v>108</v>
      </c>
      <c r="F187" t="s">
        <v>390</v>
      </c>
      <c r="G187" t="s">
        <v>110</v>
      </c>
      <c r="H187" t="s">
        <v>111</v>
      </c>
      <c r="I187" t="s">
        <v>112</v>
      </c>
      <c r="J187" t="s">
        <v>112</v>
      </c>
      <c r="K187" t="s">
        <v>112</v>
      </c>
      <c r="L187" t="s">
        <v>175</v>
      </c>
      <c r="M187" t="s">
        <v>176</v>
      </c>
      <c r="N187" t="s">
        <v>112</v>
      </c>
      <c r="O187" t="s">
        <v>112</v>
      </c>
      <c r="P187">
        <v>1</v>
      </c>
      <c r="Q187">
        <v>0</v>
      </c>
      <c r="R187">
        <v>1</v>
      </c>
      <c r="S187">
        <v>33</v>
      </c>
      <c r="T187" t="s">
        <v>166</v>
      </c>
      <c r="U187" t="s">
        <v>152</v>
      </c>
      <c r="V187" t="s">
        <v>153</v>
      </c>
      <c r="W187" t="s">
        <v>177</v>
      </c>
      <c r="X187" t="s">
        <v>119</v>
      </c>
      <c r="Y187" t="s">
        <v>112</v>
      </c>
      <c r="Z187" t="s">
        <v>166</v>
      </c>
      <c r="AA187" t="s">
        <v>152</v>
      </c>
      <c r="AB187" t="s">
        <v>153</v>
      </c>
      <c r="AC187" t="s">
        <v>177</v>
      </c>
      <c r="AD187" t="s">
        <v>119</v>
      </c>
      <c r="AE187" t="s">
        <v>112</v>
      </c>
      <c r="AF187" t="s">
        <v>121</v>
      </c>
      <c r="AG187" t="s">
        <v>122</v>
      </c>
      <c r="AH187">
        <v>3581410.71</v>
      </c>
      <c r="AI187" t="s">
        <v>166</v>
      </c>
      <c r="AJ187" t="s">
        <v>152</v>
      </c>
      <c r="AK187" t="s">
        <v>153</v>
      </c>
      <c r="AL187" t="s">
        <v>177</v>
      </c>
      <c r="AM187" t="s">
        <v>119</v>
      </c>
      <c r="AN187" t="s">
        <v>112</v>
      </c>
      <c r="AO187" t="s">
        <v>121</v>
      </c>
      <c r="AP187" t="s">
        <v>122</v>
      </c>
      <c r="AQ187" t="s">
        <v>122</v>
      </c>
      <c r="AR187" t="s">
        <v>124</v>
      </c>
      <c r="AS187" t="s">
        <v>125</v>
      </c>
      <c r="AT187">
        <v>2</v>
      </c>
      <c r="AU187" t="s">
        <v>106</v>
      </c>
      <c r="AV187" t="s">
        <v>155</v>
      </c>
      <c r="AW187" t="s">
        <v>156</v>
      </c>
      <c r="AX187">
        <v>1</v>
      </c>
      <c r="AY187" t="s">
        <v>129</v>
      </c>
      <c r="AZ187">
        <v>44173.62</v>
      </c>
      <c r="BA187">
        <v>3327811</v>
      </c>
      <c r="BB187">
        <v>51809.67</v>
      </c>
      <c r="BC187">
        <v>75.334800000000001</v>
      </c>
      <c r="BD187" t="s">
        <v>130</v>
      </c>
      <c r="BE187" t="s">
        <v>112</v>
      </c>
      <c r="BF187" t="s">
        <v>157</v>
      </c>
      <c r="BG187" t="s">
        <v>133</v>
      </c>
      <c r="BH187" t="s">
        <v>134</v>
      </c>
      <c r="BI187" t="s">
        <v>112</v>
      </c>
      <c r="BJ187" t="s">
        <v>178</v>
      </c>
      <c r="BK187" t="s">
        <v>112</v>
      </c>
      <c r="BL187" t="s">
        <v>125</v>
      </c>
      <c r="BM187" t="s">
        <v>179</v>
      </c>
      <c r="BN187" t="s">
        <v>180</v>
      </c>
      <c r="BO187" t="s">
        <v>181</v>
      </c>
      <c r="BP187">
        <v>1</v>
      </c>
      <c r="BQ187" t="s">
        <v>391</v>
      </c>
      <c r="BR187" s="45">
        <f>ISNUMBER(SEARCH($BR$1,Таблица1[[#This Row],[31_1 Описание и характеристика товара]]))*1</f>
        <v>1</v>
      </c>
      <c r="BT187" t="s">
        <v>150</v>
      </c>
      <c r="BU187">
        <v>33</v>
      </c>
      <c r="BV187">
        <v>1</v>
      </c>
      <c r="BW187">
        <v>0</v>
      </c>
      <c r="BY187">
        <v>0</v>
      </c>
      <c r="CA187" t="s">
        <v>106</v>
      </c>
      <c r="CB187" t="s">
        <v>142</v>
      </c>
      <c r="CC187" t="s">
        <v>112</v>
      </c>
      <c r="CD187" t="s">
        <v>112</v>
      </c>
      <c r="CE187" t="s">
        <v>121</v>
      </c>
      <c r="CF187">
        <v>16402.38</v>
      </c>
      <c r="CG187" t="s">
        <v>144</v>
      </c>
      <c r="CH187">
        <v>4000000</v>
      </c>
      <c r="CI187">
        <v>16294.38</v>
      </c>
      <c r="CJ187">
        <v>0</v>
      </c>
      <c r="CK187" t="s">
        <v>112</v>
      </c>
      <c r="CL187" t="s">
        <v>112</v>
      </c>
      <c r="CM187">
        <v>44173.62</v>
      </c>
      <c r="CN187">
        <v>3327811</v>
      </c>
      <c r="CO187">
        <v>0</v>
      </c>
      <c r="CP187">
        <v>1</v>
      </c>
      <c r="CQ187">
        <v>3581410.71</v>
      </c>
      <c r="CR187">
        <v>51809.67</v>
      </c>
      <c r="CS187" t="s">
        <v>145</v>
      </c>
      <c r="CT187">
        <v>51809.610648000002</v>
      </c>
      <c r="CU187">
        <v>3.1796000000000002</v>
      </c>
      <c r="CV187">
        <v>941</v>
      </c>
      <c r="CW187" t="s">
        <v>183</v>
      </c>
      <c r="CX187" t="s">
        <v>147</v>
      </c>
      <c r="CY187">
        <v>65</v>
      </c>
    </row>
    <row r="188" spans="1:103" x14ac:dyDescent="0.25">
      <c r="A188" t="s">
        <v>106</v>
      </c>
      <c r="B188" s="38">
        <v>45187</v>
      </c>
      <c r="C188" s="43">
        <f>IF(YEAR(Таблица1[[#This Row],[Дата]])=2023,MONTH(Таблица1[[#This Row],[Дата]]),0)</f>
        <v>9</v>
      </c>
      <c r="D188" t="s">
        <v>392</v>
      </c>
      <c r="E188" t="s">
        <v>108</v>
      </c>
      <c r="F188" t="s">
        <v>393</v>
      </c>
      <c r="G188" t="s">
        <v>110</v>
      </c>
      <c r="H188" t="s">
        <v>111</v>
      </c>
      <c r="I188" t="s">
        <v>112</v>
      </c>
      <c r="J188" t="s">
        <v>112</v>
      </c>
      <c r="K188" t="s">
        <v>112</v>
      </c>
      <c r="L188" t="s">
        <v>175</v>
      </c>
      <c r="M188" t="s">
        <v>176</v>
      </c>
      <c r="N188" t="s">
        <v>112</v>
      </c>
      <c r="O188" t="s">
        <v>112</v>
      </c>
      <c r="P188">
        <v>1</v>
      </c>
      <c r="Q188">
        <v>0</v>
      </c>
      <c r="R188">
        <v>1</v>
      </c>
      <c r="S188">
        <v>33</v>
      </c>
      <c r="T188" t="s">
        <v>166</v>
      </c>
      <c r="U188" t="s">
        <v>152</v>
      </c>
      <c r="V188" t="s">
        <v>153</v>
      </c>
      <c r="W188" t="s">
        <v>177</v>
      </c>
      <c r="X188" t="s">
        <v>119</v>
      </c>
      <c r="Y188" t="s">
        <v>112</v>
      </c>
      <c r="Z188" t="s">
        <v>166</v>
      </c>
      <c r="AA188" t="s">
        <v>152</v>
      </c>
      <c r="AB188" t="s">
        <v>153</v>
      </c>
      <c r="AC188" t="s">
        <v>177</v>
      </c>
      <c r="AD188" t="s">
        <v>119</v>
      </c>
      <c r="AE188" t="s">
        <v>112</v>
      </c>
      <c r="AF188" t="s">
        <v>121</v>
      </c>
      <c r="AG188" t="s">
        <v>122</v>
      </c>
      <c r="AH188">
        <v>3265212.47</v>
      </c>
      <c r="AI188" t="s">
        <v>166</v>
      </c>
      <c r="AJ188" t="s">
        <v>152</v>
      </c>
      <c r="AK188" t="s">
        <v>153</v>
      </c>
      <c r="AL188" t="s">
        <v>177</v>
      </c>
      <c r="AM188" t="s">
        <v>119</v>
      </c>
      <c r="AN188" t="s">
        <v>112</v>
      </c>
      <c r="AO188" t="s">
        <v>121</v>
      </c>
      <c r="AP188" t="s">
        <v>122</v>
      </c>
      <c r="AQ188" t="s">
        <v>122</v>
      </c>
      <c r="AR188" t="s">
        <v>124</v>
      </c>
      <c r="AS188" t="s">
        <v>125</v>
      </c>
      <c r="AT188">
        <v>2</v>
      </c>
      <c r="AU188" t="s">
        <v>106</v>
      </c>
      <c r="AV188" t="s">
        <v>155</v>
      </c>
      <c r="AW188" t="s">
        <v>156</v>
      </c>
      <c r="AX188">
        <v>1</v>
      </c>
      <c r="AY188" t="s">
        <v>129</v>
      </c>
      <c r="AZ188">
        <v>39976.379999999997</v>
      </c>
      <c r="BA188">
        <v>3011613</v>
      </c>
      <c r="BB188">
        <v>47235.46</v>
      </c>
      <c r="BC188">
        <v>75.334800000000001</v>
      </c>
      <c r="BD188" t="s">
        <v>130</v>
      </c>
      <c r="BE188" t="s">
        <v>112</v>
      </c>
      <c r="BF188" t="s">
        <v>157</v>
      </c>
      <c r="BG188" t="s">
        <v>133</v>
      </c>
      <c r="BH188" t="s">
        <v>134</v>
      </c>
      <c r="BI188" t="s">
        <v>112</v>
      </c>
      <c r="BJ188" t="s">
        <v>178</v>
      </c>
      <c r="BK188" t="s">
        <v>112</v>
      </c>
      <c r="BL188" t="s">
        <v>125</v>
      </c>
      <c r="BM188" t="s">
        <v>179</v>
      </c>
      <c r="BN188" t="s">
        <v>180</v>
      </c>
      <c r="BO188" t="s">
        <v>181</v>
      </c>
      <c r="BP188">
        <v>1</v>
      </c>
      <c r="BQ188" t="s">
        <v>394</v>
      </c>
      <c r="BR188" s="45">
        <f>ISNUMBER(SEARCH($BR$1,Таблица1[[#This Row],[31_1 Описание и характеристика товара]]))*1</f>
        <v>1</v>
      </c>
      <c r="BT188" t="s">
        <v>150</v>
      </c>
      <c r="BU188">
        <v>33</v>
      </c>
      <c r="BV188">
        <v>1</v>
      </c>
      <c r="BW188">
        <v>0</v>
      </c>
      <c r="BY188">
        <v>0</v>
      </c>
      <c r="CA188" t="s">
        <v>106</v>
      </c>
      <c r="CB188" t="s">
        <v>142</v>
      </c>
      <c r="CC188" t="s">
        <v>112</v>
      </c>
      <c r="CD188" t="s">
        <v>112</v>
      </c>
      <c r="CE188" t="s">
        <v>121</v>
      </c>
      <c r="CF188">
        <v>17074.84</v>
      </c>
      <c r="CG188" t="s">
        <v>144</v>
      </c>
      <c r="CH188">
        <v>4000000</v>
      </c>
      <c r="CI188">
        <v>16858.84</v>
      </c>
      <c r="CJ188">
        <v>0</v>
      </c>
      <c r="CK188" t="s">
        <v>112</v>
      </c>
      <c r="CL188" t="s">
        <v>112</v>
      </c>
      <c r="CM188">
        <v>39976.379999999997</v>
      </c>
      <c r="CN188">
        <v>3011613</v>
      </c>
      <c r="CO188">
        <v>0</v>
      </c>
      <c r="CP188">
        <v>1</v>
      </c>
      <c r="CQ188">
        <v>3265212.47</v>
      </c>
      <c r="CR188">
        <v>47235.46</v>
      </c>
      <c r="CS188" t="s">
        <v>145</v>
      </c>
      <c r="CT188">
        <v>47235.097912000005</v>
      </c>
      <c r="CU188">
        <v>2.8018000000000001</v>
      </c>
      <c r="CV188">
        <v>941</v>
      </c>
      <c r="CW188" t="s">
        <v>183</v>
      </c>
      <c r="CX188" t="s">
        <v>147</v>
      </c>
      <c r="CY188">
        <v>340</v>
      </c>
    </row>
    <row r="189" spans="1:103" x14ac:dyDescent="0.25">
      <c r="A189" t="s">
        <v>106</v>
      </c>
      <c r="B189" s="38">
        <v>44973</v>
      </c>
      <c r="C189" s="43">
        <f>IF(YEAR(Таблица1[[#This Row],[Дата]])=2023,MONTH(Таблица1[[#This Row],[Дата]]),0)</f>
        <v>2</v>
      </c>
      <c r="D189" t="s">
        <v>395</v>
      </c>
      <c r="E189" t="s">
        <v>108</v>
      </c>
      <c r="F189" t="s">
        <v>396</v>
      </c>
      <c r="G189" t="s">
        <v>110</v>
      </c>
      <c r="H189" t="s">
        <v>111</v>
      </c>
      <c r="I189" t="s">
        <v>112</v>
      </c>
      <c r="J189" t="s">
        <v>112</v>
      </c>
      <c r="K189" t="s">
        <v>112</v>
      </c>
      <c r="L189" t="s">
        <v>175</v>
      </c>
      <c r="M189" t="s">
        <v>176</v>
      </c>
      <c r="N189" t="s">
        <v>112</v>
      </c>
      <c r="O189" t="s">
        <v>112</v>
      </c>
      <c r="P189">
        <v>1</v>
      </c>
      <c r="Q189">
        <v>0</v>
      </c>
      <c r="R189">
        <v>1</v>
      </c>
      <c r="S189">
        <v>33</v>
      </c>
      <c r="T189" t="s">
        <v>166</v>
      </c>
      <c r="U189" t="s">
        <v>152</v>
      </c>
      <c r="V189" t="s">
        <v>153</v>
      </c>
      <c r="W189" t="s">
        <v>177</v>
      </c>
      <c r="X189" t="s">
        <v>119</v>
      </c>
      <c r="Y189" t="s">
        <v>112</v>
      </c>
      <c r="Z189" t="s">
        <v>166</v>
      </c>
      <c r="AA189" t="s">
        <v>152</v>
      </c>
      <c r="AB189" t="s">
        <v>153</v>
      </c>
      <c r="AC189" t="s">
        <v>177</v>
      </c>
      <c r="AD189" t="s">
        <v>119</v>
      </c>
      <c r="AE189" t="s">
        <v>112</v>
      </c>
      <c r="AF189" t="s">
        <v>121</v>
      </c>
      <c r="AG189" t="s">
        <v>122</v>
      </c>
      <c r="AH189">
        <v>3393379.57</v>
      </c>
      <c r="AI189" t="s">
        <v>166</v>
      </c>
      <c r="AJ189" t="s">
        <v>152</v>
      </c>
      <c r="AK189" t="s">
        <v>153</v>
      </c>
      <c r="AL189" t="s">
        <v>177</v>
      </c>
      <c r="AM189" t="s">
        <v>119</v>
      </c>
      <c r="AN189" t="s">
        <v>112</v>
      </c>
      <c r="AO189" t="s">
        <v>121</v>
      </c>
      <c r="AP189" t="s">
        <v>122</v>
      </c>
      <c r="AQ189" t="s">
        <v>122</v>
      </c>
      <c r="AR189" t="s">
        <v>124</v>
      </c>
      <c r="AS189" t="s">
        <v>125</v>
      </c>
      <c r="AT189">
        <v>2</v>
      </c>
      <c r="AU189" t="s">
        <v>106</v>
      </c>
      <c r="AV189" t="s">
        <v>155</v>
      </c>
      <c r="AW189" t="s">
        <v>156</v>
      </c>
      <c r="AX189">
        <v>1</v>
      </c>
      <c r="AY189" t="s">
        <v>129</v>
      </c>
      <c r="AZ189">
        <v>41677.68</v>
      </c>
      <c r="BA189">
        <v>3139780</v>
      </c>
      <c r="BB189">
        <v>49089.56</v>
      </c>
      <c r="BC189">
        <v>75.334800000000001</v>
      </c>
      <c r="BD189" t="s">
        <v>130</v>
      </c>
      <c r="BE189" t="s">
        <v>112</v>
      </c>
      <c r="BF189" t="s">
        <v>157</v>
      </c>
      <c r="BG189" t="s">
        <v>133</v>
      </c>
      <c r="BH189" t="s">
        <v>134</v>
      </c>
      <c r="BI189" t="s">
        <v>112</v>
      </c>
      <c r="BJ189" t="s">
        <v>178</v>
      </c>
      <c r="BK189" t="s">
        <v>112</v>
      </c>
      <c r="BL189" t="s">
        <v>125</v>
      </c>
      <c r="BM189" t="s">
        <v>179</v>
      </c>
      <c r="BN189" t="s">
        <v>180</v>
      </c>
      <c r="BO189" t="s">
        <v>181</v>
      </c>
      <c r="BP189">
        <v>1</v>
      </c>
      <c r="BQ189" t="s">
        <v>397</v>
      </c>
      <c r="BR189" s="45">
        <f>ISNUMBER(SEARCH($BR$1,Таблица1[[#This Row],[31_1 Описание и характеристика товара]]))*1</f>
        <v>1</v>
      </c>
      <c r="BT189" t="s">
        <v>150</v>
      </c>
      <c r="BU189">
        <v>33</v>
      </c>
      <c r="BV189">
        <v>1</v>
      </c>
      <c r="BW189">
        <v>0</v>
      </c>
      <c r="BY189">
        <v>0</v>
      </c>
      <c r="CA189" t="s">
        <v>106</v>
      </c>
      <c r="CB189" t="s">
        <v>142</v>
      </c>
      <c r="CC189" t="s">
        <v>112</v>
      </c>
      <c r="CD189" t="s">
        <v>112</v>
      </c>
      <c r="CE189" t="s">
        <v>121</v>
      </c>
      <c r="CF189">
        <v>17049.740000000002</v>
      </c>
      <c r="CG189" t="s">
        <v>144</v>
      </c>
      <c r="CH189">
        <v>4000000</v>
      </c>
      <c r="CI189">
        <v>17049.740000000002</v>
      </c>
      <c r="CJ189">
        <v>0</v>
      </c>
      <c r="CK189" t="s">
        <v>112</v>
      </c>
      <c r="CL189" t="s">
        <v>112</v>
      </c>
      <c r="CM189">
        <v>41677.68</v>
      </c>
      <c r="CN189">
        <v>3139780</v>
      </c>
      <c r="CO189">
        <v>0</v>
      </c>
      <c r="CP189">
        <v>1</v>
      </c>
      <c r="CQ189">
        <v>3393379.57</v>
      </c>
      <c r="CR189">
        <v>49089.56</v>
      </c>
      <c r="CS189" t="s">
        <v>145</v>
      </c>
      <c r="CT189">
        <v>49089.611408000004</v>
      </c>
      <c r="CU189">
        <v>2.8792</v>
      </c>
      <c r="CV189">
        <v>941</v>
      </c>
      <c r="CW189" t="s">
        <v>183</v>
      </c>
      <c r="CX189" t="s">
        <v>147</v>
      </c>
      <c r="CY189">
        <v>210</v>
      </c>
    </row>
    <row r="190" spans="1:103" x14ac:dyDescent="0.25">
      <c r="A190" t="s">
        <v>106</v>
      </c>
      <c r="B190" s="38">
        <v>45178</v>
      </c>
      <c r="C190" s="43">
        <f>IF(YEAR(Таблица1[[#This Row],[Дата]])=2023,MONTH(Таблица1[[#This Row],[Дата]]),0)</f>
        <v>9</v>
      </c>
      <c r="D190" t="s">
        <v>383</v>
      </c>
      <c r="E190" t="s">
        <v>108</v>
      </c>
      <c r="F190" t="s">
        <v>384</v>
      </c>
      <c r="G190" t="s">
        <v>110</v>
      </c>
      <c r="H190" t="s">
        <v>111</v>
      </c>
      <c r="I190" t="s">
        <v>112</v>
      </c>
      <c r="J190" t="s">
        <v>112</v>
      </c>
      <c r="K190" t="s">
        <v>112</v>
      </c>
      <c r="L190" t="s">
        <v>150</v>
      </c>
      <c r="M190" t="s">
        <v>151</v>
      </c>
      <c r="N190" t="s">
        <v>112</v>
      </c>
      <c r="O190" t="s">
        <v>112</v>
      </c>
      <c r="P190">
        <v>1</v>
      </c>
      <c r="R190">
        <v>1</v>
      </c>
      <c r="S190">
        <v>33</v>
      </c>
      <c r="T190" t="s">
        <v>112</v>
      </c>
      <c r="U190" t="s">
        <v>152</v>
      </c>
      <c r="V190" t="s">
        <v>153</v>
      </c>
      <c r="W190" t="s">
        <v>154</v>
      </c>
      <c r="X190" t="s">
        <v>119</v>
      </c>
      <c r="Y190" t="s">
        <v>112</v>
      </c>
      <c r="Z190" t="s">
        <v>112</v>
      </c>
      <c r="AA190" t="s">
        <v>152</v>
      </c>
      <c r="AB190" t="s">
        <v>153</v>
      </c>
      <c r="AC190" t="s">
        <v>154</v>
      </c>
      <c r="AD190" t="s">
        <v>119</v>
      </c>
      <c r="AE190" t="s">
        <v>112</v>
      </c>
      <c r="AF190" t="s">
        <v>121</v>
      </c>
      <c r="AG190" t="s">
        <v>122</v>
      </c>
      <c r="AH190">
        <v>4224470.66</v>
      </c>
      <c r="AI190" t="s">
        <v>112</v>
      </c>
      <c r="AJ190" t="s">
        <v>152</v>
      </c>
      <c r="AK190" t="s">
        <v>153</v>
      </c>
      <c r="AL190" t="s">
        <v>154</v>
      </c>
      <c r="AM190" t="s">
        <v>119</v>
      </c>
      <c r="AN190" t="s">
        <v>112</v>
      </c>
      <c r="AO190" t="s">
        <v>121</v>
      </c>
      <c r="AP190" t="s">
        <v>122</v>
      </c>
      <c r="AQ190" t="s">
        <v>122</v>
      </c>
      <c r="AR190" t="s">
        <v>124</v>
      </c>
      <c r="AS190" t="s">
        <v>125</v>
      </c>
      <c r="AT190">
        <v>2</v>
      </c>
      <c r="AU190" t="s">
        <v>126</v>
      </c>
      <c r="AV190" t="s">
        <v>155</v>
      </c>
      <c r="AW190" t="s">
        <v>156</v>
      </c>
      <c r="AY190" t="s">
        <v>129</v>
      </c>
      <c r="AZ190">
        <v>37598.400000000001</v>
      </c>
      <c r="BC190">
        <v>101.57810000000001</v>
      </c>
      <c r="BD190" t="s">
        <v>112</v>
      </c>
      <c r="BE190" t="s">
        <v>112</v>
      </c>
      <c r="BF190" t="s">
        <v>157</v>
      </c>
      <c r="BG190" t="s">
        <v>133</v>
      </c>
      <c r="BH190" t="s">
        <v>167</v>
      </c>
      <c r="BI190" t="s">
        <v>112</v>
      </c>
      <c r="BJ190" t="s">
        <v>112</v>
      </c>
      <c r="BK190" t="s">
        <v>112</v>
      </c>
      <c r="BL190" t="s">
        <v>158</v>
      </c>
      <c r="BM190" t="s">
        <v>159</v>
      </c>
      <c r="BN190" t="s">
        <v>160</v>
      </c>
      <c r="BO190" t="s">
        <v>161</v>
      </c>
      <c r="BQ190" t="s">
        <v>232</v>
      </c>
      <c r="BR190" s="45">
        <f>ISNUMBER(SEARCH($BR$1,Таблица1[[#This Row],[31_1 Описание и характеристика товара]]))*1</f>
        <v>1</v>
      </c>
      <c r="BT190" t="s">
        <v>150</v>
      </c>
      <c r="BU190">
        <v>33</v>
      </c>
      <c r="BV190">
        <v>0</v>
      </c>
      <c r="BW190">
        <v>0</v>
      </c>
      <c r="BY190">
        <v>0</v>
      </c>
      <c r="CA190" t="s">
        <v>106</v>
      </c>
      <c r="CB190" t="s">
        <v>142</v>
      </c>
      <c r="CC190" t="s">
        <v>112</v>
      </c>
      <c r="CD190" t="s">
        <v>112</v>
      </c>
      <c r="CE190" t="s">
        <v>121</v>
      </c>
      <c r="CF190">
        <v>17565.900000000001</v>
      </c>
      <c r="CG190" t="s">
        <v>144</v>
      </c>
      <c r="CH190">
        <v>4000000</v>
      </c>
      <c r="CI190">
        <v>17565.900000000001</v>
      </c>
      <c r="CJ190">
        <v>0</v>
      </c>
      <c r="CK190" t="s">
        <v>112</v>
      </c>
      <c r="CL190" t="s">
        <v>112</v>
      </c>
      <c r="CM190">
        <v>37598.400000000001</v>
      </c>
      <c r="CO190">
        <v>0</v>
      </c>
      <c r="CP190">
        <v>1</v>
      </c>
      <c r="CQ190">
        <v>4224470.66</v>
      </c>
      <c r="CR190">
        <v>45933.64</v>
      </c>
      <c r="CS190" t="s">
        <v>145</v>
      </c>
      <c r="CT190">
        <v>45846.999000000003</v>
      </c>
      <c r="CU190">
        <v>2.61</v>
      </c>
      <c r="CV190">
        <v>45</v>
      </c>
      <c r="CX190" t="s">
        <v>163</v>
      </c>
      <c r="CY190">
        <v>544</v>
      </c>
    </row>
    <row r="191" spans="1:103" x14ac:dyDescent="0.25">
      <c r="A191" t="s">
        <v>106</v>
      </c>
      <c r="B191" s="38">
        <v>44845</v>
      </c>
      <c r="C191" s="43">
        <f>IF(YEAR(Таблица1[[#This Row],[Дата]])=2023,MONTH(Таблица1[[#This Row],[Дата]]),0)</f>
        <v>0</v>
      </c>
      <c r="D191" t="s">
        <v>263</v>
      </c>
      <c r="E191" t="s">
        <v>108</v>
      </c>
      <c r="F191" t="s">
        <v>264</v>
      </c>
      <c r="G191" t="s">
        <v>110</v>
      </c>
      <c r="H191" t="s">
        <v>111</v>
      </c>
      <c r="I191" t="s">
        <v>112</v>
      </c>
      <c r="J191" t="s">
        <v>112</v>
      </c>
      <c r="K191" t="s">
        <v>112</v>
      </c>
      <c r="L191" t="s">
        <v>150</v>
      </c>
      <c r="M191" t="s">
        <v>151</v>
      </c>
      <c r="N191" t="s">
        <v>112</v>
      </c>
      <c r="O191" t="s">
        <v>112</v>
      </c>
      <c r="P191">
        <v>1</v>
      </c>
      <c r="R191">
        <v>1</v>
      </c>
      <c r="S191">
        <v>33</v>
      </c>
      <c r="T191" t="s">
        <v>112</v>
      </c>
      <c r="U191" t="s">
        <v>152</v>
      </c>
      <c r="V191" t="s">
        <v>153</v>
      </c>
      <c r="W191" t="s">
        <v>154</v>
      </c>
      <c r="X191" t="s">
        <v>119</v>
      </c>
      <c r="Y191" t="s">
        <v>112</v>
      </c>
      <c r="Z191" t="s">
        <v>112</v>
      </c>
      <c r="AA191" t="s">
        <v>152</v>
      </c>
      <c r="AB191" t="s">
        <v>153</v>
      </c>
      <c r="AC191" t="s">
        <v>154</v>
      </c>
      <c r="AD191" t="s">
        <v>119</v>
      </c>
      <c r="AE191" t="s">
        <v>112</v>
      </c>
      <c r="AF191" t="s">
        <v>121</v>
      </c>
      <c r="AG191" t="s">
        <v>122</v>
      </c>
      <c r="AH191">
        <v>4741791.67</v>
      </c>
      <c r="AI191" t="s">
        <v>112</v>
      </c>
      <c r="AJ191" t="s">
        <v>152</v>
      </c>
      <c r="AK191" t="s">
        <v>153</v>
      </c>
      <c r="AL191" t="s">
        <v>154</v>
      </c>
      <c r="AM191" t="s">
        <v>119</v>
      </c>
      <c r="AN191" t="s">
        <v>112</v>
      </c>
      <c r="AO191" t="s">
        <v>121</v>
      </c>
      <c r="AP191" t="s">
        <v>122</v>
      </c>
      <c r="AQ191" t="s">
        <v>122</v>
      </c>
      <c r="AR191" t="s">
        <v>124</v>
      </c>
      <c r="AS191" t="s">
        <v>125</v>
      </c>
      <c r="AT191">
        <v>2</v>
      </c>
      <c r="AU191" t="s">
        <v>126</v>
      </c>
      <c r="AV191" t="s">
        <v>155</v>
      </c>
      <c r="AW191" t="s">
        <v>156</v>
      </c>
      <c r="AY191" t="s">
        <v>129</v>
      </c>
      <c r="AZ191">
        <v>42691.24</v>
      </c>
      <c r="BC191">
        <v>101.57810000000001</v>
      </c>
      <c r="BD191" t="s">
        <v>112</v>
      </c>
      <c r="BE191" t="s">
        <v>112</v>
      </c>
      <c r="BF191" t="s">
        <v>157</v>
      </c>
      <c r="BG191" t="s">
        <v>133</v>
      </c>
      <c r="BH191" t="s">
        <v>134</v>
      </c>
      <c r="BI191" t="s">
        <v>112</v>
      </c>
      <c r="BJ191" t="s">
        <v>112</v>
      </c>
      <c r="BK191" t="s">
        <v>112</v>
      </c>
      <c r="BL191" t="s">
        <v>158</v>
      </c>
      <c r="BM191" t="s">
        <v>159</v>
      </c>
      <c r="BN191" t="s">
        <v>212</v>
      </c>
      <c r="BO191" t="s">
        <v>161</v>
      </c>
      <c r="BQ191" t="s">
        <v>162</v>
      </c>
      <c r="BR191" s="45">
        <f>ISNUMBER(SEARCH($BR$1,Таблица1[[#This Row],[31_1 Описание и характеристика товара]]))*1</f>
        <v>1</v>
      </c>
      <c r="BT191" t="s">
        <v>150</v>
      </c>
      <c r="BU191">
        <v>33</v>
      </c>
      <c r="BV191">
        <v>0</v>
      </c>
      <c r="BW191">
        <v>0</v>
      </c>
      <c r="BY191">
        <v>0</v>
      </c>
      <c r="CA191" t="s">
        <v>106</v>
      </c>
      <c r="CB191" t="s">
        <v>142</v>
      </c>
      <c r="CC191" t="s">
        <v>112</v>
      </c>
      <c r="CD191" t="s">
        <v>112</v>
      </c>
      <c r="CE191" t="s">
        <v>121</v>
      </c>
      <c r="CF191">
        <v>16490.939999999999</v>
      </c>
      <c r="CG191" t="s">
        <v>144</v>
      </c>
      <c r="CH191">
        <v>4000000</v>
      </c>
      <c r="CI191">
        <v>16411.740000000002</v>
      </c>
      <c r="CJ191">
        <v>0</v>
      </c>
      <c r="CK191" t="s">
        <v>112</v>
      </c>
      <c r="CL191" t="s">
        <v>112</v>
      </c>
      <c r="CM191">
        <v>42691.24</v>
      </c>
      <c r="CO191">
        <v>0</v>
      </c>
      <c r="CP191">
        <v>1</v>
      </c>
      <c r="CQ191">
        <v>4741791.67</v>
      </c>
      <c r="CR191">
        <v>51558.59</v>
      </c>
      <c r="CS191" t="s">
        <v>145</v>
      </c>
      <c r="CT191">
        <v>51532.863600000004</v>
      </c>
      <c r="CU191">
        <v>3.14</v>
      </c>
      <c r="CV191">
        <v>45</v>
      </c>
      <c r="CX191" t="s">
        <v>163</v>
      </c>
      <c r="CY191">
        <v>121</v>
      </c>
    </row>
    <row r="192" spans="1:103" x14ac:dyDescent="0.25">
      <c r="A192" t="s">
        <v>106</v>
      </c>
      <c r="B192" s="38">
        <v>44900</v>
      </c>
      <c r="C192" s="43">
        <f>IF(YEAR(Таблица1[[#This Row],[Дата]])=2023,MONTH(Таблица1[[#This Row],[Дата]]),0)</f>
        <v>0</v>
      </c>
      <c r="D192" t="s">
        <v>319</v>
      </c>
      <c r="E192" t="s">
        <v>108</v>
      </c>
      <c r="F192" t="s">
        <v>320</v>
      </c>
      <c r="G192" t="s">
        <v>110</v>
      </c>
      <c r="H192" t="s">
        <v>111</v>
      </c>
      <c r="I192" t="s">
        <v>112</v>
      </c>
      <c r="J192" t="s">
        <v>112</v>
      </c>
      <c r="K192" t="s">
        <v>112</v>
      </c>
      <c r="L192" t="s">
        <v>150</v>
      </c>
      <c r="M192" t="s">
        <v>151</v>
      </c>
      <c r="N192" t="s">
        <v>112</v>
      </c>
      <c r="O192" t="s">
        <v>112</v>
      </c>
      <c r="P192">
        <v>1</v>
      </c>
      <c r="R192">
        <v>1</v>
      </c>
      <c r="S192">
        <v>33</v>
      </c>
      <c r="T192" t="s">
        <v>112</v>
      </c>
      <c r="U192" t="s">
        <v>152</v>
      </c>
      <c r="V192" t="s">
        <v>153</v>
      </c>
      <c r="W192" t="s">
        <v>154</v>
      </c>
      <c r="X192" t="s">
        <v>119</v>
      </c>
      <c r="Y192" t="s">
        <v>112</v>
      </c>
      <c r="Z192" t="s">
        <v>112</v>
      </c>
      <c r="AA192" t="s">
        <v>152</v>
      </c>
      <c r="AB192" t="s">
        <v>153</v>
      </c>
      <c r="AC192" t="s">
        <v>154</v>
      </c>
      <c r="AD192" t="s">
        <v>119</v>
      </c>
      <c r="AE192" t="s">
        <v>112</v>
      </c>
      <c r="AF192" t="s">
        <v>121</v>
      </c>
      <c r="AG192" t="s">
        <v>122</v>
      </c>
      <c r="AH192">
        <v>4603645.45</v>
      </c>
      <c r="AI192" t="s">
        <v>112</v>
      </c>
      <c r="AJ192" t="s">
        <v>152</v>
      </c>
      <c r="AK192" t="s">
        <v>153</v>
      </c>
      <c r="AL192" t="s">
        <v>154</v>
      </c>
      <c r="AM192" t="s">
        <v>119</v>
      </c>
      <c r="AN192" t="s">
        <v>112</v>
      </c>
      <c r="AO192" t="s">
        <v>121</v>
      </c>
      <c r="AP192" t="s">
        <v>122</v>
      </c>
      <c r="AQ192" t="s">
        <v>122</v>
      </c>
      <c r="AR192" t="s">
        <v>124</v>
      </c>
      <c r="AS192" t="s">
        <v>125</v>
      </c>
      <c r="AT192">
        <v>2</v>
      </c>
      <c r="AU192" t="s">
        <v>126</v>
      </c>
      <c r="AV192" t="s">
        <v>155</v>
      </c>
      <c r="AW192" t="s">
        <v>156</v>
      </c>
      <c r="AY192" t="s">
        <v>129</v>
      </c>
      <c r="AZ192">
        <v>41331.24</v>
      </c>
      <c r="BC192">
        <v>101.57810000000001</v>
      </c>
      <c r="BD192" t="s">
        <v>112</v>
      </c>
      <c r="BE192" t="s">
        <v>112</v>
      </c>
      <c r="BF192" t="s">
        <v>157</v>
      </c>
      <c r="BG192" t="s">
        <v>133</v>
      </c>
      <c r="BH192" t="s">
        <v>134</v>
      </c>
      <c r="BI192" t="s">
        <v>112</v>
      </c>
      <c r="BJ192" t="s">
        <v>112</v>
      </c>
      <c r="BK192" t="s">
        <v>112</v>
      </c>
      <c r="BL192" t="s">
        <v>158</v>
      </c>
      <c r="BM192" t="s">
        <v>159</v>
      </c>
      <c r="BN192" t="s">
        <v>212</v>
      </c>
      <c r="BO192" t="s">
        <v>161</v>
      </c>
      <c r="BQ192" t="s">
        <v>281</v>
      </c>
      <c r="BR192" s="45">
        <f>ISNUMBER(SEARCH($BR$1,Таблица1[[#This Row],[31_1 Описание и характеристика товара]]))*1</f>
        <v>1</v>
      </c>
      <c r="BT192" t="s">
        <v>150</v>
      </c>
      <c r="BU192">
        <v>33</v>
      </c>
      <c r="BV192">
        <v>0</v>
      </c>
      <c r="BW192">
        <v>0</v>
      </c>
      <c r="BY192">
        <v>0</v>
      </c>
      <c r="CA192" t="s">
        <v>106</v>
      </c>
      <c r="CB192" t="s">
        <v>142</v>
      </c>
      <c r="CC192" t="s">
        <v>112</v>
      </c>
      <c r="CD192" t="s">
        <v>112</v>
      </c>
      <c r="CE192" t="s">
        <v>121</v>
      </c>
      <c r="CF192">
        <v>16163.71</v>
      </c>
      <c r="CG192" t="s">
        <v>144</v>
      </c>
      <c r="CH192">
        <v>4000000</v>
      </c>
      <c r="CI192">
        <v>15926.11</v>
      </c>
      <c r="CJ192">
        <v>0</v>
      </c>
      <c r="CK192" t="s">
        <v>112</v>
      </c>
      <c r="CL192" t="s">
        <v>112</v>
      </c>
      <c r="CM192">
        <v>41331.24</v>
      </c>
      <c r="CO192">
        <v>0</v>
      </c>
      <c r="CP192">
        <v>1</v>
      </c>
      <c r="CQ192">
        <v>4603645.45</v>
      </c>
      <c r="CR192">
        <v>50056.49</v>
      </c>
      <c r="CS192" t="s">
        <v>145</v>
      </c>
      <c r="CT192">
        <v>50007.985400000005</v>
      </c>
      <c r="CU192">
        <v>3.14</v>
      </c>
      <c r="CV192">
        <v>45</v>
      </c>
      <c r="CX192" t="s">
        <v>233</v>
      </c>
      <c r="CY192">
        <v>80</v>
      </c>
    </row>
    <row r="193" spans="1:103" x14ac:dyDescent="0.25">
      <c r="A193" t="s">
        <v>106</v>
      </c>
      <c r="B193" s="38">
        <v>45060</v>
      </c>
      <c r="C193" s="43">
        <f>IF(YEAR(Таблица1[[#This Row],[Дата]])=2023,MONTH(Таблица1[[#This Row],[Дата]]),0)</f>
        <v>5</v>
      </c>
      <c r="D193" t="s">
        <v>342</v>
      </c>
      <c r="E193" t="s">
        <v>108</v>
      </c>
      <c r="F193" t="s">
        <v>343</v>
      </c>
      <c r="G193" t="s">
        <v>110</v>
      </c>
      <c r="H193" t="s">
        <v>111</v>
      </c>
      <c r="I193" t="s">
        <v>112</v>
      </c>
      <c r="J193" t="s">
        <v>112</v>
      </c>
      <c r="K193" t="s">
        <v>112</v>
      </c>
      <c r="L193" t="s">
        <v>150</v>
      </c>
      <c r="M193" t="s">
        <v>151</v>
      </c>
      <c r="N193" t="s">
        <v>112</v>
      </c>
      <c r="O193" t="s">
        <v>112</v>
      </c>
      <c r="P193">
        <v>1</v>
      </c>
      <c r="R193">
        <v>1</v>
      </c>
      <c r="S193">
        <v>33</v>
      </c>
      <c r="T193" t="s">
        <v>112</v>
      </c>
      <c r="U193" t="s">
        <v>152</v>
      </c>
      <c r="V193" t="s">
        <v>153</v>
      </c>
      <c r="W193" t="s">
        <v>154</v>
      </c>
      <c r="X193" t="s">
        <v>119</v>
      </c>
      <c r="Y193" t="s">
        <v>112</v>
      </c>
      <c r="Z193" t="s">
        <v>112</v>
      </c>
      <c r="AA193" t="s">
        <v>152</v>
      </c>
      <c r="AB193" t="s">
        <v>153</v>
      </c>
      <c r="AC193" t="s">
        <v>154</v>
      </c>
      <c r="AD193" t="s">
        <v>119</v>
      </c>
      <c r="AE193" t="s">
        <v>112</v>
      </c>
      <c r="AF193" t="s">
        <v>121</v>
      </c>
      <c r="AG193" t="s">
        <v>122</v>
      </c>
      <c r="AH193">
        <v>4557228.32</v>
      </c>
      <c r="AI193" t="s">
        <v>112</v>
      </c>
      <c r="AJ193" t="s">
        <v>152</v>
      </c>
      <c r="AK193" t="s">
        <v>153</v>
      </c>
      <c r="AL193" t="s">
        <v>154</v>
      </c>
      <c r="AM193" t="s">
        <v>119</v>
      </c>
      <c r="AN193" t="s">
        <v>112</v>
      </c>
      <c r="AO193" t="s">
        <v>121</v>
      </c>
      <c r="AP193" t="s">
        <v>122</v>
      </c>
      <c r="AQ193" t="s">
        <v>122</v>
      </c>
      <c r="AR193" t="s">
        <v>124</v>
      </c>
      <c r="AS193" t="s">
        <v>125</v>
      </c>
      <c r="AT193">
        <v>2</v>
      </c>
      <c r="AU193" t="s">
        <v>126</v>
      </c>
      <c r="AV193" t="s">
        <v>155</v>
      </c>
      <c r="AW193" t="s">
        <v>156</v>
      </c>
      <c r="AY193" t="s">
        <v>129</v>
      </c>
      <c r="AZ193">
        <v>40874.28</v>
      </c>
      <c r="BC193">
        <v>101.57810000000001</v>
      </c>
      <c r="BD193" t="s">
        <v>112</v>
      </c>
      <c r="BE193" t="s">
        <v>112</v>
      </c>
      <c r="BF193" t="s">
        <v>157</v>
      </c>
      <c r="BG193" t="s">
        <v>133</v>
      </c>
      <c r="BH193" t="s">
        <v>134</v>
      </c>
      <c r="BI193" t="s">
        <v>112</v>
      </c>
      <c r="BJ193" t="s">
        <v>112</v>
      </c>
      <c r="BK193" t="s">
        <v>112</v>
      </c>
      <c r="BL193" t="s">
        <v>158</v>
      </c>
      <c r="BM193" t="s">
        <v>159</v>
      </c>
      <c r="BN193" t="s">
        <v>212</v>
      </c>
      <c r="BO193" t="s">
        <v>161</v>
      </c>
      <c r="BQ193" t="s">
        <v>162</v>
      </c>
      <c r="BR193" s="45">
        <f>ISNUMBER(SEARCH($BR$1,Таблица1[[#This Row],[31_1 Описание и характеристика товара]]))*1</f>
        <v>1</v>
      </c>
      <c r="BT193" t="s">
        <v>150</v>
      </c>
      <c r="BU193">
        <v>33</v>
      </c>
      <c r="BV193">
        <v>0</v>
      </c>
      <c r="BW193">
        <v>0</v>
      </c>
      <c r="BY193">
        <v>0</v>
      </c>
      <c r="CA193" t="s">
        <v>106</v>
      </c>
      <c r="CB193" t="s">
        <v>142</v>
      </c>
      <c r="CC193" t="s">
        <v>112</v>
      </c>
      <c r="CD193" t="s">
        <v>112</v>
      </c>
      <c r="CE193" t="s">
        <v>121</v>
      </c>
      <c r="CF193">
        <v>16289.84</v>
      </c>
      <c r="CG193" t="s">
        <v>144</v>
      </c>
      <c r="CH193">
        <v>4000000</v>
      </c>
      <c r="CI193">
        <v>16127.84</v>
      </c>
      <c r="CJ193">
        <v>0</v>
      </c>
      <c r="CK193" t="s">
        <v>112</v>
      </c>
      <c r="CL193" t="s">
        <v>112</v>
      </c>
      <c r="CM193">
        <v>40874.28</v>
      </c>
      <c r="CO193">
        <v>0</v>
      </c>
      <c r="CP193">
        <v>1</v>
      </c>
      <c r="CQ193">
        <v>4557228.32</v>
      </c>
      <c r="CR193">
        <v>49551.79</v>
      </c>
      <c r="CS193" t="s">
        <v>145</v>
      </c>
      <c r="CT193">
        <v>49512.468799999995</v>
      </c>
      <c r="CU193">
        <v>3.07</v>
      </c>
      <c r="CV193">
        <v>45</v>
      </c>
      <c r="CX193" t="s">
        <v>163</v>
      </c>
      <c r="CY193">
        <v>121</v>
      </c>
    </row>
    <row r="194" spans="1:103" x14ac:dyDescent="0.25">
      <c r="A194" t="s">
        <v>106</v>
      </c>
      <c r="B194" s="38">
        <v>45001</v>
      </c>
      <c r="C194" s="43">
        <f>IF(YEAR(Таблица1[[#This Row],[Дата]])=2023,MONTH(Таблица1[[#This Row],[Дата]]),0)</f>
        <v>3</v>
      </c>
      <c r="D194" t="s">
        <v>230</v>
      </c>
      <c r="E194" t="s">
        <v>108</v>
      </c>
      <c r="F194" t="s">
        <v>231</v>
      </c>
      <c r="G194" t="s">
        <v>110</v>
      </c>
      <c r="H194" t="s">
        <v>111</v>
      </c>
      <c r="I194" t="s">
        <v>112</v>
      </c>
      <c r="J194" t="s">
        <v>112</v>
      </c>
      <c r="K194" t="s">
        <v>112</v>
      </c>
      <c r="L194" t="s">
        <v>150</v>
      </c>
      <c r="M194" t="s">
        <v>151</v>
      </c>
      <c r="N194" t="s">
        <v>112</v>
      </c>
      <c r="O194" t="s">
        <v>112</v>
      </c>
      <c r="P194">
        <v>1</v>
      </c>
      <c r="R194">
        <v>1</v>
      </c>
      <c r="S194">
        <v>33</v>
      </c>
      <c r="T194" t="s">
        <v>112</v>
      </c>
      <c r="U194" t="s">
        <v>152</v>
      </c>
      <c r="V194" t="s">
        <v>153</v>
      </c>
      <c r="W194" t="s">
        <v>154</v>
      </c>
      <c r="X194" t="s">
        <v>119</v>
      </c>
      <c r="Y194" t="s">
        <v>112</v>
      </c>
      <c r="Z194" t="s">
        <v>112</v>
      </c>
      <c r="AA194" t="s">
        <v>152</v>
      </c>
      <c r="AB194" t="s">
        <v>153</v>
      </c>
      <c r="AC194" t="s">
        <v>154</v>
      </c>
      <c r="AD194" t="s">
        <v>119</v>
      </c>
      <c r="AE194" t="s">
        <v>112</v>
      </c>
      <c r="AF194" t="s">
        <v>121</v>
      </c>
      <c r="AG194" t="s">
        <v>122</v>
      </c>
      <c r="AH194">
        <v>5084308.96</v>
      </c>
      <c r="AI194" t="s">
        <v>112</v>
      </c>
      <c r="AJ194" t="s">
        <v>152</v>
      </c>
      <c r="AK194" t="s">
        <v>153</v>
      </c>
      <c r="AL194" t="s">
        <v>154</v>
      </c>
      <c r="AM194" t="s">
        <v>119</v>
      </c>
      <c r="AN194" t="s">
        <v>112</v>
      </c>
      <c r="AO194" t="s">
        <v>121</v>
      </c>
      <c r="AP194" t="s">
        <v>122</v>
      </c>
      <c r="AQ194" t="s">
        <v>122</v>
      </c>
      <c r="AR194" t="s">
        <v>124</v>
      </c>
      <c r="AS194" t="s">
        <v>125</v>
      </c>
      <c r="AT194">
        <v>2</v>
      </c>
      <c r="AU194" t="s">
        <v>126</v>
      </c>
      <c r="AV194" t="s">
        <v>155</v>
      </c>
      <c r="AW194" t="s">
        <v>156</v>
      </c>
      <c r="AY194" t="s">
        <v>129</v>
      </c>
      <c r="AZ194">
        <v>46063.199999999997</v>
      </c>
      <c r="BC194">
        <v>101.57810000000001</v>
      </c>
      <c r="BD194" t="s">
        <v>112</v>
      </c>
      <c r="BE194" t="s">
        <v>112</v>
      </c>
      <c r="BF194" t="s">
        <v>157</v>
      </c>
      <c r="BG194" t="s">
        <v>133</v>
      </c>
      <c r="BH194" t="s">
        <v>167</v>
      </c>
      <c r="BI194" t="s">
        <v>112</v>
      </c>
      <c r="BJ194" t="s">
        <v>112</v>
      </c>
      <c r="BK194" t="s">
        <v>112</v>
      </c>
      <c r="BL194" t="s">
        <v>158</v>
      </c>
      <c r="BM194" t="s">
        <v>159</v>
      </c>
      <c r="BN194" t="s">
        <v>160</v>
      </c>
      <c r="BO194" t="s">
        <v>161</v>
      </c>
      <c r="BQ194" t="s">
        <v>232</v>
      </c>
      <c r="BR194" s="45">
        <f>ISNUMBER(SEARCH($BR$1,Таблица1[[#This Row],[31_1 Описание и характеристика товара]]))*1</f>
        <v>1</v>
      </c>
      <c r="BT194" t="s">
        <v>150</v>
      </c>
      <c r="BU194">
        <v>33</v>
      </c>
      <c r="BV194">
        <v>0</v>
      </c>
      <c r="BW194">
        <v>0</v>
      </c>
      <c r="BY194">
        <v>0</v>
      </c>
      <c r="CA194" t="s">
        <v>106</v>
      </c>
      <c r="CB194" t="s">
        <v>142</v>
      </c>
      <c r="CC194" t="s">
        <v>112</v>
      </c>
      <c r="CD194" t="s">
        <v>112</v>
      </c>
      <c r="CE194" t="s">
        <v>121</v>
      </c>
      <c r="CF194">
        <v>17010.810000000001</v>
      </c>
      <c r="CG194" t="s">
        <v>144</v>
      </c>
      <c r="CH194">
        <v>4000000</v>
      </c>
      <c r="CI194">
        <v>17010.810000000001</v>
      </c>
      <c r="CJ194">
        <v>0</v>
      </c>
      <c r="CK194" t="s">
        <v>112</v>
      </c>
      <c r="CL194" t="s">
        <v>112</v>
      </c>
      <c r="CM194">
        <v>46063.199999999997</v>
      </c>
      <c r="CO194">
        <v>0</v>
      </c>
      <c r="CP194">
        <v>1</v>
      </c>
      <c r="CQ194">
        <v>5084308.96</v>
      </c>
      <c r="CR194">
        <v>55282.86</v>
      </c>
      <c r="CS194" t="s">
        <v>145</v>
      </c>
      <c r="CT194">
        <v>55285.132500000007</v>
      </c>
      <c r="CU194">
        <v>3.25</v>
      </c>
      <c r="CV194">
        <v>45</v>
      </c>
      <c r="CX194" t="s">
        <v>233</v>
      </c>
      <c r="CY194">
        <v>551</v>
      </c>
    </row>
    <row r="195" spans="1:103" x14ac:dyDescent="0.25">
      <c r="A195" s="8" t="s">
        <v>106</v>
      </c>
      <c r="B195" s="38">
        <v>45102</v>
      </c>
      <c r="C195" s="43">
        <f>IF(YEAR(Таблица1[[#This Row],[Дата]])=2023,MONTH(Таблица1[[#This Row],[Дата]]),0)</f>
        <v>6</v>
      </c>
      <c r="D195" s="8" t="s">
        <v>2658</v>
      </c>
      <c r="E195" s="8" t="s">
        <v>108</v>
      </c>
      <c r="F195" s="8" t="s">
        <v>2659</v>
      </c>
      <c r="G195" t="s">
        <v>110</v>
      </c>
      <c r="H195" s="8" t="s">
        <v>111</v>
      </c>
      <c r="I195" s="8" t="s">
        <v>112</v>
      </c>
      <c r="J195" s="8" t="s">
        <v>112</v>
      </c>
      <c r="K195" s="8" t="s">
        <v>112</v>
      </c>
      <c r="L195" s="8" t="s">
        <v>2161</v>
      </c>
      <c r="M195" s="8" t="s">
        <v>2162</v>
      </c>
      <c r="N195" s="8" t="s">
        <v>112</v>
      </c>
      <c r="O195" s="8" t="s">
        <v>112</v>
      </c>
      <c r="P195">
        <v>2</v>
      </c>
      <c r="Q195">
        <v>0</v>
      </c>
      <c r="R195">
        <v>3</v>
      </c>
      <c r="S195">
        <v>92</v>
      </c>
      <c r="T195" s="8" t="s">
        <v>2136</v>
      </c>
      <c r="U195" s="8" t="s">
        <v>2137</v>
      </c>
      <c r="V195" s="8" t="s">
        <v>2141</v>
      </c>
      <c r="W195" s="8" t="s">
        <v>2139</v>
      </c>
      <c r="X195" s="8" t="s">
        <v>119</v>
      </c>
      <c r="Y195" s="8" t="s">
        <v>2140</v>
      </c>
      <c r="Z195" s="8" t="s">
        <v>2136</v>
      </c>
      <c r="AA195" s="8" t="s">
        <v>2137</v>
      </c>
      <c r="AB195" s="8" t="s">
        <v>2141</v>
      </c>
      <c r="AC195" s="8" t="s">
        <v>2139</v>
      </c>
      <c r="AD195" s="8" t="s">
        <v>119</v>
      </c>
      <c r="AE195" s="8" t="s">
        <v>2140</v>
      </c>
      <c r="AF195" s="8" t="s">
        <v>2163</v>
      </c>
      <c r="AG195" s="8" t="s">
        <v>2164</v>
      </c>
      <c r="AH195">
        <v>11001353.710000001</v>
      </c>
      <c r="AI195" s="8" t="s">
        <v>2136</v>
      </c>
      <c r="AJ195" s="8" t="s">
        <v>2137</v>
      </c>
      <c r="AK195" s="8" t="s">
        <v>2141</v>
      </c>
      <c r="AL195" s="8" t="s">
        <v>2139</v>
      </c>
      <c r="AM195" s="8" t="s">
        <v>119</v>
      </c>
      <c r="AN195" s="8" t="s">
        <v>2140</v>
      </c>
      <c r="AO195" s="8" t="s">
        <v>2163</v>
      </c>
      <c r="AP195" s="8" t="s">
        <v>2164</v>
      </c>
      <c r="AQ195" s="8" t="s">
        <v>2164</v>
      </c>
      <c r="AR195" s="8" t="s">
        <v>124</v>
      </c>
      <c r="AS195" s="8" t="s">
        <v>125</v>
      </c>
      <c r="AT195">
        <v>2</v>
      </c>
      <c r="AU195" s="8" t="s">
        <v>126</v>
      </c>
      <c r="AV195" s="8" t="s">
        <v>127</v>
      </c>
      <c r="AW195" s="8" t="s">
        <v>2165</v>
      </c>
      <c r="AX195">
        <v>1</v>
      </c>
      <c r="AY195" s="8" t="s">
        <v>129</v>
      </c>
      <c r="AZ195">
        <v>144859.5</v>
      </c>
      <c r="BA195">
        <v>10580639</v>
      </c>
      <c r="BB195">
        <v>160192.109999999</v>
      </c>
      <c r="BC195">
        <v>73.040700000000001</v>
      </c>
      <c r="BD195" s="8" t="s">
        <v>130</v>
      </c>
      <c r="BE195" s="8" t="s">
        <v>131</v>
      </c>
      <c r="BF195" s="8" t="s">
        <v>2166</v>
      </c>
      <c r="BG195" s="8" t="s">
        <v>133</v>
      </c>
      <c r="BH195" s="8" t="s">
        <v>134</v>
      </c>
      <c r="BI195" s="8" t="s">
        <v>112</v>
      </c>
      <c r="BJ195" s="8" t="s">
        <v>112</v>
      </c>
      <c r="BK195" s="8" t="s">
        <v>112</v>
      </c>
      <c r="BL195" s="8" t="s">
        <v>2655</v>
      </c>
      <c r="BM195" s="8" t="s">
        <v>2656</v>
      </c>
      <c r="BN195" s="8" t="s">
        <v>2496</v>
      </c>
      <c r="BO195" s="8" t="s">
        <v>2497</v>
      </c>
      <c r="BP195">
        <v>1</v>
      </c>
      <c r="BQ195" s="8" t="s">
        <v>2660</v>
      </c>
      <c r="BR195" s="45">
        <f>ISNUMBER(SEARCH($BR$1,Таблица1[[#This Row],[31_1 Описание и характеристика товара]]))*1</f>
        <v>0</v>
      </c>
      <c r="BT195" s="8" t="s">
        <v>2161</v>
      </c>
      <c r="BU195">
        <v>88</v>
      </c>
      <c r="BV195">
        <v>0</v>
      </c>
      <c r="BW195">
        <v>328</v>
      </c>
      <c r="BX195" t="s">
        <v>2147</v>
      </c>
      <c r="BY195">
        <v>0</v>
      </c>
      <c r="CA195" s="8" t="s">
        <v>106</v>
      </c>
      <c r="CB195" s="8" t="s">
        <v>2148</v>
      </c>
      <c r="CC195" s="8" t="s">
        <v>112</v>
      </c>
      <c r="CD195" s="8" t="s">
        <v>112</v>
      </c>
      <c r="CE195" s="8" t="s">
        <v>2163</v>
      </c>
      <c r="CF195">
        <v>16660</v>
      </c>
      <c r="CG195" t="s">
        <v>144</v>
      </c>
      <c r="CH195">
        <v>4000000</v>
      </c>
      <c r="CI195">
        <v>16586</v>
      </c>
      <c r="CJ195">
        <v>0</v>
      </c>
      <c r="CK195" s="8" t="s">
        <v>112</v>
      </c>
      <c r="CL195" s="8" t="s">
        <v>112</v>
      </c>
      <c r="CM195">
        <v>128219.34</v>
      </c>
      <c r="CN195">
        <v>9365230</v>
      </c>
      <c r="CO195">
        <v>0</v>
      </c>
      <c r="CP195">
        <v>1</v>
      </c>
      <c r="CQ195">
        <v>9764722.8100000005</v>
      </c>
      <c r="CR195">
        <v>142185.37</v>
      </c>
      <c r="CS195" s="8" t="s">
        <v>145</v>
      </c>
      <c r="CT195">
        <v>8.5725999999999996</v>
      </c>
      <c r="CU195">
        <v>1053</v>
      </c>
      <c r="CV195" t="s">
        <v>2149</v>
      </c>
      <c r="CX195" t="s">
        <v>2150</v>
      </c>
      <c r="CY195">
        <v>0</v>
      </c>
    </row>
    <row r="196" spans="1:103" x14ac:dyDescent="0.25">
      <c r="A196" s="8" t="s">
        <v>106</v>
      </c>
      <c r="B196" s="38">
        <v>45194</v>
      </c>
      <c r="C196" s="43">
        <f>IF(YEAR(Таблица1[[#This Row],[Дата]])=2023,MONTH(Таблица1[[#This Row],[Дата]]),0)</f>
        <v>9</v>
      </c>
      <c r="D196" s="8" t="s">
        <v>2594</v>
      </c>
      <c r="E196" s="8" t="s">
        <v>108</v>
      </c>
      <c r="F196" s="8" t="s">
        <v>2595</v>
      </c>
      <c r="G196" t="s">
        <v>110</v>
      </c>
      <c r="H196" s="8" t="s">
        <v>111</v>
      </c>
      <c r="I196" s="8" t="s">
        <v>112</v>
      </c>
      <c r="J196" s="8" t="s">
        <v>112</v>
      </c>
      <c r="K196" s="8" t="s">
        <v>112</v>
      </c>
      <c r="L196" s="8" t="s">
        <v>2161</v>
      </c>
      <c r="M196" s="8" t="s">
        <v>2162</v>
      </c>
      <c r="N196" s="8" t="s">
        <v>112</v>
      </c>
      <c r="O196" s="8" t="s">
        <v>112</v>
      </c>
      <c r="P196">
        <v>2</v>
      </c>
      <c r="Q196">
        <v>0</v>
      </c>
      <c r="R196">
        <v>4</v>
      </c>
      <c r="S196">
        <v>103</v>
      </c>
      <c r="T196" s="8" t="s">
        <v>2136</v>
      </c>
      <c r="U196" s="8" t="s">
        <v>2137</v>
      </c>
      <c r="V196" s="8" t="s">
        <v>2141</v>
      </c>
      <c r="W196" s="8" t="s">
        <v>2139</v>
      </c>
      <c r="X196" s="8" t="s">
        <v>119</v>
      </c>
      <c r="Y196" s="8" t="s">
        <v>2140</v>
      </c>
      <c r="Z196" s="8" t="s">
        <v>2136</v>
      </c>
      <c r="AA196" s="8" t="s">
        <v>2137</v>
      </c>
      <c r="AB196" s="8" t="s">
        <v>2141</v>
      </c>
      <c r="AC196" s="8" t="s">
        <v>2139</v>
      </c>
      <c r="AD196" s="8" t="s">
        <v>119</v>
      </c>
      <c r="AE196" s="8" t="s">
        <v>2140</v>
      </c>
      <c r="AF196" s="8" t="s">
        <v>2163</v>
      </c>
      <c r="AG196" s="8" t="s">
        <v>2164</v>
      </c>
      <c r="AH196">
        <v>9373743.9800000004</v>
      </c>
      <c r="AI196" s="8" t="s">
        <v>2136</v>
      </c>
      <c r="AJ196" s="8" t="s">
        <v>2137</v>
      </c>
      <c r="AK196" s="8" t="s">
        <v>2141</v>
      </c>
      <c r="AL196" s="8" t="s">
        <v>2139</v>
      </c>
      <c r="AM196" s="8" t="s">
        <v>119</v>
      </c>
      <c r="AN196" s="8" t="s">
        <v>2140</v>
      </c>
      <c r="AO196" s="8" t="s">
        <v>2163</v>
      </c>
      <c r="AP196" s="8" t="s">
        <v>2164</v>
      </c>
      <c r="AQ196" s="8" t="s">
        <v>2164</v>
      </c>
      <c r="AR196" s="8" t="s">
        <v>124</v>
      </c>
      <c r="AS196" s="8" t="s">
        <v>125</v>
      </c>
      <c r="AT196">
        <v>2</v>
      </c>
      <c r="AU196" s="8" t="s">
        <v>126</v>
      </c>
      <c r="AV196" s="8" t="s">
        <v>127</v>
      </c>
      <c r="AW196" s="8" t="s">
        <v>2493</v>
      </c>
      <c r="AX196">
        <v>1</v>
      </c>
      <c r="AY196" s="8" t="s">
        <v>129</v>
      </c>
      <c r="AZ196">
        <v>121349.9</v>
      </c>
      <c r="BA196">
        <v>8863482</v>
      </c>
      <c r="BB196">
        <v>136492.29</v>
      </c>
      <c r="BC196">
        <v>73.040700000000001</v>
      </c>
      <c r="BD196" s="8" t="s">
        <v>130</v>
      </c>
      <c r="BE196" s="8" t="s">
        <v>112</v>
      </c>
      <c r="BF196" s="8" t="s">
        <v>2166</v>
      </c>
      <c r="BG196" s="8" t="s">
        <v>133</v>
      </c>
      <c r="BH196" s="8" t="s">
        <v>134</v>
      </c>
      <c r="BI196" s="8" t="s">
        <v>112</v>
      </c>
      <c r="BJ196" s="8" t="s">
        <v>2167</v>
      </c>
      <c r="BK196" s="8" t="s">
        <v>112</v>
      </c>
      <c r="BL196" s="8" t="s">
        <v>2168</v>
      </c>
      <c r="BM196" s="8" t="s">
        <v>2169</v>
      </c>
      <c r="BN196" s="8" t="s">
        <v>2170</v>
      </c>
      <c r="BO196" s="8" t="s">
        <v>2171</v>
      </c>
      <c r="BP196">
        <v>1</v>
      </c>
      <c r="BQ196" s="8" t="s">
        <v>2596</v>
      </c>
      <c r="BR196" s="45">
        <f>ISNUMBER(SEARCH($BR$1,Таблица1[[#This Row],[31_1 Описание и характеристика товара]]))*1</f>
        <v>0</v>
      </c>
      <c r="BT196" s="8" t="s">
        <v>2161</v>
      </c>
      <c r="BU196">
        <v>82</v>
      </c>
      <c r="BV196">
        <v>0</v>
      </c>
      <c r="BW196">
        <v>219</v>
      </c>
      <c r="BX196" t="s">
        <v>2147</v>
      </c>
      <c r="BY196">
        <v>0</v>
      </c>
      <c r="CA196" s="8" t="s">
        <v>106</v>
      </c>
      <c r="CB196" s="8" t="s">
        <v>2148</v>
      </c>
      <c r="CC196" s="8" t="s">
        <v>112</v>
      </c>
      <c r="CD196" s="8" t="s">
        <v>112</v>
      </c>
      <c r="CE196" s="8" t="s">
        <v>2163</v>
      </c>
      <c r="CF196">
        <v>14824.6</v>
      </c>
      <c r="CG196" t="s">
        <v>144</v>
      </c>
      <c r="CH196">
        <v>4000000</v>
      </c>
      <c r="CI196">
        <v>14768.76</v>
      </c>
      <c r="CJ196">
        <v>0</v>
      </c>
      <c r="CK196" s="8" t="s">
        <v>112</v>
      </c>
      <c r="CL196" s="8" t="s">
        <v>112</v>
      </c>
      <c r="CM196">
        <v>116731.8</v>
      </c>
      <c r="CN196">
        <v>8526172</v>
      </c>
      <c r="CO196">
        <v>0</v>
      </c>
      <c r="CP196">
        <v>1</v>
      </c>
      <c r="CQ196">
        <v>9001847.75</v>
      </c>
      <c r="CR196">
        <v>131077.049999999</v>
      </c>
      <c r="CS196" s="8" t="s">
        <v>145</v>
      </c>
      <c r="CT196">
        <v>8.8752999999999993</v>
      </c>
      <c r="CU196">
        <v>1053</v>
      </c>
      <c r="CV196" t="s">
        <v>2149</v>
      </c>
      <c r="CX196" t="s">
        <v>2150</v>
      </c>
      <c r="CY196">
        <v>0</v>
      </c>
    </row>
    <row r="197" spans="1:103" x14ac:dyDescent="0.25">
      <c r="A197" s="8" t="s">
        <v>106</v>
      </c>
      <c r="B197" s="38">
        <v>44995</v>
      </c>
      <c r="C197" s="43">
        <f>IF(YEAR(Таблица1[[#This Row],[Дата]])=2023,MONTH(Таблица1[[#This Row],[Дата]]),0)</f>
        <v>3</v>
      </c>
      <c r="D197" s="8" t="s">
        <v>2653</v>
      </c>
      <c r="E197" s="8" t="s">
        <v>108</v>
      </c>
      <c r="F197" s="8" t="s">
        <v>2654</v>
      </c>
      <c r="G197" t="s">
        <v>110</v>
      </c>
      <c r="H197" s="8" t="s">
        <v>111</v>
      </c>
      <c r="I197" s="8" t="s">
        <v>112</v>
      </c>
      <c r="J197" s="8" t="s">
        <v>112</v>
      </c>
      <c r="K197" s="8" t="s">
        <v>112</v>
      </c>
      <c r="L197" s="8" t="s">
        <v>2161</v>
      </c>
      <c r="M197" s="8" t="s">
        <v>2162</v>
      </c>
      <c r="N197" s="8" t="s">
        <v>112</v>
      </c>
      <c r="O197" s="8" t="s">
        <v>112</v>
      </c>
      <c r="P197">
        <v>2</v>
      </c>
      <c r="Q197">
        <v>0</v>
      </c>
      <c r="R197">
        <v>3</v>
      </c>
      <c r="S197">
        <v>99</v>
      </c>
      <c r="T197" s="8" t="s">
        <v>2136</v>
      </c>
      <c r="U197" s="8" t="s">
        <v>2137</v>
      </c>
      <c r="V197" s="8" t="s">
        <v>2141</v>
      </c>
      <c r="W197" s="8" t="s">
        <v>2139</v>
      </c>
      <c r="X197" s="8" t="s">
        <v>119</v>
      </c>
      <c r="Y197" s="8" t="s">
        <v>2140</v>
      </c>
      <c r="Z197" s="8" t="s">
        <v>2136</v>
      </c>
      <c r="AA197" s="8" t="s">
        <v>2137</v>
      </c>
      <c r="AB197" s="8" t="s">
        <v>2141</v>
      </c>
      <c r="AC197" s="8" t="s">
        <v>2139</v>
      </c>
      <c r="AD197" s="8" t="s">
        <v>119</v>
      </c>
      <c r="AE197" s="8" t="s">
        <v>2140</v>
      </c>
      <c r="AF197" s="8" t="s">
        <v>2163</v>
      </c>
      <c r="AG197" s="8" t="s">
        <v>2164</v>
      </c>
      <c r="AH197">
        <v>9535327.52999999</v>
      </c>
      <c r="AI197" s="8" t="s">
        <v>2136</v>
      </c>
      <c r="AJ197" s="8" t="s">
        <v>2137</v>
      </c>
      <c r="AK197" s="8" t="s">
        <v>2141</v>
      </c>
      <c r="AL197" s="8" t="s">
        <v>2139</v>
      </c>
      <c r="AM197" s="8" t="s">
        <v>119</v>
      </c>
      <c r="AN197" s="8" t="s">
        <v>2140</v>
      </c>
      <c r="AO197" s="8" t="s">
        <v>2163</v>
      </c>
      <c r="AP197" s="8" t="s">
        <v>2164</v>
      </c>
      <c r="AQ197" s="8" t="s">
        <v>2164</v>
      </c>
      <c r="AR197" s="8" t="s">
        <v>124</v>
      </c>
      <c r="AS197" s="8" t="s">
        <v>125</v>
      </c>
      <c r="AT197">
        <v>2</v>
      </c>
      <c r="AU197" s="8" t="s">
        <v>126</v>
      </c>
      <c r="AV197" s="8" t="s">
        <v>127</v>
      </c>
      <c r="AW197" s="8" t="s">
        <v>2165</v>
      </c>
      <c r="AX197">
        <v>1</v>
      </c>
      <c r="AY197" s="8" t="s">
        <v>129</v>
      </c>
      <c r="AZ197">
        <v>124788.14</v>
      </c>
      <c r="BA197">
        <v>9114613</v>
      </c>
      <c r="BB197">
        <v>138845.12</v>
      </c>
      <c r="BC197">
        <v>73.040700000000001</v>
      </c>
      <c r="BD197" s="8" t="s">
        <v>130</v>
      </c>
      <c r="BE197" s="8" t="s">
        <v>131</v>
      </c>
      <c r="BF197" s="8" t="s">
        <v>2166</v>
      </c>
      <c r="BG197" s="8" t="s">
        <v>133</v>
      </c>
      <c r="BH197" s="8" t="s">
        <v>134</v>
      </c>
      <c r="BI197" s="8" t="s">
        <v>112</v>
      </c>
      <c r="BJ197" s="8" t="s">
        <v>112</v>
      </c>
      <c r="BK197" s="8" t="s">
        <v>112</v>
      </c>
      <c r="BL197" s="8" t="s">
        <v>2655</v>
      </c>
      <c r="BM197" s="8" t="s">
        <v>2656</v>
      </c>
      <c r="BN197" s="8" t="s">
        <v>2496</v>
      </c>
      <c r="BO197" s="8" t="s">
        <v>2497</v>
      </c>
      <c r="BP197">
        <v>1</v>
      </c>
      <c r="BQ197" s="8" t="s">
        <v>2657</v>
      </c>
      <c r="BR197" s="45">
        <f>ISNUMBER(SEARCH($BR$1,Таблица1[[#This Row],[31_1 Описание и характеристика товара]]))*1</f>
        <v>0</v>
      </c>
      <c r="BT197" s="8" t="s">
        <v>2161</v>
      </c>
      <c r="BU197">
        <v>82</v>
      </c>
      <c r="BV197">
        <v>0</v>
      </c>
      <c r="BW197">
        <v>270</v>
      </c>
      <c r="BX197" t="s">
        <v>2147</v>
      </c>
      <c r="BY197">
        <v>0</v>
      </c>
      <c r="CA197" s="8" t="s">
        <v>106</v>
      </c>
      <c r="CB197" s="8" t="s">
        <v>2148</v>
      </c>
      <c r="CC197" s="8" t="s">
        <v>112</v>
      </c>
      <c r="CD197" s="8" t="s">
        <v>112</v>
      </c>
      <c r="CE197" s="8" t="s">
        <v>2163</v>
      </c>
      <c r="CF197">
        <v>14577.4</v>
      </c>
      <c r="CG197" t="s">
        <v>144</v>
      </c>
      <c r="CH197">
        <v>4000000</v>
      </c>
      <c r="CI197">
        <v>14517</v>
      </c>
      <c r="CJ197">
        <v>0</v>
      </c>
      <c r="CK197" s="8" t="s">
        <v>112</v>
      </c>
      <c r="CL197" s="8" t="s">
        <v>112</v>
      </c>
      <c r="CM197">
        <v>117854.04</v>
      </c>
      <c r="CN197">
        <v>8608142</v>
      </c>
      <c r="CO197">
        <v>0</v>
      </c>
      <c r="CP197">
        <v>1</v>
      </c>
      <c r="CQ197">
        <v>8986320.02999999</v>
      </c>
      <c r="CR197">
        <v>130850.95</v>
      </c>
      <c r="CS197" s="8" t="s">
        <v>145</v>
      </c>
      <c r="CT197">
        <v>9.0136000000000003</v>
      </c>
      <c r="CU197">
        <v>1053</v>
      </c>
      <c r="CV197" t="s">
        <v>2149</v>
      </c>
      <c r="CX197" t="s">
        <v>2150</v>
      </c>
      <c r="CY197">
        <v>0</v>
      </c>
    </row>
    <row r="198" spans="1:103" x14ac:dyDescent="0.25">
      <c r="A198" s="8" t="s">
        <v>106</v>
      </c>
      <c r="B198" s="38">
        <v>45058</v>
      </c>
      <c r="C198" s="43">
        <f>IF(YEAR(Таблица1[[#This Row],[Дата]])=2023,MONTH(Таблица1[[#This Row],[Дата]]),0)</f>
        <v>5</v>
      </c>
      <c r="D198" s="8" t="s">
        <v>2573</v>
      </c>
      <c r="E198" s="8" t="s">
        <v>108</v>
      </c>
      <c r="F198" s="8" t="s">
        <v>2574</v>
      </c>
      <c r="G198" t="s">
        <v>110</v>
      </c>
      <c r="H198" s="8" t="s">
        <v>111</v>
      </c>
      <c r="I198" s="8" t="s">
        <v>112</v>
      </c>
      <c r="J198" s="8" t="s">
        <v>112</v>
      </c>
      <c r="K198" s="8" t="s">
        <v>112</v>
      </c>
      <c r="L198" s="8" t="s">
        <v>2161</v>
      </c>
      <c r="M198" s="8" t="s">
        <v>2162</v>
      </c>
      <c r="N198" s="8" t="s">
        <v>112</v>
      </c>
      <c r="O198" s="8" t="s">
        <v>112</v>
      </c>
      <c r="P198">
        <v>2</v>
      </c>
      <c r="Q198">
        <v>0</v>
      </c>
      <c r="R198">
        <v>2</v>
      </c>
      <c r="S198">
        <v>124</v>
      </c>
      <c r="T198" s="8" t="s">
        <v>2136</v>
      </c>
      <c r="U198" s="8" t="s">
        <v>2137</v>
      </c>
      <c r="V198" s="8" t="s">
        <v>2141</v>
      </c>
      <c r="W198" s="8" t="s">
        <v>2139</v>
      </c>
      <c r="X198" s="8" t="s">
        <v>119</v>
      </c>
      <c r="Y198" s="8" t="s">
        <v>2140</v>
      </c>
      <c r="Z198" s="8" t="s">
        <v>2136</v>
      </c>
      <c r="AA198" s="8" t="s">
        <v>2137</v>
      </c>
      <c r="AB198" s="8" t="s">
        <v>2141</v>
      </c>
      <c r="AC198" s="8" t="s">
        <v>2139</v>
      </c>
      <c r="AD198" s="8" t="s">
        <v>119</v>
      </c>
      <c r="AE198" s="8" t="s">
        <v>2140</v>
      </c>
      <c r="AF198" s="8" t="s">
        <v>2163</v>
      </c>
      <c r="AG198" s="8" t="s">
        <v>2164</v>
      </c>
      <c r="AH198">
        <v>10832303.93</v>
      </c>
      <c r="AI198" s="8" t="s">
        <v>2136</v>
      </c>
      <c r="AJ198" s="8" t="s">
        <v>2137</v>
      </c>
      <c r="AK198" s="8" t="s">
        <v>2141</v>
      </c>
      <c r="AL198" s="8" t="s">
        <v>2139</v>
      </c>
      <c r="AM198" s="8" t="s">
        <v>119</v>
      </c>
      <c r="AN198" s="8" t="s">
        <v>2140</v>
      </c>
      <c r="AO198" s="8" t="s">
        <v>2163</v>
      </c>
      <c r="AP198" s="8" t="s">
        <v>2164</v>
      </c>
      <c r="AQ198" s="8" t="s">
        <v>2164</v>
      </c>
      <c r="AR198" s="8" t="s">
        <v>124</v>
      </c>
      <c r="AS198" s="8" t="s">
        <v>125</v>
      </c>
      <c r="AT198">
        <v>2</v>
      </c>
      <c r="AU198" s="8" t="s">
        <v>126</v>
      </c>
      <c r="AV198" s="8" t="s">
        <v>127</v>
      </c>
      <c r="AW198" s="8" t="s">
        <v>2493</v>
      </c>
      <c r="AX198">
        <v>1</v>
      </c>
      <c r="AY198" s="8" t="s">
        <v>129</v>
      </c>
      <c r="AZ198">
        <v>142805.04</v>
      </c>
      <c r="BA198">
        <v>10430580</v>
      </c>
      <c r="BB198">
        <v>157730.56</v>
      </c>
      <c r="BC198">
        <v>73.040700000000001</v>
      </c>
      <c r="BD198" s="8" t="s">
        <v>130</v>
      </c>
      <c r="BE198" s="8" t="s">
        <v>112</v>
      </c>
      <c r="BF198" s="8" t="s">
        <v>2166</v>
      </c>
      <c r="BG198" s="8" t="s">
        <v>133</v>
      </c>
      <c r="BH198" s="8" t="s">
        <v>167</v>
      </c>
      <c r="BI198" s="8" t="s">
        <v>2190</v>
      </c>
      <c r="BJ198" s="8" t="s">
        <v>112</v>
      </c>
      <c r="BK198" s="8" t="s">
        <v>112</v>
      </c>
      <c r="BL198" s="8" t="s">
        <v>2556</v>
      </c>
      <c r="BM198" s="8" t="s">
        <v>2192</v>
      </c>
      <c r="BN198" s="8" t="s">
        <v>2575</v>
      </c>
      <c r="BO198" s="8" t="s">
        <v>2497</v>
      </c>
      <c r="BP198">
        <v>1</v>
      </c>
      <c r="BQ198" s="8" t="s">
        <v>2146</v>
      </c>
      <c r="BR198" s="45">
        <f>ISNUMBER(SEARCH($BR$1,Таблица1[[#This Row],[31_1 Описание и характеристика товара]]))*1</f>
        <v>0</v>
      </c>
      <c r="BT198" s="8" t="s">
        <v>2210</v>
      </c>
      <c r="BU198">
        <v>94</v>
      </c>
      <c r="BV198">
        <v>0</v>
      </c>
      <c r="BW198">
        <v>354</v>
      </c>
      <c r="BX198" t="s">
        <v>2147</v>
      </c>
      <c r="BY198">
        <v>0</v>
      </c>
      <c r="CA198" s="8" t="s">
        <v>106</v>
      </c>
      <c r="CB198" s="8" t="s">
        <v>2148</v>
      </c>
      <c r="CC198" s="8" t="s">
        <v>112</v>
      </c>
      <c r="CD198" s="8" t="s">
        <v>112</v>
      </c>
      <c r="CE198" s="8" t="s">
        <v>2163</v>
      </c>
      <c r="CF198">
        <v>19798</v>
      </c>
      <c r="CG198" t="s">
        <v>144</v>
      </c>
      <c r="CH198">
        <v>4000000</v>
      </c>
      <c r="CI198">
        <v>18636</v>
      </c>
      <c r="CJ198">
        <v>0</v>
      </c>
      <c r="CK198" s="8" t="s">
        <v>112</v>
      </c>
      <c r="CL198" s="8" t="s">
        <v>112</v>
      </c>
      <c r="CM198">
        <v>141144.84</v>
      </c>
      <c r="CN198">
        <v>10309318</v>
      </c>
      <c r="CO198">
        <v>0</v>
      </c>
      <c r="CP198">
        <v>1</v>
      </c>
      <c r="CQ198">
        <v>10709042.640000001</v>
      </c>
      <c r="CR198">
        <v>155935.74</v>
      </c>
      <c r="CS198" s="8" t="s">
        <v>145</v>
      </c>
      <c r="CT198">
        <v>8.3673999999999999</v>
      </c>
      <c r="CU198">
        <v>1053</v>
      </c>
      <c r="CV198" t="s">
        <v>2149</v>
      </c>
      <c r="CX198" t="s">
        <v>2150</v>
      </c>
      <c r="CY198">
        <v>0</v>
      </c>
    </row>
    <row r="199" spans="1:103" x14ac:dyDescent="0.25">
      <c r="A199" s="8" t="s">
        <v>106</v>
      </c>
      <c r="B199" s="38">
        <v>45060</v>
      </c>
      <c r="C199" s="43">
        <f>IF(YEAR(Таблица1[[#This Row],[Дата]])=2023,MONTH(Таблица1[[#This Row],[Дата]]),0)</f>
        <v>5</v>
      </c>
      <c r="D199" s="8" t="s">
        <v>2614</v>
      </c>
      <c r="E199" s="8" t="s">
        <v>108</v>
      </c>
      <c r="F199" s="8" t="s">
        <v>2615</v>
      </c>
      <c r="G199" t="s">
        <v>110</v>
      </c>
      <c r="H199" s="8" t="s">
        <v>111</v>
      </c>
      <c r="I199" s="8" t="s">
        <v>112</v>
      </c>
      <c r="J199" s="8" t="s">
        <v>112</v>
      </c>
      <c r="K199" s="8" t="s">
        <v>112</v>
      </c>
      <c r="L199" s="8" t="s">
        <v>2237</v>
      </c>
      <c r="M199" s="8" t="s">
        <v>2238</v>
      </c>
      <c r="N199" s="8" t="s">
        <v>112</v>
      </c>
      <c r="O199" s="8" t="s">
        <v>112</v>
      </c>
      <c r="P199">
        <v>1</v>
      </c>
      <c r="Q199">
        <v>0</v>
      </c>
      <c r="R199">
        <v>1</v>
      </c>
      <c r="S199">
        <v>552</v>
      </c>
      <c r="T199" s="8" t="s">
        <v>2239</v>
      </c>
      <c r="U199" s="8" t="s">
        <v>2240</v>
      </c>
      <c r="V199" s="8" t="s">
        <v>2241</v>
      </c>
      <c r="W199" s="8" t="s">
        <v>2242</v>
      </c>
      <c r="X199" s="8" t="s">
        <v>2243</v>
      </c>
      <c r="Y199" s="8" t="s">
        <v>2244</v>
      </c>
      <c r="Z199" s="8" t="s">
        <v>2245</v>
      </c>
      <c r="AA199" s="8" t="s">
        <v>2246</v>
      </c>
      <c r="AB199" s="8" t="s">
        <v>2247</v>
      </c>
      <c r="AC199" s="8" t="s">
        <v>2248</v>
      </c>
      <c r="AD199" s="8" t="s">
        <v>2249</v>
      </c>
      <c r="AE199" s="8" t="s">
        <v>2250</v>
      </c>
      <c r="AF199" s="8" t="s">
        <v>2142</v>
      </c>
      <c r="AG199" s="8" t="s">
        <v>2143</v>
      </c>
      <c r="AH199">
        <v>7612454.6699999897</v>
      </c>
      <c r="AI199" s="8" t="s">
        <v>2245</v>
      </c>
      <c r="AJ199" s="8" t="s">
        <v>2246</v>
      </c>
      <c r="AK199" s="8" t="s">
        <v>2247</v>
      </c>
      <c r="AL199" s="8" t="s">
        <v>2248</v>
      </c>
      <c r="AM199" s="8" t="s">
        <v>2249</v>
      </c>
      <c r="AN199" s="8" t="s">
        <v>2250</v>
      </c>
      <c r="AO199" s="8" t="s">
        <v>2142</v>
      </c>
      <c r="AP199" s="8" t="s">
        <v>2143</v>
      </c>
      <c r="AQ199" s="8" t="s">
        <v>2143</v>
      </c>
      <c r="AR199" s="8" t="s">
        <v>124</v>
      </c>
      <c r="AS199" s="8" t="s">
        <v>125</v>
      </c>
      <c r="AT199">
        <v>1</v>
      </c>
      <c r="AU199" s="8" t="s">
        <v>106</v>
      </c>
      <c r="AV199" s="8" t="s">
        <v>2251</v>
      </c>
      <c r="AW199" s="8" t="s">
        <v>2252</v>
      </c>
      <c r="AX199">
        <v>0</v>
      </c>
      <c r="AY199" s="8" t="s">
        <v>2253</v>
      </c>
      <c r="AZ199">
        <v>738666</v>
      </c>
      <c r="BA199">
        <v>7189687</v>
      </c>
      <c r="BB199">
        <v>110845.92</v>
      </c>
      <c r="BC199">
        <v>97.588399999999893</v>
      </c>
      <c r="BD199" s="8" t="s">
        <v>130</v>
      </c>
      <c r="BE199" s="8" t="s">
        <v>112</v>
      </c>
      <c r="BF199" s="8" t="s">
        <v>2254</v>
      </c>
      <c r="BG199" s="8" t="s">
        <v>133</v>
      </c>
      <c r="BH199" s="8" t="s">
        <v>167</v>
      </c>
      <c r="BI199" s="8" t="s">
        <v>2255</v>
      </c>
      <c r="BJ199" s="8" t="s">
        <v>112</v>
      </c>
      <c r="BK199" s="8" t="s">
        <v>2256</v>
      </c>
      <c r="BL199" s="8" t="s">
        <v>169</v>
      </c>
      <c r="BM199" s="8" t="s">
        <v>159</v>
      </c>
      <c r="BN199" s="8" t="s">
        <v>160</v>
      </c>
      <c r="BO199" s="8" t="s">
        <v>161</v>
      </c>
      <c r="BP199">
        <v>1</v>
      </c>
      <c r="BQ199" s="8" t="s">
        <v>2257</v>
      </c>
      <c r="BR199" s="45">
        <f>ISNUMBER(SEARCH($BR$1,Таблица1[[#This Row],[31_1 Описание и характеристика товара]]))*1</f>
        <v>0</v>
      </c>
      <c r="BT199" s="8" t="s">
        <v>2258</v>
      </c>
      <c r="BU199">
        <v>552</v>
      </c>
      <c r="BV199">
        <v>1</v>
      </c>
      <c r="BW199">
        <v>552</v>
      </c>
      <c r="BX199" t="s">
        <v>2147</v>
      </c>
      <c r="BY199">
        <v>0</v>
      </c>
      <c r="CA199" s="8" t="s">
        <v>106</v>
      </c>
      <c r="CB199" s="8" t="s">
        <v>2148</v>
      </c>
      <c r="CC199" s="8" t="s">
        <v>112</v>
      </c>
      <c r="CD199" s="8" t="s">
        <v>112</v>
      </c>
      <c r="CE199" s="8" t="s">
        <v>2142</v>
      </c>
      <c r="CF199">
        <v>15460.4</v>
      </c>
      <c r="CG199" t="s">
        <v>144</v>
      </c>
      <c r="CH199">
        <v>4000000</v>
      </c>
      <c r="CI199">
        <v>15460.4</v>
      </c>
      <c r="CJ199">
        <v>0</v>
      </c>
      <c r="CK199" s="8" t="s">
        <v>112</v>
      </c>
      <c r="CL199" s="8" t="s">
        <v>112</v>
      </c>
      <c r="CM199">
        <v>738666</v>
      </c>
      <c r="CN199">
        <v>7189687</v>
      </c>
      <c r="CO199">
        <v>0</v>
      </c>
      <c r="CP199">
        <v>1</v>
      </c>
      <c r="CQ199">
        <v>7612454.6699999897</v>
      </c>
      <c r="CR199">
        <v>110845.92</v>
      </c>
      <c r="CS199" s="8" t="s">
        <v>145</v>
      </c>
      <c r="CT199">
        <v>7.1696999999999997</v>
      </c>
      <c r="CX199" t="s">
        <v>2259</v>
      </c>
      <c r="CY199">
        <v>0</v>
      </c>
    </row>
    <row r="200" spans="1:103" x14ac:dyDescent="0.25">
      <c r="A200" t="s">
        <v>106</v>
      </c>
      <c r="B200" s="38">
        <v>45120</v>
      </c>
      <c r="C200" s="43">
        <f>IF(YEAR(Таблица1[[#This Row],[Дата]])=2023,MONTH(Таблица1[[#This Row],[Дата]]),0)</f>
        <v>7</v>
      </c>
      <c r="D200" t="s">
        <v>1922</v>
      </c>
      <c r="E200" t="s">
        <v>108</v>
      </c>
      <c r="F200" t="s">
        <v>1923</v>
      </c>
      <c r="G200" t="s">
        <v>110</v>
      </c>
      <c r="H200" t="s">
        <v>111</v>
      </c>
      <c r="I200" t="s">
        <v>112</v>
      </c>
      <c r="J200" t="s">
        <v>112</v>
      </c>
      <c r="K200" t="s">
        <v>112</v>
      </c>
      <c r="L200" t="s">
        <v>150</v>
      </c>
      <c r="M200" t="s">
        <v>151</v>
      </c>
      <c r="N200" t="s">
        <v>112</v>
      </c>
      <c r="O200" t="s">
        <v>112</v>
      </c>
      <c r="P200">
        <v>1</v>
      </c>
      <c r="R200">
        <v>1</v>
      </c>
      <c r="S200">
        <v>33</v>
      </c>
      <c r="T200" t="s">
        <v>112</v>
      </c>
      <c r="U200" t="s">
        <v>152</v>
      </c>
      <c r="V200" t="s">
        <v>153</v>
      </c>
      <c r="W200" t="s">
        <v>154</v>
      </c>
      <c r="X200" t="s">
        <v>119</v>
      </c>
      <c r="Y200" t="s">
        <v>112</v>
      </c>
      <c r="Z200" t="s">
        <v>112</v>
      </c>
      <c r="AA200" t="s">
        <v>152</v>
      </c>
      <c r="AB200" t="s">
        <v>153</v>
      </c>
      <c r="AC200" t="s">
        <v>154</v>
      </c>
      <c r="AD200" t="s">
        <v>119</v>
      </c>
      <c r="AE200" t="s">
        <v>112</v>
      </c>
      <c r="AF200" t="s">
        <v>121</v>
      </c>
      <c r="AG200" t="s">
        <v>122</v>
      </c>
      <c r="AH200">
        <v>5320327.75</v>
      </c>
      <c r="AI200" t="s">
        <v>112</v>
      </c>
      <c r="AJ200" t="s">
        <v>152</v>
      </c>
      <c r="AK200" t="s">
        <v>153</v>
      </c>
      <c r="AL200" t="s">
        <v>154</v>
      </c>
      <c r="AM200" t="s">
        <v>119</v>
      </c>
      <c r="AN200" t="s">
        <v>112</v>
      </c>
      <c r="AO200" t="s">
        <v>121</v>
      </c>
      <c r="AP200" t="s">
        <v>122</v>
      </c>
      <c r="AQ200" t="s">
        <v>122</v>
      </c>
      <c r="AR200" t="s">
        <v>124</v>
      </c>
      <c r="AS200" t="s">
        <v>125</v>
      </c>
      <c r="AT200">
        <v>2</v>
      </c>
      <c r="AU200" t="s">
        <v>126</v>
      </c>
      <c r="AV200" t="s">
        <v>155</v>
      </c>
      <c r="AW200" t="s">
        <v>156</v>
      </c>
      <c r="AY200" t="s">
        <v>129</v>
      </c>
      <c r="AZ200">
        <v>49939</v>
      </c>
      <c r="BC200">
        <v>98.654300000000006</v>
      </c>
      <c r="BD200" t="s">
        <v>112</v>
      </c>
      <c r="BE200" t="s">
        <v>112</v>
      </c>
      <c r="BF200" t="s">
        <v>157</v>
      </c>
      <c r="BG200" t="s">
        <v>133</v>
      </c>
      <c r="BH200" t="s">
        <v>134</v>
      </c>
      <c r="BI200" t="s">
        <v>112</v>
      </c>
      <c r="BJ200" t="s">
        <v>112</v>
      </c>
      <c r="BK200" t="s">
        <v>112</v>
      </c>
      <c r="BL200" t="s">
        <v>158</v>
      </c>
      <c r="BM200" t="s">
        <v>159</v>
      </c>
      <c r="BN200" t="s">
        <v>212</v>
      </c>
      <c r="BO200" t="s">
        <v>161</v>
      </c>
      <c r="BQ200" t="s">
        <v>232</v>
      </c>
      <c r="BR200" s="45">
        <f>ISNUMBER(SEARCH($BR$1,Таблица1[[#This Row],[31_1 Описание и характеристика товара]]))*1</f>
        <v>1</v>
      </c>
      <c r="BT200" t="s">
        <v>150</v>
      </c>
      <c r="BU200">
        <v>33</v>
      </c>
      <c r="BV200">
        <v>0</v>
      </c>
      <c r="BW200">
        <v>0</v>
      </c>
      <c r="BY200">
        <v>0</v>
      </c>
      <c r="CA200" t="s">
        <v>106</v>
      </c>
      <c r="CB200" t="s">
        <v>142</v>
      </c>
      <c r="CC200" t="s">
        <v>112</v>
      </c>
      <c r="CD200" t="s">
        <v>112</v>
      </c>
      <c r="CE200" t="s">
        <v>121</v>
      </c>
      <c r="CF200">
        <v>15752.76</v>
      </c>
      <c r="CG200" t="s">
        <v>144</v>
      </c>
      <c r="CH200">
        <v>4000000</v>
      </c>
      <c r="CI200">
        <v>15608.76</v>
      </c>
      <c r="CJ200">
        <v>0</v>
      </c>
      <c r="CK200" t="s">
        <v>112</v>
      </c>
      <c r="CL200" t="s">
        <v>112</v>
      </c>
      <c r="CM200">
        <v>49939</v>
      </c>
      <c r="CO200">
        <v>0</v>
      </c>
      <c r="CP200">
        <v>1</v>
      </c>
      <c r="CQ200">
        <v>5320327.75</v>
      </c>
      <c r="CR200">
        <v>57115.27</v>
      </c>
      <c r="CS200" t="s">
        <v>145</v>
      </c>
      <c r="CT200">
        <v>57128.061600000001</v>
      </c>
      <c r="CU200">
        <v>3.66</v>
      </c>
      <c r="CV200">
        <v>45</v>
      </c>
      <c r="CX200" t="s">
        <v>233</v>
      </c>
      <c r="CY200">
        <v>288</v>
      </c>
    </row>
    <row r="201" spans="1:103" x14ac:dyDescent="0.25">
      <c r="A201" t="s">
        <v>106</v>
      </c>
      <c r="B201" s="38">
        <v>45145</v>
      </c>
      <c r="C201" s="43">
        <f>IF(YEAR(Таблица1[[#This Row],[Дата]])=2023,MONTH(Таблица1[[#This Row],[Дата]]),0)</f>
        <v>8</v>
      </c>
      <c r="D201" t="s">
        <v>1926</v>
      </c>
      <c r="E201" t="s">
        <v>108</v>
      </c>
      <c r="F201" t="s">
        <v>1927</v>
      </c>
      <c r="G201" t="s">
        <v>110</v>
      </c>
      <c r="H201" t="s">
        <v>111</v>
      </c>
      <c r="I201" t="s">
        <v>112</v>
      </c>
      <c r="J201" t="s">
        <v>112</v>
      </c>
      <c r="K201" t="s">
        <v>112</v>
      </c>
      <c r="L201" t="s">
        <v>150</v>
      </c>
      <c r="M201" t="s">
        <v>151</v>
      </c>
      <c r="N201" t="s">
        <v>112</v>
      </c>
      <c r="O201" t="s">
        <v>112</v>
      </c>
      <c r="P201">
        <v>1</v>
      </c>
      <c r="R201">
        <v>1</v>
      </c>
      <c r="S201">
        <v>33</v>
      </c>
      <c r="T201" t="s">
        <v>112</v>
      </c>
      <c r="U201" t="s">
        <v>152</v>
      </c>
      <c r="V201" t="s">
        <v>153</v>
      </c>
      <c r="W201" t="s">
        <v>154</v>
      </c>
      <c r="X201" t="s">
        <v>119</v>
      </c>
      <c r="Y201" t="s">
        <v>112</v>
      </c>
      <c r="Z201" t="s">
        <v>112</v>
      </c>
      <c r="AA201" t="s">
        <v>152</v>
      </c>
      <c r="AB201" t="s">
        <v>153</v>
      </c>
      <c r="AC201" t="s">
        <v>154</v>
      </c>
      <c r="AD201" t="s">
        <v>119</v>
      </c>
      <c r="AE201" t="s">
        <v>112</v>
      </c>
      <c r="AF201" t="s">
        <v>121</v>
      </c>
      <c r="AG201" t="s">
        <v>122</v>
      </c>
      <c r="AH201">
        <v>4696435.9800000004</v>
      </c>
      <c r="AI201" t="s">
        <v>112</v>
      </c>
      <c r="AJ201" t="s">
        <v>152</v>
      </c>
      <c r="AK201" t="s">
        <v>153</v>
      </c>
      <c r="AL201" t="s">
        <v>154</v>
      </c>
      <c r="AM201" t="s">
        <v>119</v>
      </c>
      <c r="AN201" t="s">
        <v>112</v>
      </c>
      <c r="AO201" t="s">
        <v>121</v>
      </c>
      <c r="AP201" t="s">
        <v>122</v>
      </c>
      <c r="AQ201" t="s">
        <v>122</v>
      </c>
      <c r="AR201" t="s">
        <v>124</v>
      </c>
      <c r="AS201" t="s">
        <v>125</v>
      </c>
      <c r="AT201">
        <v>2</v>
      </c>
      <c r="AU201" t="s">
        <v>126</v>
      </c>
      <c r="AV201" t="s">
        <v>155</v>
      </c>
      <c r="AW201" t="s">
        <v>156</v>
      </c>
      <c r="AY201" t="s">
        <v>129</v>
      </c>
      <c r="AZ201">
        <v>43084.98</v>
      </c>
      <c r="BC201">
        <v>98.654300000000006</v>
      </c>
      <c r="BD201" t="s">
        <v>112</v>
      </c>
      <c r="BE201" t="s">
        <v>112</v>
      </c>
      <c r="BF201" t="s">
        <v>157</v>
      </c>
      <c r="BG201" t="s">
        <v>133</v>
      </c>
      <c r="BH201" t="s">
        <v>134</v>
      </c>
      <c r="BI201" t="s">
        <v>112</v>
      </c>
      <c r="BJ201" t="s">
        <v>112</v>
      </c>
      <c r="BK201" t="s">
        <v>112</v>
      </c>
      <c r="BL201" t="s">
        <v>158</v>
      </c>
      <c r="BM201" t="s">
        <v>159</v>
      </c>
      <c r="BN201" t="s">
        <v>212</v>
      </c>
      <c r="BO201" t="s">
        <v>161</v>
      </c>
      <c r="BQ201" t="s">
        <v>466</v>
      </c>
      <c r="BR201" s="45">
        <f>ISNUMBER(SEARCH($BR$1,Таблица1[[#This Row],[31_1 Описание и характеристика товара]]))*1</f>
        <v>1</v>
      </c>
      <c r="BT201" t="s">
        <v>150</v>
      </c>
      <c r="BU201">
        <v>33</v>
      </c>
      <c r="BV201">
        <v>0</v>
      </c>
      <c r="BW201">
        <v>0</v>
      </c>
      <c r="BY201">
        <v>0</v>
      </c>
      <c r="CA201" t="s">
        <v>106</v>
      </c>
      <c r="CB201" t="s">
        <v>142</v>
      </c>
      <c r="CC201" t="s">
        <v>112</v>
      </c>
      <c r="CD201" t="s">
        <v>112</v>
      </c>
      <c r="CE201" t="s">
        <v>121</v>
      </c>
      <c r="CF201">
        <v>16395.41</v>
      </c>
      <c r="CG201" t="s">
        <v>144</v>
      </c>
      <c r="CH201">
        <v>4000000</v>
      </c>
      <c r="CI201">
        <v>16341.41</v>
      </c>
      <c r="CJ201">
        <v>0</v>
      </c>
      <c r="CK201" t="s">
        <v>112</v>
      </c>
      <c r="CL201" t="s">
        <v>112</v>
      </c>
      <c r="CM201">
        <v>43084.98</v>
      </c>
      <c r="CO201">
        <v>0</v>
      </c>
      <c r="CP201">
        <v>1</v>
      </c>
      <c r="CQ201">
        <v>4696435.9800000004</v>
      </c>
      <c r="CR201">
        <v>50417.61</v>
      </c>
      <c r="CS201" t="s">
        <v>145</v>
      </c>
      <c r="CT201">
        <v>50494.956899999997</v>
      </c>
      <c r="CU201">
        <v>3.09</v>
      </c>
      <c r="CV201">
        <v>45</v>
      </c>
      <c r="CX201" t="s">
        <v>729</v>
      </c>
      <c r="CY201">
        <v>340</v>
      </c>
    </row>
    <row r="202" spans="1:103" x14ac:dyDescent="0.25">
      <c r="A202" t="s">
        <v>106</v>
      </c>
      <c r="B202" s="38">
        <v>45112</v>
      </c>
      <c r="C202" s="43">
        <f>IF(YEAR(Таблица1[[#This Row],[Дата]])=2023,MONTH(Таблица1[[#This Row],[Дата]]),0)</f>
        <v>7</v>
      </c>
      <c r="D202" t="s">
        <v>1931</v>
      </c>
      <c r="E202" t="s">
        <v>108</v>
      </c>
      <c r="F202" t="s">
        <v>1932</v>
      </c>
      <c r="G202" t="s">
        <v>110</v>
      </c>
      <c r="H202" t="s">
        <v>111</v>
      </c>
      <c r="I202" t="s">
        <v>112</v>
      </c>
      <c r="J202" t="s">
        <v>112</v>
      </c>
      <c r="K202" t="s">
        <v>112</v>
      </c>
      <c r="L202" t="s">
        <v>150</v>
      </c>
      <c r="M202" t="s">
        <v>151</v>
      </c>
      <c r="N202" t="s">
        <v>112</v>
      </c>
      <c r="O202" t="s">
        <v>112</v>
      </c>
      <c r="P202">
        <v>1</v>
      </c>
      <c r="R202">
        <v>1</v>
      </c>
      <c r="S202">
        <v>33</v>
      </c>
      <c r="T202" t="s">
        <v>112</v>
      </c>
      <c r="U202" t="s">
        <v>152</v>
      </c>
      <c r="V202" t="s">
        <v>153</v>
      </c>
      <c r="W202" t="s">
        <v>154</v>
      </c>
      <c r="X202" t="s">
        <v>119</v>
      </c>
      <c r="Y202" t="s">
        <v>112</v>
      </c>
      <c r="Z202" t="s">
        <v>112</v>
      </c>
      <c r="AA202" t="s">
        <v>152</v>
      </c>
      <c r="AB202" t="s">
        <v>153</v>
      </c>
      <c r="AC202" t="s">
        <v>154</v>
      </c>
      <c r="AD202" t="s">
        <v>119</v>
      </c>
      <c r="AE202" t="s">
        <v>112</v>
      </c>
      <c r="AF202" t="s">
        <v>121</v>
      </c>
      <c r="AG202" t="s">
        <v>122</v>
      </c>
      <c r="AH202">
        <v>4785187.3600000003</v>
      </c>
      <c r="AI202" t="s">
        <v>112</v>
      </c>
      <c r="AJ202" t="s">
        <v>152</v>
      </c>
      <c r="AK202" t="s">
        <v>153</v>
      </c>
      <c r="AL202" t="s">
        <v>154</v>
      </c>
      <c r="AM202" t="s">
        <v>119</v>
      </c>
      <c r="AN202" t="s">
        <v>112</v>
      </c>
      <c r="AO202" t="s">
        <v>121</v>
      </c>
      <c r="AP202" t="s">
        <v>122</v>
      </c>
      <c r="AQ202" t="s">
        <v>122</v>
      </c>
      <c r="AR202" t="s">
        <v>124</v>
      </c>
      <c r="AS202" t="s">
        <v>125</v>
      </c>
      <c r="AT202">
        <v>2</v>
      </c>
      <c r="AU202" t="s">
        <v>126</v>
      </c>
      <c r="AV202" t="s">
        <v>155</v>
      </c>
      <c r="AW202" t="s">
        <v>156</v>
      </c>
      <c r="AY202" t="s">
        <v>129</v>
      </c>
      <c r="AZ202">
        <v>44514.6</v>
      </c>
      <c r="BC202">
        <v>98.654300000000006</v>
      </c>
      <c r="BD202" t="s">
        <v>112</v>
      </c>
      <c r="BE202" t="s">
        <v>112</v>
      </c>
      <c r="BF202" t="s">
        <v>157</v>
      </c>
      <c r="BG202" t="s">
        <v>133</v>
      </c>
      <c r="BH202" t="s">
        <v>134</v>
      </c>
      <c r="BI202" t="s">
        <v>112</v>
      </c>
      <c r="BJ202" t="s">
        <v>112</v>
      </c>
      <c r="BK202" t="s">
        <v>112</v>
      </c>
      <c r="BL202" t="s">
        <v>158</v>
      </c>
      <c r="BM202" t="s">
        <v>159</v>
      </c>
      <c r="BN202" t="s">
        <v>212</v>
      </c>
      <c r="BO202" t="s">
        <v>161</v>
      </c>
      <c r="BQ202" t="s">
        <v>162</v>
      </c>
      <c r="BR202" s="45">
        <f>ISNUMBER(SEARCH($BR$1,Таблица1[[#This Row],[31_1 Описание и характеристика товара]]))*1</f>
        <v>1</v>
      </c>
      <c r="BT202" t="s">
        <v>150</v>
      </c>
      <c r="BU202">
        <v>33</v>
      </c>
      <c r="BV202">
        <v>0</v>
      </c>
      <c r="BW202">
        <v>0</v>
      </c>
      <c r="BY202">
        <v>0</v>
      </c>
      <c r="CA202" t="s">
        <v>106</v>
      </c>
      <c r="CB202" t="s">
        <v>142</v>
      </c>
      <c r="CC202" t="s">
        <v>112</v>
      </c>
      <c r="CD202" t="s">
        <v>112</v>
      </c>
      <c r="CE202" t="s">
        <v>121</v>
      </c>
      <c r="CF202">
        <v>16783.32</v>
      </c>
      <c r="CG202" t="s">
        <v>144</v>
      </c>
      <c r="CH202">
        <v>4000000</v>
      </c>
      <c r="CI202">
        <v>16783.32</v>
      </c>
      <c r="CJ202">
        <v>0</v>
      </c>
      <c r="CK202" t="s">
        <v>112</v>
      </c>
      <c r="CL202" t="s">
        <v>112</v>
      </c>
      <c r="CM202">
        <v>44514.6</v>
      </c>
      <c r="CO202">
        <v>0</v>
      </c>
      <c r="CP202">
        <v>1</v>
      </c>
      <c r="CQ202">
        <v>4785187.3600000003</v>
      </c>
      <c r="CR202">
        <v>51370.39</v>
      </c>
      <c r="CS202" t="s">
        <v>145</v>
      </c>
      <c r="CT202">
        <v>51356.959199999998</v>
      </c>
      <c r="CU202">
        <v>3.06</v>
      </c>
      <c r="CV202">
        <v>45</v>
      </c>
      <c r="CX202" t="s">
        <v>1140</v>
      </c>
      <c r="CY202">
        <v>236</v>
      </c>
    </row>
    <row r="203" spans="1:103" x14ac:dyDescent="0.25">
      <c r="A203" t="s">
        <v>106</v>
      </c>
      <c r="B203" s="38">
        <v>44627</v>
      </c>
      <c r="C203" s="43">
        <f>IF(YEAR(Таблица1[[#This Row],[Дата]])=2023,MONTH(Таблица1[[#This Row],[Дата]]),0)</f>
        <v>0</v>
      </c>
      <c r="D203" t="s">
        <v>2055</v>
      </c>
      <c r="E203" t="s">
        <v>108</v>
      </c>
      <c r="F203" t="s">
        <v>2056</v>
      </c>
      <c r="G203" t="s">
        <v>110</v>
      </c>
      <c r="H203" t="s">
        <v>111</v>
      </c>
      <c r="I203" t="s">
        <v>112</v>
      </c>
      <c r="J203" t="s">
        <v>112</v>
      </c>
      <c r="K203" t="s">
        <v>112</v>
      </c>
      <c r="L203" t="s">
        <v>150</v>
      </c>
      <c r="M203" t="s">
        <v>151</v>
      </c>
      <c r="N203" t="s">
        <v>112</v>
      </c>
      <c r="O203" t="s">
        <v>112</v>
      </c>
      <c r="P203">
        <v>1</v>
      </c>
      <c r="R203">
        <v>1</v>
      </c>
      <c r="S203">
        <v>33</v>
      </c>
      <c r="T203" t="s">
        <v>112</v>
      </c>
      <c r="U203" t="s">
        <v>152</v>
      </c>
      <c r="V203" t="s">
        <v>153</v>
      </c>
      <c r="W203" t="s">
        <v>154</v>
      </c>
      <c r="X203" t="s">
        <v>119</v>
      </c>
      <c r="Y203" t="s">
        <v>112</v>
      </c>
      <c r="Z203" t="s">
        <v>112</v>
      </c>
      <c r="AA203" t="s">
        <v>152</v>
      </c>
      <c r="AB203" t="s">
        <v>153</v>
      </c>
      <c r="AC203" t="s">
        <v>154</v>
      </c>
      <c r="AD203" t="s">
        <v>119</v>
      </c>
      <c r="AE203" t="s">
        <v>112</v>
      </c>
      <c r="AF203" t="s">
        <v>121</v>
      </c>
      <c r="AG203" t="s">
        <v>122</v>
      </c>
      <c r="AH203">
        <v>4901410.66</v>
      </c>
      <c r="AI203" t="s">
        <v>112</v>
      </c>
      <c r="AJ203" t="s">
        <v>152</v>
      </c>
      <c r="AK203" t="s">
        <v>153</v>
      </c>
      <c r="AL203" t="s">
        <v>154</v>
      </c>
      <c r="AM203" t="s">
        <v>119</v>
      </c>
      <c r="AN203" t="s">
        <v>112</v>
      </c>
      <c r="AO203" t="s">
        <v>121</v>
      </c>
      <c r="AP203" t="s">
        <v>122</v>
      </c>
      <c r="AQ203" t="s">
        <v>122</v>
      </c>
      <c r="AR203" t="s">
        <v>124</v>
      </c>
      <c r="AS203" t="s">
        <v>125</v>
      </c>
      <c r="AT203">
        <v>2</v>
      </c>
      <c r="AU203" t="s">
        <v>126</v>
      </c>
      <c r="AV203" t="s">
        <v>155</v>
      </c>
      <c r="AW203" t="s">
        <v>156</v>
      </c>
      <c r="AY203" t="s">
        <v>129</v>
      </c>
      <c r="AZ203">
        <v>43947.76</v>
      </c>
      <c r="BC203">
        <v>102.2453</v>
      </c>
      <c r="BD203" t="s">
        <v>112</v>
      </c>
      <c r="BE203" t="s">
        <v>112</v>
      </c>
      <c r="BF203" t="s">
        <v>157</v>
      </c>
      <c r="BG203" t="s">
        <v>133</v>
      </c>
      <c r="BH203" t="s">
        <v>167</v>
      </c>
      <c r="BI203" t="s">
        <v>112</v>
      </c>
      <c r="BJ203" t="s">
        <v>112</v>
      </c>
      <c r="BK203" t="s">
        <v>112</v>
      </c>
      <c r="BL203" t="s">
        <v>169</v>
      </c>
      <c r="BM203" t="s">
        <v>159</v>
      </c>
      <c r="BN203" t="s">
        <v>160</v>
      </c>
      <c r="BO203" t="s">
        <v>161</v>
      </c>
      <c r="BQ203" t="s">
        <v>232</v>
      </c>
      <c r="BR203" s="45">
        <f>ISNUMBER(SEARCH($BR$1,Таблица1[[#This Row],[31_1 Описание и характеристика товара]]))*1</f>
        <v>1</v>
      </c>
      <c r="BT203" t="s">
        <v>150</v>
      </c>
      <c r="BU203">
        <v>33</v>
      </c>
      <c r="CA203" t="s">
        <v>106</v>
      </c>
      <c r="CB203" t="s">
        <v>142</v>
      </c>
      <c r="CC203" t="s">
        <v>112</v>
      </c>
      <c r="CD203" t="s">
        <v>112</v>
      </c>
      <c r="CE203" t="s">
        <v>121</v>
      </c>
      <c r="CF203">
        <v>17147.75</v>
      </c>
      <c r="CG203" t="s">
        <v>144</v>
      </c>
      <c r="CH203">
        <v>4000000</v>
      </c>
      <c r="CI203">
        <v>17093.75</v>
      </c>
      <c r="CK203" t="s">
        <v>112</v>
      </c>
      <c r="CL203" t="s">
        <v>112</v>
      </c>
      <c r="CM203">
        <v>43947.76</v>
      </c>
      <c r="CO203">
        <v>0</v>
      </c>
      <c r="CP203">
        <v>1</v>
      </c>
      <c r="CQ203">
        <v>4901410.66</v>
      </c>
      <c r="CR203">
        <v>50979.040000000001</v>
      </c>
      <c r="CS203" t="s">
        <v>145</v>
      </c>
      <c r="CT203">
        <v>50939.375</v>
      </c>
      <c r="CU203">
        <v>2.98</v>
      </c>
      <c r="CV203">
        <v>45</v>
      </c>
      <c r="CX203" t="s">
        <v>163</v>
      </c>
      <c r="CY203">
        <v>330</v>
      </c>
    </row>
    <row r="204" spans="1:103" x14ac:dyDescent="0.25">
      <c r="A204" t="s">
        <v>106</v>
      </c>
      <c r="B204" s="38">
        <v>45180</v>
      </c>
      <c r="C204" s="43">
        <f>IF(YEAR(Таблица1[[#This Row],[Дата]])=2023,MONTH(Таблица1[[#This Row],[Дата]]),0)</f>
        <v>9</v>
      </c>
      <c r="D204" t="s">
        <v>2031</v>
      </c>
      <c r="E204" t="s">
        <v>108</v>
      </c>
      <c r="F204" t="s">
        <v>2032</v>
      </c>
      <c r="G204" t="s">
        <v>110</v>
      </c>
      <c r="H204" t="s">
        <v>111</v>
      </c>
      <c r="I204" t="s">
        <v>112</v>
      </c>
      <c r="J204" t="s">
        <v>112</v>
      </c>
      <c r="K204" t="s">
        <v>112</v>
      </c>
      <c r="L204" t="s">
        <v>150</v>
      </c>
      <c r="M204" t="s">
        <v>151</v>
      </c>
      <c r="N204" t="s">
        <v>112</v>
      </c>
      <c r="O204" t="s">
        <v>112</v>
      </c>
      <c r="P204">
        <v>1</v>
      </c>
      <c r="R204">
        <v>1</v>
      </c>
      <c r="S204">
        <v>33</v>
      </c>
      <c r="T204" t="s">
        <v>112</v>
      </c>
      <c r="U204" t="s">
        <v>152</v>
      </c>
      <c r="V204" t="s">
        <v>153</v>
      </c>
      <c r="W204" t="s">
        <v>154</v>
      </c>
      <c r="X204" t="s">
        <v>119</v>
      </c>
      <c r="Y204" t="s">
        <v>112</v>
      </c>
      <c r="Z204" t="s">
        <v>112</v>
      </c>
      <c r="AA204" t="s">
        <v>152</v>
      </c>
      <c r="AB204" t="s">
        <v>153</v>
      </c>
      <c r="AC204" t="s">
        <v>154</v>
      </c>
      <c r="AD204" t="s">
        <v>119</v>
      </c>
      <c r="AE204" t="s">
        <v>112</v>
      </c>
      <c r="AF204" t="s">
        <v>121</v>
      </c>
      <c r="AG204" t="s">
        <v>122</v>
      </c>
      <c r="AH204">
        <v>4899713.38</v>
      </c>
      <c r="AI204" t="s">
        <v>112</v>
      </c>
      <c r="AJ204" t="s">
        <v>152</v>
      </c>
      <c r="AK204" t="s">
        <v>153</v>
      </c>
      <c r="AL204" t="s">
        <v>154</v>
      </c>
      <c r="AM204" t="s">
        <v>119</v>
      </c>
      <c r="AN204" t="s">
        <v>112</v>
      </c>
      <c r="AO204" t="s">
        <v>121</v>
      </c>
      <c r="AP204" t="s">
        <v>122</v>
      </c>
      <c r="AQ204" t="s">
        <v>122</v>
      </c>
      <c r="AR204" t="s">
        <v>124</v>
      </c>
      <c r="AS204" t="s">
        <v>125</v>
      </c>
      <c r="AT204">
        <v>2</v>
      </c>
      <c r="AU204" t="s">
        <v>126</v>
      </c>
      <c r="AV204" t="s">
        <v>155</v>
      </c>
      <c r="AW204" t="s">
        <v>156</v>
      </c>
      <c r="AY204" t="s">
        <v>129</v>
      </c>
      <c r="AZ204">
        <v>43791.16</v>
      </c>
      <c r="BC204">
        <v>102.2453</v>
      </c>
      <c r="BD204" t="s">
        <v>112</v>
      </c>
      <c r="BE204" t="s">
        <v>112</v>
      </c>
      <c r="BF204" t="s">
        <v>157</v>
      </c>
      <c r="BG204" t="s">
        <v>133</v>
      </c>
      <c r="BH204" t="s">
        <v>167</v>
      </c>
      <c r="BI204" t="s">
        <v>112</v>
      </c>
      <c r="BJ204" t="s">
        <v>112</v>
      </c>
      <c r="BK204" t="s">
        <v>112</v>
      </c>
      <c r="BL204" t="s">
        <v>169</v>
      </c>
      <c r="BM204" t="s">
        <v>159</v>
      </c>
      <c r="BN204" t="s">
        <v>160</v>
      </c>
      <c r="BO204" t="s">
        <v>161</v>
      </c>
      <c r="BQ204" t="s">
        <v>232</v>
      </c>
      <c r="BR204" s="45">
        <f>ISNUMBER(SEARCH($BR$1,Таблица1[[#This Row],[31_1 Описание и характеристика товара]]))*1</f>
        <v>1</v>
      </c>
      <c r="BT204" t="s">
        <v>150</v>
      </c>
      <c r="BU204">
        <v>33</v>
      </c>
      <c r="CA204" t="s">
        <v>106</v>
      </c>
      <c r="CB204" t="s">
        <v>142</v>
      </c>
      <c r="CC204" t="s">
        <v>112</v>
      </c>
      <c r="CD204" t="s">
        <v>112</v>
      </c>
      <c r="CE204" t="s">
        <v>121</v>
      </c>
      <c r="CF204">
        <v>17127.349999999999</v>
      </c>
      <c r="CG204" t="s">
        <v>144</v>
      </c>
      <c r="CH204">
        <v>4000000</v>
      </c>
      <c r="CI204">
        <v>17127.349999999999</v>
      </c>
      <c r="CK204" t="s">
        <v>112</v>
      </c>
      <c r="CL204" t="s">
        <v>112</v>
      </c>
      <c r="CM204">
        <v>43791.16</v>
      </c>
      <c r="CO204">
        <v>0</v>
      </c>
      <c r="CP204">
        <v>1</v>
      </c>
      <c r="CQ204">
        <v>4899713.38</v>
      </c>
      <c r="CR204">
        <v>50961.39</v>
      </c>
      <c r="CS204" t="s">
        <v>145</v>
      </c>
      <c r="CT204">
        <v>51039.502999999997</v>
      </c>
      <c r="CU204">
        <v>2.98</v>
      </c>
      <c r="CV204">
        <v>45</v>
      </c>
      <c r="CX204" t="s">
        <v>233</v>
      </c>
      <c r="CY204">
        <v>42</v>
      </c>
    </row>
    <row r="205" spans="1:103" x14ac:dyDescent="0.25">
      <c r="A205" t="s">
        <v>106</v>
      </c>
      <c r="B205" s="38">
        <v>44794</v>
      </c>
      <c r="C205" s="43">
        <f>IF(YEAR(Таблица1[[#This Row],[Дата]])=2023,MONTH(Таблица1[[#This Row],[Дата]]),0)</f>
        <v>0</v>
      </c>
      <c r="D205" t="s">
        <v>2057</v>
      </c>
      <c r="E205" t="s">
        <v>108</v>
      </c>
      <c r="F205" t="s">
        <v>2058</v>
      </c>
      <c r="G205" t="s">
        <v>110</v>
      </c>
      <c r="H205" t="s">
        <v>111</v>
      </c>
      <c r="I205" t="s">
        <v>112</v>
      </c>
      <c r="J205" t="s">
        <v>112</v>
      </c>
      <c r="K205" t="s">
        <v>112</v>
      </c>
      <c r="L205" t="s">
        <v>150</v>
      </c>
      <c r="M205" t="s">
        <v>151</v>
      </c>
      <c r="N205" t="s">
        <v>112</v>
      </c>
      <c r="O205" t="s">
        <v>112</v>
      </c>
      <c r="P205">
        <v>1</v>
      </c>
      <c r="R205">
        <v>1</v>
      </c>
      <c r="S205">
        <v>33</v>
      </c>
      <c r="T205" t="s">
        <v>112</v>
      </c>
      <c r="U205" t="s">
        <v>152</v>
      </c>
      <c r="V205" t="s">
        <v>153</v>
      </c>
      <c r="W205" t="s">
        <v>154</v>
      </c>
      <c r="X205" t="s">
        <v>119</v>
      </c>
      <c r="Y205" t="s">
        <v>112</v>
      </c>
      <c r="Z205" t="s">
        <v>112</v>
      </c>
      <c r="AA205" t="s">
        <v>152</v>
      </c>
      <c r="AB205" t="s">
        <v>153</v>
      </c>
      <c r="AC205" t="s">
        <v>154</v>
      </c>
      <c r="AD205" t="s">
        <v>119</v>
      </c>
      <c r="AE205" t="s">
        <v>112</v>
      </c>
      <c r="AF205" t="s">
        <v>121</v>
      </c>
      <c r="AG205" t="s">
        <v>122</v>
      </c>
      <c r="AH205">
        <v>4893772.93</v>
      </c>
      <c r="AI205" t="s">
        <v>112</v>
      </c>
      <c r="AJ205" t="s">
        <v>152</v>
      </c>
      <c r="AK205" t="s">
        <v>153</v>
      </c>
      <c r="AL205" t="s">
        <v>154</v>
      </c>
      <c r="AM205" t="s">
        <v>119</v>
      </c>
      <c r="AN205" t="s">
        <v>112</v>
      </c>
      <c r="AO205" t="s">
        <v>121</v>
      </c>
      <c r="AP205" t="s">
        <v>122</v>
      </c>
      <c r="AQ205" t="s">
        <v>122</v>
      </c>
      <c r="AR205" t="s">
        <v>124</v>
      </c>
      <c r="AS205" t="s">
        <v>125</v>
      </c>
      <c r="AT205">
        <v>2</v>
      </c>
      <c r="AU205" t="s">
        <v>126</v>
      </c>
      <c r="AV205" t="s">
        <v>155</v>
      </c>
      <c r="AW205" t="s">
        <v>156</v>
      </c>
      <c r="AY205" t="s">
        <v>129</v>
      </c>
      <c r="AZ205">
        <v>43873.06</v>
      </c>
      <c r="BC205">
        <v>102.2453</v>
      </c>
      <c r="BD205" t="s">
        <v>112</v>
      </c>
      <c r="BE205" t="s">
        <v>112</v>
      </c>
      <c r="BF205" t="s">
        <v>157</v>
      </c>
      <c r="BG205" t="s">
        <v>133</v>
      </c>
      <c r="BH205" t="s">
        <v>134</v>
      </c>
      <c r="BI205" t="s">
        <v>112</v>
      </c>
      <c r="BJ205" t="s">
        <v>112</v>
      </c>
      <c r="BK205" t="s">
        <v>112</v>
      </c>
      <c r="BL205" t="s">
        <v>169</v>
      </c>
      <c r="BM205" t="s">
        <v>159</v>
      </c>
      <c r="BN205" t="s">
        <v>212</v>
      </c>
      <c r="BO205" t="s">
        <v>161</v>
      </c>
      <c r="BQ205" t="s">
        <v>162</v>
      </c>
      <c r="BR205" s="45">
        <f>ISNUMBER(SEARCH($BR$1,Таблица1[[#This Row],[31_1 Описание и характеристика товара]]))*1</f>
        <v>1</v>
      </c>
      <c r="BT205" t="s">
        <v>150</v>
      </c>
      <c r="BU205">
        <v>33</v>
      </c>
      <c r="BV205">
        <v>0</v>
      </c>
      <c r="BW205">
        <v>0</v>
      </c>
      <c r="BY205">
        <v>0</v>
      </c>
      <c r="CA205" t="s">
        <v>106</v>
      </c>
      <c r="CB205" t="s">
        <v>142</v>
      </c>
      <c r="CC205" t="s">
        <v>112</v>
      </c>
      <c r="CD205" t="s">
        <v>112</v>
      </c>
      <c r="CE205" t="s">
        <v>121</v>
      </c>
      <c r="CF205">
        <v>17241.22</v>
      </c>
      <c r="CG205" t="s">
        <v>144</v>
      </c>
      <c r="CH205">
        <v>4000000</v>
      </c>
      <c r="CI205">
        <v>17205.22</v>
      </c>
      <c r="CJ205">
        <v>0</v>
      </c>
      <c r="CK205" t="s">
        <v>112</v>
      </c>
      <c r="CL205" t="s">
        <v>112</v>
      </c>
      <c r="CM205">
        <v>43873.06</v>
      </c>
      <c r="CO205">
        <v>0</v>
      </c>
      <c r="CP205">
        <v>1</v>
      </c>
      <c r="CQ205">
        <v>4893772.93</v>
      </c>
      <c r="CR205">
        <v>50899.6</v>
      </c>
      <c r="CS205" t="s">
        <v>145</v>
      </c>
      <c r="CT205">
        <v>50927.451200000003</v>
      </c>
      <c r="CU205">
        <v>2.96</v>
      </c>
      <c r="CV205">
        <v>45</v>
      </c>
      <c r="CX205" t="s">
        <v>1140</v>
      </c>
      <c r="CY205">
        <v>293</v>
      </c>
    </row>
    <row r="206" spans="1:103" x14ac:dyDescent="0.25">
      <c r="A206" t="s">
        <v>106</v>
      </c>
      <c r="B206" s="38">
        <v>44986</v>
      </c>
      <c r="C206" s="43">
        <f>IF(YEAR(Таблица1[[#This Row],[Дата]])=2023,MONTH(Таблица1[[#This Row],[Дата]]),0)</f>
        <v>3</v>
      </c>
      <c r="D206" t="s">
        <v>1586</v>
      </c>
      <c r="E206" t="s">
        <v>108</v>
      </c>
      <c r="F206" t="s">
        <v>1587</v>
      </c>
      <c r="G206" t="s">
        <v>110</v>
      </c>
      <c r="H206" t="s">
        <v>111</v>
      </c>
      <c r="I206" t="s">
        <v>112</v>
      </c>
      <c r="J206" t="s">
        <v>112</v>
      </c>
      <c r="K206" t="s">
        <v>112</v>
      </c>
      <c r="L206" t="s">
        <v>150</v>
      </c>
      <c r="M206" t="s">
        <v>1143</v>
      </c>
      <c r="N206" t="s">
        <v>112</v>
      </c>
      <c r="O206" t="s">
        <v>112</v>
      </c>
      <c r="P206">
        <v>1</v>
      </c>
      <c r="Q206">
        <v>0</v>
      </c>
      <c r="R206">
        <v>1</v>
      </c>
      <c r="S206">
        <v>33</v>
      </c>
      <c r="T206" t="s">
        <v>166</v>
      </c>
      <c r="U206" t="s">
        <v>152</v>
      </c>
      <c r="V206" t="s">
        <v>153</v>
      </c>
      <c r="W206" t="s">
        <v>154</v>
      </c>
      <c r="X206" t="s">
        <v>119</v>
      </c>
      <c r="Y206" t="s">
        <v>112</v>
      </c>
      <c r="Z206" t="s">
        <v>166</v>
      </c>
      <c r="AA206" t="s">
        <v>152</v>
      </c>
      <c r="AB206" t="s">
        <v>153</v>
      </c>
      <c r="AC206" t="s">
        <v>154</v>
      </c>
      <c r="AD206" t="s">
        <v>119</v>
      </c>
      <c r="AE206" t="s">
        <v>112</v>
      </c>
      <c r="AF206" t="s">
        <v>121</v>
      </c>
      <c r="AG206" t="s">
        <v>122</v>
      </c>
      <c r="AH206">
        <v>4771061.13</v>
      </c>
      <c r="AI206" t="s">
        <v>166</v>
      </c>
      <c r="AJ206" t="s">
        <v>152</v>
      </c>
      <c r="AK206" t="s">
        <v>153</v>
      </c>
      <c r="AL206" t="s">
        <v>154</v>
      </c>
      <c r="AM206" t="s">
        <v>119</v>
      </c>
      <c r="AN206" t="s">
        <v>112</v>
      </c>
      <c r="AO206" t="s">
        <v>121</v>
      </c>
      <c r="AP206" t="s">
        <v>122</v>
      </c>
      <c r="AQ206" t="s">
        <v>122</v>
      </c>
      <c r="AR206" t="s">
        <v>124</v>
      </c>
      <c r="AS206" t="s">
        <v>125</v>
      </c>
      <c r="AT206">
        <v>2</v>
      </c>
      <c r="AU206" t="s">
        <v>126</v>
      </c>
      <c r="AV206" t="s">
        <v>155</v>
      </c>
      <c r="AW206" t="s">
        <v>156</v>
      </c>
      <c r="AX206">
        <v>1</v>
      </c>
      <c r="AY206" t="s">
        <v>129</v>
      </c>
      <c r="AZ206">
        <v>43728.11</v>
      </c>
      <c r="BA206">
        <v>4359334</v>
      </c>
      <c r="BB206">
        <v>52956.19</v>
      </c>
      <c r="BC206">
        <v>99.691800000000001</v>
      </c>
      <c r="BD206" t="s">
        <v>130</v>
      </c>
      <c r="BE206" t="s">
        <v>112</v>
      </c>
      <c r="BF206" t="s">
        <v>157</v>
      </c>
      <c r="BG206" t="s">
        <v>133</v>
      </c>
      <c r="BH206" t="s">
        <v>134</v>
      </c>
      <c r="BI206" t="s">
        <v>112</v>
      </c>
      <c r="BJ206" t="s">
        <v>112</v>
      </c>
      <c r="BK206" t="s">
        <v>112</v>
      </c>
      <c r="BL206" t="s">
        <v>169</v>
      </c>
      <c r="BM206" t="s">
        <v>159</v>
      </c>
      <c r="BN206" t="s">
        <v>722</v>
      </c>
      <c r="BO206" t="s">
        <v>161</v>
      </c>
      <c r="BP206">
        <v>1</v>
      </c>
      <c r="BQ206" t="s">
        <v>1588</v>
      </c>
      <c r="BR206" s="45">
        <f>ISNUMBER(SEARCH($BR$1,Таблица1[[#This Row],[31_1 Описание и характеристика товара]]))*1</f>
        <v>1</v>
      </c>
      <c r="BT206" t="s">
        <v>150</v>
      </c>
      <c r="BU206">
        <v>33</v>
      </c>
      <c r="BV206">
        <v>0</v>
      </c>
      <c r="BW206">
        <v>0</v>
      </c>
      <c r="BY206">
        <v>0</v>
      </c>
      <c r="CA206" t="s">
        <v>106</v>
      </c>
      <c r="CB206" t="s">
        <v>142</v>
      </c>
      <c r="CC206" t="s">
        <v>112</v>
      </c>
      <c r="CD206" t="s">
        <v>112</v>
      </c>
      <c r="CE206" t="s">
        <v>121</v>
      </c>
      <c r="CF206">
        <v>16162.82</v>
      </c>
      <c r="CG206" t="s">
        <v>144</v>
      </c>
      <c r="CH206">
        <v>4000000</v>
      </c>
      <c r="CI206">
        <v>16072.82</v>
      </c>
      <c r="CJ206">
        <v>0</v>
      </c>
      <c r="CK206" t="s">
        <v>112</v>
      </c>
      <c r="CL206" t="s">
        <v>112</v>
      </c>
      <c r="CM206">
        <v>43728.11</v>
      </c>
      <c r="CN206">
        <v>4359334</v>
      </c>
      <c r="CO206">
        <v>0</v>
      </c>
      <c r="CP206">
        <v>1</v>
      </c>
      <c r="CQ206">
        <v>4771061.13</v>
      </c>
      <c r="CR206">
        <v>52956.19</v>
      </c>
      <c r="CS206" t="s">
        <v>145</v>
      </c>
      <c r="CT206">
        <v>52879.577799999999</v>
      </c>
      <c r="CU206">
        <v>3.29</v>
      </c>
      <c r="CV206">
        <v>45</v>
      </c>
      <c r="CW206" t="s">
        <v>171</v>
      </c>
      <c r="CX206" t="s">
        <v>463</v>
      </c>
      <c r="CY206">
        <v>368</v>
      </c>
    </row>
    <row r="207" spans="1:103" x14ac:dyDescent="0.25">
      <c r="A207" t="s">
        <v>106</v>
      </c>
      <c r="B207" s="38">
        <v>44960</v>
      </c>
      <c r="C207" s="43">
        <f>IF(YEAR(Таблица1[[#This Row],[Дата]])=2023,MONTH(Таблица1[[#This Row],[Дата]]),0)</f>
        <v>2</v>
      </c>
      <c r="D207" t="s">
        <v>1583</v>
      </c>
      <c r="E207" t="s">
        <v>108</v>
      </c>
      <c r="F207" t="s">
        <v>1584</v>
      </c>
      <c r="G207" t="s">
        <v>110</v>
      </c>
      <c r="H207" t="s">
        <v>111</v>
      </c>
      <c r="I207" t="s">
        <v>112</v>
      </c>
      <c r="J207" t="s">
        <v>112</v>
      </c>
      <c r="K207" t="s">
        <v>112</v>
      </c>
      <c r="L207" t="s">
        <v>150</v>
      </c>
      <c r="M207" t="s">
        <v>1143</v>
      </c>
      <c r="N207" t="s">
        <v>112</v>
      </c>
      <c r="O207" t="s">
        <v>112</v>
      </c>
      <c r="P207">
        <v>1</v>
      </c>
      <c r="Q207">
        <v>0</v>
      </c>
      <c r="R207">
        <v>1</v>
      </c>
      <c r="S207">
        <v>33</v>
      </c>
      <c r="T207" t="s">
        <v>166</v>
      </c>
      <c r="U207" t="s">
        <v>152</v>
      </c>
      <c r="V207" t="s">
        <v>153</v>
      </c>
      <c r="W207" t="s">
        <v>154</v>
      </c>
      <c r="X207" t="s">
        <v>119</v>
      </c>
      <c r="Y207" t="s">
        <v>112</v>
      </c>
      <c r="Z207" t="s">
        <v>166</v>
      </c>
      <c r="AA207" t="s">
        <v>152</v>
      </c>
      <c r="AB207" t="s">
        <v>153</v>
      </c>
      <c r="AC207" t="s">
        <v>154</v>
      </c>
      <c r="AD207" t="s">
        <v>119</v>
      </c>
      <c r="AE207" t="s">
        <v>112</v>
      </c>
      <c r="AF207" t="s">
        <v>121</v>
      </c>
      <c r="AG207" t="s">
        <v>122</v>
      </c>
      <c r="AH207">
        <v>4590627.9400000004</v>
      </c>
      <c r="AI207" t="s">
        <v>166</v>
      </c>
      <c r="AJ207" t="s">
        <v>152</v>
      </c>
      <c r="AK207" t="s">
        <v>153</v>
      </c>
      <c r="AL207" t="s">
        <v>154</v>
      </c>
      <c r="AM207" t="s">
        <v>119</v>
      </c>
      <c r="AN207" t="s">
        <v>112</v>
      </c>
      <c r="AO207" t="s">
        <v>121</v>
      </c>
      <c r="AP207" t="s">
        <v>122</v>
      </c>
      <c r="AQ207" t="s">
        <v>122</v>
      </c>
      <c r="AR207" t="s">
        <v>124</v>
      </c>
      <c r="AS207" t="s">
        <v>125</v>
      </c>
      <c r="AT207">
        <v>2</v>
      </c>
      <c r="AU207" t="s">
        <v>126</v>
      </c>
      <c r="AV207" t="s">
        <v>155</v>
      </c>
      <c r="AW207" t="s">
        <v>156</v>
      </c>
      <c r="AX207">
        <v>1</v>
      </c>
      <c r="AY207" t="s">
        <v>129</v>
      </c>
      <c r="AZ207">
        <v>41398.199999999997</v>
      </c>
      <c r="BA207">
        <v>4127061</v>
      </c>
      <c r="BB207">
        <v>50953.48</v>
      </c>
      <c r="BC207">
        <v>99.691800000000001</v>
      </c>
      <c r="BD207" t="s">
        <v>130</v>
      </c>
      <c r="BE207" t="s">
        <v>112</v>
      </c>
      <c r="BF207" t="s">
        <v>157</v>
      </c>
      <c r="BG207" t="s">
        <v>133</v>
      </c>
      <c r="BH207" t="s">
        <v>167</v>
      </c>
      <c r="BI207" t="s">
        <v>168</v>
      </c>
      <c r="BJ207" t="s">
        <v>112</v>
      </c>
      <c r="BK207" t="s">
        <v>112</v>
      </c>
      <c r="BL207" t="s">
        <v>169</v>
      </c>
      <c r="BM207" t="s">
        <v>159</v>
      </c>
      <c r="BN207" t="s">
        <v>726</v>
      </c>
      <c r="BO207" t="s">
        <v>161</v>
      </c>
      <c r="BP207">
        <v>1</v>
      </c>
      <c r="BQ207" t="s">
        <v>1585</v>
      </c>
      <c r="BR207" s="45">
        <f>ISNUMBER(SEARCH($BR$1,Таблица1[[#This Row],[31_1 Описание и характеристика товара]]))*1</f>
        <v>1</v>
      </c>
      <c r="BT207" t="s">
        <v>150</v>
      </c>
      <c r="BU207">
        <v>33</v>
      </c>
      <c r="BV207">
        <v>0</v>
      </c>
      <c r="BW207">
        <v>0</v>
      </c>
      <c r="BY207">
        <v>0</v>
      </c>
      <c r="CA207" t="s">
        <v>106</v>
      </c>
      <c r="CB207" t="s">
        <v>142</v>
      </c>
      <c r="CC207" t="s">
        <v>112</v>
      </c>
      <c r="CD207" t="s">
        <v>112</v>
      </c>
      <c r="CE207" t="s">
        <v>121</v>
      </c>
      <c r="CF207">
        <v>16041.54</v>
      </c>
      <c r="CG207" t="s">
        <v>144</v>
      </c>
      <c r="CH207">
        <v>4000000</v>
      </c>
      <c r="CI207">
        <v>15923.94</v>
      </c>
      <c r="CJ207">
        <v>0</v>
      </c>
      <c r="CK207" t="s">
        <v>112</v>
      </c>
      <c r="CL207" t="s">
        <v>112</v>
      </c>
      <c r="CM207">
        <v>41398.199999999997</v>
      </c>
      <c r="CN207">
        <v>4127061</v>
      </c>
      <c r="CO207">
        <v>0</v>
      </c>
      <c r="CP207">
        <v>1</v>
      </c>
      <c r="CQ207">
        <v>4590627.9400000004</v>
      </c>
      <c r="CR207">
        <v>50953.48</v>
      </c>
      <c r="CS207" t="s">
        <v>145</v>
      </c>
      <c r="CT207">
        <v>50956.608000000007</v>
      </c>
      <c r="CU207">
        <v>3.2</v>
      </c>
      <c r="CV207">
        <v>45</v>
      </c>
      <c r="CW207" t="s">
        <v>171</v>
      </c>
      <c r="CX207" t="s">
        <v>369</v>
      </c>
      <c r="CY207">
        <v>324</v>
      </c>
    </row>
    <row r="208" spans="1:103" x14ac:dyDescent="0.25">
      <c r="A208" t="s">
        <v>106</v>
      </c>
      <c r="B208" s="38">
        <v>45042</v>
      </c>
      <c r="C208" s="43">
        <f>IF(YEAR(Таблица1[[#This Row],[Дата]])=2023,MONTH(Таблица1[[#This Row],[Дата]]),0)</f>
        <v>4</v>
      </c>
      <c r="D208" t="s">
        <v>1379</v>
      </c>
      <c r="E208" t="s">
        <v>108</v>
      </c>
      <c r="F208" t="s">
        <v>1380</v>
      </c>
      <c r="G208" t="s">
        <v>110</v>
      </c>
      <c r="H208" t="s">
        <v>111</v>
      </c>
      <c r="I208" t="s">
        <v>112</v>
      </c>
      <c r="J208" t="s">
        <v>112</v>
      </c>
      <c r="K208" t="s">
        <v>112</v>
      </c>
      <c r="L208" t="s">
        <v>150</v>
      </c>
      <c r="M208" t="s">
        <v>151</v>
      </c>
      <c r="N208" t="s">
        <v>112</v>
      </c>
      <c r="O208" t="s">
        <v>112</v>
      </c>
      <c r="P208">
        <v>1</v>
      </c>
      <c r="Q208">
        <v>0</v>
      </c>
      <c r="R208">
        <v>1</v>
      </c>
      <c r="S208">
        <v>33</v>
      </c>
      <c r="T208" t="s">
        <v>166</v>
      </c>
      <c r="U208" t="s">
        <v>152</v>
      </c>
      <c r="V208" t="s">
        <v>153</v>
      </c>
      <c r="W208" t="s">
        <v>154</v>
      </c>
      <c r="X208" t="s">
        <v>119</v>
      </c>
      <c r="Y208" t="s">
        <v>112</v>
      </c>
      <c r="Z208" t="s">
        <v>166</v>
      </c>
      <c r="AA208" t="s">
        <v>152</v>
      </c>
      <c r="AB208" t="s">
        <v>153</v>
      </c>
      <c r="AC208" t="s">
        <v>154</v>
      </c>
      <c r="AD208" t="s">
        <v>119</v>
      </c>
      <c r="AE208" t="s">
        <v>112</v>
      </c>
      <c r="AF208" t="s">
        <v>121</v>
      </c>
      <c r="AG208" t="s">
        <v>122</v>
      </c>
      <c r="AH208">
        <v>4671315.78</v>
      </c>
      <c r="AI208" t="s">
        <v>166</v>
      </c>
      <c r="AJ208" t="s">
        <v>152</v>
      </c>
      <c r="AK208" t="s">
        <v>153</v>
      </c>
      <c r="AL208" t="s">
        <v>154</v>
      </c>
      <c r="AM208" t="s">
        <v>119</v>
      </c>
      <c r="AN208" t="s">
        <v>112</v>
      </c>
      <c r="AO208" t="s">
        <v>121</v>
      </c>
      <c r="AP208" t="s">
        <v>122</v>
      </c>
      <c r="AQ208" t="s">
        <v>122</v>
      </c>
      <c r="AR208" t="s">
        <v>124</v>
      </c>
      <c r="AS208" t="s">
        <v>125</v>
      </c>
      <c r="AT208">
        <v>2</v>
      </c>
      <c r="AU208" t="s">
        <v>126</v>
      </c>
      <c r="AV208" t="s">
        <v>155</v>
      </c>
      <c r="AW208" t="s">
        <v>156</v>
      </c>
      <c r="AX208">
        <v>1</v>
      </c>
      <c r="AY208" t="s">
        <v>129</v>
      </c>
      <c r="AZ208">
        <v>46926.37</v>
      </c>
      <c r="BA208">
        <v>4293448</v>
      </c>
      <c r="BB208">
        <v>55558.45</v>
      </c>
      <c r="BC208">
        <v>91.493300000000005</v>
      </c>
      <c r="BD208" t="s">
        <v>130</v>
      </c>
      <c r="BE208" t="s">
        <v>112</v>
      </c>
      <c r="BF208" t="s">
        <v>157</v>
      </c>
      <c r="BG208" t="s">
        <v>133</v>
      </c>
      <c r="BH208" t="s">
        <v>134</v>
      </c>
      <c r="BI208" t="s">
        <v>112</v>
      </c>
      <c r="BJ208" t="s">
        <v>112</v>
      </c>
      <c r="BK208" t="s">
        <v>112</v>
      </c>
      <c r="BL208" t="s">
        <v>169</v>
      </c>
      <c r="BM208" t="s">
        <v>159</v>
      </c>
      <c r="BN208" t="s">
        <v>722</v>
      </c>
      <c r="BO208" t="s">
        <v>161</v>
      </c>
      <c r="BP208">
        <v>1</v>
      </c>
      <c r="BQ208" t="s">
        <v>487</v>
      </c>
      <c r="BR208" s="45">
        <f>ISNUMBER(SEARCH($BR$1,Таблица1[[#This Row],[31_1 Описание и характеристика товара]]))*1</f>
        <v>1</v>
      </c>
      <c r="BT208" t="s">
        <v>150</v>
      </c>
      <c r="BU208">
        <v>33</v>
      </c>
      <c r="BV208">
        <v>0</v>
      </c>
      <c r="BW208">
        <v>0</v>
      </c>
      <c r="BY208">
        <v>0</v>
      </c>
      <c r="CA208" t="s">
        <v>106</v>
      </c>
      <c r="CB208" t="s">
        <v>142</v>
      </c>
      <c r="CC208" t="s">
        <v>112</v>
      </c>
      <c r="CD208" t="s">
        <v>112</v>
      </c>
      <c r="CE208" t="s">
        <v>121</v>
      </c>
      <c r="CF208">
        <v>16934.41</v>
      </c>
      <c r="CG208" t="s">
        <v>144</v>
      </c>
      <c r="CH208">
        <v>4000000</v>
      </c>
      <c r="CI208">
        <v>16934.41</v>
      </c>
      <c r="CJ208">
        <v>0</v>
      </c>
      <c r="CK208" t="s">
        <v>112</v>
      </c>
      <c r="CL208" t="s">
        <v>112</v>
      </c>
      <c r="CM208">
        <v>46926.37</v>
      </c>
      <c r="CN208">
        <v>4293448</v>
      </c>
      <c r="CO208">
        <v>0</v>
      </c>
      <c r="CP208">
        <v>1</v>
      </c>
      <c r="CQ208">
        <v>4671315.78</v>
      </c>
      <c r="CR208">
        <v>55558.45</v>
      </c>
      <c r="CS208" t="s">
        <v>145</v>
      </c>
      <c r="CT208">
        <v>55544.864799999996</v>
      </c>
      <c r="CU208">
        <v>3.28</v>
      </c>
      <c r="CV208">
        <v>45</v>
      </c>
      <c r="CW208" t="s">
        <v>171</v>
      </c>
      <c r="CX208" t="s">
        <v>369</v>
      </c>
      <c r="CY208">
        <v>144</v>
      </c>
    </row>
    <row r="209" spans="1:103" x14ac:dyDescent="0.25">
      <c r="A209" t="s">
        <v>106</v>
      </c>
      <c r="B209" s="38">
        <v>45101</v>
      </c>
      <c r="C209" s="43">
        <f>IF(YEAR(Таблица1[[#This Row],[Дата]])=2023,MONTH(Таблица1[[#This Row],[Дата]]),0)</f>
        <v>6</v>
      </c>
      <c r="D209" t="s">
        <v>1231</v>
      </c>
      <c r="E209" t="s">
        <v>108</v>
      </c>
      <c r="F209" t="s">
        <v>1232</v>
      </c>
      <c r="G209" t="s">
        <v>110</v>
      </c>
      <c r="H209" t="s">
        <v>111</v>
      </c>
      <c r="I209" t="s">
        <v>112</v>
      </c>
      <c r="J209" t="s">
        <v>112</v>
      </c>
      <c r="K209" t="s">
        <v>112</v>
      </c>
      <c r="L209" t="s">
        <v>150</v>
      </c>
      <c r="M209" t="s">
        <v>1060</v>
      </c>
      <c r="N209" t="s">
        <v>112</v>
      </c>
      <c r="O209" t="s">
        <v>112</v>
      </c>
      <c r="P209">
        <v>1</v>
      </c>
      <c r="Q209">
        <v>0</v>
      </c>
      <c r="R209">
        <v>1</v>
      </c>
      <c r="S209">
        <v>33</v>
      </c>
      <c r="T209" t="s">
        <v>166</v>
      </c>
      <c r="U209" t="s">
        <v>152</v>
      </c>
      <c r="V209" t="s">
        <v>153</v>
      </c>
      <c r="W209" t="s">
        <v>154</v>
      </c>
      <c r="X209" t="s">
        <v>119</v>
      </c>
      <c r="Y209" t="s">
        <v>112</v>
      </c>
      <c r="Z209" t="s">
        <v>166</v>
      </c>
      <c r="AA209" t="s">
        <v>152</v>
      </c>
      <c r="AB209" t="s">
        <v>153</v>
      </c>
      <c r="AC209" t="s">
        <v>154</v>
      </c>
      <c r="AD209" t="s">
        <v>119</v>
      </c>
      <c r="AE209" t="s">
        <v>112</v>
      </c>
      <c r="AF209" t="s">
        <v>121</v>
      </c>
      <c r="AG209" t="s">
        <v>122</v>
      </c>
      <c r="AH209">
        <v>3882434.94</v>
      </c>
      <c r="AI209" t="s">
        <v>166</v>
      </c>
      <c r="AJ209" t="s">
        <v>152</v>
      </c>
      <c r="AK209" t="s">
        <v>153</v>
      </c>
      <c r="AL209" t="s">
        <v>154</v>
      </c>
      <c r="AM209" t="s">
        <v>119</v>
      </c>
      <c r="AN209" t="s">
        <v>112</v>
      </c>
      <c r="AO209" t="s">
        <v>121</v>
      </c>
      <c r="AP209" t="s">
        <v>122</v>
      </c>
      <c r="AQ209" t="s">
        <v>122</v>
      </c>
      <c r="AR209" t="s">
        <v>124</v>
      </c>
      <c r="AS209" t="s">
        <v>125</v>
      </c>
      <c r="AT209">
        <v>2</v>
      </c>
      <c r="AU209" t="s">
        <v>126</v>
      </c>
      <c r="AV209" t="s">
        <v>155</v>
      </c>
      <c r="AW209" t="s">
        <v>156</v>
      </c>
      <c r="AX209">
        <v>1</v>
      </c>
      <c r="AY209" t="s">
        <v>129</v>
      </c>
      <c r="AZ209">
        <v>41079.410000000003</v>
      </c>
      <c r="BA209">
        <v>3527764</v>
      </c>
      <c r="BB209">
        <v>48540.08</v>
      </c>
      <c r="BC209">
        <v>85.8767</v>
      </c>
      <c r="BD209" t="s">
        <v>130</v>
      </c>
      <c r="BE209" t="s">
        <v>112</v>
      </c>
      <c r="BF209" t="s">
        <v>157</v>
      </c>
      <c r="BG209" t="s">
        <v>133</v>
      </c>
      <c r="BH209" t="s">
        <v>167</v>
      </c>
      <c r="BI209" t="s">
        <v>168</v>
      </c>
      <c r="BJ209" t="s">
        <v>112</v>
      </c>
      <c r="BK209" t="s">
        <v>112</v>
      </c>
      <c r="BL209" t="s">
        <v>169</v>
      </c>
      <c r="BM209" t="s">
        <v>159</v>
      </c>
      <c r="BN209" t="s">
        <v>726</v>
      </c>
      <c r="BO209" t="s">
        <v>161</v>
      </c>
      <c r="BP209">
        <v>1</v>
      </c>
      <c r="BQ209" t="s">
        <v>205</v>
      </c>
      <c r="BR209" s="45">
        <f>ISNUMBER(SEARCH($BR$1,Таблица1[[#This Row],[31_1 Описание и характеристика товара]]))*1</f>
        <v>1</v>
      </c>
      <c r="BT209" t="s">
        <v>150</v>
      </c>
      <c r="BU209">
        <v>33</v>
      </c>
      <c r="BV209">
        <v>0</v>
      </c>
      <c r="BW209">
        <v>0</v>
      </c>
      <c r="BY209">
        <v>0</v>
      </c>
      <c r="CA209" t="s">
        <v>106</v>
      </c>
      <c r="CB209" t="s">
        <v>142</v>
      </c>
      <c r="CC209" t="s">
        <v>112</v>
      </c>
      <c r="CD209" t="s">
        <v>112</v>
      </c>
      <c r="CE209" t="s">
        <v>121</v>
      </c>
      <c r="CF209">
        <v>16867.93</v>
      </c>
      <c r="CG209" t="s">
        <v>144</v>
      </c>
      <c r="CH209">
        <v>4000000</v>
      </c>
      <c r="CI209">
        <v>16824.73</v>
      </c>
      <c r="CJ209">
        <v>0</v>
      </c>
      <c r="CK209" t="s">
        <v>112</v>
      </c>
      <c r="CL209" t="s">
        <v>112</v>
      </c>
      <c r="CM209">
        <v>41079.410000000003</v>
      </c>
      <c r="CN209">
        <v>3527764</v>
      </c>
      <c r="CO209">
        <v>0</v>
      </c>
      <c r="CP209">
        <v>1</v>
      </c>
      <c r="CQ209">
        <v>3882434.94</v>
      </c>
      <c r="CR209">
        <v>48540.08</v>
      </c>
      <c r="CS209" t="s">
        <v>145</v>
      </c>
      <c r="CT209">
        <v>48539.346049999993</v>
      </c>
      <c r="CU209">
        <v>2.8849999999999998</v>
      </c>
      <c r="CV209">
        <v>45</v>
      </c>
      <c r="CW209" t="s">
        <v>171</v>
      </c>
      <c r="CX209" t="s">
        <v>463</v>
      </c>
      <c r="CY209">
        <v>211</v>
      </c>
    </row>
    <row r="210" spans="1:103" x14ac:dyDescent="0.25">
      <c r="A210" t="s">
        <v>106</v>
      </c>
      <c r="B210" s="38">
        <v>45219</v>
      </c>
      <c r="C210" s="43">
        <f>IF(YEAR(Таблица1[[#This Row],[Дата]])=2023,MONTH(Таблица1[[#This Row],[Дата]]),0)</f>
        <v>10</v>
      </c>
      <c r="D210" t="s">
        <v>378</v>
      </c>
      <c r="E210" t="s">
        <v>108</v>
      </c>
      <c r="F210" t="s">
        <v>379</v>
      </c>
      <c r="G210" t="s">
        <v>110</v>
      </c>
      <c r="H210" t="s">
        <v>111</v>
      </c>
      <c r="I210" t="s">
        <v>112</v>
      </c>
      <c r="J210" t="s">
        <v>112</v>
      </c>
      <c r="K210" t="s">
        <v>112</v>
      </c>
      <c r="L210" t="s">
        <v>113</v>
      </c>
      <c r="M210" t="s">
        <v>114</v>
      </c>
      <c r="N210" t="s">
        <v>112</v>
      </c>
      <c r="O210" t="s">
        <v>112</v>
      </c>
      <c r="P210">
        <v>1</v>
      </c>
      <c r="Q210">
        <v>0</v>
      </c>
      <c r="R210">
        <v>1</v>
      </c>
      <c r="S210">
        <v>33</v>
      </c>
      <c r="T210" t="s">
        <v>115</v>
      </c>
      <c r="U210" t="s">
        <v>116</v>
      </c>
      <c r="V210" t="s">
        <v>117</v>
      </c>
      <c r="W210" t="s">
        <v>118</v>
      </c>
      <c r="X210" t="s">
        <v>119</v>
      </c>
      <c r="Y210" t="s">
        <v>120</v>
      </c>
      <c r="Z210" t="s">
        <v>115</v>
      </c>
      <c r="AA210" t="s">
        <v>116</v>
      </c>
      <c r="AB210" t="s">
        <v>117</v>
      </c>
      <c r="AC210" t="s">
        <v>118</v>
      </c>
      <c r="AD210" t="s">
        <v>119</v>
      </c>
      <c r="AE210" t="s">
        <v>120</v>
      </c>
      <c r="AF210" t="s">
        <v>121</v>
      </c>
      <c r="AG210" t="s">
        <v>122</v>
      </c>
      <c r="AH210">
        <v>4041544.9</v>
      </c>
      <c r="AI210" t="s">
        <v>115</v>
      </c>
      <c r="AJ210" t="s">
        <v>116</v>
      </c>
      <c r="AK210" t="s">
        <v>117</v>
      </c>
      <c r="AL210" t="s">
        <v>118</v>
      </c>
      <c r="AM210" t="s">
        <v>119</v>
      </c>
      <c r="AN210" t="s">
        <v>120</v>
      </c>
      <c r="AO210" t="s">
        <v>121</v>
      </c>
      <c r="AP210" t="s">
        <v>122</v>
      </c>
      <c r="AQ210" t="s">
        <v>123</v>
      </c>
      <c r="AR210" t="s">
        <v>124</v>
      </c>
      <c r="AS210" t="s">
        <v>125</v>
      </c>
      <c r="AT210">
        <v>2</v>
      </c>
      <c r="AU210" t="s">
        <v>126</v>
      </c>
      <c r="AV210" t="s">
        <v>127</v>
      </c>
      <c r="AW210" t="s">
        <v>128</v>
      </c>
      <c r="AX210">
        <v>1</v>
      </c>
      <c r="AY210" t="s">
        <v>129</v>
      </c>
      <c r="AZ210">
        <v>50670.61</v>
      </c>
      <c r="BA210">
        <v>3798087</v>
      </c>
      <c r="BB210">
        <v>58609.38</v>
      </c>
      <c r="BC210">
        <v>74.956400000000002</v>
      </c>
      <c r="BD210" t="s">
        <v>130</v>
      </c>
      <c r="BE210" t="s">
        <v>131</v>
      </c>
      <c r="BF210" t="s">
        <v>132</v>
      </c>
      <c r="BG210" t="s">
        <v>133</v>
      </c>
      <c r="BH210" t="s">
        <v>134</v>
      </c>
      <c r="BI210" t="s">
        <v>112</v>
      </c>
      <c r="BJ210" t="s">
        <v>135</v>
      </c>
      <c r="BK210" t="s">
        <v>112</v>
      </c>
      <c r="BL210" t="s">
        <v>136</v>
      </c>
      <c r="BM210" t="s">
        <v>137</v>
      </c>
      <c r="BN210" t="s">
        <v>138</v>
      </c>
      <c r="BO210" t="s">
        <v>139</v>
      </c>
      <c r="BP210">
        <v>1</v>
      </c>
      <c r="BQ210" t="s">
        <v>267</v>
      </c>
      <c r="BR210" s="45">
        <f>ISNUMBER(SEARCH($BR$1,Таблица1[[#This Row],[31_1 Описание и характеристика товара]]))*1</f>
        <v>1</v>
      </c>
      <c r="BT210" t="s">
        <v>141</v>
      </c>
      <c r="BU210">
        <v>33</v>
      </c>
      <c r="BV210">
        <v>0</v>
      </c>
      <c r="BW210">
        <v>0</v>
      </c>
      <c r="BY210">
        <v>0</v>
      </c>
      <c r="CA210" t="s">
        <v>106</v>
      </c>
      <c r="CB210" t="s">
        <v>142</v>
      </c>
      <c r="CC210" t="s">
        <v>112</v>
      </c>
      <c r="CD210" t="s">
        <v>112</v>
      </c>
      <c r="CE210" t="s">
        <v>143</v>
      </c>
      <c r="CF210">
        <v>14186.96</v>
      </c>
      <c r="CG210" t="s">
        <v>144</v>
      </c>
      <c r="CH210">
        <v>4000000</v>
      </c>
      <c r="CI210">
        <v>13964.12</v>
      </c>
      <c r="CJ210">
        <v>0</v>
      </c>
      <c r="CK210" t="s">
        <v>112</v>
      </c>
      <c r="CL210" t="s">
        <v>112</v>
      </c>
      <c r="CM210">
        <v>50670.61</v>
      </c>
      <c r="CN210">
        <v>3798087</v>
      </c>
      <c r="CO210">
        <v>0</v>
      </c>
      <c r="CP210">
        <v>1</v>
      </c>
      <c r="CQ210">
        <v>4041544.9</v>
      </c>
      <c r="CR210">
        <v>58609.38</v>
      </c>
      <c r="CS210" t="s">
        <v>145</v>
      </c>
      <c r="CT210">
        <v>58608.808052</v>
      </c>
      <c r="CU210">
        <v>4.1970999999999998</v>
      </c>
      <c r="CV210">
        <v>941</v>
      </c>
      <c r="CW210" t="s">
        <v>146</v>
      </c>
      <c r="CX210" t="s">
        <v>147</v>
      </c>
      <c r="CY210">
        <v>94</v>
      </c>
    </row>
    <row r="211" spans="1:103" x14ac:dyDescent="0.25">
      <c r="A211" t="s">
        <v>106</v>
      </c>
      <c r="B211" s="38">
        <v>45033</v>
      </c>
      <c r="C211" s="43">
        <f>IF(YEAR(Таблица1[[#This Row],[Дата]])=2023,MONTH(Таблица1[[#This Row],[Дата]]),0)</f>
        <v>4</v>
      </c>
      <c r="D211" t="s">
        <v>387</v>
      </c>
      <c r="E211" t="s">
        <v>108</v>
      </c>
      <c r="F211" t="s">
        <v>388</v>
      </c>
      <c r="G211" t="s">
        <v>110</v>
      </c>
      <c r="H211" t="s">
        <v>111</v>
      </c>
      <c r="I211" t="s">
        <v>112</v>
      </c>
      <c r="J211" t="s">
        <v>112</v>
      </c>
      <c r="K211" t="s">
        <v>112</v>
      </c>
      <c r="L211" t="s">
        <v>175</v>
      </c>
      <c r="M211" t="s">
        <v>176</v>
      </c>
      <c r="N211" t="s">
        <v>112</v>
      </c>
      <c r="O211" t="s">
        <v>112</v>
      </c>
      <c r="P211">
        <v>1</v>
      </c>
      <c r="Q211">
        <v>0</v>
      </c>
      <c r="R211">
        <v>1</v>
      </c>
      <c r="S211">
        <v>33</v>
      </c>
      <c r="T211" t="s">
        <v>166</v>
      </c>
      <c r="U211" t="s">
        <v>152</v>
      </c>
      <c r="V211" t="s">
        <v>153</v>
      </c>
      <c r="W211" t="s">
        <v>177</v>
      </c>
      <c r="X211" t="s">
        <v>119</v>
      </c>
      <c r="Y211" t="s">
        <v>112</v>
      </c>
      <c r="Z211" t="s">
        <v>166</v>
      </c>
      <c r="AA211" t="s">
        <v>152</v>
      </c>
      <c r="AB211" t="s">
        <v>153</v>
      </c>
      <c r="AC211" t="s">
        <v>177</v>
      </c>
      <c r="AD211" t="s">
        <v>119</v>
      </c>
      <c r="AE211" t="s">
        <v>112</v>
      </c>
      <c r="AF211" t="s">
        <v>121</v>
      </c>
      <c r="AG211" t="s">
        <v>122</v>
      </c>
      <c r="AH211">
        <v>3190797.15</v>
      </c>
      <c r="AI211" t="s">
        <v>166</v>
      </c>
      <c r="AJ211" t="s">
        <v>152</v>
      </c>
      <c r="AK211" t="s">
        <v>153</v>
      </c>
      <c r="AL211" t="s">
        <v>177</v>
      </c>
      <c r="AM211" t="s">
        <v>119</v>
      </c>
      <c r="AN211" t="s">
        <v>112</v>
      </c>
      <c r="AO211" t="s">
        <v>121</v>
      </c>
      <c r="AP211" t="s">
        <v>122</v>
      </c>
      <c r="AQ211" t="s">
        <v>122</v>
      </c>
      <c r="AR211" t="s">
        <v>124</v>
      </c>
      <c r="AS211" t="s">
        <v>125</v>
      </c>
      <c r="AT211">
        <v>2</v>
      </c>
      <c r="AU211" t="s">
        <v>106</v>
      </c>
      <c r="AV211" t="s">
        <v>155</v>
      </c>
      <c r="AW211" t="s">
        <v>156</v>
      </c>
      <c r="AX211">
        <v>1</v>
      </c>
      <c r="AY211" t="s">
        <v>129</v>
      </c>
      <c r="AZ211">
        <v>39185.410000000003</v>
      </c>
      <c r="BA211">
        <v>2937197</v>
      </c>
      <c r="BB211">
        <v>46272.07</v>
      </c>
      <c r="BC211">
        <v>74.956400000000002</v>
      </c>
      <c r="BD211" t="s">
        <v>130</v>
      </c>
      <c r="BE211" t="s">
        <v>112</v>
      </c>
      <c r="BF211" t="s">
        <v>157</v>
      </c>
      <c r="BG211" t="s">
        <v>133</v>
      </c>
      <c r="BH211" t="s">
        <v>134</v>
      </c>
      <c r="BI211" t="s">
        <v>112</v>
      </c>
      <c r="BJ211" t="s">
        <v>178</v>
      </c>
      <c r="BK211" t="s">
        <v>112</v>
      </c>
      <c r="BL211" t="s">
        <v>125</v>
      </c>
      <c r="BM211" t="s">
        <v>179</v>
      </c>
      <c r="BN211" t="s">
        <v>180</v>
      </c>
      <c r="BO211" t="s">
        <v>181</v>
      </c>
      <c r="BP211">
        <v>1</v>
      </c>
      <c r="BQ211" t="s">
        <v>199</v>
      </c>
      <c r="BR211" s="45">
        <f>ISNUMBER(SEARCH($BR$1,Таблица1[[#This Row],[31_1 Описание и характеристика товара]]))*1</f>
        <v>1</v>
      </c>
      <c r="BT211" t="s">
        <v>150</v>
      </c>
      <c r="BU211">
        <v>33</v>
      </c>
      <c r="BV211">
        <v>1</v>
      </c>
      <c r="BW211">
        <v>0</v>
      </c>
      <c r="BY211">
        <v>0</v>
      </c>
      <c r="CA211" t="s">
        <v>106</v>
      </c>
      <c r="CB211" t="s">
        <v>142</v>
      </c>
      <c r="CC211" t="s">
        <v>112</v>
      </c>
      <c r="CD211" t="s">
        <v>112</v>
      </c>
      <c r="CE211" t="s">
        <v>121</v>
      </c>
      <c r="CF211">
        <v>16163.73</v>
      </c>
      <c r="CG211" t="s">
        <v>144</v>
      </c>
      <c r="CH211">
        <v>4000000</v>
      </c>
      <c r="CI211">
        <v>16037.73</v>
      </c>
      <c r="CJ211">
        <v>0</v>
      </c>
      <c r="CK211" t="s">
        <v>112</v>
      </c>
      <c r="CL211" t="s">
        <v>112</v>
      </c>
      <c r="CM211">
        <v>39185.410000000003</v>
      </c>
      <c r="CN211">
        <v>2937197</v>
      </c>
      <c r="CO211">
        <v>0</v>
      </c>
      <c r="CP211">
        <v>1</v>
      </c>
      <c r="CQ211">
        <v>3190797.15</v>
      </c>
      <c r="CR211">
        <v>46272.07</v>
      </c>
      <c r="CS211" t="s">
        <v>145</v>
      </c>
      <c r="CT211">
        <v>46272.058596000003</v>
      </c>
      <c r="CU211">
        <v>2.8852000000000002</v>
      </c>
      <c r="CV211">
        <v>941</v>
      </c>
      <c r="CW211" t="s">
        <v>183</v>
      </c>
      <c r="CX211" t="s">
        <v>147</v>
      </c>
      <c r="CY211">
        <v>32</v>
      </c>
    </row>
    <row r="212" spans="1:103" x14ac:dyDescent="0.25">
      <c r="A212" t="s">
        <v>106</v>
      </c>
      <c r="B212" s="38">
        <v>44928</v>
      </c>
      <c r="C212" s="43">
        <f>IF(YEAR(Таблица1[[#This Row],[Дата]])=2023,MONTH(Таблица1[[#This Row],[Дата]]),0)</f>
        <v>1</v>
      </c>
      <c r="D212" t="s">
        <v>380</v>
      </c>
      <c r="E212" t="s">
        <v>108</v>
      </c>
      <c r="F212" t="s">
        <v>381</v>
      </c>
      <c r="G212" t="s">
        <v>110</v>
      </c>
      <c r="H212" t="s">
        <v>111</v>
      </c>
      <c r="I212" t="s">
        <v>112</v>
      </c>
      <c r="J212" t="s">
        <v>112</v>
      </c>
      <c r="K212" t="s">
        <v>112</v>
      </c>
      <c r="L212" t="s">
        <v>150</v>
      </c>
      <c r="M212" t="s">
        <v>151</v>
      </c>
      <c r="N212" t="s">
        <v>112</v>
      </c>
      <c r="O212" t="s">
        <v>112</v>
      </c>
      <c r="P212">
        <v>1</v>
      </c>
      <c r="Q212">
        <v>0</v>
      </c>
      <c r="R212">
        <v>1</v>
      </c>
      <c r="S212">
        <v>33</v>
      </c>
      <c r="T212" t="s">
        <v>166</v>
      </c>
      <c r="U212" t="s">
        <v>152</v>
      </c>
      <c r="V212" t="s">
        <v>153</v>
      </c>
      <c r="W212" t="s">
        <v>154</v>
      </c>
      <c r="X212" t="s">
        <v>119</v>
      </c>
      <c r="Y212" t="s">
        <v>112</v>
      </c>
      <c r="Z212" t="s">
        <v>166</v>
      </c>
      <c r="AA212" t="s">
        <v>152</v>
      </c>
      <c r="AB212" t="s">
        <v>153</v>
      </c>
      <c r="AC212" t="s">
        <v>154</v>
      </c>
      <c r="AD212" t="s">
        <v>119</v>
      </c>
      <c r="AE212" t="s">
        <v>112</v>
      </c>
      <c r="AF212" t="s">
        <v>121</v>
      </c>
      <c r="AG212" t="s">
        <v>122</v>
      </c>
      <c r="AH212">
        <v>3136084.33</v>
      </c>
      <c r="AI212" t="s">
        <v>166</v>
      </c>
      <c r="AJ212" t="s">
        <v>152</v>
      </c>
      <c r="AK212" t="s">
        <v>153</v>
      </c>
      <c r="AL212" t="s">
        <v>154</v>
      </c>
      <c r="AM212" t="s">
        <v>119</v>
      </c>
      <c r="AN212" t="s">
        <v>112</v>
      </c>
      <c r="AO212" t="s">
        <v>121</v>
      </c>
      <c r="AP212" t="s">
        <v>122</v>
      </c>
      <c r="AQ212" t="s">
        <v>122</v>
      </c>
      <c r="AR212" t="s">
        <v>124</v>
      </c>
      <c r="AS212" t="s">
        <v>125</v>
      </c>
      <c r="AT212">
        <v>2</v>
      </c>
      <c r="AU212" t="s">
        <v>126</v>
      </c>
      <c r="AV212" t="s">
        <v>155</v>
      </c>
      <c r="AW212" t="s">
        <v>156</v>
      </c>
      <c r="AX212">
        <v>1</v>
      </c>
      <c r="AY212" t="s">
        <v>129</v>
      </c>
      <c r="AZ212">
        <v>37488.78</v>
      </c>
      <c r="BA212">
        <v>2810024</v>
      </c>
      <c r="BB212">
        <v>45478.64</v>
      </c>
      <c r="BC212">
        <v>74.956400000000002</v>
      </c>
      <c r="BD212" t="s">
        <v>130</v>
      </c>
      <c r="BE212" t="s">
        <v>112</v>
      </c>
      <c r="BF212" t="s">
        <v>157</v>
      </c>
      <c r="BG212" t="s">
        <v>133</v>
      </c>
      <c r="BH212" t="s">
        <v>134</v>
      </c>
      <c r="BI212" t="s">
        <v>112</v>
      </c>
      <c r="BJ212" t="s">
        <v>112</v>
      </c>
      <c r="BK212" t="s">
        <v>112</v>
      </c>
      <c r="BL212" t="s">
        <v>169</v>
      </c>
      <c r="BM212" t="s">
        <v>159</v>
      </c>
      <c r="BN212" t="s">
        <v>212</v>
      </c>
      <c r="BO212" t="s">
        <v>161</v>
      </c>
      <c r="BP212">
        <v>1</v>
      </c>
      <c r="BQ212" t="s">
        <v>382</v>
      </c>
      <c r="BR212" s="45">
        <f>ISNUMBER(SEARCH($BR$1,Таблица1[[#This Row],[31_1 Описание и характеристика товара]]))*1</f>
        <v>1</v>
      </c>
      <c r="BT212" t="s">
        <v>150</v>
      </c>
      <c r="BU212">
        <v>33</v>
      </c>
      <c r="BV212">
        <v>0</v>
      </c>
      <c r="BW212">
        <v>0</v>
      </c>
      <c r="BY212">
        <v>0</v>
      </c>
      <c r="CA212" t="s">
        <v>106</v>
      </c>
      <c r="CB212" t="s">
        <v>142</v>
      </c>
      <c r="CC212" t="s">
        <v>112</v>
      </c>
      <c r="CD212" t="s">
        <v>112</v>
      </c>
      <c r="CE212" t="s">
        <v>121</v>
      </c>
      <c r="CF212">
        <v>16344.14</v>
      </c>
      <c r="CG212" t="s">
        <v>144</v>
      </c>
      <c r="CH212">
        <v>4000000</v>
      </c>
      <c r="CI212">
        <v>16072.34</v>
      </c>
      <c r="CJ212">
        <v>0</v>
      </c>
      <c r="CK212" t="s">
        <v>112</v>
      </c>
      <c r="CL212" t="s">
        <v>112</v>
      </c>
      <c r="CM212">
        <v>37488.78</v>
      </c>
      <c r="CN212">
        <v>2810024</v>
      </c>
      <c r="CO212">
        <v>0</v>
      </c>
      <c r="CP212">
        <v>1</v>
      </c>
      <c r="CQ212">
        <v>3136084.33</v>
      </c>
      <c r="CR212">
        <v>45478.64</v>
      </c>
      <c r="CS212" t="s">
        <v>145</v>
      </c>
      <c r="CT212">
        <v>45478.293264</v>
      </c>
      <c r="CU212">
        <v>2.8296000000000001</v>
      </c>
      <c r="CV212">
        <v>45</v>
      </c>
      <c r="CW212" t="s">
        <v>171</v>
      </c>
      <c r="CX212" t="s">
        <v>172</v>
      </c>
      <c r="CY212">
        <v>42</v>
      </c>
    </row>
    <row r="213" spans="1:103" x14ac:dyDescent="0.25">
      <c r="A213" t="s">
        <v>106</v>
      </c>
      <c r="B213" s="38">
        <v>44989</v>
      </c>
      <c r="C213" s="43">
        <f>IF(YEAR(Таблица1[[#This Row],[Дата]])=2023,MONTH(Таблица1[[#This Row],[Дата]]),0)</f>
        <v>3</v>
      </c>
      <c r="D213" t="s">
        <v>376</v>
      </c>
      <c r="E213" t="s">
        <v>108</v>
      </c>
      <c r="F213" t="s">
        <v>377</v>
      </c>
      <c r="G213" t="s">
        <v>110</v>
      </c>
      <c r="H213" t="s">
        <v>111</v>
      </c>
      <c r="I213" t="s">
        <v>112</v>
      </c>
      <c r="J213" t="s">
        <v>112</v>
      </c>
      <c r="K213" t="s">
        <v>112</v>
      </c>
      <c r="L213" t="s">
        <v>150</v>
      </c>
      <c r="M213" t="s">
        <v>151</v>
      </c>
      <c r="N213" t="s">
        <v>112</v>
      </c>
      <c r="O213" t="s">
        <v>112</v>
      </c>
      <c r="P213">
        <v>1</v>
      </c>
      <c r="Q213">
        <v>0</v>
      </c>
      <c r="R213">
        <v>1</v>
      </c>
      <c r="S213">
        <v>38</v>
      </c>
      <c r="T213" t="s">
        <v>166</v>
      </c>
      <c r="U213" t="s">
        <v>152</v>
      </c>
      <c r="V213" t="s">
        <v>153</v>
      </c>
      <c r="W213" t="s">
        <v>154</v>
      </c>
      <c r="X213" t="s">
        <v>119</v>
      </c>
      <c r="Y213" t="s">
        <v>112</v>
      </c>
      <c r="Z213" t="s">
        <v>166</v>
      </c>
      <c r="AA213" t="s">
        <v>152</v>
      </c>
      <c r="AB213" t="s">
        <v>153</v>
      </c>
      <c r="AC213" t="s">
        <v>154</v>
      </c>
      <c r="AD213" t="s">
        <v>119</v>
      </c>
      <c r="AE213" t="s">
        <v>112</v>
      </c>
      <c r="AF213" t="s">
        <v>121</v>
      </c>
      <c r="AG213" t="s">
        <v>122</v>
      </c>
      <c r="AH213">
        <v>3582113.89</v>
      </c>
      <c r="AI213" t="s">
        <v>166</v>
      </c>
      <c r="AJ213" t="s">
        <v>152</v>
      </c>
      <c r="AK213" t="s">
        <v>153</v>
      </c>
      <c r="AL213" t="s">
        <v>154</v>
      </c>
      <c r="AM213" t="s">
        <v>119</v>
      </c>
      <c r="AN213" t="s">
        <v>112</v>
      </c>
      <c r="AO213" t="s">
        <v>121</v>
      </c>
      <c r="AP213" t="s">
        <v>122</v>
      </c>
      <c r="AQ213" t="s">
        <v>122</v>
      </c>
      <c r="AR213" t="s">
        <v>124</v>
      </c>
      <c r="AS213" t="s">
        <v>125</v>
      </c>
      <c r="AT213">
        <v>2</v>
      </c>
      <c r="AU213" t="s">
        <v>126</v>
      </c>
      <c r="AV213" t="s">
        <v>155</v>
      </c>
      <c r="AW213" t="s">
        <v>156</v>
      </c>
      <c r="AX213">
        <v>1</v>
      </c>
      <c r="AY213" t="s">
        <v>129</v>
      </c>
      <c r="AZ213">
        <v>43439.3</v>
      </c>
      <c r="BA213">
        <v>3256054</v>
      </c>
      <c r="BB213">
        <v>51946.84</v>
      </c>
      <c r="BC213">
        <v>74.956400000000002</v>
      </c>
      <c r="BD213" t="s">
        <v>130</v>
      </c>
      <c r="BE213" t="s">
        <v>112</v>
      </c>
      <c r="BF213" t="s">
        <v>157</v>
      </c>
      <c r="BG213" t="s">
        <v>133</v>
      </c>
      <c r="BH213" t="s">
        <v>134</v>
      </c>
      <c r="BI213" t="s">
        <v>112</v>
      </c>
      <c r="BJ213" t="s">
        <v>112</v>
      </c>
      <c r="BK213" t="s">
        <v>112</v>
      </c>
      <c r="BL213" t="s">
        <v>169</v>
      </c>
      <c r="BM213" t="s">
        <v>159</v>
      </c>
      <c r="BN213" t="s">
        <v>212</v>
      </c>
      <c r="BO213" t="s">
        <v>161</v>
      </c>
      <c r="BP213">
        <v>1</v>
      </c>
      <c r="BQ213" t="s">
        <v>281</v>
      </c>
      <c r="BR213" s="45">
        <f>ISNUMBER(SEARCH($BR$1,Таблица1[[#This Row],[31_1 Описание и характеристика товара]]))*1</f>
        <v>1</v>
      </c>
      <c r="BT213" t="s">
        <v>150</v>
      </c>
      <c r="BU213">
        <v>38</v>
      </c>
      <c r="BV213">
        <v>0</v>
      </c>
      <c r="BW213">
        <v>0</v>
      </c>
      <c r="BY213">
        <v>0</v>
      </c>
      <c r="CA213" t="s">
        <v>106</v>
      </c>
      <c r="CB213" t="s">
        <v>142</v>
      </c>
      <c r="CC213" t="s">
        <v>112</v>
      </c>
      <c r="CD213" t="s">
        <v>112</v>
      </c>
      <c r="CE213" t="s">
        <v>121</v>
      </c>
      <c r="CF213">
        <v>18752</v>
      </c>
      <c r="CG213" t="s">
        <v>144</v>
      </c>
      <c r="CH213">
        <v>4000000</v>
      </c>
      <c r="CI213">
        <v>18546.2</v>
      </c>
      <c r="CJ213">
        <v>0</v>
      </c>
      <c r="CK213" t="s">
        <v>112</v>
      </c>
      <c r="CL213" t="s">
        <v>112</v>
      </c>
      <c r="CM213">
        <v>43439.3</v>
      </c>
      <c r="CN213">
        <v>3256054</v>
      </c>
      <c r="CO213">
        <v>0</v>
      </c>
      <c r="CP213">
        <v>1</v>
      </c>
      <c r="CQ213">
        <v>3582113.89</v>
      </c>
      <c r="CR213">
        <v>51946.84</v>
      </c>
      <c r="CS213" t="s">
        <v>145</v>
      </c>
      <c r="CT213">
        <v>51946.051579999999</v>
      </c>
      <c r="CU213">
        <v>2.8008999999999999</v>
      </c>
      <c r="CV213">
        <v>45</v>
      </c>
      <c r="CW213" t="s">
        <v>171</v>
      </c>
      <c r="CX213" t="s">
        <v>172</v>
      </c>
      <c r="CY213">
        <v>257</v>
      </c>
    </row>
    <row r="214" spans="1:103" x14ac:dyDescent="0.25">
      <c r="A214" t="s">
        <v>106</v>
      </c>
      <c r="B214" s="38">
        <v>44647</v>
      </c>
      <c r="C214" s="43">
        <f>IF(YEAR(Таблица1[[#This Row],[Дата]])=2023,MONTH(Таблица1[[#This Row],[Дата]]),0)</f>
        <v>0</v>
      </c>
      <c r="D214" t="s">
        <v>254</v>
      </c>
      <c r="E214" t="s">
        <v>108</v>
      </c>
      <c r="F214" t="s">
        <v>255</v>
      </c>
      <c r="G214" t="s">
        <v>110</v>
      </c>
      <c r="H214" t="s">
        <v>111</v>
      </c>
      <c r="I214" t="s">
        <v>112</v>
      </c>
      <c r="J214" t="s">
        <v>112</v>
      </c>
      <c r="K214" t="s">
        <v>112</v>
      </c>
      <c r="L214" t="s">
        <v>150</v>
      </c>
      <c r="M214" t="s">
        <v>151</v>
      </c>
      <c r="N214" t="s">
        <v>112</v>
      </c>
      <c r="O214" t="s">
        <v>112</v>
      </c>
      <c r="P214">
        <v>1</v>
      </c>
      <c r="R214">
        <v>1</v>
      </c>
      <c r="S214">
        <v>33</v>
      </c>
      <c r="T214" t="s">
        <v>112</v>
      </c>
      <c r="U214" t="s">
        <v>152</v>
      </c>
      <c r="V214" t="s">
        <v>153</v>
      </c>
      <c r="W214" t="s">
        <v>154</v>
      </c>
      <c r="X214" t="s">
        <v>119</v>
      </c>
      <c r="Y214" t="s">
        <v>112</v>
      </c>
      <c r="Z214" t="s">
        <v>112</v>
      </c>
      <c r="AA214" t="s">
        <v>152</v>
      </c>
      <c r="AB214" t="s">
        <v>153</v>
      </c>
      <c r="AC214" t="s">
        <v>154</v>
      </c>
      <c r="AD214" t="s">
        <v>119</v>
      </c>
      <c r="AE214" t="s">
        <v>112</v>
      </c>
      <c r="AF214" t="s">
        <v>121</v>
      </c>
      <c r="AG214" t="s">
        <v>122</v>
      </c>
      <c r="AH214">
        <v>4539299.49</v>
      </c>
      <c r="AI214" t="s">
        <v>112</v>
      </c>
      <c r="AJ214" t="s">
        <v>152</v>
      </c>
      <c r="AK214" t="s">
        <v>153</v>
      </c>
      <c r="AL214" t="s">
        <v>154</v>
      </c>
      <c r="AM214" t="s">
        <v>119</v>
      </c>
      <c r="AN214" t="s">
        <v>112</v>
      </c>
      <c r="AO214" t="s">
        <v>121</v>
      </c>
      <c r="AP214" t="s">
        <v>122</v>
      </c>
      <c r="AQ214" t="s">
        <v>122</v>
      </c>
      <c r="AR214" t="s">
        <v>124</v>
      </c>
      <c r="AS214" t="s">
        <v>125</v>
      </c>
      <c r="AT214">
        <v>2</v>
      </c>
      <c r="AU214" t="s">
        <v>126</v>
      </c>
      <c r="AV214" t="s">
        <v>155</v>
      </c>
      <c r="AW214" t="s">
        <v>156</v>
      </c>
      <c r="AY214" t="s">
        <v>129</v>
      </c>
      <c r="AZ214">
        <v>40826.519999999997</v>
      </c>
      <c r="BC214">
        <v>101.2863</v>
      </c>
      <c r="BD214" t="s">
        <v>112</v>
      </c>
      <c r="BE214" t="s">
        <v>112</v>
      </c>
      <c r="BF214" t="s">
        <v>157</v>
      </c>
      <c r="BG214" t="s">
        <v>133</v>
      </c>
      <c r="BH214" t="s">
        <v>167</v>
      </c>
      <c r="BI214" t="s">
        <v>112</v>
      </c>
      <c r="BJ214" t="s">
        <v>112</v>
      </c>
      <c r="BK214" t="s">
        <v>112</v>
      </c>
      <c r="BL214" t="s">
        <v>158</v>
      </c>
      <c r="BM214" t="s">
        <v>159</v>
      </c>
      <c r="BN214" t="s">
        <v>160</v>
      </c>
      <c r="BO214" t="s">
        <v>161</v>
      </c>
      <c r="BQ214" t="s">
        <v>232</v>
      </c>
      <c r="BR214" s="45">
        <f>ISNUMBER(SEARCH($BR$1,Таблица1[[#This Row],[31_1 Описание и характеристика товара]]))*1</f>
        <v>1</v>
      </c>
      <c r="BT214" t="s">
        <v>150</v>
      </c>
      <c r="BU214">
        <v>33</v>
      </c>
      <c r="BV214">
        <v>0</v>
      </c>
      <c r="BW214">
        <v>0</v>
      </c>
      <c r="BY214">
        <v>0</v>
      </c>
      <c r="CA214" t="s">
        <v>106</v>
      </c>
      <c r="CB214" t="s">
        <v>142</v>
      </c>
      <c r="CC214" t="s">
        <v>112</v>
      </c>
      <c r="CD214" t="s">
        <v>112</v>
      </c>
      <c r="CE214" t="s">
        <v>121</v>
      </c>
      <c r="CF214">
        <v>16373.9</v>
      </c>
      <c r="CG214" t="s">
        <v>144</v>
      </c>
      <c r="CH214">
        <v>4000000</v>
      </c>
      <c r="CI214">
        <v>16244.3</v>
      </c>
      <c r="CJ214">
        <v>0</v>
      </c>
      <c r="CK214" t="s">
        <v>112</v>
      </c>
      <c r="CL214" t="s">
        <v>112</v>
      </c>
      <c r="CM214">
        <v>40826.519999999997</v>
      </c>
      <c r="CO214">
        <v>0</v>
      </c>
      <c r="CP214">
        <v>1</v>
      </c>
      <c r="CQ214">
        <v>4539299.49</v>
      </c>
      <c r="CR214">
        <v>49373</v>
      </c>
      <c r="CS214" t="s">
        <v>145</v>
      </c>
      <c r="CT214">
        <v>49382.671999999999</v>
      </c>
      <c r="CU214">
        <v>3.04</v>
      </c>
      <c r="CV214">
        <v>45</v>
      </c>
      <c r="CX214" t="s">
        <v>206</v>
      </c>
      <c r="CY214">
        <v>585</v>
      </c>
    </row>
    <row r="215" spans="1:103" x14ac:dyDescent="0.25">
      <c r="A215" t="s">
        <v>106</v>
      </c>
      <c r="B215" s="38">
        <v>44858</v>
      </c>
      <c r="C215" s="43">
        <f>IF(YEAR(Таблица1[[#This Row],[Дата]])=2023,MONTH(Таблица1[[#This Row],[Дата]]),0)</f>
        <v>0</v>
      </c>
      <c r="D215" t="s">
        <v>494</v>
      </c>
      <c r="E215" t="s">
        <v>108</v>
      </c>
      <c r="F215" t="s">
        <v>495</v>
      </c>
      <c r="G215" t="s">
        <v>110</v>
      </c>
      <c r="H215" t="s">
        <v>111</v>
      </c>
      <c r="I215" t="s">
        <v>112</v>
      </c>
      <c r="J215" t="s">
        <v>112</v>
      </c>
      <c r="K215" t="s">
        <v>112</v>
      </c>
      <c r="L215" t="s">
        <v>150</v>
      </c>
      <c r="M215" t="s">
        <v>151</v>
      </c>
      <c r="N215" t="s">
        <v>112</v>
      </c>
      <c r="O215" t="s">
        <v>112</v>
      </c>
      <c r="P215">
        <v>1</v>
      </c>
      <c r="R215">
        <v>1</v>
      </c>
      <c r="S215">
        <v>33</v>
      </c>
      <c r="T215" t="s">
        <v>112</v>
      </c>
      <c r="U215" t="s">
        <v>152</v>
      </c>
      <c r="V215" t="s">
        <v>153</v>
      </c>
      <c r="W215" t="s">
        <v>154</v>
      </c>
      <c r="X215" t="s">
        <v>119</v>
      </c>
      <c r="Y215" t="s">
        <v>112</v>
      </c>
      <c r="Z215" t="s">
        <v>112</v>
      </c>
      <c r="AA215" t="s">
        <v>152</v>
      </c>
      <c r="AB215" t="s">
        <v>153</v>
      </c>
      <c r="AC215" t="s">
        <v>154</v>
      </c>
      <c r="AD215" t="s">
        <v>119</v>
      </c>
      <c r="AE215" t="s">
        <v>112</v>
      </c>
      <c r="AF215" t="s">
        <v>121</v>
      </c>
      <c r="AG215" t="s">
        <v>122</v>
      </c>
      <c r="AH215">
        <v>4361694.9800000004</v>
      </c>
      <c r="AI215" t="s">
        <v>112</v>
      </c>
      <c r="AJ215" t="s">
        <v>152</v>
      </c>
      <c r="AK215" t="s">
        <v>153</v>
      </c>
      <c r="AL215" t="s">
        <v>154</v>
      </c>
      <c r="AM215" t="s">
        <v>119</v>
      </c>
      <c r="AN215" t="s">
        <v>112</v>
      </c>
      <c r="AO215" t="s">
        <v>121</v>
      </c>
      <c r="AP215" t="s">
        <v>122</v>
      </c>
      <c r="AQ215" t="s">
        <v>122</v>
      </c>
      <c r="AR215" t="s">
        <v>124</v>
      </c>
      <c r="AS215" t="s">
        <v>125</v>
      </c>
      <c r="AT215">
        <v>2</v>
      </c>
      <c r="AU215" t="s">
        <v>126</v>
      </c>
      <c r="AV215" t="s">
        <v>155</v>
      </c>
      <c r="AW215" t="s">
        <v>156</v>
      </c>
      <c r="AY215" t="s">
        <v>129</v>
      </c>
      <c r="AZ215">
        <v>38543.03</v>
      </c>
      <c r="BC215">
        <v>101.2863</v>
      </c>
      <c r="BD215" t="s">
        <v>112</v>
      </c>
      <c r="BE215" t="s">
        <v>112</v>
      </c>
      <c r="BF215" t="s">
        <v>157</v>
      </c>
      <c r="BG215" t="s">
        <v>133</v>
      </c>
      <c r="BH215" t="s">
        <v>167</v>
      </c>
      <c r="BI215" t="s">
        <v>112</v>
      </c>
      <c r="BJ215" t="s">
        <v>112</v>
      </c>
      <c r="BK215" t="s">
        <v>112</v>
      </c>
      <c r="BL215" t="s">
        <v>158</v>
      </c>
      <c r="BM215" t="s">
        <v>159</v>
      </c>
      <c r="BN215" t="s">
        <v>160</v>
      </c>
      <c r="BO215" t="s">
        <v>161</v>
      </c>
      <c r="BQ215" t="s">
        <v>232</v>
      </c>
      <c r="BR215" s="45">
        <f>ISNUMBER(SEARCH($BR$1,Таблица1[[#This Row],[31_1 Описание и характеристика товара]]))*1</f>
        <v>1</v>
      </c>
      <c r="BT215" t="s">
        <v>150</v>
      </c>
      <c r="BU215">
        <v>33</v>
      </c>
      <c r="BV215">
        <v>0</v>
      </c>
      <c r="BW215">
        <v>0</v>
      </c>
      <c r="BY215">
        <v>0</v>
      </c>
      <c r="CA215" t="s">
        <v>106</v>
      </c>
      <c r="CB215" t="s">
        <v>142</v>
      </c>
      <c r="CC215" t="s">
        <v>112</v>
      </c>
      <c r="CD215" t="s">
        <v>112</v>
      </c>
      <c r="CE215" t="s">
        <v>121</v>
      </c>
      <c r="CF215">
        <v>16542.12</v>
      </c>
      <c r="CG215" t="s">
        <v>144</v>
      </c>
      <c r="CH215">
        <v>4000000</v>
      </c>
      <c r="CI215">
        <v>16424.52</v>
      </c>
      <c r="CJ215">
        <v>0</v>
      </c>
      <c r="CK215" t="s">
        <v>112</v>
      </c>
      <c r="CL215" t="s">
        <v>112</v>
      </c>
      <c r="CM215">
        <v>38543.03</v>
      </c>
      <c r="CO215">
        <v>0</v>
      </c>
      <c r="CP215">
        <v>1</v>
      </c>
      <c r="CQ215">
        <v>4361694.9800000004</v>
      </c>
      <c r="CR215">
        <v>47441.24</v>
      </c>
      <c r="CS215" t="s">
        <v>145</v>
      </c>
      <c r="CT215">
        <v>47466.862800000003</v>
      </c>
      <c r="CU215">
        <v>2.89</v>
      </c>
      <c r="CV215">
        <v>45</v>
      </c>
      <c r="CX215" t="s">
        <v>206</v>
      </c>
      <c r="CY215">
        <v>547</v>
      </c>
    </row>
    <row r="216" spans="1:103" x14ac:dyDescent="0.25">
      <c r="A216" t="s">
        <v>106</v>
      </c>
      <c r="B216" s="38">
        <v>45050</v>
      </c>
      <c r="C216" s="43">
        <f>IF(YEAR(Таблица1[[#This Row],[Дата]])=2023,MONTH(Таблица1[[#This Row],[Дата]]),0)</f>
        <v>5</v>
      </c>
      <c r="D216" t="s">
        <v>385</v>
      </c>
      <c r="E216" t="s">
        <v>108</v>
      </c>
      <c r="F216" t="s">
        <v>386</v>
      </c>
      <c r="G216" t="s">
        <v>110</v>
      </c>
      <c r="H216" t="s">
        <v>111</v>
      </c>
      <c r="I216" t="s">
        <v>112</v>
      </c>
      <c r="J216" t="s">
        <v>112</v>
      </c>
      <c r="K216" t="s">
        <v>112</v>
      </c>
      <c r="L216" t="s">
        <v>150</v>
      </c>
      <c r="M216" t="s">
        <v>151</v>
      </c>
      <c r="N216" t="s">
        <v>112</v>
      </c>
      <c r="O216" t="s">
        <v>112</v>
      </c>
      <c r="P216">
        <v>1</v>
      </c>
      <c r="R216">
        <v>1</v>
      </c>
      <c r="S216">
        <v>33</v>
      </c>
      <c r="T216" t="s">
        <v>112</v>
      </c>
      <c r="U216" t="s">
        <v>152</v>
      </c>
      <c r="V216" t="s">
        <v>153</v>
      </c>
      <c r="W216" t="s">
        <v>154</v>
      </c>
      <c r="X216" t="s">
        <v>119</v>
      </c>
      <c r="Y216" t="s">
        <v>112</v>
      </c>
      <c r="Z216" t="s">
        <v>112</v>
      </c>
      <c r="AA216" t="s">
        <v>152</v>
      </c>
      <c r="AB216" t="s">
        <v>153</v>
      </c>
      <c r="AC216" t="s">
        <v>154</v>
      </c>
      <c r="AD216" t="s">
        <v>119</v>
      </c>
      <c r="AE216" t="s">
        <v>112</v>
      </c>
      <c r="AF216" t="s">
        <v>121</v>
      </c>
      <c r="AG216" t="s">
        <v>122</v>
      </c>
      <c r="AH216">
        <v>4595624.8</v>
      </c>
      <c r="AI216" t="s">
        <v>112</v>
      </c>
      <c r="AJ216" t="s">
        <v>152</v>
      </c>
      <c r="AK216" t="s">
        <v>153</v>
      </c>
      <c r="AL216" t="s">
        <v>154</v>
      </c>
      <c r="AM216" t="s">
        <v>119</v>
      </c>
      <c r="AN216" t="s">
        <v>112</v>
      </c>
      <c r="AO216" t="s">
        <v>121</v>
      </c>
      <c r="AP216" t="s">
        <v>122</v>
      </c>
      <c r="AQ216" t="s">
        <v>122</v>
      </c>
      <c r="AR216" t="s">
        <v>124</v>
      </c>
      <c r="AS216" t="s">
        <v>125</v>
      </c>
      <c r="AT216">
        <v>2</v>
      </c>
      <c r="AU216" t="s">
        <v>126</v>
      </c>
      <c r="AV216" t="s">
        <v>155</v>
      </c>
      <c r="AW216" t="s">
        <v>156</v>
      </c>
      <c r="AY216" t="s">
        <v>129</v>
      </c>
      <c r="AZ216">
        <v>41382.620000000003</v>
      </c>
      <c r="BC216">
        <v>101.2863</v>
      </c>
      <c r="BD216" t="s">
        <v>112</v>
      </c>
      <c r="BE216" t="s">
        <v>112</v>
      </c>
      <c r="BF216" t="s">
        <v>157</v>
      </c>
      <c r="BG216" t="s">
        <v>133</v>
      </c>
      <c r="BH216" t="s">
        <v>167</v>
      </c>
      <c r="BI216" t="s">
        <v>112</v>
      </c>
      <c r="BJ216" t="s">
        <v>112</v>
      </c>
      <c r="BK216" t="s">
        <v>112</v>
      </c>
      <c r="BL216" t="s">
        <v>158</v>
      </c>
      <c r="BM216" t="s">
        <v>159</v>
      </c>
      <c r="BN216" t="s">
        <v>160</v>
      </c>
      <c r="BO216" t="s">
        <v>161</v>
      </c>
      <c r="BQ216" t="s">
        <v>232</v>
      </c>
      <c r="BR216" s="45">
        <f>ISNUMBER(SEARCH($BR$1,Таблица1[[#This Row],[31_1 Описание и характеристика товара]]))*1</f>
        <v>1</v>
      </c>
      <c r="BT216" t="s">
        <v>150</v>
      </c>
      <c r="BU216">
        <v>33</v>
      </c>
      <c r="BV216">
        <v>0</v>
      </c>
      <c r="BW216">
        <v>0</v>
      </c>
      <c r="BY216">
        <v>0</v>
      </c>
      <c r="CA216" t="s">
        <v>106</v>
      </c>
      <c r="CB216" t="s">
        <v>142</v>
      </c>
      <c r="CC216" t="s">
        <v>112</v>
      </c>
      <c r="CD216" t="s">
        <v>112</v>
      </c>
      <c r="CE216" t="s">
        <v>121</v>
      </c>
      <c r="CF216">
        <v>15496.27</v>
      </c>
      <c r="CG216" t="s">
        <v>144</v>
      </c>
      <c r="CH216">
        <v>4000000</v>
      </c>
      <c r="CI216">
        <v>15212.47</v>
      </c>
      <c r="CJ216">
        <v>0</v>
      </c>
      <c r="CK216" t="s">
        <v>112</v>
      </c>
      <c r="CL216" t="s">
        <v>112</v>
      </c>
      <c r="CM216">
        <v>41382.620000000003</v>
      </c>
      <c r="CO216">
        <v>0</v>
      </c>
      <c r="CP216">
        <v>1</v>
      </c>
      <c r="CQ216">
        <v>4595624.8</v>
      </c>
      <c r="CR216">
        <v>49985.64</v>
      </c>
      <c r="CS216" t="s">
        <v>145</v>
      </c>
      <c r="CT216">
        <v>50049.026299999998</v>
      </c>
      <c r="CU216">
        <v>3.29</v>
      </c>
      <c r="CV216">
        <v>45</v>
      </c>
      <c r="CX216" t="s">
        <v>206</v>
      </c>
      <c r="CY216">
        <v>182</v>
      </c>
    </row>
    <row r="217" spans="1:103" x14ac:dyDescent="0.25">
      <c r="A217" t="s">
        <v>106</v>
      </c>
      <c r="B217" s="38">
        <v>45210</v>
      </c>
      <c r="C217" s="43">
        <f>IF(YEAR(Таблица1[[#This Row],[Дата]])=2023,MONTH(Таблица1[[#This Row],[Дата]]),0)</f>
        <v>10</v>
      </c>
      <c r="D217" t="s">
        <v>409</v>
      </c>
      <c r="E217" t="s">
        <v>108</v>
      </c>
      <c r="F217" t="s">
        <v>410</v>
      </c>
      <c r="G217" t="s">
        <v>110</v>
      </c>
      <c r="H217" t="s">
        <v>111</v>
      </c>
      <c r="I217" t="s">
        <v>112</v>
      </c>
      <c r="J217" t="s">
        <v>112</v>
      </c>
      <c r="K217" t="s">
        <v>112</v>
      </c>
      <c r="L217" t="s">
        <v>150</v>
      </c>
      <c r="M217" t="s">
        <v>151</v>
      </c>
      <c r="N217" t="s">
        <v>112</v>
      </c>
      <c r="O217" t="s">
        <v>112</v>
      </c>
      <c r="P217">
        <v>1</v>
      </c>
      <c r="R217">
        <v>1</v>
      </c>
      <c r="S217">
        <v>33</v>
      </c>
      <c r="T217" t="s">
        <v>112</v>
      </c>
      <c r="U217" t="s">
        <v>152</v>
      </c>
      <c r="V217" t="s">
        <v>153</v>
      </c>
      <c r="W217" t="s">
        <v>154</v>
      </c>
      <c r="X217" t="s">
        <v>119</v>
      </c>
      <c r="Y217" t="s">
        <v>112</v>
      </c>
      <c r="Z217" t="s">
        <v>112</v>
      </c>
      <c r="AA217" t="s">
        <v>152</v>
      </c>
      <c r="AB217" t="s">
        <v>153</v>
      </c>
      <c r="AC217" t="s">
        <v>154</v>
      </c>
      <c r="AD217" t="s">
        <v>119</v>
      </c>
      <c r="AE217" t="s">
        <v>112</v>
      </c>
      <c r="AF217" t="s">
        <v>121</v>
      </c>
      <c r="AG217" t="s">
        <v>122</v>
      </c>
      <c r="AH217">
        <v>4004349.82</v>
      </c>
      <c r="AI217" t="s">
        <v>112</v>
      </c>
      <c r="AJ217" t="s">
        <v>152</v>
      </c>
      <c r="AK217" t="s">
        <v>153</v>
      </c>
      <c r="AL217" t="s">
        <v>154</v>
      </c>
      <c r="AM217" t="s">
        <v>119</v>
      </c>
      <c r="AN217" t="s">
        <v>112</v>
      </c>
      <c r="AO217" t="s">
        <v>121</v>
      </c>
      <c r="AP217" t="s">
        <v>122</v>
      </c>
      <c r="AQ217" t="s">
        <v>122</v>
      </c>
      <c r="AR217" t="s">
        <v>124</v>
      </c>
      <c r="AS217" t="s">
        <v>125</v>
      </c>
      <c r="AT217">
        <v>2</v>
      </c>
      <c r="AU217" t="s">
        <v>126</v>
      </c>
      <c r="AV217" t="s">
        <v>155</v>
      </c>
      <c r="AW217" t="s">
        <v>156</v>
      </c>
      <c r="AY217" t="s">
        <v>129</v>
      </c>
      <c r="AZ217">
        <v>35544.959999999999</v>
      </c>
      <c r="BC217">
        <v>101.2863</v>
      </c>
      <c r="BD217" t="s">
        <v>112</v>
      </c>
      <c r="BE217" t="s">
        <v>112</v>
      </c>
      <c r="BF217" t="s">
        <v>157</v>
      </c>
      <c r="BG217" t="s">
        <v>133</v>
      </c>
      <c r="BH217" t="s">
        <v>167</v>
      </c>
      <c r="BI217" t="s">
        <v>112</v>
      </c>
      <c r="BJ217" t="s">
        <v>112</v>
      </c>
      <c r="BK217" t="s">
        <v>112</v>
      </c>
      <c r="BL217" t="s">
        <v>158</v>
      </c>
      <c r="BM217" t="s">
        <v>159</v>
      </c>
      <c r="BN217" t="s">
        <v>160</v>
      </c>
      <c r="BO217" t="s">
        <v>161</v>
      </c>
      <c r="BQ217" t="s">
        <v>281</v>
      </c>
      <c r="BR217" s="45">
        <f>ISNUMBER(SEARCH($BR$1,Таблица1[[#This Row],[31_1 Описание и характеристика товара]]))*1</f>
        <v>1</v>
      </c>
      <c r="BT217" t="s">
        <v>150</v>
      </c>
      <c r="BU217">
        <v>33</v>
      </c>
      <c r="BV217">
        <v>0</v>
      </c>
      <c r="BW217">
        <v>0</v>
      </c>
      <c r="BY217">
        <v>0</v>
      </c>
      <c r="CA217" t="s">
        <v>106</v>
      </c>
      <c r="CB217" t="s">
        <v>142</v>
      </c>
      <c r="CC217" t="s">
        <v>112</v>
      </c>
      <c r="CD217" t="s">
        <v>112</v>
      </c>
      <c r="CE217" t="s">
        <v>121</v>
      </c>
      <c r="CF217">
        <v>17353.91</v>
      </c>
      <c r="CG217" t="s">
        <v>144</v>
      </c>
      <c r="CH217">
        <v>4000000</v>
      </c>
      <c r="CI217">
        <v>17353.91</v>
      </c>
      <c r="CJ217">
        <v>0</v>
      </c>
      <c r="CK217" t="s">
        <v>112</v>
      </c>
      <c r="CL217" t="s">
        <v>112</v>
      </c>
      <c r="CM217">
        <v>35544.959999999999</v>
      </c>
      <c r="CO217">
        <v>0</v>
      </c>
      <c r="CP217">
        <v>1</v>
      </c>
      <c r="CQ217">
        <v>4004349.82</v>
      </c>
      <c r="CR217">
        <v>43554.47</v>
      </c>
      <c r="CS217" t="s">
        <v>145</v>
      </c>
      <c r="CT217">
        <v>43558.314099999996</v>
      </c>
      <c r="CU217">
        <v>2.5099999999999998</v>
      </c>
      <c r="CV217">
        <v>45</v>
      </c>
      <c r="CX217" t="s">
        <v>233</v>
      </c>
      <c r="CY217">
        <v>180</v>
      </c>
    </row>
    <row r="218" spans="1:103" x14ac:dyDescent="0.25">
      <c r="A218" t="s">
        <v>106</v>
      </c>
      <c r="B218" s="38">
        <v>44617</v>
      </c>
      <c r="C218" s="43">
        <f>IF(YEAR(Таблица1[[#This Row],[Дата]])=2023,MONTH(Таблица1[[#This Row],[Дата]]),0)</f>
        <v>0</v>
      </c>
      <c r="D218" t="s">
        <v>321</v>
      </c>
      <c r="E218" t="s">
        <v>108</v>
      </c>
      <c r="F218" t="s">
        <v>322</v>
      </c>
      <c r="G218" t="s">
        <v>110</v>
      </c>
      <c r="H218" t="s">
        <v>111</v>
      </c>
      <c r="I218" t="s">
        <v>112</v>
      </c>
      <c r="J218" t="s">
        <v>112</v>
      </c>
      <c r="K218" t="s">
        <v>112</v>
      </c>
      <c r="L218" t="s">
        <v>150</v>
      </c>
      <c r="M218" t="s">
        <v>151</v>
      </c>
      <c r="N218" t="s">
        <v>112</v>
      </c>
      <c r="O218" t="s">
        <v>112</v>
      </c>
      <c r="P218">
        <v>1</v>
      </c>
      <c r="R218">
        <v>1</v>
      </c>
      <c r="S218">
        <v>33</v>
      </c>
      <c r="T218" t="s">
        <v>112</v>
      </c>
      <c r="U218" t="s">
        <v>152</v>
      </c>
      <c r="V218" t="s">
        <v>153</v>
      </c>
      <c r="W218" t="s">
        <v>154</v>
      </c>
      <c r="X218" t="s">
        <v>119</v>
      </c>
      <c r="Y218" t="s">
        <v>112</v>
      </c>
      <c r="Z218" t="s">
        <v>112</v>
      </c>
      <c r="AA218" t="s">
        <v>152</v>
      </c>
      <c r="AB218" t="s">
        <v>153</v>
      </c>
      <c r="AC218" t="s">
        <v>154</v>
      </c>
      <c r="AD218" t="s">
        <v>119</v>
      </c>
      <c r="AE218" t="s">
        <v>112</v>
      </c>
      <c r="AF218" t="s">
        <v>121</v>
      </c>
      <c r="AG218" t="s">
        <v>122</v>
      </c>
      <c r="AH218">
        <v>4852055.38</v>
      </c>
      <c r="AI218" t="s">
        <v>112</v>
      </c>
      <c r="AJ218" t="s">
        <v>152</v>
      </c>
      <c r="AK218" t="s">
        <v>153</v>
      </c>
      <c r="AL218" t="s">
        <v>154</v>
      </c>
      <c r="AM218" t="s">
        <v>119</v>
      </c>
      <c r="AN218" t="s">
        <v>112</v>
      </c>
      <c r="AO218" t="s">
        <v>121</v>
      </c>
      <c r="AP218" t="s">
        <v>122</v>
      </c>
      <c r="AQ218" t="s">
        <v>122</v>
      </c>
      <c r="AR218" t="s">
        <v>124</v>
      </c>
      <c r="AS218" t="s">
        <v>125</v>
      </c>
      <c r="AT218">
        <v>2</v>
      </c>
      <c r="AU218" t="s">
        <v>126</v>
      </c>
      <c r="AV218" t="s">
        <v>155</v>
      </c>
      <c r="AW218" t="s">
        <v>156</v>
      </c>
      <c r="AY218" t="s">
        <v>129</v>
      </c>
      <c r="AZ218">
        <v>43384.36</v>
      </c>
      <c r="BC218">
        <v>101.2863</v>
      </c>
      <c r="BD218" t="s">
        <v>112</v>
      </c>
      <c r="BE218" t="s">
        <v>112</v>
      </c>
      <c r="BF218" t="s">
        <v>157</v>
      </c>
      <c r="BG218" t="s">
        <v>133</v>
      </c>
      <c r="BH218" t="s">
        <v>167</v>
      </c>
      <c r="BI218" t="s">
        <v>112</v>
      </c>
      <c r="BJ218" t="s">
        <v>112</v>
      </c>
      <c r="BK218" t="s">
        <v>112</v>
      </c>
      <c r="BL218" t="s">
        <v>158</v>
      </c>
      <c r="BM218" t="s">
        <v>159</v>
      </c>
      <c r="BN218" t="s">
        <v>160</v>
      </c>
      <c r="BO218" t="s">
        <v>161</v>
      </c>
      <c r="BQ218" t="s">
        <v>232</v>
      </c>
      <c r="BR218" s="45">
        <f>ISNUMBER(SEARCH($BR$1,Таблица1[[#This Row],[31_1 Описание и характеристика товара]]))*1</f>
        <v>1</v>
      </c>
      <c r="BT218" t="s">
        <v>150</v>
      </c>
      <c r="BU218">
        <v>33</v>
      </c>
      <c r="BV218">
        <v>0</v>
      </c>
      <c r="BW218">
        <v>0</v>
      </c>
      <c r="BY218">
        <v>0</v>
      </c>
      <c r="CA218" t="s">
        <v>106</v>
      </c>
      <c r="CB218" t="s">
        <v>142</v>
      </c>
      <c r="CC218" t="s">
        <v>112</v>
      </c>
      <c r="CD218" t="s">
        <v>112</v>
      </c>
      <c r="CE218" t="s">
        <v>121</v>
      </c>
      <c r="CF218">
        <v>17173.73</v>
      </c>
      <c r="CG218" t="s">
        <v>144</v>
      </c>
      <c r="CH218">
        <v>4000000</v>
      </c>
      <c r="CI218">
        <v>17173.73</v>
      </c>
      <c r="CJ218">
        <v>0</v>
      </c>
      <c r="CK218" t="s">
        <v>112</v>
      </c>
      <c r="CL218" t="s">
        <v>112</v>
      </c>
      <c r="CM218">
        <v>43384.36</v>
      </c>
      <c r="CO218">
        <v>0</v>
      </c>
      <c r="CP218">
        <v>1</v>
      </c>
      <c r="CQ218">
        <v>4852055.38</v>
      </c>
      <c r="CR218">
        <v>52774.78</v>
      </c>
      <c r="CS218" t="s">
        <v>145</v>
      </c>
      <c r="CT218">
        <v>52723.351099999993</v>
      </c>
      <c r="CU218">
        <v>3.07</v>
      </c>
      <c r="CV218">
        <v>45</v>
      </c>
      <c r="CX218" t="s">
        <v>233</v>
      </c>
      <c r="CY218">
        <v>586</v>
      </c>
    </row>
    <row r="219" spans="1:103" x14ac:dyDescent="0.25">
      <c r="A219" t="s">
        <v>106</v>
      </c>
      <c r="B219" s="38">
        <v>44666</v>
      </c>
      <c r="C219" s="43">
        <f>IF(YEAR(Таблица1[[#This Row],[Дата]])=2023,MONTH(Таблица1[[#This Row],[Дата]]),0)</f>
        <v>0</v>
      </c>
      <c r="D219" t="s">
        <v>500</v>
      </c>
      <c r="E219" t="s">
        <v>108</v>
      </c>
      <c r="F219" t="s">
        <v>501</v>
      </c>
      <c r="G219" t="s">
        <v>110</v>
      </c>
      <c r="H219" t="s">
        <v>111</v>
      </c>
      <c r="I219" t="s">
        <v>112</v>
      </c>
      <c r="J219" t="s">
        <v>112</v>
      </c>
      <c r="K219" t="s">
        <v>112</v>
      </c>
      <c r="L219" t="s">
        <v>150</v>
      </c>
      <c r="M219" t="s">
        <v>151</v>
      </c>
      <c r="N219" t="s">
        <v>112</v>
      </c>
      <c r="O219" t="s">
        <v>112</v>
      </c>
      <c r="P219">
        <v>1</v>
      </c>
      <c r="R219">
        <v>1</v>
      </c>
      <c r="S219">
        <v>33</v>
      </c>
      <c r="T219" t="s">
        <v>112</v>
      </c>
      <c r="U219" t="s">
        <v>152</v>
      </c>
      <c r="V219" t="s">
        <v>153</v>
      </c>
      <c r="W219" t="s">
        <v>154</v>
      </c>
      <c r="X219" t="s">
        <v>119</v>
      </c>
      <c r="Y219" t="s">
        <v>112</v>
      </c>
      <c r="Z219" t="s">
        <v>112</v>
      </c>
      <c r="AA219" t="s">
        <v>152</v>
      </c>
      <c r="AB219" t="s">
        <v>153</v>
      </c>
      <c r="AC219" t="s">
        <v>154</v>
      </c>
      <c r="AD219" t="s">
        <v>119</v>
      </c>
      <c r="AE219" t="s">
        <v>112</v>
      </c>
      <c r="AF219" t="s">
        <v>121</v>
      </c>
      <c r="AG219" t="s">
        <v>122</v>
      </c>
      <c r="AH219">
        <v>4306456.47</v>
      </c>
      <c r="AI219" t="s">
        <v>112</v>
      </c>
      <c r="AJ219" t="s">
        <v>152</v>
      </c>
      <c r="AK219" t="s">
        <v>153</v>
      </c>
      <c r="AL219" t="s">
        <v>154</v>
      </c>
      <c r="AM219" t="s">
        <v>119</v>
      </c>
      <c r="AN219" t="s">
        <v>112</v>
      </c>
      <c r="AO219" t="s">
        <v>121</v>
      </c>
      <c r="AP219" t="s">
        <v>122</v>
      </c>
      <c r="AQ219" t="s">
        <v>122</v>
      </c>
      <c r="AR219" t="s">
        <v>124</v>
      </c>
      <c r="AS219" t="s">
        <v>125</v>
      </c>
      <c r="AT219">
        <v>2</v>
      </c>
      <c r="AU219" t="s">
        <v>126</v>
      </c>
      <c r="AV219" t="s">
        <v>155</v>
      </c>
      <c r="AW219" t="s">
        <v>156</v>
      </c>
      <c r="AY219" t="s">
        <v>129</v>
      </c>
      <c r="AZ219">
        <v>38527.660000000003</v>
      </c>
      <c r="BC219">
        <v>101.2863</v>
      </c>
      <c r="BD219" t="s">
        <v>112</v>
      </c>
      <c r="BE219" t="s">
        <v>112</v>
      </c>
      <c r="BF219" t="s">
        <v>157</v>
      </c>
      <c r="BG219" t="s">
        <v>133</v>
      </c>
      <c r="BH219" t="s">
        <v>167</v>
      </c>
      <c r="BI219" t="s">
        <v>112</v>
      </c>
      <c r="BJ219" t="s">
        <v>112</v>
      </c>
      <c r="BK219" t="s">
        <v>112</v>
      </c>
      <c r="BL219" t="s">
        <v>158</v>
      </c>
      <c r="BM219" t="s">
        <v>159</v>
      </c>
      <c r="BN219" t="s">
        <v>160</v>
      </c>
      <c r="BO219" t="s">
        <v>161</v>
      </c>
      <c r="BQ219" t="s">
        <v>232</v>
      </c>
      <c r="BR219" s="45">
        <f>ISNUMBER(SEARCH($BR$1,Таблица1[[#This Row],[31_1 Описание и характеристика товара]]))*1</f>
        <v>1</v>
      </c>
      <c r="BT219" t="s">
        <v>150</v>
      </c>
      <c r="BU219">
        <v>33</v>
      </c>
      <c r="BV219">
        <v>0</v>
      </c>
      <c r="BW219">
        <v>0</v>
      </c>
      <c r="BY219">
        <v>0</v>
      </c>
      <c r="CA219" t="s">
        <v>106</v>
      </c>
      <c r="CB219" t="s">
        <v>142</v>
      </c>
      <c r="CC219" t="s">
        <v>112</v>
      </c>
      <c r="CD219" t="s">
        <v>112</v>
      </c>
      <c r="CE219" t="s">
        <v>121</v>
      </c>
      <c r="CF219">
        <v>16307.33</v>
      </c>
      <c r="CG219" t="s">
        <v>144</v>
      </c>
      <c r="CH219">
        <v>4000000</v>
      </c>
      <c r="CI219">
        <v>16203.52</v>
      </c>
      <c r="CJ219">
        <v>0</v>
      </c>
      <c r="CK219" t="s">
        <v>112</v>
      </c>
      <c r="CL219" t="s">
        <v>112</v>
      </c>
      <c r="CM219">
        <v>38527.660000000003</v>
      </c>
      <c r="CO219">
        <v>0</v>
      </c>
      <c r="CP219">
        <v>1</v>
      </c>
      <c r="CQ219">
        <v>4306456.47</v>
      </c>
      <c r="CR219">
        <v>46840.42</v>
      </c>
      <c r="CS219" t="s">
        <v>145</v>
      </c>
      <c r="CT219">
        <v>46828.1728</v>
      </c>
      <c r="CU219">
        <v>2.89</v>
      </c>
      <c r="CV219">
        <v>45</v>
      </c>
      <c r="CX219" t="s">
        <v>233</v>
      </c>
      <c r="CY219">
        <v>278</v>
      </c>
    </row>
    <row r="220" spans="1:103" x14ac:dyDescent="0.25">
      <c r="A220" t="s">
        <v>106</v>
      </c>
      <c r="B220" s="38">
        <v>44764</v>
      </c>
      <c r="C220" s="43">
        <f>IF(YEAR(Таблица1[[#This Row],[Дата]])=2023,MONTH(Таблица1[[#This Row],[Дата]]),0)</f>
        <v>0</v>
      </c>
      <c r="D220" t="s">
        <v>323</v>
      </c>
      <c r="E220" t="s">
        <v>108</v>
      </c>
      <c r="F220" t="s">
        <v>324</v>
      </c>
      <c r="G220" t="s">
        <v>110</v>
      </c>
      <c r="H220" t="s">
        <v>111</v>
      </c>
      <c r="I220" t="s">
        <v>112</v>
      </c>
      <c r="J220" t="s">
        <v>112</v>
      </c>
      <c r="K220" t="s">
        <v>112</v>
      </c>
      <c r="L220" t="s">
        <v>150</v>
      </c>
      <c r="M220" t="s">
        <v>151</v>
      </c>
      <c r="N220" t="s">
        <v>112</v>
      </c>
      <c r="O220" t="s">
        <v>112</v>
      </c>
      <c r="P220">
        <v>1</v>
      </c>
      <c r="R220">
        <v>1</v>
      </c>
      <c r="S220">
        <v>33</v>
      </c>
      <c r="T220" t="s">
        <v>112</v>
      </c>
      <c r="U220" t="s">
        <v>152</v>
      </c>
      <c r="V220" t="s">
        <v>153</v>
      </c>
      <c r="W220" t="s">
        <v>154</v>
      </c>
      <c r="X220" t="s">
        <v>119</v>
      </c>
      <c r="Y220" t="s">
        <v>112</v>
      </c>
      <c r="Z220" t="s">
        <v>112</v>
      </c>
      <c r="AA220" t="s">
        <v>152</v>
      </c>
      <c r="AB220" t="s">
        <v>153</v>
      </c>
      <c r="AC220" t="s">
        <v>154</v>
      </c>
      <c r="AD220" t="s">
        <v>119</v>
      </c>
      <c r="AE220" t="s">
        <v>112</v>
      </c>
      <c r="AF220" t="s">
        <v>121</v>
      </c>
      <c r="AG220" t="s">
        <v>122</v>
      </c>
      <c r="AH220">
        <v>4317920.05</v>
      </c>
      <c r="AI220" t="s">
        <v>112</v>
      </c>
      <c r="AJ220" t="s">
        <v>152</v>
      </c>
      <c r="AK220" t="s">
        <v>153</v>
      </c>
      <c r="AL220" t="s">
        <v>154</v>
      </c>
      <c r="AM220" t="s">
        <v>119</v>
      </c>
      <c r="AN220" t="s">
        <v>112</v>
      </c>
      <c r="AO220" t="s">
        <v>121</v>
      </c>
      <c r="AP220" t="s">
        <v>122</v>
      </c>
      <c r="AQ220" t="s">
        <v>122</v>
      </c>
      <c r="AR220" t="s">
        <v>124</v>
      </c>
      <c r="AS220" t="s">
        <v>125</v>
      </c>
      <c r="AT220">
        <v>2</v>
      </c>
      <c r="AU220" t="s">
        <v>126</v>
      </c>
      <c r="AV220" t="s">
        <v>155</v>
      </c>
      <c r="AW220" t="s">
        <v>156</v>
      </c>
      <c r="AY220" t="s">
        <v>129</v>
      </c>
      <c r="AZ220">
        <v>38640.839999999997</v>
      </c>
      <c r="BC220">
        <v>101.2863</v>
      </c>
      <c r="BD220" t="s">
        <v>112</v>
      </c>
      <c r="BE220" t="s">
        <v>112</v>
      </c>
      <c r="BF220" t="s">
        <v>157</v>
      </c>
      <c r="BG220" t="s">
        <v>133</v>
      </c>
      <c r="BH220" t="s">
        <v>167</v>
      </c>
      <c r="BI220" t="s">
        <v>112</v>
      </c>
      <c r="BJ220" t="s">
        <v>112</v>
      </c>
      <c r="BK220" t="s">
        <v>112</v>
      </c>
      <c r="BL220" t="s">
        <v>158</v>
      </c>
      <c r="BM220" t="s">
        <v>159</v>
      </c>
      <c r="BN220" t="s">
        <v>160</v>
      </c>
      <c r="BO220" t="s">
        <v>161</v>
      </c>
      <c r="BQ220" t="s">
        <v>205</v>
      </c>
      <c r="BR220" s="45">
        <f>ISNUMBER(SEARCH($BR$1,Таблица1[[#This Row],[31_1 Описание и характеристика товара]]))*1</f>
        <v>1</v>
      </c>
      <c r="BT220" t="s">
        <v>150</v>
      </c>
      <c r="BU220">
        <v>33</v>
      </c>
      <c r="BV220">
        <v>0</v>
      </c>
      <c r="BW220">
        <v>0</v>
      </c>
      <c r="BY220">
        <v>0</v>
      </c>
      <c r="CA220" t="s">
        <v>106</v>
      </c>
      <c r="CB220" t="s">
        <v>142</v>
      </c>
      <c r="CC220" t="s">
        <v>112</v>
      </c>
      <c r="CD220" t="s">
        <v>112</v>
      </c>
      <c r="CE220" t="s">
        <v>121</v>
      </c>
      <c r="CF220">
        <v>17051.810000000001</v>
      </c>
      <c r="CG220" t="s">
        <v>144</v>
      </c>
      <c r="CH220">
        <v>4000000</v>
      </c>
      <c r="CI220">
        <v>17051.810000000001</v>
      </c>
      <c r="CJ220">
        <v>0</v>
      </c>
      <c r="CK220" t="s">
        <v>112</v>
      </c>
      <c r="CL220" t="s">
        <v>112</v>
      </c>
      <c r="CM220">
        <v>38640.839999999997</v>
      </c>
      <c r="CO220">
        <v>0</v>
      </c>
      <c r="CP220">
        <v>1</v>
      </c>
      <c r="CQ220">
        <v>4317920.05</v>
      </c>
      <c r="CR220">
        <v>46965.1</v>
      </c>
      <c r="CS220" t="s">
        <v>145</v>
      </c>
      <c r="CT220">
        <v>46892.477500000001</v>
      </c>
      <c r="CU220">
        <v>2.75</v>
      </c>
      <c r="CV220">
        <v>45</v>
      </c>
      <c r="CX220" t="s">
        <v>206</v>
      </c>
      <c r="CY220">
        <v>589</v>
      </c>
    </row>
    <row r="221" spans="1:103" x14ac:dyDescent="0.25">
      <c r="A221" t="s">
        <v>106</v>
      </c>
      <c r="B221" s="38">
        <v>45067</v>
      </c>
      <c r="C221" s="43">
        <f>IF(YEAR(Таблица1[[#This Row],[Дата]])=2023,MONTH(Таблица1[[#This Row],[Дата]]),0)</f>
        <v>5</v>
      </c>
      <c r="D221" t="s">
        <v>1941</v>
      </c>
      <c r="E221" t="s">
        <v>108</v>
      </c>
      <c r="F221" t="s">
        <v>1942</v>
      </c>
      <c r="G221" t="s">
        <v>110</v>
      </c>
      <c r="H221" t="s">
        <v>111</v>
      </c>
      <c r="I221" t="s">
        <v>112</v>
      </c>
      <c r="J221" t="s">
        <v>112</v>
      </c>
      <c r="K221" t="s">
        <v>112</v>
      </c>
      <c r="L221" t="s">
        <v>150</v>
      </c>
      <c r="M221" t="s">
        <v>151</v>
      </c>
      <c r="N221" t="s">
        <v>112</v>
      </c>
      <c r="O221" t="s">
        <v>112</v>
      </c>
      <c r="P221">
        <v>1</v>
      </c>
      <c r="R221">
        <v>1</v>
      </c>
      <c r="S221">
        <v>33</v>
      </c>
      <c r="T221" t="s">
        <v>112</v>
      </c>
      <c r="U221" t="s">
        <v>152</v>
      </c>
      <c r="V221" t="s">
        <v>153</v>
      </c>
      <c r="W221" t="s">
        <v>154</v>
      </c>
      <c r="X221" t="s">
        <v>119</v>
      </c>
      <c r="Y221" t="s">
        <v>112</v>
      </c>
      <c r="Z221" t="s">
        <v>112</v>
      </c>
      <c r="AA221" t="s">
        <v>152</v>
      </c>
      <c r="AB221" t="s">
        <v>153</v>
      </c>
      <c r="AC221" t="s">
        <v>154</v>
      </c>
      <c r="AD221" t="s">
        <v>119</v>
      </c>
      <c r="AE221" t="s">
        <v>112</v>
      </c>
      <c r="AF221" t="s">
        <v>121</v>
      </c>
      <c r="AG221" t="s">
        <v>122</v>
      </c>
      <c r="AH221">
        <v>4916723.41</v>
      </c>
      <c r="AI221" t="s">
        <v>112</v>
      </c>
      <c r="AJ221" t="s">
        <v>152</v>
      </c>
      <c r="AK221" t="s">
        <v>153</v>
      </c>
      <c r="AL221" t="s">
        <v>154</v>
      </c>
      <c r="AM221" t="s">
        <v>119</v>
      </c>
      <c r="AN221" t="s">
        <v>112</v>
      </c>
      <c r="AO221" t="s">
        <v>121</v>
      </c>
      <c r="AP221" t="s">
        <v>122</v>
      </c>
      <c r="AQ221" t="s">
        <v>122</v>
      </c>
      <c r="AR221" t="s">
        <v>124</v>
      </c>
      <c r="AS221" t="s">
        <v>125</v>
      </c>
      <c r="AT221">
        <v>2</v>
      </c>
      <c r="AU221" t="s">
        <v>126</v>
      </c>
      <c r="AV221" t="s">
        <v>155</v>
      </c>
      <c r="AW221" t="s">
        <v>156</v>
      </c>
      <c r="AY221" t="s">
        <v>129</v>
      </c>
      <c r="AZ221">
        <v>45397.8</v>
      </c>
      <c r="BC221">
        <v>99.553399999999996</v>
      </c>
      <c r="BD221" t="s">
        <v>112</v>
      </c>
      <c r="BE221" t="s">
        <v>112</v>
      </c>
      <c r="BF221" t="s">
        <v>157</v>
      </c>
      <c r="BG221" t="s">
        <v>133</v>
      </c>
      <c r="BH221" t="s">
        <v>134</v>
      </c>
      <c r="BI221" t="s">
        <v>112</v>
      </c>
      <c r="BJ221" t="s">
        <v>112</v>
      </c>
      <c r="BK221" t="s">
        <v>112</v>
      </c>
      <c r="BL221" t="s">
        <v>158</v>
      </c>
      <c r="BM221" t="s">
        <v>159</v>
      </c>
      <c r="BN221" t="s">
        <v>212</v>
      </c>
      <c r="BO221" t="s">
        <v>161</v>
      </c>
      <c r="BQ221" t="s">
        <v>205</v>
      </c>
      <c r="BR221" s="45">
        <f>ISNUMBER(SEARCH($BR$1,Таблица1[[#This Row],[31_1 Описание и характеристика товара]]))*1</f>
        <v>1</v>
      </c>
      <c r="BT221" t="s">
        <v>150</v>
      </c>
      <c r="BU221">
        <v>33</v>
      </c>
      <c r="BV221">
        <v>0</v>
      </c>
      <c r="BW221">
        <v>0</v>
      </c>
      <c r="BY221">
        <v>0</v>
      </c>
      <c r="CA221" t="s">
        <v>106</v>
      </c>
      <c r="CB221" t="s">
        <v>142</v>
      </c>
      <c r="CC221" t="s">
        <v>112</v>
      </c>
      <c r="CD221" t="s">
        <v>112</v>
      </c>
      <c r="CE221" t="s">
        <v>121</v>
      </c>
      <c r="CF221">
        <v>16783.32</v>
      </c>
      <c r="CG221" t="s">
        <v>144</v>
      </c>
      <c r="CH221">
        <v>4000000</v>
      </c>
      <c r="CI221">
        <v>16783.32</v>
      </c>
      <c r="CJ221">
        <v>0</v>
      </c>
      <c r="CK221" t="s">
        <v>112</v>
      </c>
      <c r="CL221" t="s">
        <v>112</v>
      </c>
      <c r="CM221">
        <v>45397.8</v>
      </c>
      <c r="CO221">
        <v>0</v>
      </c>
      <c r="CP221">
        <v>1</v>
      </c>
      <c r="CQ221">
        <v>4916723.41</v>
      </c>
      <c r="CR221">
        <v>52572.68</v>
      </c>
      <c r="CS221" t="s">
        <v>145</v>
      </c>
      <c r="CT221">
        <v>52531.791599999997</v>
      </c>
      <c r="CU221">
        <v>3.13</v>
      </c>
      <c r="CV221">
        <v>45</v>
      </c>
      <c r="CX221" t="s">
        <v>206</v>
      </c>
      <c r="CY221">
        <v>596</v>
      </c>
    </row>
    <row r="222" spans="1:103" x14ac:dyDescent="0.25">
      <c r="A222" t="s">
        <v>106</v>
      </c>
      <c r="B222" s="38">
        <v>45204</v>
      </c>
      <c r="C222" s="43">
        <f>IF(YEAR(Таблица1[[#This Row],[Дата]])=2023,MONTH(Таблица1[[#This Row],[Дата]]),0)</f>
        <v>10</v>
      </c>
      <c r="D222" t="s">
        <v>2008</v>
      </c>
      <c r="E222" t="s">
        <v>108</v>
      </c>
      <c r="F222" t="s">
        <v>2009</v>
      </c>
      <c r="G222" t="s">
        <v>110</v>
      </c>
      <c r="H222" t="s">
        <v>111</v>
      </c>
      <c r="I222" t="s">
        <v>112</v>
      </c>
      <c r="J222" t="s">
        <v>112</v>
      </c>
      <c r="K222" t="s">
        <v>112</v>
      </c>
      <c r="L222" t="s">
        <v>150</v>
      </c>
      <c r="M222" t="s">
        <v>151</v>
      </c>
      <c r="N222" t="s">
        <v>112</v>
      </c>
      <c r="O222" t="s">
        <v>112</v>
      </c>
      <c r="P222">
        <v>1</v>
      </c>
      <c r="R222">
        <v>1</v>
      </c>
      <c r="S222">
        <v>33</v>
      </c>
      <c r="T222" t="s">
        <v>112</v>
      </c>
      <c r="U222" t="s">
        <v>152</v>
      </c>
      <c r="V222" t="s">
        <v>153</v>
      </c>
      <c r="W222" t="s">
        <v>154</v>
      </c>
      <c r="X222" t="s">
        <v>119</v>
      </c>
      <c r="Y222" t="s">
        <v>112</v>
      </c>
      <c r="Z222" t="s">
        <v>112</v>
      </c>
      <c r="AA222" t="s">
        <v>152</v>
      </c>
      <c r="AB222" t="s">
        <v>153</v>
      </c>
      <c r="AC222" t="s">
        <v>154</v>
      </c>
      <c r="AD222" t="s">
        <v>119</v>
      </c>
      <c r="AE222" t="s">
        <v>112</v>
      </c>
      <c r="AF222" t="s">
        <v>121</v>
      </c>
      <c r="AG222" t="s">
        <v>122</v>
      </c>
      <c r="AH222">
        <v>4651506.1399999997</v>
      </c>
      <c r="AI222" t="s">
        <v>112</v>
      </c>
      <c r="AJ222" t="s">
        <v>152</v>
      </c>
      <c r="AK222" t="s">
        <v>153</v>
      </c>
      <c r="AL222" t="s">
        <v>154</v>
      </c>
      <c r="AM222" t="s">
        <v>119</v>
      </c>
      <c r="AN222" t="s">
        <v>112</v>
      </c>
      <c r="AO222" t="s">
        <v>121</v>
      </c>
      <c r="AP222" t="s">
        <v>122</v>
      </c>
      <c r="AQ222" t="s">
        <v>122</v>
      </c>
      <c r="AR222" t="s">
        <v>124</v>
      </c>
      <c r="AS222" t="s">
        <v>125</v>
      </c>
      <c r="AT222">
        <v>2</v>
      </c>
      <c r="AU222" t="s">
        <v>126</v>
      </c>
      <c r="AV222" t="s">
        <v>155</v>
      </c>
      <c r="AW222" t="s">
        <v>156</v>
      </c>
      <c r="AY222" t="s">
        <v>129</v>
      </c>
      <c r="AZ222">
        <v>40972.17</v>
      </c>
      <c r="BC222">
        <v>102.24850000000001</v>
      </c>
      <c r="BD222" t="s">
        <v>112</v>
      </c>
      <c r="BE222" t="s">
        <v>112</v>
      </c>
      <c r="BF222" t="s">
        <v>157</v>
      </c>
      <c r="BG222" t="s">
        <v>133</v>
      </c>
      <c r="BH222" t="s">
        <v>134</v>
      </c>
      <c r="BI222" t="s">
        <v>112</v>
      </c>
      <c r="BJ222" t="s">
        <v>112</v>
      </c>
      <c r="BK222" t="s">
        <v>112</v>
      </c>
      <c r="BL222" t="s">
        <v>169</v>
      </c>
      <c r="BM222" t="s">
        <v>159</v>
      </c>
      <c r="BN222" t="s">
        <v>212</v>
      </c>
      <c r="BO222" t="s">
        <v>161</v>
      </c>
      <c r="BQ222" t="s">
        <v>232</v>
      </c>
      <c r="BR222" s="45">
        <f>ISNUMBER(SEARCH($BR$1,Таблица1[[#This Row],[31_1 Описание и характеристика товара]]))*1</f>
        <v>1</v>
      </c>
      <c r="BT222" t="s">
        <v>150</v>
      </c>
      <c r="BU222">
        <v>33</v>
      </c>
      <c r="BV222">
        <v>0</v>
      </c>
      <c r="BW222">
        <v>0</v>
      </c>
      <c r="BY222">
        <v>0</v>
      </c>
      <c r="CA222" t="s">
        <v>106</v>
      </c>
      <c r="CB222" t="s">
        <v>142</v>
      </c>
      <c r="CC222" t="s">
        <v>112</v>
      </c>
      <c r="CD222" t="s">
        <v>112</v>
      </c>
      <c r="CE222" t="s">
        <v>121</v>
      </c>
      <c r="CF222">
        <v>17210.150000000001</v>
      </c>
      <c r="CG222" t="s">
        <v>144</v>
      </c>
      <c r="CH222">
        <v>4000000</v>
      </c>
      <c r="CI222">
        <v>17166.95</v>
      </c>
      <c r="CJ222">
        <v>0</v>
      </c>
      <c r="CK222" t="s">
        <v>112</v>
      </c>
      <c r="CL222" t="s">
        <v>112</v>
      </c>
      <c r="CM222">
        <v>40972.17</v>
      </c>
      <c r="CO222">
        <v>0</v>
      </c>
      <c r="CP222">
        <v>1</v>
      </c>
      <c r="CQ222">
        <v>4651506.1399999997</v>
      </c>
      <c r="CR222">
        <v>48432.05</v>
      </c>
      <c r="CS222" t="s">
        <v>145</v>
      </c>
      <c r="CT222">
        <v>48410.798999999999</v>
      </c>
      <c r="CU222">
        <v>2.82</v>
      </c>
      <c r="CV222">
        <v>45</v>
      </c>
      <c r="CX222" t="s">
        <v>1140</v>
      </c>
      <c r="CY222">
        <v>212</v>
      </c>
    </row>
    <row r="223" spans="1:103" x14ac:dyDescent="0.25">
      <c r="A223" t="s">
        <v>106</v>
      </c>
      <c r="B223" s="38">
        <v>45212</v>
      </c>
      <c r="C223" s="43">
        <f>IF(YEAR(Таблица1[[#This Row],[Дата]])=2023,MONTH(Таблица1[[#This Row],[Дата]]),0)</f>
        <v>10</v>
      </c>
      <c r="D223" t="s">
        <v>2020</v>
      </c>
      <c r="E223" t="s">
        <v>108</v>
      </c>
      <c r="F223" t="s">
        <v>2021</v>
      </c>
      <c r="G223" t="s">
        <v>110</v>
      </c>
      <c r="H223" t="s">
        <v>111</v>
      </c>
      <c r="I223" t="s">
        <v>112</v>
      </c>
      <c r="J223" t="s">
        <v>112</v>
      </c>
      <c r="K223" t="s">
        <v>112</v>
      </c>
      <c r="L223" t="s">
        <v>150</v>
      </c>
      <c r="M223" t="s">
        <v>151</v>
      </c>
      <c r="N223" t="s">
        <v>112</v>
      </c>
      <c r="O223" t="s">
        <v>112</v>
      </c>
      <c r="P223">
        <v>1</v>
      </c>
      <c r="R223">
        <v>1</v>
      </c>
      <c r="S223">
        <v>33</v>
      </c>
      <c r="T223" t="s">
        <v>112</v>
      </c>
      <c r="U223" t="s">
        <v>152</v>
      </c>
      <c r="V223" t="s">
        <v>153</v>
      </c>
      <c r="W223" t="s">
        <v>154</v>
      </c>
      <c r="X223" t="s">
        <v>119</v>
      </c>
      <c r="Y223" t="s">
        <v>112</v>
      </c>
      <c r="Z223" t="s">
        <v>112</v>
      </c>
      <c r="AA223" t="s">
        <v>152</v>
      </c>
      <c r="AB223" t="s">
        <v>153</v>
      </c>
      <c r="AC223" t="s">
        <v>154</v>
      </c>
      <c r="AD223" t="s">
        <v>119</v>
      </c>
      <c r="AE223" t="s">
        <v>112</v>
      </c>
      <c r="AF223" t="s">
        <v>121</v>
      </c>
      <c r="AG223" t="s">
        <v>122</v>
      </c>
      <c r="AH223">
        <v>4301301.97</v>
      </c>
      <c r="AI223" t="s">
        <v>112</v>
      </c>
      <c r="AJ223" t="s">
        <v>152</v>
      </c>
      <c r="AK223" t="s">
        <v>153</v>
      </c>
      <c r="AL223" t="s">
        <v>154</v>
      </c>
      <c r="AM223" t="s">
        <v>119</v>
      </c>
      <c r="AN223" t="s">
        <v>112</v>
      </c>
      <c r="AO223" t="s">
        <v>121</v>
      </c>
      <c r="AP223" t="s">
        <v>122</v>
      </c>
      <c r="AQ223" t="s">
        <v>122</v>
      </c>
      <c r="AR223" t="s">
        <v>124</v>
      </c>
      <c r="AS223" t="s">
        <v>125</v>
      </c>
      <c r="AT223">
        <v>2</v>
      </c>
      <c r="AU223" t="s">
        <v>126</v>
      </c>
      <c r="AV223" t="s">
        <v>155</v>
      </c>
      <c r="AW223" t="s">
        <v>156</v>
      </c>
      <c r="AY223" t="s">
        <v>129</v>
      </c>
      <c r="AZ223">
        <v>37417.14</v>
      </c>
      <c r="BC223">
        <v>102.24850000000001</v>
      </c>
      <c r="BD223" t="s">
        <v>112</v>
      </c>
      <c r="BE223" t="s">
        <v>112</v>
      </c>
      <c r="BF223" t="s">
        <v>157</v>
      </c>
      <c r="BG223" t="s">
        <v>133</v>
      </c>
      <c r="BH223" t="s">
        <v>167</v>
      </c>
      <c r="BI223" t="s">
        <v>112</v>
      </c>
      <c r="BJ223" t="s">
        <v>112</v>
      </c>
      <c r="BK223" t="s">
        <v>112</v>
      </c>
      <c r="BL223" t="s">
        <v>169</v>
      </c>
      <c r="BM223" t="s">
        <v>159</v>
      </c>
      <c r="BN223" t="s">
        <v>160</v>
      </c>
      <c r="BO223" t="s">
        <v>161</v>
      </c>
      <c r="BQ223" t="s">
        <v>281</v>
      </c>
      <c r="BR223" s="45">
        <f>ISNUMBER(SEARCH($BR$1,Таблица1[[#This Row],[31_1 Описание и характеристика товара]]))*1</f>
        <v>1</v>
      </c>
      <c r="BT223" t="s">
        <v>150</v>
      </c>
      <c r="BU223">
        <v>33</v>
      </c>
      <c r="BV223">
        <v>0</v>
      </c>
      <c r="BW223">
        <v>0</v>
      </c>
      <c r="BY223">
        <v>0</v>
      </c>
      <c r="CA223" t="s">
        <v>106</v>
      </c>
      <c r="CB223" t="s">
        <v>142</v>
      </c>
      <c r="CC223" t="s">
        <v>112</v>
      </c>
      <c r="CD223" t="s">
        <v>112</v>
      </c>
      <c r="CE223" t="s">
        <v>121</v>
      </c>
      <c r="CF223">
        <v>17591.919999999998</v>
      </c>
      <c r="CG223" t="s">
        <v>144</v>
      </c>
      <c r="CH223">
        <v>4000000</v>
      </c>
      <c r="CI223">
        <v>17591.919999999998</v>
      </c>
      <c r="CJ223">
        <v>0</v>
      </c>
      <c r="CK223" t="s">
        <v>112</v>
      </c>
      <c r="CL223" t="s">
        <v>112</v>
      </c>
      <c r="CM223">
        <v>37417.14</v>
      </c>
      <c r="CO223">
        <v>0</v>
      </c>
      <c r="CP223">
        <v>1</v>
      </c>
      <c r="CQ223">
        <v>4301301.97</v>
      </c>
      <c r="CR223">
        <v>44785.68</v>
      </c>
      <c r="CS223" t="s">
        <v>145</v>
      </c>
      <c r="CT223">
        <v>44859.395999999993</v>
      </c>
      <c r="CU223">
        <v>2.5499999999999998</v>
      </c>
      <c r="CV223">
        <v>45</v>
      </c>
      <c r="CX223" t="s">
        <v>729</v>
      </c>
      <c r="CY223">
        <v>212</v>
      </c>
    </row>
    <row r="224" spans="1:103" x14ac:dyDescent="0.25">
      <c r="A224" t="s">
        <v>106</v>
      </c>
      <c r="B224" s="38">
        <v>45278</v>
      </c>
      <c r="C224" s="43">
        <f>IF(YEAR(Таблица1[[#This Row],[Дата]])=2023,MONTH(Таблица1[[#This Row],[Дата]]),0)</f>
        <v>12</v>
      </c>
      <c r="D224" t="s">
        <v>2045</v>
      </c>
      <c r="E224" t="s">
        <v>108</v>
      </c>
      <c r="F224" t="s">
        <v>2046</v>
      </c>
      <c r="G224" t="s">
        <v>110</v>
      </c>
      <c r="H224" t="s">
        <v>111</v>
      </c>
      <c r="I224" t="s">
        <v>112</v>
      </c>
      <c r="J224" t="s">
        <v>112</v>
      </c>
      <c r="K224" t="s">
        <v>112</v>
      </c>
      <c r="L224" t="s">
        <v>150</v>
      </c>
      <c r="M224" t="s">
        <v>151</v>
      </c>
      <c r="N224" t="s">
        <v>112</v>
      </c>
      <c r="O224" t="s">
        <v>112</v>
      </c>
      <c r="P224">
        <v>1</v>
      </c>
      <c r="R224">
        <v>1</v>
      </c>
      <c r="S224">
        <v>33</v>
      </c>
      <c r="T224" t="s">
        <v>112</v>
      </c>
      <c r="U224" t="s">
        <v>152</v>
      </c>
      <c r="V224" t="s">
        <v>153</v>
      </c>
      <c r="W224" t="s">
        <v>154</v>
      </c>
      <c r="X224" t="s">
        <v>119</v>
      </c>
      <c r="Y224" t="s">
        <v>112</v>
      </c>
      <c r="Z224" t="s">
        <v>112</v>
      </c>
      <c r="AA224" t="s">
        <v>152</v>
      </c>
      <c r="AB224" t="s">
        <v>153</v>
      </c>
      <c r="AC224" t="s">
        <v>154</v>
      </c>
      <c r="AD224" t="s">
        <v>119</v>
      </c>
      <c r="AE224" t="s">
        <v>112</v>
      </c>
      <c r="AF224" t="s">
        <v>121</v>
      </c>
      <c r="AG224" t="s">
        <v>122</v>
      </c>
      <c r="AH224">
        <v>4934410.37</v>
      </c>
      <c r="AI224" t="s">
        <v>112</v>
      </c>
      <c r="AJ224" t="s">
        <v>152</v>
      </c>
      <c r="AK224" t="s">
        <v>153</v>
      </c>
      <c r="AL224" t="s">
        <v>154</v>
      </c>
      <c r="AM224" t="s">
        <v>119</v>
      </c>
      <c r="AN224" t="s">
        <v>112</v>
      </c>
      <c r="AO224" t="s">
        <v>121</v>
      </c>
      <c r="AP224" t="s">
        <v>122</v>
      </c>
      <c r="AQ224" t="s">
        <v>122</v>
      </c>
      <c r="AR224" t="s">
        <v>124</v>
      </c>
      <c r="AS224" t="s">
        <v>125</v>
      </c>
      <c r="AT224">
        <v>2</v>
      </c>
      <c r="AU224" t="s">
        <v>126</v>
      </c>
      <c r="AV224" t="s">
        <v>155</v>
      </c>
      <c r="AW224" t="s">
        <v>156</v>
      </c>
      <c r="AY224" t="s">
        <v>129</v>
      </c>
      <c r="AZ224">
        <v>44129</v>
      </c>
      <c r="BC224">
        <v>102.24850000000001</v>
      </c>
      <c r="BD224" t="s">
        <v>112</v>
      </c>
      <c r="BE224" t="s">
        <v>112</v>
      </c>
      <c r="BF224" t="s">
        <v>157</v>
      </c>
      <c r="BG224" t="s">
        <v>133</v>
      </c>
      <c r="BH224" t="s">
        <v>167</v>
      </c>
      <c r="BI224" t="s">
        <v>112</v>
      </c>
      <c r="BJ224" t="s">
        <v>112</v>
      </c>
      <c r="BK224" t="s">
        <v>112</v>
      </c>
      <c r="BL224" t="s">
        <v>169</v>
      </c>
      <c r="BM224" t="s">
        <v>159</v>
      </c>
      <c r="BN224" t="s">
        <v>160</v>
      </c>
      <c r="BO224" t="s">
        <v>161</v>
      </c>
      <c r="BQ224" t="s">
        <v>205</v>
      </c>
      <c r="BR224" s="45">
        <f>ISNUMBER(SEARCH($BR$1,Таблица1[[#This Row],[31_1 Описание и характеристика товара]]))*1</f>
        <v>1</v>
      </c>
      <c r="BT224" t="s">
        <v>150</v>
      </c>
      <c r="BU224">
        <v>33</v>
      </c>
      <c r="BV224">
        <v>0</v>
      </c>
      <c r="BW224">
        <v>0</v>
      </c>
      <c r="BY224">
        <v>0</v>
      </c>
      <c r="CA224" t="s">
        <v>106</v>
      </c>
      <c r="CB224" t="s">
        <v>142</v>
      </c>
      <c r="CC224" t="s">
        <v>112</v>
      </c>
      <c r="CD224" t="s">
        <v>112</v>
      </c>
      <c r="CE224" t="s">
        <v>121</v>
      </c>
      <c r="CF224">
        <v>16794.900000000001</v>
      </c>
      <c r="CG224" t="s">
        <v>144</v>
      </c>
      <c r="CH224">
        <v>4000000</v>
      </c>
      <c r="CI224">
        <v>16730.099999999999</v>
      </c>
      <c r="CJ224">
        <v>0</v>
      </c>
      <c r="CK224" t="s">
        <v>112</v>
      </c>
      <c r="CL224" t="s">
        <v>112</v>
      </c>
      <c r="CM224">
        <v>44129</v>
      </c>
      <c r="CO224">
        <v>0</v>
      </c>
      <c r="CP224">
        <v>1</v>
      </c>
      <c r="CQ224">
        <v>4934410.37</v>
      </c>
      <c r="CR224">
        <v>51377.68</v>
      </c>
      <c r="CS224" t="s">
        <v>145</v>
      </c>
      <c r="CT224">
        <v>51361.406999999992</v>
      </c>
      <c r="CU224">
        <v>3.07</v>
      </c>
      <c r="CV224">
        <v>45</v>
      </c>
      <c r="CX224" t="s">
        <v>729</v>
      </c>
      <c r="CY224">
        <v>587</v>
      </c>
    </row>
    <row r="225" spans="1:103" x14ac:dyDescent="0.25">
      <c r="A225" t="s">
        <v>106</v>
      </c>
      <c r="B225" s="38">
        <v>44701</v>
      </c>
      <c r="C225" s="43">
        <f>IF(YEAR(Таблица1[[#This Row],[Дата]])=2023,MONTH(Таблица1[[#This Row],[Дата]]),0)</f>
        <v>0</v>
      </c>
      <c r="D225" t="s">
        <v>2053</v>
      </c>
      <c r="E225" t="s">
        <v>108</v>
      </c>
      <c r="F225" t="s">
        <v>2054</v>
      </c>
      <c r="G225" t="s">
        <v>110</v>
      </c>
      <c r="H225" t="s">
        <v>111</v>
      </c>
      <c r="I225" t="s">
        <v>112</v>
      </c>
      <c r="J225" t="s">
        <v>112</v>
      </c>
      <c r="K225" t="s">
        <v>112</v>
      </c>
      <c r="L225" t="s">
        <v>150</v>
      </c>
      <c r="M225" t="s">
        <v>151</v>
      </c>
      <c r="N225" t="s">
        <v>112</v>
      </c>
      <c r="O225" t="s">
        <v>112</v>
      </c>
      <c r="P225">
        <v>1</v>
      </c>
      <c r="R225">
        <v>1</v>
      </c>
      <c r="S225">
        <v>33</v>
      </c>
      <c r="T225" t="s">
        <v>112</v>
      </c>
      <c r="U225" t="s">
        <v>152</v>
      </c>
      <c r="V225" t="s">
        <v>153</v>
      </c>
      <c r="W225" t="s">
        <v>154</v>
      </c>
      <c r="X225" t="s">
        <v>119</v>
      </c>
      <c r="Y225" t="s">
        <v>112</v>
      </c>
      <c r="Z225" t="s">
        <v>112</v>
      </c>
      <c r="AA225" t="s">
        <v>152</v>
      </c>
      <c r="AB225" t="s">
        <v>153</v>
      </c>
      <c r="AC225" t="s">
        <v>154</v>
      </c>
      <c r="AD225" t="s">
        <v>119</v>
      </c>
      <c r="AE225" t="s">
        <v>112</v>
      </c>
      <c r="AF225" t="s">
        <v>121</v>
      </c>
      <c r="AG225" t="s">
        <v>122</v>
      </c>
      <c r="AH225">
        <v>4056705.15</v>
      </c>
      <c r="AI225" t="s">
        <v>112</v>
      </c>
      <c r="AJ225" t="s">
        <v>152</v>
      </c>
      <c r="AK225" t="s">
        <v>153</v>
      </c>
      <c r="AL225" t="s">
        <v>154</v>
      </c>
      <c r="AM225" t="s">
        <v>119</v>
      </c>
      <c r="AN225" t="s">
        <v>112</v>
      </c>
      <c r="AO225" t="s">
        <v>121</v>
      </c>
      <c r="AP225" t="s">
        <v>122</v>
      </c>
      <c r="AQ225" t="s">
        <v>122</v>
      </c>
      <c r="AR225" t="s">
        <v>124</v>
      </c>
      <c r="AS225" t="s">
        <v>125</v>
      </c>
      <c r="AT225">
        <v>2</v>
      </c>
      <c r="AU225" t="s">
        <v>126</v>
      </c>
      <c r="AV225" t="s">
        <v>155</v>
      </c>
      <c r="AW225" t="s">
        <v>156</v>
      </c>
      <c r="AY225" t="s">
        <v>129</v>
      </c>
      <c r="AZ225">
        <v>35544.959999999999</v>
      </c>
      <c r="BC225">
        <v>102.24850000000001</v>
      </c>
      <c r="BD225" t="s">
        <v>112</v>
      </c>
      <c r="BE225" t="s">
        <v>112</v>
      </c>
      <c r="BF225" t="s">
        <v>157</v>
      </c>
      <c r="BG225" t="s">
        <v>133</v>
      </c>
      <c r="BH225" t="s">
        <v>134</v>
      </c>
      <c r="BI225" t="s">
        <v>112</v>
      </c>
      <c r="BJ225" t="s">
        <v>112</v>
      </c>
      <c r="BK225" t="s">
        <v>112</v>
      </c>
      <c r="BL225" t="s">
        <v>169</v>
      </c>
      <c r="BM225" t="s">
        <v>159</v>
      </c>
      <c r="BN225" t="s">
        <v>212</v>
      </c>
      <c r="BO225" t="s">
        <v>161</v>
      </c>
      <c r="BQ225" t="s">
        <v>616</v>
      </c>
      <c r="BR225" s="45">
        <f>ISNUMBER(SEARCH($BR$1,Таблица1[[#This Row],[31_1 Описание и характеристика товара]]))*1</f>
        <v>1</v>
      </c>
      <c r="BT225" t="s">
        <v>150</v>
      </c>
      <c r="BU225">
        <v>33</v>
      </c>
      <c r="BV225">
        <v>0</v>
      </c>
      <c r="BW225">
        <v>0</v>
      </c>
      <c r="BY225">
        <v>0</v>
      </c>
      <c r="CA225" t="s">
        <v>106</v>
      </c>
      <c r="CB225" t="s">
        <v>142</v>
      </c>
      <c r="CC225" t="s">
        <v>112</v>
      </c>
      <c r="CD225" t="s">
        <v>112</v>
      </c>
      <c r="CE225" t="s">
        <v>121</v>
      </c>
      <c r="CF225">
        <v>17353.91</v>
      </c>
      <c r="CG225" t="s">
        <v>144</v>
      </c>
      <c r="CH225">
        <v>4000000</v>
      </c>
      <c r="CI225">
        <v>17353.91</v>
      </c>
      <c r="CJ225">
        <v>0</v>
      </c>
      <c r="CK225" t="s">
        <v>112</v>
      </c>
      <c r="CL225" t="s">
        <v>112</v>
      </c>
      <c r="CM225">
        <v>35544.959999999999</v>
      </c>
      <c r="CO225">
        <v>0</v>
      </c>
      <c r="CP225">
        <v>1</v>
      </c>
      <c r="CQ225">
        <v>4056705.15</v>
      </c>
      <c r="CR225">
        <v>42238.91</v>
      </c>
      <c r="CS225" t="s">
        <v>145</v>
      </c>
      <c r="CT225">
        <v>42170.001300000004</v>
      </c>
      <c r="CU225">
        <v>2.4300000000000002</v>
      </c>
      <c r="CV225">
        <v>45</v>
      </c>
      <c r="CX225" t="s">
        <v>163</v>
      </c>
      <c r="CY225">
        <v>245</v>
      </c>
    </row>
    <row r="226" spans="1:103" x14ac:dyDescent="0.25">
      <c r="A226" t="s">
        <v>106</v>
      </c>
      <c r="B226" s="38">
        <v>44800</v>
      </c>
      <c r="C226" s="43">
        <f>IF(YEAR(Таблица1[[#This Row],[Дата]])=2023,MONTH(Таблица1[[#This Row],[Дата]]),0)</f>
        <v>0</v>
      </c>
      <c r="D226" t="s">
        <v>2047</v>
      </c>
      <c r="E226" t="s">
        <v>108</v>
      </c>
      <c r="F226" t="s">
        <v>2048</v>
      </c>
      <c r="G226" t="s">
        <v>110</v>
      </c>
      <c r="H226" t="s">
        <v>111</v>
      </c>
      <c r="I226" t="s">
        <v>112</v>
      </c>
      <c r="J226" t="s">
        <v>112</v>
      </c>
      <c r="K226" t="s">
        <v>112</v>
      </c>
      <c r="L226" t="s">
        <v>150</v>
      </c>
      <c r="M226" t="s">
        <v>151</v>
      </c>
      <c r="N226" t="s">
        <v>112</v>
      </c>
      <c r="O226" t="s">
        <v>112</v>
      </c>
      <c r="P226">
        <v>1</v>
      </c>
      <c r="R226">
        <v>1</v>
      </c>
      <c r="S226">
        <v>33</v>
      </c>
      <c r="T226" t="s">
        <v>112</v>
      </c>
      <c r="U226" t="s">
        <v>152</v>
      </c>
      <c r="V226" t="s">
        <v>153</v>
      </c>
      <c r="W226" t="s">
        <v>154</v>
      </c>
      <c r="X226" t="s">
        <v>119</v>
      </c>
      <c r="Y226" t="s">
        <v>112</v>
      </c>
      <c r="Z226" t="s">
        <v>112</v>
      </c>
      <c r="AA226" t="s">
        <v>152</v>
      </c>
      <c r="AB226" t="s">
        <v>153</v>
      </c>
      <c r="AC226" t="s">
        <v>154</v>
      </c>
      <c r="AD226" t="s">
        <v>119</v>
      </c>
      <c r="AE226" t="s">
        <v>112</v>
      </c>
      <c r="AF226" t="s">
        <v>121</v>
      </c>
      <c r="AG226" t="s">
        <v>122</v>
      </c>
      <c r="AH226">
        <v>4056705.15</v>
      </c>
      <c r="AI226" t="s">
        <v>112</v>
      </c>
      <c r="AJ226" t="s">
        <v>152</v>
      </c>
      <c r="AK226" t="s">
        <v>153</v>
      </c>
      <c r="AL226" t="s">
        <v>154</v>
      </c>
      <c r="AM226" t="s">
        <v>119</v>
      </c>
      <c r="AN226" t="s">
        <v>112</v>
      </c>
      <c r="AO226" t="s">
        <v>121</v>
      </c>
      <c r="AP226" t="s">
        <v>122</v>
      </c>
      <c r="AQ226" t="s">
        <v>122</v>
      </c>
      <c r="AR226" t="s">
        <v>124</v>
      </c>
      <c r="AS226" t="s">
        <v>125</v>
      </c>
      <c r="AT226">
        <v>2</v>
      </c>
      <c r="AU226" t="s">
        <v>126</v>
      </c>
      <c r="AV226" t="s">
        <v>155</v>
      </c>
      <c r="AW226" t="s">
        <v>156</v>
      </c>
      <c r="AY226" t="s">
        <v>129</v>
      </c>
      <c r="AZ226">
        <v>35544.959999999999</v>
      </c>
      <c r="BC226">
        <v>102.24850000000001</v>
      </c>
      <c r="BD226" t="s">
        <v>112</v>
      </c>
      <c r="BE226" t="s">
        <v>112</v>
      </c>
      <c r="BF226" t="s">
        <v>157</v>
      </c>
      <c r="BG226" t="s">
        <v>133</v>
      </c>
      <c r="BH226" t="s">
        <v>167</v>
      </c>
      <c r="BI226" t="s">
        <v>112</v>
      </c>
      <c r="BJ226" t="s">
        <v>112</v>
      </c>
      <c r="BK226" t="s">
        <v>112</v>
      </c>
      <c r="BL226" t="s">
        <v>169</v>
      </c>
      <c r="BM226" t="s">
        <v>159</v>
      </c>
      <c r="BN226" t="s">
        <v>160</v>
      </c>
      <c r="BO226" t="s">
        <v>161</v>
      </c>
      <c r="BQ226" t="s">
        <v>281</v>
      </c>
      <c r="BR226" s="45">
        <f>ISNUMBER(SEARCH($BR$1,Таблица1[[#This Row],[31_1 Описание и характеристика товара]]))*1</f>
        <v>1</v>
      </c>
      <c r="BT226" t="s">
        <v>150</v>
      </c>
      <c r="BU226">
        <v>33</v>
      </c>
      <c r="BV226">
        <v>0</v>
      </c>
      <c r="BW226">
        <v>0</v>
      </c>
      <c r="BY226">
        <v>0</v>
      </c>
      <c r="CA226" t="s">
        <v>106</v>
      </c>
      <c r="CB226" t="s">
        <v>142</v>
      </c>
      <c r="CC226" t="s">
        <v>112</v>
      </c>
      <c r="CD226" t="s">
        <v>112</v>
      </c>
      <c r="CE226" t="s">
        <v>121</v>
      </c>
      <c r="CF226">
        <v>17353.91</v>
      </c>
      <c r="CG226" t="s">
        <v>144</v>
      </c>
      <c r="CH226">
        <v>4000000</v>
      </c>
      <c r="CI226">
        <v>17353.91</v>
      </c>
      <c r="CJ226">
        <v>0</v>
      </c>
      <c r="CK226" t="s">
        <v>112</v>
      </c>
      <c r="CL226" t="s">
        <v>112</v>
      </c>
      <c r="CM226">
        <v>35544.959999999999</v>
      </c>
      <c r="CO226">
        <v>0</v>
      </c>
      <c r="CP226">
        <v>1</v>
      </c>
      <c r="CQ226">
        <v>4056705.15</v>
      </c>
      <c r="CR226">
        <v>42238.91</v>
      </c>
      <c r="CS226" t="s">
        <v>145</v>
      </c>
      <c r="CT226">
        <v>42170.001300000004</v>
      </c>
      <c r="CU226">
        <v>2.4300000000000002</v>
      </c>
      <c r="CV226">
        <v>45</v>
      </c>
      <c r="CX226" t="s">
        <v>233</v>
      </c>
      <c r="CY226">
        <v>229</v>
      </c>
    </row>
    <row r="227" spans="1:103" x14ac:dyDescent="0.25">
      <c r="A227" t="s">
        <v>106</v>
      </c>
      <c r="B227" s="38">
        <v>45227</v>
      </c>
      <c r="C227" s="43">
        <f>IF(YEAR(Таблица1[[#This Row],[Дата]])=2023,MONTH(Таблица1[[#This Row],[Дата]]),0)</f>
        <v>10</v>
      </c>
      <c r="D227" t="s">
        <v>2022</v>
      </c>
      <c r="E227" t="s">
        <v>108</v>
      </c>
      <c r="F227" t="s">
        <v>2023</v>
      </c>
      <c r="G227" t="s">
        <v>110</v>
      </c>
      <c r="H227" t="s">
        <v>111</v>
      </c>
      <c r="I227" t="s">
        <v>112</v>
      </c>
      <c r="J227" t="s">
        <v>112</v>
      </c>
      <c r="K227" t="s">
        <v>112</v>
      </c>
      <c r="L227" t="s">
        <v>150</v>
      </c>
      <c r="M227" t="s">
        <v>151</v>
      </c>
      <c r="N227" t="s">
        <v>112</v>
      </c>
      <c r="O227" t="s">
        <v>112</v>
      </c>
      <c r="P227">
        <v>1</v>
      </c>
      <c r="R227">
        <v>1</v>
      </c>
      <c r="S227">
        <v>33</v>
      </c>
      <c r="T227" t="s">
        <v>112</v>
      </c>
      <c r="U227" t="s">
        <v>152</v>
      </c>
      <c r="V227" t="s">
        <v>153</v>
      </c>
      <c r="W227" t="s">
        <v>154</v>
      </c>
      <c r="X227" t="s">
        <v>119</v>
      </c>
      <c r="Y227" t="s">
        <v>112</v>
      </c>
      <c r="Z227" t="s">
        <v>112</v>
      </c>
      <c r="AA227" t="s">
        <v>152</v>
      </c>
      <c r="AB227" t="s">
        <v>153</v>
      </c>
      <c r="AC227" t="s">
        <v>154</v>
      </c>
      <c r="AD227" t="s">
        <v>119</v>
      </c>
      <c r="AE227" t="s">
        <v>112</v>
      </c>
      <c r="AF227" t="s">
        <v>121</v>
      </c>
      <c r="AG227" t="s">
        <v>122</v>
      </c>
      <c r="AH227">
        <v>5500485.6699999999</v>
      </c>
      <c r="AI227" t="s">
        <v>112</v>
      </c>
      <c r="AJ227" t="s">
        <v>152</v>
      </c>
      <c r="AK227" t="s">
        <v>153</v>
      </c>
      <c r="AL227" t="s">
        <v>154</v>
      </c>
      <c r="AM227" t="s">
        <v>119</v>
      </c>
      <c r="AN227" t="s">
        <v>112</v>
      </c>
      <c r="AO227" t="s">
        <v>121</v>
      </c>
      <c r="AP227" t="s">
        <v>122</v>
      </c>
      <c r="AQ227" t="s">
        <v>122</v>
      </c>
      <c r="AR227" t="s">
        <v>124</v>
      </c>
      <c r="AS227" t="s">
        <v>125</v>
      </c>
      <c r="AT227">
        <v>2</v>
      </c>
      <c r="AU227" t="s">
        <v>126</v>
      </c>
      <c r="AV227" t="s">
        <v>155</v>
      </c>
      <c r="AW227" t="s">
        <v>156</v>
      </c>
      <c r="AY227" t="s">
        <v>129</v>
      </c>
      <c r="AZ227">
        <v>49665.27</v>
      </c>
      <c r="BC227">
        <v>102.24850000000001</v>
      </c>
      <c r="BD227" t="s">
        <v>112</v>
      </c>
      <c r="BE227" t="s">
        <v>112</v>
      </c>
      <c r="BF227" t="s">
        <v>157</v>
      </c>
      <c r="BG227" t="s">
        <v>133</v>
      </c>
      <c r="BH227" t="s">
        <v>167</v>
      </c>
      <c r="BI227" t="s">
        <v>112</v>
      </c>
      <c r="BJ227" t="s">
        <v>112</v>
      </c>
      <c r="BK227" t="s">
        <v>112</v>
      </c>
      <c r="BL227" t="s">
        <v>169</v>
      </c>
      <c r="BM227" t="s">
        <v>159</v>
      </c>
      <c r="BN227" t="s">
        <v>160</v>
      </c>
      <c r="BO227" t="s">
        <v>161</v>
      </c>
      <c r="BQ227" t="s">
        <v>205</v>
      </c>
      <c r="BR227" s="45">
        <f>ISNUMBER(SEARCH($BR$1,Таблица1[[#This Row],[31_1 Описание и характеристика товара]]))*1</f>
        <v>1</v>
      </c>
      <c r="BT227" t="s">
        <v>150</v>
      </c>
      <c r="BU227">
        <v>33</v>
      </c>
      <c r="BV227">
        <v>0</v>
      </c>
      <c r="BW227">
        <v>0</v>
      </c>
      <c r="BY227">
        <v>0</v>
      </c>
      <c r="CA227" t="s">
        <v>106</v>
      </c>
      <c r="CB227" t="s">
        <v>142</v>
      </c>
      <c r="CC227" t="s">
        <v>112</v>
      </c>
      <c r="CD227" t="s">
        <v>112</v>
      </c>
      <c r="CE227" t="s">
        <v>121</v>
      </c>
      <c r="CF227">
        <v>17027.7</v>
      </c>
      <c r="CG227" t="s">
        <v>144</v>
      </c>
      <c r="CH227">
        <v>4000000</v>
      </c>
      <c r="CI227">
        <v>17027.7</v>
      </c>
      <c r="CJ227">
        <v>0</v>
      </c>
      <c r="CK227" t="s">
        <v>112</v>
      </c>
      <c r="CL227" t="s">
        <v>112</v>
      </c>
      <c r="CM227">
        <v>49665.27</v>
      </c>
      <c r="CO227">
        <v>0</v>
      </c>
      <c r="CP227">
        <v>1</v>
      </c>
      <c r="CQ227">
        <v>5500485.6699999999</v>
      </c>
      <c r="CR227">
        <v>57271.73</v>
      </c>
      <c r="CS227" t="s">
        <v>145</v>
      </c>
      <c r="CT227">
        <v>57213.072</v>
      </c>
      <c r="CU227">
        <v>3.36</v>
      </c>
      <c r="CV227">
        <v>45</v>
      </c>
      <c r="CX227" t="s">
        <v>233</v>
      </c>
      <c r="CY227">
        <v>130</v>
      </c>
    </row>
    <row r="228" spans="1:103" x14ac:dyDescent="0.25">
      <c r="A228" t="s">
        <v>106</v>
      </c>
      <c r="B228" s="38">
        <v>44885</v>
      </c>
      <c r="C228" s="43">
        <f>IF(YEAR(Таблица1[[#This Row],[Дата]])=2023,MONTH(Таблица1[[#This Row],[Дата]]),0)</f>
        <v>0</v>
      </c>
      <c r="D228" t="s">
        <v>2051</v>
      </c>
      <c r="E228" t="s">
        <v>108</v>
      </c>
      <c r="F228" t="s">
        <v>2052</v>
      </c>
      <c r="G228" t="s">
        <v>110</v>
      </c>
      <c r="H228" t="s">
        <v>111</v>
      </c>
      <c r="I228" t="s">
        <v>112</v>
      </c>
      <c r="J228" t="s">
        <v>112</v>
      </c>
      <c r="K228" t="s">
        <v>112</v>
      </c>
      <c r="L228" t="s">
        <v>150</v>
      </c>
      <c r="M228" t="s">
        <v>151</v>
      </c>
      <c r="N228" t="s">
        <v>112</v>
      </c>
      <c r="O228" t="s">
        <v>112</v>
      </c>
      <c r="P228">
        <v>1</v>
      </c>
      <c r="R228">
        <v>1</v>
      </c>
      <c r="S228">
        <v>33</v>
      </c>
      <c r="T228" t="s">
        <v>112</v>
      </c>
      <c r="U228" t="s">
        <v>152</v>
      </c>
      <c r="V228" t="s">
        <v>153</v>
      </c>
      <c r="W228" t="s">
        <v>154</v>
      </c>
      <c r="X228" t="s">
        <v>119</v>
      </c>
      <c r="Y228" t="s">
        <v>112</v>
      </c>
      <c r="Z228" t="s">
        <v>112</v>
      </c>
      <c r="AA228" t="s">
        <v>152</v>
      </c>
      <c r="AB228" t="s">
        <v>153</v>
      </c>
      <c r="AC228" t="s">
        <v>154</v>
      </c>
      <c r="AD228" t="s">
        <v>119</v>
      </c>
      <c r="AE228" t="s">
        <v>112</v>
      </c>
      <c r="AF228" t="s">
        <v>121</v>
      </c>
      <c r="AG228" t="s">
        <v>122</v>
      </c>
      <c r="AH228">
        <v>5278865.1100000003</v>
      </c>
      <c r="AI228" t="s">
        <v>112</v>
      </c>
      <c r="AJ228" t="s">
        <v>152</v>
      </c>
      <c r="AK228" t="s">
        <v>153</v>
      </c>
      <c r="AL228" t="s">
        <v>154</v>
      </c>
      <c r="AM228" t="s">
        <v>119</v>
      </c>
      <c r="AN228" t="s">
        <v>112</v>
      </c>
      <c r="AO228" t="s">
        <v>121</v>
      </c>
      <c r="AP228" t="s">
        <v>122</v>
      </c>
      <c r="AQ228" t="s">
        <v>122</v>
      </c>
      <c r="AR228" t="s">
        <v>124</v>
      </c>
      <c r="AS228" t="s">
        <v>125</v>
      </c>
      <c r="AT228">
        <v>2</v>
      </c>
      <c r="AU228" t="s">
        <v>126</v>
      </c>
      <c r="AV228" t="s">
        <v>155</v>
      </c>
      <c r="AW228" t="s">
        <v>156</v>
      </c>
      <c r="AY228" t="s">
        <v>129</v>
      </c>
      <c r="AZ228">
        <v>47497.8</v>
      </c>
      <c r="BC228">
        <v>102.24850000000001</v>
      </c>
      <c r="BD228" t="s">
        <v>112</v>
      </c>
      <c r="BE228" t="s">
        <v>112</v>
      </c>
      <c r="BF228" t="s">
        <v>157</v>
      </c>
      <c r="BG228" t="s">
        <v>133</v>
      </c>
      <c r="BH228" t="s">
        <v>167</v>
      </c>
      <c r="BI228" t="s">
        <v>112</v>
      </c>
      <c r="BJ228" t="s">
        <v>112</v>
      </c>
      <c r="BK228" t="s">
        <v>112</v>
      </c>
      <c r="BL228" t="s">
        <v>169</v>
      </c>
      <c r="BM228" t="s">
        <v>159</v>
      </c>
      <c r="BN228" t="s">
        <v>160</v>
      </c>
      <c r="BO228" t="s">
        <v>161</v>
      </c>
      <c r="BQ228" t="s">
        <v>162</v>
      </c>
      <c r="BR228" s="45">
        <f>ISNUMBER(SEARCH($BR$1,Таблица1[[#This Row],[31_1 Описание и характеристика товара]]))*1</f>
        <v>1</v>
      </c>
      <c r="BT228" t="s">
        <v>150</v>
      </c>
      <c r="BU228">
        <v>33</v>
      </c>
      <c r="BV228">
        <v>0</v>
      </c>
      <c r="BW228">
        <v>0</v>
      </c>
      <c r="BY228">
        <v>0</v>
      </c>
      <c r="CA228" t="s">
        <v>106</v>
      </c>
      <c r="CB228" t="s">
        <v>142</v>
      </c>
      <c r="CC228" t="s">
        <v>112</v>
      </c>
      <c r="CD228" t="s">
        <v>112</v>
      </c>
      <c r="CE228" t="s">
        <v>121</v>
      </c>
      <c r="CF228">
        <v>16525.080000000002</v>
      </c>
      <c r="CG228" t="s">
        <v>144</v>
      </c>
      <c r="CH228">
        <v>4000000</v>
      </c>
      <c r="CI228">
        <v>16525.080000000002</v>
      </c>
      <c r="CJ228">
        <v>0</v>
      </c>
      <c r="CK228" t="s">
        <v>112</v>
      </c>
      <c r="CL228" t="s">
        <v>112</v>
      </c>
      <c r="CM228">
        <v>47497.8</v>
      </c>
      <c r="CO228">
        <v>0</v>
      </c>
      <c r="CP228">
        <v>1</v>
      </c>
      <c r="CQ228">
        <v>5278865.1100000003</v>
      </c>
      <c r="CR228">
        <v>54964.19</v>
      </c>
      <c r="CS228" t="s">
        <v>145</v>
      </c>
      <c r="CT228">
        <v>55028.516400000008</v>
      </c>
      <c r="CU228">
        <v>3.33</v>
      </c>
      <c r="CV228">
        <v>45</v>
      </c>
      <c r="CX228" t="s">
        <v>1140</v>
      </c>
      <c r="CY228">
        <v>130</v>
      </c>
    </row>
    <row r="229" spans="1:103" x14ac:dyDescent="0.25">
      <c r="A229" t="s">
        <v>106</v>
      </c>
      <c r="B229" s="38">
        <v>44994</v>
      </c>
      <c r="C229" s="43">
        <f>IF(YEAR(Таблица1[[#This Row],[Дата]])=2023,MONTH(Таблица1[[#This Row],[Дата]]),0)</f>
        <v>3</v>
      </c>
      <c r="D229" t="s">
        <v>2010</v>
      </c>
      <c r="E229" t="s">
        <v>108</v>
      </c>
      <c r="F229" t="s">
        <v>2011</v>
      </c>
      <c r="G229" t="s">
        <v>110</v>
      </c>
      <c r="H229" t="s">
        <v>111</v>
      </c>
      <c r="I229" t="s">
        <v>112</v>
      </c>
      <c r="J229" t="s">
        <v>112</v>
      </c>
      <c r="K229" t="s">
        <v>112</v>
      </c>
      <c r="L229" t="s">
        <v>150</v>
      </c>
      <c r="M229" t="s">
        <v>151</v>
      </c>
      <c r="N229" t="s">
        <v>112</v>
      </c>
      <c r="O229" t="s">
        <v>112</v>
      </c>
      <c r="P229">
        <v>1</v>
      </c>
      <c r="R229">
        <v>1</v>
      </c>
      <c r="S229">
        <v>33</v>
      </c>
      <c r="T229" t="s">
        <v>112</v>
      </c>
      <c r="U229" t="s">
        <v>152</v>
      </c>
      <c r="V229" t="s">
        <v>153</v>
      </c>
      <c r="W229" t="s">
        <v>154</v>
      </c>
      <c r="X229" t="s">
        <v>119</v>
      </c>
      <c r="Y229" t="s">
        <v>112</v>
      </c>
      <c r="Z229" t="s">
        <v>112</v>
      </c>
      <c r="AA229" t="s">
        <v>152</v>
      </c>
      <c r="AB229" t="s">
        <v>153</v>
      </c>
      <c r="AC229" t="s">
        <v>154</v>
      </c>
      <c r="AD229" t="s">
        <v>119</v>
      </c>
      <c r="AE229" t="s">
        <v>112</v>
      </c>
      <c r="AF229" t="s">
        <v>121</v>
      </c>
      <c r="AG229" t="s">
        <v>122</v>
      </c>
      <c r="AH229">
        <v>4959563.5</v>
      </c>
      <c r="AI229" t="s">
        <v>112</v>
      </c>
      <c r="AJ229" t="s">
        <v>152</v>
      </c>
      <c r="AK229" t="s">
        <v>153</v>
      </c>
      <c r="AL229" t="s">
        <v>154</v>
      </c>
      <c r="AM229" t="s">
        <v>119</v>
      </c>
      <c r="AN229" t="s">
        <v>112</v>
      </c>
      <c r="AO229" t="s">
        <v>121</v>
      </c>
      <c r="AP229" t="s">
        <v>122</v>
      </c>
      <c r="AQ229" t="s">
        <v>122</v>
      </c>
      <c r="AR229" t="s">
        <v>124</v>
      </c>
      <c r="AS229" t="s">
        <v>125</v>
      </c>
      <c r="AT229">
        <v>2</v>
      </c>
      <c r="AU229" t="s">
        <v>126</v>
      </c>
      <c r="AV229" t="s">
        <v>155</v>
      </c>
      <c r="AW229" t="s">
        <v>156</v>
      </c>
      <c r="AY229" t="s">
        <v>129</v>
      </c>
      <c r="AZ229">
        <v>44375</v>
      </c>
      <c r="BC229">
        <v>102.24850000000001</v>
      </c>
      <c r="BD229" t="s">
        <v>112</v>
      </c>
      <c r="BE229" t="s">
        <v>112</v>
      </c>
      <c r="BF229" t="s">
        <v>157</v>
      </c>
      <c r="BG229" t="s">
        <v>133</v>
      </c>
      <c r="BH229" t="s">
        <v>167</v>
      </c>
      <c r="BI229" t="s">
        <v>112</v>
      </c>
      <c r="BJ229" t="s">
        <v>112</v>
      </c>
      <c r="BK229" t="s">
        <v>112</v>
      </c>
      <c r="BL229" t="s">
        <v>169</v>
      </c>
      <c r="BM229" t="s">
        <v>159</v>
      </c>
      <c r="BN229" t="s">
        <v>160</v>
      </c>
      <c r="BO229" t="s">
        <v>161</v>
      </c>
      <c r="BQ229" t="s">
        <v>162</v>
      </c>
      <c r="BR229" s="45">
        <f>ISNUMBER(SEARCH($BR$1,Таблица1[[#This Row],[31_1 Описание и характеристика товара]]))*1</f>
        <v>1</v>
      </c>
      <c r="BT229" t="s">
        <v>150</v>
      </c>
      <c r="BU229">
        <v>33</v>
      </c>
      <c r="BV229">
        <v>0</v>
      </c>
      <c r="BW229">
        <v>0</v>
      </c>
      <c r="BY229">
        <v>0</v>
      </c>
      <c r="CA229" t="s">
        <v>106</v>
      </c>
      <c r="CB229" t="s">
        <v>142</v>
      </c>
      <c r="CC229" t="s">
        <v>112</v>
      </c>
      <c r="CD229" t="s">
        <v>112</v>
      </c>
      <c r="CE229" t="s">
        <v>121</v>
      </c>
      <c r="CF229">
        <v>16915.919999999998</v>
      </c>
      <c r="CG229" t="s">
        <v>144</v>
      </c>
      <c r="CH229">
        <v>4000000</v>
      </c>
      <c r="CI229">
        <v>16861.919999999998</v>
      </c>
      <c r="CJ229">
        <v>0</v>
      </c>
      <c r="CK229" t="s">
        <v>112</v>
      </c>
      <c r="CL229" t="s">
        <v>112</v>
      </c>
      <c r="CM229">
        <v>44375</v>
      </c>
      <c r="CO229">
        <v>0</v>
      </c>
      <c r="CP229">
        <v>1</v>
      </c>
      <c r="CQ229">
        <v>4959563.5</v>
      </c>
      <c r="CR229">
        <v>51639.58</v>
      </c>
      <c r="CS229" t="s">
        <v>145</v>
      </c>
      <c r="CT229">
        <v>51597.475199999993</v>
      </c>
      <c r="CU229">
        <v>3.06</v>
      </c>
      <c r="CV229">
        <v>45</v>
      </c>
      <c r="CX229" t="s">
        <v>163</v>
      </c>
      <c r="CY229">
        <v>353</v>
      </c>
    </row>
    <row r="230" spans="1:103" x14ac:dyDescent="0.25">
      <c r="A230" t="s">
        <v>106</v>
      </c>
      <c r="B230" s="38">
        <v>44874</v>
      </c>
      <c r="C230" s="43">
        <f>IF(YEAR(Таблица1[[#This Row],[Дата]])=2023,MONTH(Таблица1[[#This Row],[Дата]]),0)</f>
        <v>0</v>
      </c>
      <c r="D230" t="s">
        <v>2049</v>
      </c>
      <c r="E230" t="s">
        <v>108</v>
      </c>
      <c r="F230" t="s">
        <v>2050</v>
      </c>
      <c r="G230" t="s">
        <v>110</v>
      </c>
      <c r="H230" t="s">
        <v>111</v>
      </c>
      <c r="I230" t="s">
        <v>112</v>
      </c>
      <c r="J230" t="s">
        <v>112</v>
      </c>
      <c r="K230" t="s">
        <v>112</v>
      </c>
      <c r="L230" t="s">
        <v>175</v>
      </c>
      <c r="M230" t="s">
        <v>448</v>
      </c>
      <c r="N230" t="s">
        <v>112</v>
      </c>
      <c r="O230" t="s">
        <v>112</v>
      </c>
      <c r="P230">
        <v>1</v>
      </c>
      <c r="R230">
        <v>1</v>
      </c>
      <c r="S230">
        <v>33</v>
      </c>
      <c r="T230" t="s">
        <v>112</v>
      </c>
      <c r="U230" t="s">
        <v>152</v>
      </c>
      <c r="V230" t="s">
        <v>153</v>
      </c>
      <c r="W230" t="s">
        <v>154</v>
      </c>
      <c r="X230" t="s">
        <v>119</v>
      </c>
      <c r="Y230" t="s">
        <v>112</v>
      </c>
      <c r="Z230" t="s">
        <v>112</v>
      </c>
      <c r="AA230" t="s">
        <v>152</v>
      </c>
      <c r="AB230" t="s">
        <v>153</v>
      </c>
      <c r="AC230" t="s">
        <v>154</v>
      </c>
      <c r="AD230" t="s">
        <v>119</v>
      </c>
      <c r="AE230" t="s">
        <v>112</v>
      </c>
      <c r="AF230" t="s">
        <v>121</v>
      </c>
      <c r="AG230" t="s">
        <v>122</v>
      </c>
      <c r="AH230">
        <v>4996659.25</v>
      </c>
      <c r="AI230" t="s">
        <v>112</v>
      </c>
      <c r="AJ230" t="s">
        <v>152</v>
      </c>
      <c r="AK230" t="s">
        <v>153</v>
      </c>
      <c r="AL230" t="s">
        <v>154</v>
      </c>
      <c r="AM230" t="s">
        <v>119</v>
      </c>
      <c r="AN230" t="s">
        <v>112</v>
      </c>
      <c r="AO230" t="s">
        <v>121</v>
      </c>
      <c r="AP230" t="s">
        <v>122</v>
      </c>
      <c r="AQ230" t="s">
        <v>122</v>
      </c>
      <c r="AR230" t="s">
        <v>124</v>
      </c>
      <c r="AS230" t="s">
        <v>125</v>
      </c>
      <c r="AT230">
        <v>2</v>
      </c>
      <c r="AU230" t="s">
        <v>126</v>
      </c>
      <c r="AV230" t="s">
        <v>155</v>
      </c>
      <c r="AW230" t="s">
        <v>156</v>
      </c>
      <c r="AY230" t="s">
        <v>129</v>
      </c>
      <c r="AZ230">
        <v>44737.8</v>
      </c>
      <c r="BC230">
        <v>102.24850000000001</v>
      </c>
      <c r="BD230" t="s">
        <v>112</v>
      </c>
      <c r="BE230" t="s">
        <v>112</v>
      </c>
      <c r="BF230" t="s">
        <v>157</v>
      </c>
      <c r="BG230" t="s">
        <v>133</v>
      </c>
      <c r="BH230" t="s">
        <v>167</v>
      </c>
      <c r="BI230" t="s">
        <v>112</v>
      </c>
      <c r="BJ230" t="s">
        <v>112</v>
      </c>
      <c r="BK230" t="s">
        <v>112</v>
      </c>
      <c r="BL230" t="s">
        <v>169</v>
      </c>
      <c r="BM230" t="s">
        <v>159</v>
      </c>
      <c r="BN230" t="s">
        <v>160</v>
      </c>
      <c r="BO230" t="s">
        <v>161</v>
      </c>
      <c r="BQ230" t="s">
        <v>466</v>
      </c>
      <c r="BR230" s="45">
        <f>ISNUMBER(SEARCH($BR$1,Таблица1[[#This Row],[31_1 Описание и характеристика товара]]))*1</f>
        <v>1</v>
      </c>
      <c r="BT230" t="s">
        <v>150</v>
      </c>
      <c r="BU230">
        <v>33</v>
      </c>
      <c r="BV230">
        <v>0</v>
      </c>
      <c r="BW230">
        <v>0</v>
      </c>
      <c r="BY230">
        <v>0</v>
      </c>
      <c r="CA230" t="s">
        <v>106</v>
      </c>
      <c r="CB230" t="s">
        <v>142</v>
      </c>
      <c r="CC230" t="s">
        <v>112</v>
      </c>
      <c r="CD230" t="s">
        <v>112</v>
      </c>
      <c r="CE230" t="s">
        <v>121</v>
      </c>
      <c r="CF230">
        <v>16525.080000000002</v>
      </c>
      <c r="CG230" t="s">
        <v>144</v>
      </c>
      <c r="CH230">
        <v>4000000</v>
      </c>
      <c r="CI230">
        <v>16525.080000000002</v>
      </c>
      <c r="CJ230">
        <v>0</v>
      </c>
      <c r="CK230" t="s">
        <v>112</v>
      </c>
      <c r="CL230" t="s">
        <v>112</v>
      </c>
      <c r="CM230">
        <v>44737.8</v>
      </c>
      <c r="CO230">
        <v>0</v>
      </c>
      <c r="CP230">
        <v>1</v>
      </c>
      <c r="CQ230">
        <v>4996659.25</v>
      </c>
      <c r="CR230">
        <v>52025.83</v>
      </c>
      <c r="CS230" t="s">
        <v>145</v>
      </c>
      <c r="CT230">
        <v>52054.002</v>
      </c>
      <c r="CU230">
        <v>3.15</v>
      </c>
      <c r="CV230">
        <v>45</v>
      </c>
      <c r="CX230" t="s">
        <v>729</v>
      </c>
      <c r="CY230">
        <v>224</v>
      </c>
    </row>
    <row r="231" spans="1:103" x14ac:dyDescent="0.25">
      <c r="A231" t="s">
        <v>106</v>
      </c>
      <c r="B231" s="38">
        <v>45131</v>
      </c>
      <c r="C231" s="43">
        <f>IF(YEAR(Таблица1[[#This Row],[Дата]])=2023,MONTH(Таблица1[[#This Row],[Дата]]),0)</f>
        <v>7</v>
      </c>
      <c r="D231" t="s">
        <v>2029</v>
      </c>
      <c r="E231" t="s">
        <v>108</v>
      </c>
      <c r="F231" t="s">
        <v>2030</v>
      </c>
      <c r="G231" t="s">
        <v>110</v>
      </c>
      <c r="H231" t="s">
        <v>111</v>
      </c>
      <c r="I231" t="s">
        <v>112</v>
      </c>
      <c r="J231" t="s">
        <v>112</v>
      </c>
      <c r="K231" t="s">
        <v>112</v>
      </c>
      <c r="L231" t="s">
        <v>150</v>
      </c>
      <c r="M231" t="s">
        <v>151</v>
      </c>
      <c r="N231" t="s">
        <v>112</v>
      </c>
      <c r="O231" t="s">
        <v>112</v>
      </c>
      <c r="P231">
        <v>1</v>
      </c>
      <c r="R231">
        <v>1</v>
      </c>
      <c r="S231">
        <v>33</v>
      </c>
      <c r="T231" t="s">
        <v>112</v>
      </c>
      <c r="U231" t="s">
        <v>152</v>
      </c>
      <c r="V231" t="s">
        <v>153</v>
      </c>
      <c r="W231" t="s">
        <v>154</v>
      </c>
      <c r="X231" t="s">
        <v>119</v>
      </c>
      <c r="Y231" t="s">
        <v>112</v>
      </c>
      <c r="Z231" t="s">
        <v>112</v>
      </c>
      <c r="AA231" t="s">
        <v>152</v>
      </c>
      <c r="AB231" t="s">
        <v>153</v>
      </c>
      <c r="AC231" t="s">
        <v>154</v>
      </c>
      <c r="AD231" t="s">
        <v>119</v>
      </c>
      <c r="AE231" t="s">
        <v>112</v>
      </c>
      <c r="AF231" t="s">
        <v>121</v>
      </c>
      <c r="AG231" t="s">
        <v>122</v>
      </c>
      <c r="AH231">
        <v>4971618.5999999996</v>
      </c>
      <c r="AI231" t="s">
        <v>112</v>
      </c>
      <c r="AJ231" t="s">
        <v>152</v>
      </c>
      <c r="AK231" t="s">
        <v>153</v>
      </c>
      <c r="AL231" t="s">
        <v>154</v>
      </c>
      <c r="AM231" t="s">
        <v>119</v>
      </c>
      <c r="AN231" t="s">
        <v>112</v>
      </c>
      <c r="AO231" t="s">
        <v>121</v>
      </c>
      <c r="AP231" t="s">
        <v>122</v>
      </c>
      <c r="AQ231" t="s">
        <v>122</v>
      </c>
      <c r="AR231" t="s">
        <v>124</v>
      </c>
      <c r="AS231" t="s">
        <v>125</v>
      </c>
      <c r="AT231">
        <v>2</v>
      </c>
      <c r="AU231" t="s">
        <v>126</v>
      </c>
      <c r="AV231" t="s">
        <v>155</v>
      </c>
      <c r="AW231" t="s">
        <v>156</v>
      </c>
      <c r="AY231" t="s">
        <v>129</v>
      </c>
      <c r="AZ231">
        <v>44492.9</v>
      </c>
      <c r="BC231">
        <v>102.24850000000001</v>
      </c>
      <c r="BD231" t="s">
        <v>112</v>
      </c>
      <c r="BE231" t="s">
        <v>112</v>
      </c>
      <c r="BF231" t="s">
        <v>157</v>
      </c>
      <c r="BG231" t="s">
        <v>133</v>
      </c>
      <c r="BH231" t="s">
        <v>167</v>
      </c>
      <c r="BI231" t="s">
        <v>112</v>
      </c>
      <c r="BJ231" t="s">
        <v>112</v>
      </c>
      <c r="BK231" t="s">
        <v>112</v>
      </c>
      <c r="BL231" t="s">
        <v>169</v>
      </c>
      <c r="BM231" t="s">
        <v>159</v>
      </c>
      <c r="BN231" t="s">
        <v>160</v>
      </c>
      <c r="BO231" t="s">
        <v>161</v>
      </c>
      <c r="BQ231" t="s">
        <v>232</v>
      </c>
      <c r="BR231" s="45">
        <f>ISNUMBER(SEARCH($BR$1,Таблица1[[#This Row],[31_1 Описание и характеристика товара]]))*1</f>
        <v>1</v>
      </c>
      <c r="BT231" t="s">
        <v>150</v>
      </c>
      <c r="BU231">
        <v>33</v>
      </c>
      <c r="BV231">
        <v>0</v>
      </c>
      <c r="BW231">
        <v>0</v>
      </c>
      <c r="BY231">
        <v>0</v>
      </c>
      <c r="CA231" t="s">
        <v>106</v>
      </c>
      <c r="CB231" t="s">
        <v>142</v>
      </c>
      <c r="CC231" t="s">
        <v>112</v>
      </c>
      <c r="CD231" t="s">
        <v>112</v>
      </c>
      <c r="CE231" t="s">
        <v>121</v>
      </c>
      <c r="CF231">
        <v>16348.28</v>
      </c>
      <c r="CG231" t="s">
        <v>144</v>
      </c>
      <c r="CH231">
        <v>4000000</v>
      </c>
      <c r="CI231">
        <v>16294.28</v>
      </c>
      <c r="CJ231">
        <v>0</v>
      </c>
      <c r="CK231" t="s">
        <v>112</v>
      </c>
      <c r="CL231" t="s">
        <v>112</v>
      </c>
      <c r="CM231">
        <v>44492.9</v>
      </c>
      <c r="CO231">
        <v>0</v>
      </c>
      <c r="CP231">
        <v>1</v>
      </c>
      <c r="CQ231">
        <v>4971618.5999999996</v>
      </c>
      <c r="CR231">
        <v>51765.1</v>
      </c>
      <c r="CS231" t="s">
        <v>145</v>
      </c>
      <c r="CT231">
        <v>51815.810400000002</v>
      </c>
      <c r="CU231">
        <v>3.18</v>
      </c>
      <c r="CV231">
        <v>45</v>
      </c>
      <c r="CX231" t="s">
        <v>163</v>
      </c>
      <c r="CY231">
        <v>224</v>
      </c>
    </row>
    <row r="232" spans="1:103" x14ac:dyDescent="0.25">
      <c r="A232" t="s">
        <v>106</v>
      </c>
      <c r="B232" s="38">
        <v>45206</v>
      </c>
      <c r="C232" s="43">
        <f>IF(YEAR(Таблица1[[#This Row],[Дата]])=2023,MONTH(Таблица1[[#This Row],[Дата]]),0)</f>
        <v>10</v>
      </c>
      <c r="D232" t="s">
        <v>2018</v>
      </c>
      <c r="E232" t="s">
        <v>108</v>
      </c>
      <c r="F232" t="s">
        <v>2019</v>
      </c>
      <c r="G232" t="s">
        <v>110</v>
      </c>
      <c r="H232" t="s">
        <v>111</v>
      </c>
      <c r="I232" t="s">
        <v>112</v>
      </c>
      <c r="J232" t="s">
        <v>112</v>
      </c>
      <c r="K232" t="s">
        <v>112</v>
      </c>
      <c r="L232" t="s">
        <v>150</v>
      </c>
      <c r="M232" t="s">
        <v>151</v>
      </c>
      <c r="N232" t="s">
        <v>112</v>
      </c>
      <c r="O232" t="s">
        <v>112</v>
      </c>
      <c r="P232">
        <v>1</v>
      </c>
      <c r="R232">
        <v>1</v>
      </c>
      <c r="S232">
        <v>33</v>
      </c>
      <c r="T232" t="s">
        <v>112</v>
      </c>
      <c r="U232" t="s">
        <v>152</v>
      </c>
      <c r="V232" t="s">
        <v>153</v>
      </c>
      <c r="W232" t="s">
        <v>154</v>
      </c>
      <c r="X232" t="s">
        <v>119</v>
      </c>
      <c r="Y232" t="s">
        <v>112</v>
      </c>
      <c r="Z232" t="s">
        <v>112</v>
      </c>
      <c r="AA232" t="s">
        <v>152</v>
      </c>
      <c r="AB232" t="s">
        <v>153</v>
      </c>
      <c r="AC232" t="s">
        <v>154</v>
      </c>
      <c r="AD232" t="s">
        <v>119</v>
      </c>
      <c r="AE232" t="s">
        <v>112</v>
      </c>
      <c r="AF232" t="s">
        <v>121</v>
      </c>
      <c r="AG232" t="s">
        <v>122</v>
      </c>
      <c r="AH232">
        <v>4056705.15</v>
      </c>
      <c r="AI232" t="s">
        <v>112</v>
      </c>
      <c r="AJ232" t="s">
        <v>152</v>
      </c>
      <c r="AK232" t="s">
        <v>153</v>
      </c>
      <c r="AL232" t="s">
        <v>154</v>
      </c>
      <c r="AM232" t="s">
        <v>119</v>
      </c>
      <c r="AN232" t="s">
        <v>112</v>
      </c>
      <c r="AO232" t="s">
        <v>121</v>
      </c>
      <c r="AP232" t="s">
        <v>122</v>
      </c>
      <c r="AQ232" t="s">
        <v>122</v>
      </c>
      <c r="AR232" t="s">
        <v>124</v>
      </c>
      <c r="AS232" t="s">
        <v>125</v>
      </c>
      <c r="AT232">
        <v>2</v>
      </c>
      <c r="AU232" t="s">
        <v>126</v>
      </c>
      <c r="AV232" t="s">
        <v>155</v>
      </c>
      <c r="AW232" t="s">
        <v>156</v>
      </c>
      <c r="AY232" t="s">
        <v>129</v>
      </c>
      <c r="AZ232">
        <v>35544.959999999999</v>
      </c>
      <c r="BC232">
        <v>102.24850000000001</v>
      </c>
      <c r="BD232" t="s">
        <v>112</v>
      </c>
      <c r="BE232" t="s">
        <v>112</v>
      </c>
      <c r="BF232" t="s">
        <v>157</v>
      </c>
      <c r="BG232" t="s">
        <v>133</v>
      </c>
      <c r="BH232" t="s">
        <v>167</v>
      </c>
      <c r="BI232" t="s">
        <v>112</v>
      </c>
      <c r="BJ232" t="s">
        <v>112</v>
      </c>
      <c r="BK232" t="s">
        <v>112</v>
      </c>
      <c r="BL232" t="s">
        <v>169</v>
      </c>
      <c r="BM232" t="s">
        <v>159</v>
      </c>
      <c r="BN232" t="s">
        <v>160</v>
      </c>
      <c r="BO232" t="s">
        <v>161</v>
      </c>
      <c r="BQ232" t="s">
        <v>213</v>
      </c>
      <c r="BR232" s="45">
        <f>ISNUMBER(SEARCH($BR$1,Таблица1[[#This Row],[31_1 Описание и характеристика товара]]))*1</f>
        <v>1</v>
      </c>
      <c r="BT232" t="s">
        <v>150</v>
      </c>
      <c r="BU232">
        <v>33</v>
      </c>
      <c r="BV232">
        <v>0</v>
      </c>
      <c r="BW232">
        <v>0</v>
      </c>
      <c r="BY232">
        <v>0</v>
      </c>
      <c r="CA232" t="s">
        <v>106</v>
      </c>
      <c r="CB232" t="s">
        <v>142</v>
      </c>
      <c r="CC232" t="s">
        <v>112</v>
      </c>
      <c r="CD232" t="s">
        <v>112</v>
      </c>
      <c r="CE232" t="s">
        <v>121</v>
      </c>
      <c r="CF232">
        <v>17353.91</v>
      </c>
      <c r="CG232" t="s">
        <v>144</v>
      </c>
      <c r="CH232">
        <v>4000000</v>
      </c>
      <c r="CI232">
        <v>17353.91</v>
      </c>
      <c r="CJ232">
        <v>0</v>
      </c>
      <c r="CK232" t="s">
        <v>112</v>
      </c>
      <c r="CL232" t="s">
        <v>112</v>
      </c>
      <c r="CM232">
        <v>35544.959999999999</v>
      </c>
      <c r="CO232">
        <v>0</v>
      </c>
      <c r="CP232">
        <v>1</v>
      </c>
      <c r="CQ232">
        <v>4056705.15</v>
      </c>
      <c r="CR232">
        <v>42238.91</v>
      </c>
      <c r="CS232" t="s">
        <v>145</v>
      </c>
      <c r="CT232">
        <v>42170.001300000004</v>
      </c>
      <c r="CU232">
        <v>2.4300000000000002</v>
      </c>
      <c r="CV232">
        <v>45</v>
      </c>
      <c r="CX232" t="s">
        <v>1140</v>
      </c>
      <c r="CY232">
        <v>559</v>
      </c>
    </row>
    <row r="233" spans="1:103" x14ac:dyDescent="0.25">
      <c r="A233" t="s">
        <v>106</v>
      </c>
      <c r="B233" s="38">
        <v>45248</v>
      </c>
      <c r="C233" s="43">
        <f>IF(YEAR(Таблица1[[#This Row],[Дата]])=2023,MONTH(Таблица1[[#This Row],[Дата]]),0)</f>
        <v>11</v>
      </c>
      <c r="D233" t="s">
        <v>1792</v>
      </c>
      <c r="E233" t="s">
        <v>108</v>
      </c>
      <c r="F233" t="s">
        <v>1793</v>
      </c>
      <c r="G233" t="s">
        <v>110</v>
      </c>
      <c r="H233" t="s">
        <v>111</v>
      </c>
      <c r="I233" t="s">
        <v>112</v>
      </c>
      <c r="J233" t="s">
        <v>112</v>
      </c>
      <c r="K233" t="s">
        <v>112</v>
      </c>
      <c r="L233" t="s">
        <v>150</v>
      </c>
      <c r="M233" t="s">
        <v>151</v>
      </c>
      <c r="N233" t="s">
        <v>112</v>
      </c>
      <c r="O233" t="s">
        <v>112</v>
      </c>
      <c r="R233">
        <v>1</v>
      </c>
      <c r="S233">
        <v>33</v>
      </c>
      <c r="T233" t="s">
        <v>112</v>
      </c>
      <c r="U233" t="s">
        <v>1704</v>
      </c>
      <c r="V233" t="s">
        <v>153</v>
      </c>
      <c r="W233" t="s">
        <v>154</v>
      </c>
      <c r="X233" t="s">
        <v>112</v>
      </c>
      <c r="Y233" t="s">
        <v>112</v>
      </c>
      <c r="Z233" t="s">
        <v>166</v>
      </c>
      <c r="AA233" t="s">
        <v>152</v>
      </c>
      <c r="AB233" t="s">
        <v>153</v>
      </c>
      <c r="AC233" t="s">
        <v>154</v>
      </c>
      <c r="AD233" t="s">
        <v>119</v>
      </c>
      <c r="AE233" t="s">
        <v>112</v>
      </c>
      <c r="AF233" t="s">
        <v>121</v>
      </c>
      <c r="AG233" t="s">
        <v>122</v>
      </c>
      <c r="AH233">
        <v>4536652.3600000003</v>
      </c>
      <c r="AI233" t="s">
        <v>166</v>
      </c>
      <c r="AJ233" t="s">
        <v>152</v>
      </c>
      <c r="AK233" t="s">
        <v>153</v>
      </c>
      <c r="AL233" t="s">
        <v>154</v>
      </c>
      <c r="AM233" t="s">
        <v>119</v>
      </c>
      <c r="AN233" t="s">
        <v>112</v>
      </c>
      <c r="AO233" t="s">
        <v>121</v>
      </c>
      <c r="AP233" t="s">
        <v>122</v>
      </c>
      <c r="AQ233" t="s">
        <v>122</v>
      </c>
      <c r="AR233" t="s">
        <v>124</v>
      </c>
      <c r="AS233" t="s">
        <v>125</v>
      </c>
      <c r="AU233" t="s">
        <v>126</v>
      </c>
      <c r="AV233" t="s">
        <v>155</v>
      </c>
      <c r="AW233" t="s">
        <v>156</v>
      </c>
      <c r="AY233" t="s">
        <v>129</v>
      </c>
      <c r="AZ233">
        <v>39622.160000000003</v>
      </c>
      <c r="BC233">
        <v>102.47190000000001</v>
      </c>
      <c r="BD233" t="s">
        <v>112</v>
      </c>
      <c r="BE233" t="s">
        <v>112</v>
      </c>
      <c r="BF233" t="s">
        <v>112</v>
      </c>
      <c r="BG233" t="s">
        <v>133</v>
      </c>
      <c r="BH233" t="s">
        <v>134</v>
      </c>
      <c r="BI233" t="s">
        <v>112</v>
      </c>
      <c r="BJ233" t="s">
        <v>112</v>
      </c>
      <c r="BK233" t="s">
        <v>112</v>
      </c>
      <c r="BL233" t="s">
        <v>112</v>
      </c>
      <c r="BM233" t="s">
        <v>112</v>
      </c>
      <c r="BN233" t="s">
        <v>112</v>
      </c>
      <c r="BO233" t="s">
        <v>161</v>
      </c>
      <c r="BQ233" t="s">
        <v>205</v>
      </c>
      <c r="BR233" s="45">
        <f>ISNUMBER(SEARCH($BR$1,Таблица1[[#This Row],[31_1 Описание и характеристика товара]]))*1</f>
        <v>1</v>
      </c>
      <c r="BT233" t="s">
        <v>150</v>
      </c>
      <c r="BU233">
        <v>33</v>
      </c>
      <c r="BV233">
        <v>0</v>
      </c>
      <c r="BW233">
        <v>0</v>
      </c>
      <c r="CA233" t="s">
        <v>106</v>
      </c>
      <c r="CB233" t="s">
        <v>142</v>
      </c>
      <c r="CC233" t="s">
        <v>112</v>
      </c>
      <c r="CD233" t="s">
        <v>112</v>
      </c>
      <c r="CE233" t="s">
        <v>121</v>
      </c>
      <c r="CF233">
        <v>17136.95</v>
      </c>
      <c r="CG233" t="s">
        <v>144</v>
      </c>
      <c r="CH233">
        <v>4000000</v>
      </c>
      <c r="CI233">
        <v>17082.95</v>
      </c>
      <c r="CJ233">
        <v>0</v>
      </c>
      <c r="CK233" t="s">
        <v>112</v>
      </c>
      <c r="CL233" t="s">
        <v>112</v>
      </c>
      <c r="CM233">
        <v>39622.160000000003</v>
      </c>
      <c r="CO233">
        <v>0</v>
      </c>
      <c r="CP233">
        <v>1</v>
      </c>
      <c r="CQ233">
        <v>4536652.3600000003</v>
      </c>
      <c r="CR233">
        <v>48057.4</v>
      </c>
      <c r="CS233" t="s">
        <v>145</v>
      </c>
      <c r="CT233">
        <v>48003.089500000002</v>
      </c>
      <c r="CU233">
        <v>2.81</v>
      </c>
      <c r="CY233">
        <v>174</v>
      </c>
    </row>
    <row r="234" spans="1:103" x14ac:dyDescent="0.25">
      <c r="A234" t="s">
        <v>106</v>
      </c>
      <c r="B234" s="38">
        <v>45174</v>
      </c>
      <c r="C234" s="43">
        <f>IF(YEAR(Таблица1[[#This Row],[Дата]])=2023,MONTH(Таблица1[[#This Row],[Дата]]),0)</f>
        <v>9</v>
      </c>
      <c r="D234" t="s">
        <v>1788</v>
      </c>
      <c r="E234" t="s">
        <v>108</v>
      </c>
      <c r="F234" t="s">
        <v>1789</v>
      </c>
      <c r="G234" t="s">
        <v>110</v>
      </c>
      <c r="H234" t="s">
        <v>111</v>
      </c>
      <c r="I234" t="s">
        <v>112</v>
      </c>
      <c r="J234" t="s">
        <v>112</v>
      </c>
      <c r="K234" t="s">
        <v>112</v>
      </c>
      <c r="L234" t="s">
        <v>150</v>
      </c>
      <c r="M234" t="s">
        <v>151</v>
      </c>
      <c r="N234" t="s">
        <v>112</v>
      </c>
      <c r="O234" t="s">
        <v>112</v>
      </c>
      <c r="R234">
        <v>1</v>
      </c>
      <c r="S234">
        <v>33</v>
      </c>
      <c r="T234" t="s">
        <v>112</v>
      </c>
      <c r="U234" t="s">
        <v>1704</v>
      </c>
      <c r="V234" t="s">
        <v>153</v>
      </c>
      <c r="W234" t="s">
        <v>154</v>
      </c>
      <c r="X234" t="s">
        <v>112</v>
      </c>
      <c r="Y234" t="s">
        <v>112</v>
      </c>
      <c r="Z234" t="s">
        <v>166</v>
      </c>
      <c r="AA234" t="s">
        <v>152</v>
      </c>
      <c r="AB234" t="s">
        <v>153</v>
      </c>
      <c r="AC234" t="s">
        <v>154</v>
      </c>
      <c r="AD234" t="s">
        <v>119</v>
      </c>
      <c r="AE234" t="s">
        <v>112</v>
      </c>
      <c r="AF234" t="s">
        <v>121</v>
      </c>
      <c r="AG234" t="s">
        <v>122</v>
      </c>
      <c r="AH234">
        <v>4801536.07</v>
      </c>
      <c r="AI234" t="s">
        <v>166</v>
      </c>
      <c r="AJ234" t="s">
        <v>152</v>
      </c>
      <c r="AK234" t="s">
        <v>153</v>
      </c>
      <c r="AL234" t="s">
        <v>154</v>
      </c>
      <c r="AM234" t="s">
        <v>119</v>
      </c>
      <c r="AN234" t="s">
        <v>112</v>
      </c>
      <c r="AO234" t="s">
        <v>121</v>
      </c>
      <c r="AP234" t="s">
        <v>122</v>
      </c>
      <c r="AQ234" t="s">
        <v>122</v>
      </c>
      <c r="AR234" t="s">
        <v>124</v>
      </c>
      <c r="AS234" t="s">
        <v>125</v>
      </c>
      <c r="AU234" t="s">
        <v>126</v>
      </c>
      <c r="AV234" t="s">
        <v>155</v>
      </c>
      <c r="AW234" t="s">
        <v>156</v>
      </c>
      <c r="AY234" t="s">
        <v>129</v>
      </c>
      <c r="AZ234">
        <v>42207.1</v>
      </c>
      <c r="BC234">
        <v>102.47190000000001</v>
      </c>
      <c r="BD234" t="s">
        <v>112</v>
      </c>
      <c r="BE234" t="s">
        <v>112</v>
      </c>
      <c r="BF234" t="s">
        <v>112</v>
      </c>
      <c r="BG234" t="s">
        <v>133</v>
      </c>
      <c r="BH234" t="s">
        <v>134</v>
      </c>
      <c r="BI234" t="s">
        <v>112</v>
      </c>
      <c r="BJ234" t="s">
        <v>112</v>
      </c>
      <c r="BK234" t="s">
        <v>112</v>
      </c>
      <c r="BL234" t="s">
        <v>112</v>
      </c>
      <c r="BM234" t="s">
        <v>112</v>
      </c>
      <c r="BN234" t="s">
        <v>112</v>
      </c>
      <c r="BO234" t="s">
        <v>161</v>
      </c>
      <c r="BQ234" t="s">
        <v>232</v>
      </c>
      <c r="BR234" s="45">
        <f>ISNUMBER(SEARCH($BR$1,Таблица1[[#This Row],[31_1 Описание и характеристика товара]]))*1</f>
        <v>1</v>
      </c>
      <c r="BT234" t="s">
        <v>150</v>
      </c>
      <c r="BU234">
        <v>33</v>
      </c>
      <c r="BV234">
        <v>0</v>
      </c>
      <c r="BW234">
        <v>0</v>
      </c>
      <c r="CA234" t="s">
        <v>106</v>
      </c>
      <c r="CB234" t="s">
        <v>142</v>
      </c>
      <c r="CC234" t="s">
        <v>112</v>
      </c>
      <c r="CD234" t="s">
        <v>112</v>
      </c>
      <c r="CE234" t="s">
        <v>121</v>
      </c>
      <c r="CF234">
        <v>15969.62</v>
      </c>
      <c r="CG234" t="s">
        <v>144</v>
      </c>
      <c r="CH234">
        <v>4000000</v>
      </c>
      <c r="CI234">
        <v>15873.62</v>
      </c>
      <c r="CJ234">
        <v>0</v>
      </c>
      <c r="CK234" t="s">
        <v>112</v>
      </c>
      <c r="CL234" t="s">
        <v>112</v>
      </c>
      <c r="CM234">
        <v>42207.1</v>
      </c>
      <c r="CO234">
        <v>0</v>
      </c>
      <c r="CP234">
        <v>1</v>
      </c>
      <c r="CQ234">
        <v>4801536.07</v>
      </c>
      <c r="CR234">
        <v>50863.35</v>
      </c>
      <c r="CS234" t="s">
        <v>145</v>
      </c>
      <c r="CT234">
        <v>50795.584000000003</v>
      </c>
      <c r="CU234">
        <v>3.2</v>
      </c>
      <c r="CY234">
        <v>124</v>
      </c>
    </row>
    <row r="235" spans="1:103" x14ac:dyDescent="0.25">
      <c r="A235" t="s">
        <v>106</v>
      </c>
      <c r="B235" s="38">
        <v>45137</v>
      </c>
      <c r="C235" s="43">
        <f>IF(YEAR(Таблица1[[#This Row],[Дата]])=2023,MONTH(Таблица1[[#This Row],[Дата]]),0)</f>
        <v>7</v>
      </c>
      <c r="D235" t="s">
        <v>1581</v>
      </c>
      <c r="E235" t="s">
        <v>108</v>
      </c>
      <c r="F235" t="s">
        <v>1582</v>
      </c>
      <c r="G235" t="s">
        <v>110</v>
      </c>
      <c r="H235" t="s">
        <v>111</v>
      </c>
      <c r="I235" t="s">
        <v>112</v>
      </c>
      <c r="J235" t="s">
        <v>112</v>
      </c>
      <c r="K235" t="s">
        <v>112</v>
      </c>
      <c r="L235" t="s">
        <v>150</v>
      </c>
      <c r="M235" t="s">
        <v>1143</v>
      </c>
      <c r="N235" t="s">
        <v>112</v>
      </c>
      <c r="O235" t="s">
        <v>112</v>
      </c>
      <c r="P235">
        <v>1</v>
      </c>
      <c r="Q235">
        <v>0</v>
      </c>
      <c r="R235">
        <v>1</v>
      </c>
      <c r="S235">
        <v>33</v>
      </c>
      <c r="T235" t="s">
        <v>166</v>
      </c>
      <c r="U235" t="s">
        <v>152</v>
      </c>
      <c r="V235" t="s">
        <v>153</v>
      </c>
      <c r="W235" t="s">
        <v>154</v>
      </c>
      <c r="X235" t="s">
        <v>119</v>
      </c>
      <c r="Y235" t="s">
        <v>112</v>
      </c>
      <c r="Z235" t="s">
        <v>166</v>
      </c>
      <c r="AA235" t="s">
        <v>152</v>
      </c>
      <c r="AB235" t="s">
        <v>153</v>
      </c>
      <c r="AC235" t="s">
        <v>154</v>
      </c>
      <c r="AD235" t="s">
        <v>119</v>
      </c>
      <c r="AE235" t="s">
        <v>112</v>
      </c>
      <c r="AF235" t="s">
        <v>121</v>
      </c>
      <c r="AG235" t="s">
        <v>122</v>
      </c>
      <c r="AH235">
        <v>4638860.47</v>
      </c>
      <c r="AI235" t="s">
        <v>166</v>
      </c>
      <c r="AJ235" t="s">
        <v>152</v>
      </c>
      <c r="AK235" t="s">
        <v>153</v>
      </c>
      <c r="AL235" t="s">
        <v>154</v>
      </c>
      <c r="AM235" t="s">
        <v>119</v>
      </c>
      <c r="AN235" t="s">
        <v>112</v>
      </c>
      <c r="AO235" t="s">
        <v>121</v>
      </c>
      <c r="AP235" t="s">
        <v>122</v>
      </c>
      <c r="AQ235" t="s">
        <v>122</v>
      </c>
      <c r="AR235" t="s">
        <v>124</v>
      </c>
      <c r="AS235" t="s">
        <v>125</v>
      </c>
      <c r="AT235">
        <v>2</v>
      </c>
      <c r="AU235" t="s">
        <v>126</v>
      </c>
      <c r="AV235" t="s">
        <v>155</v>
      </c>
      <c r="AW235" t="s">
        <v>156</v>
      </c>
      <c r="AX235">
        <v>1</v>
      </c>
      <c r="AY235" t="s">
        <v>129</v>
      </c>
      <c r="AZ235">
        <v>42091.56</v>
      </c>
      <c r="BA235">
        <v>4224368</v>
      </c>
      <c r="BB235">
        <v>51264.36</v>
      </c>
      <c r="BC235">
        <v>100.3614</v>
      </c>
      <c r="BD235" t="s">
        <v>130</v>
      </c>
      <c r="BE235" t="s">
        <v>112</v>
      </c>
      <c r="BF235" t="s">
        <v>157</v>
      </c>
      <c r="BG235" t="s">
        <v>133</v>
      </c>
      <c r="BH235" t="s">
        <v>134</v>
      </c>
      <c r="BI235" t="s">
        <v>112</v>
      </c>
      <c r="BJ235" t="s">
        <v>112</v>
      </c>
      <c r="BK235" t="s">
        <v>112</v>
      </c>
      <c r="BL235" t="s">
        <v>169</v>
      </c>
      <c r="BM235" t="s">
        <v>159</v>
      </c>
      <c r="BN235" t="s">
        <v>722</v>
      </c>
      <c r="BO235" t="s">
        <v>161</v>
      </c>
      <c r="BP235">
        <v>1</v>
      </c>
      <c r="BQ235" t="s">
        <v>1281</v>
      </c>
      <c r="BR235" s="45">
        <f>ISNUMBER(SEARCH($BR$1,Таблица1[[#This Row],[31_1 Описание и характеристика товара]]))*1</f>
        <v>1</v>
      </c>
      <c r="BT235" t="s">
        <v>150</v>
      </c>
      <c r="BU235">
        <v>33</v>
      </c>
      <c r="BV235">
        <v>0</v>
      </c>
      <c r="BW235">
        <v>0</v>
      </c>
      <c r="BY235">
        <v>0</v>
      </c>
      <c r="CA235" t="s">
        <v>106</v>
      </c>
      <c r="CB235" t="s">
        <v>142</v>
      </c>
      <c r="CC235" t="s">
        <v>112</v>
      </c>
      <c r="CD235" t="s">
        <v>112</v>
      </c>
      <c r="CE235" t="s">
        <v>121</v>
      </c>
      <c r="CF235">
        <v>17071.61</v>
      </c>
      <c r="CG235" t="s">
        <v>144</v>
      </c>
      <c r="CH235">
        <v>4000000</v>
      </c>
      <c r="CI235">
        <v>17071.61</v>
      </c>
      <c r="CJ235">
        <v>0</v>
      </c>
      <c r="CK235" t="s">
        <v>112</v>
      </c>
      <c r="CL235" t="s">
        <v>112</v>
      </c>
      <c r="CM235">
        <v>42091.56</v>
      </c>
      <c r="CN235">
        <v>4224368</v>
      </c>
      <c r="CO235">
        <v>0</v>
      </c>
      <c r="CP235">
        <v>1</v>
      </c>
      <c r="CQ235">
        <v>4638860.47</v>
      </c>
      <c r="CR235">
        <v>51264.36</v>
      </c>
      <c r="CS235" t="s">
        <v>145</v>
      </c>
      <c r="CT235">
        <v>51214.83</v>
      </c>
      <c r="CU235">
        <v>3</v>
      </c>
      <c r="CV235">
        <v>45</v>
      </c>
      <c r="CW235" t="s">
        <v>171</v>
      </c>
      <c r="CX235" t="s">
        <v>172</v>
      </c>
      <c r="CY235">
        <v>577</v>
      </c>
    </row>
    <row r="236" spans="1:103" x14ac:dyDescent="0.25">
      <c r="A236" t="s">
        <v>106</v>
      </c>
      <c r="B236" s="38">
        <v>45162</v>
      </c>
      <c r="C236" s="43">
        <f>IF(YEAR(Таблица1[[#This Row],[Дата]])=2023,MONTH(Таблица1[[#This Row],[Дата]]),0)</f>
        <v>8</v>
      </c>
      <c r="D236" t="s">
        <v>1229</v>
      </c>
      <c r="E236" t="s">
        <v>108</v>
      </c>
      <c r="F236" t="s">
        <v>1230</v>
      </c>
      <c r="G236" t="s">
        <v>110</v>
      </c>
      <c r="H236" t="s">
        <v>111</v>
      </c>
      <c r="I236" t="s">
        <v>112</v>
      </c>
      <c r="J236" t="s">
        <v>112</v>
      </c>
      <c r="K236" t="s">
        <v>112</v>
      </c>
      <c r="L236" t="s">
        <v>150</v>
      </c>
      <c r="M236" t="s">
        <v>1060</v>
      </c>
      <c r="N236" t="s">
        <v>112</v>
      </c>
      <c r="O236" t="s">
        <v>112</v>
      </c>
      <c r="P236">
        <v>1</v>
      </c>
      <c r="Q236">
        <v>0</v>
      </c>
      <c r="R236">
        <v>1</v>
      </c>
      <c r="S236">
        <v>33</v>
      </c>
      <c r="T236" t="s">
        <v>166</v>
      </c>
      <c r="U236" t="s">
        <v>152</v>
      </c>
      <c r="V236" t="s">
        <v>153</v>
      </c>
      <c r="W236" t="s">
        <v>154</v>
      </c>
      <c r="X236" t="s">
        <v>119</v>
      </c>
      <c r="Y236" t="s">
        <v>112</v>
      </c>
      <c r="Z236" t="s">
        <v>166</v>
      </c>
      <c r="AA236" t="s">
        <v>152</v>
      </c>
      <c r="AB236" t="s">
        <v>153</v>
      </c>
      <c r="AC236" t="s">
        <v>154</v>
      </c>
      <c r="AD236" t="s">
        <v>119</v>
      </c>
      <c r="AE236" t="s">
        <v>112</v>
      </c>
      <c r="AF236" t="s">
        <v>121</v>
      </c>
      <c r="AG236" t="s">
        <v>122</v>
      </c>
      <c r="AH236">
        <v>3639229.11</v>
      </c>
      <c r="AI236" t="s">
        <v>166</v>
      </c>
      <c r="AJ236" t="s">
        <v>152</v>
      </c>
      <c r="AK236" t="s">
        <v>153</v>
      </c>
      <c r="AL236" t="s">
        <v>154</v>
      </c>
      <c r="AM236" t="s">
        <v>119</v>
      </c>
      <c r="AN236" t="s">
        <v>112</v>
      </c>
      <c r="AO236" t="s">
        <v>121</v>
      </c>
      <c r="AP236" t="s">
        <v>122</v>
      </c>
      <c r="AQ236" t="s">
        <v>122</v>
      </c>
      <c r="AR236" t="s">
        <v>124</v>
      </c>
      <c r="AS236" t="s">
        <v>125</v>
      </c>
      <c r="AT236">
        <v>2</v>
      </c>
      <c r="AU236" t="s">
        <v>126</v>
      </c>
      <c r="AV236" t="s">
        <v>155</v>
      </c>
      <c r="AW236" t="s">
        <v>156</v>
      </c>
      <c r="AX236">
        <v>1</v>
      </c>
      <c r="AY236" t="s">
        <v>129</v>
      </c>
      <c r="AZ236">
        <v>38088.68</v>
      </c>
      <c r="BA236">
        <v>3283225</v>
      </c>
      <c r="BB236">
        <v>45509.19</v>
      </c>
      <c r="BC236">
        <v>86.1995</v>
      </c>
      <c r="BD236" t="s">
        <v>130</v>
      </c>
      <c r="BE236" t="s">
        <v>112</v>
      </c>
      <c r="BF236" t="s">
        <v>157</v>
      </c>
      <c r="BG236" t="s">
        <v>133</v>
      </c>
      <c r="BH236" t="s">
        <v>134</v>
      </c>
      <c r="BI236" t="s">
        <v>112</v>
      </c>
      <c r="BJ236" t="s">
        <v>112</v>
      </c>
      <c r="BK236" t="s">
        <v>112</v>
      </c>
      <c r="BL236" t="s">
        <v>169</v>
      </c>
      <c r="BM236" t="s">
        <v>159</v>
      </c>
      <c r="BN236" t="s">
        <v>722</v>
      </c>
      <c r="BO236" t="s">
        <v>161</v>
      </c>
      <c r="BP236">
        <v>1</v>
      </c>
      <c r="BQ236" t="s">
        <v>232</v>
      </c>
      <c r="BR236" s="45">
        <f>ISNUMBER(SEARCH($BR$1,Таблица1[[#This Row],[31_1 Описание и характеристика товара]]))*1</f>
        <v>1</v>
      </c>
      <c r="BT236" t="s">
        <v>150</v>
      </c>
      <c r="BU236">
        <v>33</v>
      </c>
      <c r="BV236">
        <v>0</v>
      </c>
      <c r="BW236">
        <v>0</v>
      </c>
      <c r="BY236">
        <v>0</v>
      </c>
      <c r="CA236" t="s">
        <v>106</v>
      </c>
      <c r="CB236" t="s">
        <v>142</v>
      </c>
      <c r="CC236" t="s">
        <v>112</v>
      </c>
      <c r="CD236" t="s">
        <v>112</v>
      </c>
      <c r="CE236" t="s">
        <v>121</v>
      </c>
      <c r="CF236">
        <v>16872</v>
      </c>
      <c r="CG236" t="s">
        <v>144</v>
      </c>
      <c r="CH236">
        <v>4000000</v>
      </c>
      <c r="CI236">
        <v>16662</v>
      </c>
      <c r="CJ236">
        <v>0</v>
      </c>
      <c r="CK236" t="s">
        <v>112</v>
      </c>
      <c r="CL236" t="s">
        <v>112</v>
      </c>
      <c r="CM236">
        <v>38088.68</v>
      </c>
      <c r="CN236">
        <v>3283225</v>
      </c>
      <c r="CO236">
        <v>0</v>
      </c>
      <c r="CP236">
        <v>1</v>
      </c>
      <c r="CQ236">
        <v>3639229.11</v>
      </c>
      <c r="CR236">
        <v>45509.19</v>
      </c>
      <c r="CS236" t="s">
        <v>145</v>
      </c>
      <c r="CT236">
        <v>45508.920599999998</v>
      </c>
      <c r="CU236">
        <v>2.7313000000000001</v>
      </c>
      <c r="CV236">
        <v>45</v>
      </c>
      <c r="CW236" t="s">
        <v>171</v>
      </c>
      <c r="CX236" t="s">
        <v>350</v>
      </c>
      <c r="CY236">
        <v>317</v>
      </c>
    </row>
    <row r="237" spans="1:103" x14ac:dyDescent="0.25">
      <c r="A237" t="s">
        <v>106</v>
      </c>
      <c r="B237" s="38">
        <v>45256</v>
      </c>
      <c r="C237" s="43">
        <f>IF(YEAR(Таблица1[[#This Row],[Дата]])=2023,MONTH(Таблица1[[#This Row],[Дата]]),0)</f>
        <v>11</v>
      </c>
      <c r="D237" t="s">
        <v>1025</v>
      </c>
      <c r="E237" t="s">
        <v>108</v>
      </c>
      <c r="F237" t="s">
        <v>1026</v>
      </c>
      <c r="G237" t="s">
        <v>110</v>
      </c>
      <c r="H237" t="s">
        <v>111</v>
      </c>
      <c r="I237" t="s">
        <v>112</v>
      </c>
      <c r="J237" t="s">
        <v>112</v>
      </c>
      <c r="K237" t="s">
        <v>112</v>
      </c>
      <c r="L237" t="s">
        <v>150</v>
      </c>
      <c r="M237" t="s">
        <v>1020</v>
      </c>
      <c r="N237" t="s">
        <v>112</v>
      </c>
      <c r="O237" t="s">
        <v>112</v>
      </c>
      <c r="P237">
        <v>1</v>
      </c>
      <c r="Q237">
        <v>0</v>
      </c>
      <c r="R237">
        <v>1</v>
      </c>
      <c r="S237">
        <v>33</v>
      </c>
      <c r="T237" t="s">
        <v>166</v>
      </c>
      <c r="U237" t="s">
        <v>152</v>
      </c>
      <c r="V237" t="s">
        <v>153</v>
      </c>
      <c r="W237" t="s">
        <v>154</v>
      </c>
      <c r="X237" t="s">
        <v>119</v>
      </c>
      <c r="Y237" t="s">
        <v>112</v>
      </c>
      <c r="Z237" t="s">
        <v>166</v>
      </c>
      <c r="AA237" t="s">
        <v>152</v>
      </c>
      <c r="AB237" t="s">
        <v>153</v>
      </c>
      <c r="AC237" t="s">
        <v>154</v>
      </c>
      <c r="AD237" t="s">
        <v>119</v>
      </c>
      <c r="AE237" t="s">
        <v>112</v>
      </c>
      <c r="AF237" t="s">
        <v>121</v>
      </c>
      <c r="AG237" t="s">
        <v>122</v>
      </c>
      <c r="AH237">
        <v>4138647.83</v>
      </c>
      <c r="AI237" t="s">
        <v>166</v>
      </c>
      <c r="AJ237" t="s">
        <v>152</v>
      </c>
      <c r="AK237" t="s">
        <v>153</v>
      </c>
      <c r="AL237" t="s">
        <v>154</v>
      </c>
      <c r="AM237" t="s">
        <v>119</v>
      </c>
      <c r="AN237" t="s">
        <v>112</v>
      </c>
      <c r="AO237" t="s">
        <v>121</v>
      </c>
      <c r="AP237" t="s">
        <v>122</v>
      </c>
      <c r="AQ237" t="s">
        <v>122</v>
      </c>
      <c r="AR237" t="s">
        <v>124</v>
      </c>
      <c r="AS237" t="s">
        <v>125</v>
      </c>
      <c r="AT237">
        <v>2</v>
      </c>
      <c r="AU237" t="s">
        <v>126</v>
      </c>
      <c r="AV237" t="s">
        <v>155</v>
      </c>
      <c r="AW237" t="s">
        <v>156</v>
      </c>
      <c r="AX237">
        <v>1</v>
      </c>
      <c r="AY237" t="s">
        <v>129</v>
      </c>
      <c r="AZ237">
        <v>41913.120000000003</v>
      </c>
      <c r="BA237">
        <v>3749502</v>
      </c>
      <c r="BB237">
        <v>50921.85</v>
      </c>
      <c r="BC237">
        <v>89.4589</v>
      </c>
      <c r="BD237" t="s">
        <v>130</v>
      </c>
      <c r="BE237" t="s">
        <v>112</v>
      </c>
      <c r="BF237" t="s">
        <v>157</v>
      </c>
      <c r="BG237" t="s">
        <v>133</v>
      </c>
      <c r="BH237" t="s">
        <v>134</v>
      </c>
      <c r="BI237" t="s">
        <v>112</v>
      </c>
      <c r="BJ237" t="s">
        <v>112</v>
      </c>
      <c r="BK237" t="s">
        <v>112</v>
      </c>
      <c r="BL237" t="s">
        <v>169</v>
      </c>
      <c r="BM237" t="s">
        <v>159</v>
      </c>
      <c r="BN237" t="s">
        <v>722</v>
      </c>
      <c r="BO237" t="s">
        <v>161</v>
      </c>
      <c r="BP237">
        <v>1</v>
      </c>
      <c r="BQ237" t="s">
        <v>205</v>
      </c>
      <c r="BR237" s="45">
        <f>ISNUMBER(SEARCH($BR$1,Таблица1[[#This Row],[31_1 Описание и характеристика товара]]))*1</f>
        <v>1</v>
      </c>
      <c r="BT237" t="s">
        <v>150</v>
      </c>
      <c r="BU237">
        <v>33</v>
      </c>
      <c r="BV237">
        <v>0</v>
      </c>
      <c r="BW237">
        <v>0</v>
      </c>
      <c r="BY237">
        <v>0</v>
      </c>
      <c r="CA237" t="s">
        <v>106</v>
      </c>
      <c r="CB237" t="s">
        <v>142</v>
      </c>
      <c r="CC237" t="s">
        <v>112</v>
      </c>
      <c r="CD237" t="s">
        <v>112</v>
      </c>
      <c r="CE237" t="s">
        <v>121</v>
      </c>
      <c r="CF237">
        <v>16863.25</v>
      </c>
      <c r="CG237" t="s">
        <v>144</v>
      </c>
      <c r="CH237">
        <v>4000000</v>
      </c>
      <c r="CI237">
        <v>16719.25</v>
      </c>
      <c r="CJ237">
        <v>0</v>
      </c>
      <c r="CK237" t="s">
        <v>112</v>
      </c>
      <c r="CL237" t="s">
        <v>112</v>
      </c>
      <c r="CM237">
        <v>41913.120000000003</v>
      </c>
      <c r="CN237">
        <v>3749502</v>
      </c>
      <c r="CO237">
        <v>0</v>
      </c>
      <c r="CP237">
        <v>1</v>
      </c>
      <c r="CQ237">
        <v>4138647.83</v>
      </c>
      <c r="CR237">
        <v>50921.85</v>
      </c>
      <c r="CS237" t="s">
        <v>145</v>
      </c>
      <c r="CT237">
        <v>50921.819725000001</v>
      </c>
      <c r="CU237">
        <v>3.0457000000000001</v>
      </c>
      <c r="CV237">
        <v>45</v>
      </c>
      <c r="CW237" t="s">
        <v>171</v>
      </c>
      <c r="CX237" t="s">
        <v>172</v>
      </c>
      <c r="CY237">
        <v>140</v>
      </c>
    </row>
    <row r="238" spans="1:103" x14ac:dyDescent="0.25">
      <c r="A238" t="s">
        <v>106</v>
      </c>
      <c r="B238" s="38">
        <v>45000</v>
      </c>
      <c r="C238" s="43">
        <f>IF(YEAR(Таблица1[[#This Row],[Дата]])=2023,MONTH(Таблица1[[#This Row],[Дата]]),0)</f>
        <v>3</v>
      </c>
      <c r="D238" t="s">
        <v>1027</v>
      </c>
      <c r="E238" t="s">
        <v>108</v>
      </c>
      <c r="F238" t="s">
        <v>1028</v>
      </c>
      <c r="G238" t="s">
        <v>110</v>
      </c>
      <c r="H238" t="s">
        <v>111</v>
      </c>
      <c r="I238" t="s">
        <v>112</v>
      </c>
      <c r="J238" t="s">
        <v>112</v>
      </c>
      <c r="K238" t="s">
        <v>112</v>
      </c>
      <c r="L238" t="s">
        <v>150</v>
      </c>
      <c r="M238" t="s">
        <v>1020</v>
      </c>
      <c r="N238" t="s">
        <v>112</v>
      </c>
      <c r="O238" t="s">
        <v>112</v>
      </c>
      <c r="P238">
        <v>1</v>
      </c>
      <c r="Q238">
        <v>0</v>
      </c>
      <c r="R238">
        <v>1</v>
      </c>
      <c r="S238">
        <v>33</v>
      </c>
      <c r="T238" t="s">
        <v>166</v>
      </c>
      <c r="U238" t="s">
        <v>152</v>
      </c>
      <c r="V238" t="s">
        <v>153</v>
      </c>
      <c r="W238" t="s">
        <v>154</v>
      </c>
      <c r="X238" t="s">
        <v>119</v>
      </c>
      <c r="Y238" t="s">
        <v>112</v>
      </c>
      <c r="Z238" t="s">
        <v>166</v>
      </c>
      <c r="AA238" t="s">
        <v>152</v>
      </c>
      <c r="AB238" t="s">
        <v>153</v>
      </c>
      <c r="AC238" t="s">
        <v>154</v>
      </c>
      <c r="AD238" t="s">
        <v>119</v>
      </c>
      <c r="AE238" t="s">
        <v>112</v>
      </c>
      <c r="AF238" t="s">
        <v>121</v>
      </c>
      <c r="AG238" t="s">
        <v>122</v>
      </c>
      <c r="AH238">
        <v>3937569.27</v>
      </c>
      <c r="AI238" t="s">
        <v>166</v>
      </c>
      <c r="AJ238" t="s">
        <v>152</v>
      </c>
      <c r="AK238" t="s">
        <v>153</v>
      </c>
      <c r="AL238" t="s">
        <v>154</v>
      </c>
      <c r="AM238" t="s">
        <v>119</v>
      </c>
      <c r="AN238" t="s">
        <v>112</v>
      </c>
      <c r="AO238" t="s">
        <v>121</v>
      </c>
      <c r="AP238" t="s">
        <v>122</v>
      </c>
      <c r="AQ238" t="s">
        <v>122</v>
      </c>
      <c r="AR238" t="s">
        <v>124</v>
      </c>
      <c r="AS238" t="s">
        <v>125</v>
      </c>
      <c r="AT238">
        <v>2</v>
      </c>
      <c r="AU238" t="s">
        <v>126</v>
      </c>
      <c r="AV238" t="s">
        <v>155</v>
      </c>
      <c r="AW238" t="s">
        <v>156</v>
      </c>
      <c r="AX238">
        <v>1</v>
      </c>
      <c r="AY238" t="s">
        <v>129</v>
      </c>
      <c r="AZ238">
        <v>39665.4</v>
      </c>
      <c r="BA238">
        <v>3548423</v>
      </c>
      <c r="BB238">
        <v>48447.78</v>
      </c>
      <c r="BC238">
        <v>89.4589</v>
      </c>
      <c r="BD238" t="s">
        <v>130</v>
      </c>
      <c r="BE238" t="s">
        <v>112</v>
      </c>
      <c r="BF238" t="s">
        <v>157</v>
      </c>
      <c r="BG238" t="s">
        <v>133</v>
      </c>
      <c r="BH238" t="s">
        <v>134</v>
      </c>
      <c r="BI238" t="s">
        <v>112</v>
      </c>
      <c r="BJ238" t="s">
        <v>112</v>
      </c>
      <c r="BK238" t="s">
        <v>112</v>
      </c>
      <c r="BL238" t="s">
        <v>169</v>
      </c>
      <c r="BM238" t="s">
        <v>159</v>
      </c>
      <c r="BN238" t="s">
        <v>722</v>
      </c>
      <c r="BO238" t="s">
        <v>161</v>
      </c>
      <c r="BP238">
        <v>1</v>
      </c>
      <c r="BQ238" t="s">
        <v>1029</v>
      </c>
      <c r="BR238" s="45">
        <f>ISNUMBER(SEARCH($BR$1,Таблица1[[#This Row],[31_1 Описание и характеристика товара]]))*1</f>
        <v>1</v>
      </c>
      <c r="BT238" t="s">
        <v>150</v>
      </c>
      <c r="BU238">
        <v>33</v>
      </c>
      <c r="BV238">
        <v>0</v>
      </c>
      <c r="BW238">
        <v>0</v>
      </c>
      <c r="BY238">
        <v>0</v>
      </c>
      <c r="CA238" t="s">
        <v>106</v>
      </c>
      <c r="CB238" t="s">
        <v>142</v>
      </c>
      <c r="CC238" t="s">
        <v>112</v>
      </c>
      <c r="CD238" t="s">
        <v>112</v>
      </c>
      <c r="CE238" t="s">
        <v>121</v>
      </c>
      <c r="CF238">
        <v>16835.25</v>
      </c>
      <c r="CG238" t="s">
        <v>144</v>
      </c>
      <c r="CH238">
        <v>4000000</v>
      </c>
      <c r="CI238">
        <v>16684.05</v>
      </c>
      <c r="CJ238">
        <v>0</v>
      </c>
      <c r="CK238" t="s">
        <v>112</v>
      </c>
      <c r="CL238" t="s">
        <v>112</v>
      </c>
      <c r="CM238">
        <v>39665.4</v>
      </c>
      <c r="CN238">
        <v>3548423</v>
      </c>
      <c r="CO238">
        <v>0</v>
      </c>
      <c r="CP238">
        <v>1</v>
      </c>
      <c r="CQ238">
        <v>3937569.27</v>
      </c>
      <c r="CR238">
        <v>48447.78</v>
      </c>
      <c r="CS238" t="s">
        <v>145</v>
      </c>
      <c r="CT238">
        <v>48447.144389999994</v>
      </c>
      <c r="CU238">
        <v>2.9037999999999999</v>
      </c>
      <c r="CV238">
        <v>45</v>
      </c>
      <c r="CW238" t="s">
        <v>171</v>
      </c>
      <c r="CX238" t="s">
        <v>369</v>
      </c>
      <c r="CY238">
        <v>219</v>
      </c>
    </row>
    <row r="239" spans="1:103" x14ac:dyDescent="0.25">
      <c r="A239" t="s">
        <v>106</v>
      </c>
      <c r="B239" s="38">
        <v>45034</v>
      </c>
      <c r="C239" s="43">
        <f>IF(YEAR(Таблица1[[#This Row],[Дата]])=2023,MONTH(Таблица1[[#This Row],[Дата]]),0)</f>
        <v>4</v>
      </c>
      <c r="D239" t="s">
        <v>373</v>
      </c>
      <c r="E239" t="s">
        <v>108</v>
      </c>
      <c r="F239" t="s">
        <v>374</v>
      </c>
      <c r="G239" t="s">
        <v>110</v>
      </c>
      <c r="H239" t="s">
        <v>111</v>
      </c>
      <c r="I239" t="s">
        <v>112</v>
      </c>
      <c r="J239" t="s">
        <v>112</v>
      </c>
      <c r="K239" t="s">
        <v>112</v>
      </c>
      <c r="L239" t="s">
        <v>150</v>
      </c>
      <c r="M239" t="s">
        <v>151</v>
      </c>
      <c r="N239" t="s">
        <v>112</v>
      </c>
      <c r="O239" t="s">
        <v>112</v>
      </c>
      <c r="P239">
        <v>1</v>
      </c>
      <c r="Q239">
        <v>0</v>
      </c>
      <c r="R239">
        <v>1</v>
      </c>
      <c r="S239">
        <v>35</v>
      </c>
      <c r="T239" t="s">
        <v>166</v>
      </c>
      <c r="U239" t="s">
        <v>152</v>
      </c>
      <c r="V239" t="s">
        <v>153</v>
      </c>
      <c r="W239" t="s">
        <v>154</v>
      </c>
      <c r="X239" t="s">
        <v>119</v>
      </c>
      <c r="Y239" t="s">
        <v>112</v>
      </c>
      <c r="Z239" t="s">
        <v>166</v>
      </c>
      <c r="AA239" t="s">
        <v>152</v>
      </c>
      <c r="AB239" t="s">
        <v>153</v>
      </c>
      <c r="AC239" t="s">
        <v>154</v>
      </c>
      <c r="AD239" t="s">
        <v>119</v>
      </c>
      <c r="AE239" t="s">
        <v>112</v>
      </c>
      <c r="AF239" t="s">
        <v>121</v>
      </c>
      <c r="AG239" t="s">
        <v>122</v>
      </c>
      <c r="AH239">
        <v>3347675.28</v>
      </c>
      <c r="AI239" t="s">
        <v>166</v>
      </c>
      <c r="AJ239" t="s">
        <v>152</v>
      </c>
      <c r="AK239" t="s">
        <v>153</v>
      </c>
      <c r="AL239" t="s">
        <v>154</v>
      </c>
      <c r="AM239" t="s">
        <v>119</v>
      </c>
      <c r="AN239" t="s">
        <v>112</v>
      </c>
      <c r="AO239" t="s">
        <v>121</v>
      </c>
      <c r="AP239" t="s">
        <v>122</v>
      </c>
      <c r="AQ239" t="s">
        <v>122</v>
      </c>
      <c r="AR239" t="s">
        <v>124</v>
      </c>
      <c r="AS239" t="s">
        <v>125</v>
      </c>
      <c r="AT239">
        <v>2</v>
      </c>
      <c r="AU239" t="s">
        <v>126</v>
      </c>
      <c r="AV239" t="s">
        <v>155</v>
      </c>
      <c r="AW239" t="s">
        <v>156</v>
      </c>
      <c r="AX239">
        <v>1</v>
      </c>
      <c r="AY239" t="s">
        <v>129</v>
      </c>
      <c r="AZ239">
        <v>40468.050000000003</v>
      </c>
      <c r="BA239">
        <v>3022753</v>
      </c>
      <c r="BB239">
        <v>48691.4</v>
      </c>
      <c r="BC239">
        <v>74.694800000000001</v>
      </c>
      <c r="BD239" t="s">
        <v>130</v>
      </c>
      <c r="BE239" t="s">
        <v>112</v>
      </c>
      <c r="BF239" t="s">
        <v>157</v>
      </c>
      <c r="BG239" t="s">
        <v>133</v>
      </c>
      <c r="BH239" t="s">
        <v>134</v>
      </c>
      <c r="BI239" t="s">
        <v>112</v>
      </c>
      <c r="BJ239" t="s">
        <v>112</v>
      </c>
      <c r="BK239" t="s">
        <v>112</v>
      </c>
      <c r="BL239" t="s">
        <v>169</v>
      </c>
      <c r="BM239" t="s">
        <v>159</v>
      </c>
      <c r="BN239" t="s">
        <v>212</v>
      </c>
      <c r="BO239" t="s">
        <v>161</v>
      </c>
      <c r="BP239">
        <v>1</v>
      </c>
      <c r="BQ239" t="s">
        <v>375</v>
      </c>
      <c r="BR239" s="45">
        <f>ISNUMBER(SEARCH($BR$1,Таблица1[[#This Row],[31_1 Описание и характеристика товара]]))*1</f>
        <v>1</v>
      </c>
      <c r="BT239" t="s">
        <v>150</v>
      </c>
      <c r="BU239">
        <v>35</v>
      </c>
      <c r="BV239">
        <v>0</v>
      </c>
      <c r="BW239">
        <v>0</v>
      </c>
      <c r="BY239">
        <v>0</v>
      </c>
      <c r="CA239" t="s">
        <v>106</v>
      </c>
      <c r="CB239" t="s">
        <v>142</v>
      </c>
      <c r="CC239" t="s">
        <v>112</v>
      </c>
      <c r="CD239" t="s">
        <v>112</v>
      </c>
      <c r="CE239" t="s">
        <v>121</v>
      </c>
      <c r="CF239">
        <v>19625.57</v>
      </c>
      <c r="CG239" t="s">
        <v>144</v>
      </c>
      <c r="CH239">
        <v>4000000</v>
      </c>
      <c r="CI239">
        <v>19625.57</v>
      </c>
      <c r="CJ239">
        <v>0</v>
      </c>
      <c r="CK239" t="s">
        <v>112</v>
      </c>
      <c r="CL239" t="s">
        <v>112</v>
      </c>
      <c r="CM239">
        <v>40468.050000000003</v>
      </c>
      <c r="CN239">
        <v>3022753</v>
      </c>
      <c r="CO239">
        <v>0</v>
      </c>
      <c r="CP239">
        <v>1</v>
      </c>
      <c r="CQ239">
        <v>3347675.28</v>
      </c>
      <c r="CR239">
        <v>48691.4</v>
      </c>
      <c r="CS239" t="s">
        <v>145</v>
      </c>
      <c r="CT239">
        <v>48691.039169999996</v>
      </c>
      <c r="CU239">
        <v>2.4809999999999999</v>
      </c>
      <c r="CV239">
        <v>45</v>
      </c>
      <c r="CW239" t="s">
        <v>171</v>
      </c>
      <c r="CX239" t="s">
        <v>350</v>
      </c>
      <c r="CY239">
        <v>118</v>
      </c>
    </row>
    <row r="240" spans="1:103" x14ac:dyDescent="0.25">
      <c r="A240" s="8" t="s">
        <v>106</v>
      </c>
      <c r="B240" s="38">
        <v>45000</v>
      </c>
      <c r="C240" s="43">
        <f>IF(YEAR(Таблица1[[#This Row],[Дата]])=2023,MONTH(Таблица1[[#This Row],[Дата]]),0)</f>
        <v>3</v>
      </c>
      <c r="D240" s="8" t="s">
        <v>2758</v>
      </c>
      <c r="E240" s="8" t="s">
        <v>108</v>
      </c>
      <c r="F240" s="8" t="s">
        <v>2759</v>
      </c>
      <c r="G240" t="s">
        <v>110</v>
      </c>
      <c r="H240" s="8" t="s">
        <v>111</v>
      </c>
      <c r="I240" s="8" t="s">
        <v>112</v>
      </c>
      <c r="J240" s="8" t="s">
        <v>112</v>
      </c>
      <c r="K240" s="8" t="s">
        <v>112</v>
      </c>
      <c r="L240" s="8" t="s">
        <v>2161</v>
      </c>
      <c r="M240" s="8" t="s">
        <v>2162</v>
      </c>
      <c r="N240" s="8" t="s">
        <v>112</v>
      </c>
      <c r="O240" s="8" t="s">
        <v>112</v>
      </c>
      <c r="P240">
        <v>2</v>
      </c>
      <c r="R240">
        <v>2</v>
      </c>
      <c r="S240">
        <v>96</v>
      </c>
      <c r="T240" s="8" t="s">
        <v>2136</v>
      </c>
      <c r="U240" s="8" t="s">
        <v>2137</v>
      </c>
      <c r="V240" s="8" t="s">
        <v>2141</v>
      </c>
      <c r="W240" s="8" t="s">
        <v>2139</v>
      </c>
      <c r="X240" s="8" t="s">
        <v>119</v>
      </c>
      <c r="Y240" s="8" t="s">
        <v>2140</v>
      </c>
      <c r="Z240" s="8" t="s">
        <v>2136</v>
      </c>
      <c r="AA240" s="8" t="s">
        <v>2137</v>
      </c>
      <c r="AB240" s="8" t="s">
        <v>2141</v>
      </c>
      <c r="AC240" s="8" t="s">
        <v>2139</v>
      </c>
      <c r="AD240" s="8" t="s">
        <v>119</v>
      </c>
      <c r="AE240" s="8" t="s">
        <v>2140</v>
      </c>
      <c r="AF240" s="8" t="s">
        <v>2163</v>
      </c>
      <c r="AG240" s="8" t="s">
        <v>2164</v>
      </c>
      <c r="AH240">
        <v>12214650.310000001</v>
      </c>
      <c r="AI240" s="8" t="s">
        <v>2136</v>
      </c>
      <c r="AJ240" s="8" t="s">
        <v>2137</v>
      </c>
      <c r="AK240" s="8" t="s">
        <v>2141</v>
      </c>
      <c r="AL240" s="8" t="s">
        <v>2139</v>
      </c>
      <c r="AM240" s="8" t="s">
        <v>119</v>
      </c>
      <c r="AN240" s="8" t="s">
        <v>2140</v>
      </c>
      <c r="AO240" s="8" t="s">
        <v>2163</v>
      </c>
      <c r="AP240" s="8" t="s">
        <v>2164</v>
      </c>
      <c r="AQ240" s="8" t="s">
        <v>2164</v>
      </c>
      <c r="AR240" s="8" t="s">
        <v>124</v>
      </c>
      <c r="AS240" s="8" t="s">
        <v>125</v>
      </c>
      <c r="AT240">
        <v>2</v>
      </c>
      <c r="AU240" s="8" t="s">
        <v>126</v>
      </c>
      <c r="AV240" s="8" t="s">
        <v>127</v>
      </c>
      <c r="AW240" s="8" t="s">
        <v>2493</v>
      </c>
      <c r="AX240">
        <v>1</v>
      </c>
      <c r="AY240" s="8" t="s">
        <v>129</v>
      </c>
      <c r="AZ240">
        <v>160171.74</v>
      </c>
      <c r="BA240">
        <v>11699056</v>
      </c>
      <c r="BB240">
        <v>177859.08</v>
      </c>
      <c r="BC240">
        <v>73.040700000000001</v>
      </c>
      <c r="BD240" s="8" t="s">
        <v>130</v>
      </c>
      <c r="BE240" s="8" t="s">
        <v>112</v>
      </c>
      <c r="BF240" s="8" t="s">
        <v>2166</v>
      </c>
      <c r="BG240" s="8" t="s">
        <v>133</v>
      </c>
      <c r="BH240" s="8" t="s">
        <v>134</v>
      </c>
      <c r="BI240" s="8" t="s">
        <v>112</v>
      </c>
      <c r="BJ240" s="8" t="s">
        <v>2167</v>
      </c>
      <c r="BK240" s="8" t="s">
        <v>112</v>
      </c>
      <c r="BL240" s="8" t="s">
        <v>2168</v>
      </c>
      <c r="BM240" s="8" t="s">
        <v>2169</v>
      </c>
      <c r="BN240" s="8" t="s">
        <v>2170</v>
      </c>
      <c r="BO240" s="8" t="s">
        <v>2171</v>
      </c>
      <c r="BP240">
        <v>1</v>
      </c>
      <c r="BQ240" s="8" t="s">
        <v>2146</v>
      </c>
      <c r="BR240" s="45">
        <f>ISNUMBER(SEARCH($BR$1,Таблица1[[#This Row],[31_1 Описание и характеристика товара]]))*1</f>
        <v>0</v>
      </c>
      <c r="BT240" s="8" t="s">
        <v>2161</v>
      </c>
      <c r="BU240">
        <v>92</v>
      </c>
      <c r="BW240">
        <v>240</v>
      </c>
      <c r="BX240" t="s">
        <v>2147</v>
      </c>
      <c r="CA240" s="8" t="s">
        <v>106</v>
      </c>
      <c r="CB240" s="8" t="s">
        <v>2148</v>
      </c>
      <c r="CC240" s="8" t="s">
        <v>112</v>
      </c>
      <c r="CD240" s="8" t="s">
        <v>112</v>
      </c>
      <c r="CE240" s="8" t="s">
        <v>2163</v>
      </c>
      <c r="CF240">
        <v>17323.400000000001</v>
      </c>
      <c r="CG240" t="s">
        <v>144</v>
      </c>
      <c r="CH240">
        <v>4000000</v>
      </c>
      <c r="CI240">
        <v>16721.5999999999</v>
      </c>
      <c r="CK240" s="8" t="s">
        <v>112</v>
      </c>
      <c r="CL240" s="8" t="s">
        <v>112</v>
      </c>
      <c r="CM240">
        <v>130791.74</v>
      </c>
      <c r="CN240">
        <v>9553120</v>
      </c>
      <c r="CO240">
        <v>0</v>
      </c>
      <c r="CP240">
        <v>1</v>
      </c>
      <c r="CQ240">
        <v>10036356.050000001</v>
      </c>
      <c r="CR240">
        <v>146140.66</v>
      </c>
      <c r="CS240" s="8" t="s">
        <v>145</v>
      </c>
      <c r="CT240">
        <v>8.7395999999999994</v>
      </c>
      <c r="CU240">
        <v>1053</v>
      </c>
      <c r="CV240" t="s">
        <v>2149</v>
      </c>
      <c r="CX240" t="s">
        <v>2150</v>
      </c>
      <c r="CY240">
        <v>91</v>
      </c>
    </row>
    <row r="241" spans="1:103" x14ac:dyDescent="0.25">
      <c r="A241" s="8" t="s">
        <v>106</v>
      </c>
      <c r="B241" s="38">
        <v>45053</v>
      </c>
      <c r="C241" s="43">
        <f>IF(YEAR(Таблица1[[#This Row],[Дата]])=2023,MONTH(Таблица1[[#This Row],[Дата]]),0)</f>
        <v>5</v>
      </c>
      <c r="D241" s="8" t="s">
        <v>2760</v>
      </c>
      <c r="E241" s="8" t="s">
        <v>108</v>
      </c>
      <c r="F241" s="8" t="s">
        <v>2761</v>
      </c>
      <c r="G241" t="s">
        <v>110</v>
      </c>
      <c r="H241" s="8" t="s">
        <v>111</v>
      </c>
      <c r="I241" s="8" t="s">
        <v>112</v>
      </c>
      <c r="J241" s="8" t="s">
        <v>112</v>
      </c>
      <c r="K241" s="8" t="s">
        <v>112</v>
      </c>
      <c r="L241" s="8" t="s">
        <v>2161</v>
      </c>
      <c r="M241" s="8" t="s">
        <v>2162</v>
      </c>
      <c r="N241" s="8" t="s">
        <v>112</v>
      </c>
      <c r="O241" s="8" t="s">
        <v>112</v>
      </c>
      <c r="P241">
        <v>1</v>
      </c>
      <c r="Q241">
        <v>0</v>
      </c>
      <c r="R241">
        <v>1</v>
      </c>
      <c r="S241">
        <v>84</v>
      </c>
      <c r="T241" s="8" t="s">
        <v>2136</v>
      </c>
      <c r="U241" s="8" t="s">
        <v>2137</v>
      </c>
      <c r="V241" s="8" t="s">
        <v>2141</v>
      </c>
      <c r="W241" s="8" t="s">
        <v>2139</v>
      </c>
      <c r="X241" s="8" t="s">
        <v>119</v>
      </c>
      <c r="Y241" s="8" t="s">
        <v>2140</v>
      </c>
      <c r="Z241" s="8" t="s">
        <v>2136</v>
      </c>
      <c r="AA241" s="8" t="s">
        <v>2137</v>
      </c>
      <c r="AB241" s="8" t="s">
        <v>2141</v>
      </c>
      <c r="AC241" s="8" t="s">
        <v>2139</v>
      </c>
      <c r="AD241" s="8" t="s">
        <v>119</v>
      </c>
      <c r="AE241" s="8" t="s">
        <v>2140</v>
      </c>
      <c r="AF241" s="8" t="s">
        <v>2163</v>
      </c>
      <c r="AG241" s="8" t="s">
        <v>2164</v>
      </c>
      <c r="AH241">
        <v>10457564</v>
      </c>
      <c r="AI241" s="8" t="s">
        <v>2136</v>
      </c>
      <c r="AJ241" s="8" t="s">
        <v>2137</v>
      </c>
      <c r="AK241" s="8" t="s">
        <v>2141</v>
      </c>
      <c r="AL241" s="8" t="s">
        <v>2139</v>
      </c>
      <c r="AM241" s="8" t="s">
        <v>119</v>
      </c>
      <c r="AN241" s="8" t="s">
        <v>2140</v>
      </c>
      <c r="AO241" s="8" t="s">
        <v>2163</v>
      </c>
      <c r="AP241" s="8" t="s">
        <v>2164</v>
      </c>
      <c r="AQ241" s="8" t="s">
        <v>2164</v>
      </c>
      <c r="AR241" s="8" t="s">
        <v>124</v>
      </c>
      <c r="AS241" s="8" t="s">
        <v>125</v>
      </c>
      <c r="AT241">
        <v>2</v>
      </c>
      <c r="AU241" s="8" t="s">
        <v>126</v>
      </c>
      <c r="AV241" s="8" t="s">
        <v>127</v>
      </c>
      <c r="AW241" s="8" t="s">
        <v>2165</v>
      </c>
      <c r="AX241">
        <v>1</v>
      </c>
      <c r="AY241" s="8" t="s">
        <v>129</v>
      </c>
      <c r="AZ241">
        <v>134952.53</v>
      </c>
      <c r="BA241">
        <v>9857027</v>
      </c>
      <c r="BB241">
        <v>152273.92000000001</v>
      </c>
      <c r="BC241">
        <v>73.040700000000001</v>
      </c>
      <c r="BD241" s="8" t="s">
        <v>130</v>
      </c>
      <c r="BE241" s="8" t="s">
        <v>131</v>
      </c>
      <c r="BF241" s="8" t="s">
        <v>2166</v>
      </c>
      <c r="BG241" s="8" t="s">
        <v>133</v>
      </c>
      <c r="BH241" s="8" t="s">
        <v>134</v>
      </c>
      <c r="BI241" s="8" t="s">
        <v>112</v>
      </c>
      <c r="BJ241" s="8" t="s">
        <v>112</v>
      </c>
      <c r="BK241" s="8" t="s">
        <v>112</v>
      </c>
      <c r="BL241" s="8" t="s">
        <v>2655</v>
      </c>
      <c r="BM241" s="8" t="s">
        <v>2656</v>
      </c>
      <c r="BN241" s="8" t="s">
        <v>2496</v>
      </c>
      <c r="BO241" s="8" t="s">
        <v>2497</v>
      </c>
      <c r="BP241">
        <v>1</v>
      </c>
      <c r="BQ241" s="8" t="s">
        <v>2762</v>
      </c>
      <c r="BR241" s="45">
        <f>ISNUMBER(SEARCH($BR$1,Таблица1[[#This Row],[31_1 Описание и характеристика товара]]))*1</f>
        <v>0</v>
      </c>
      <c r="BT241" s="8" t="s">
        <v>2161</v>
      </c>
      <c r="BU241">
        <v>84</v>
      </c>
      <c r="BV241">
        <v>0</v>
      </c>
      <c r="BW241">
        <v>327</v>
      </c>
      <c r="BX241" t="s">
        <v>2147</v>
      </c>
      <c r="BY241">
        <v>0</v>
      </c>
      <c r="CA241" s="8" t="s">
        <v>106</v>
      </c>
      <c r="CB241" s="8" t="s">
        <v>2148</v>
      </c>
      <c r="CC241" s="8" t="s">
        <v>112</v>
      </c>
      <c r="CD241" s="8" t="s">
        <v>112</v>
      </c>
      <c r="CE241" s="8" t="s">
        <v>2163</v>
      </c>
      <c r="CF241">
        <v>16591.5</v>
      </c>
      <c r="CG241" t="s">
        <v>144</v>
      </c>
      <c r="CH241">
        <v>4000000</v>
      </c>
      <c r="CI241">
        <v>16512.45</v>
      </c>
      <c r="CJ241">
        <v>0</v>
      </c>
      <c r="CK241" s="8" t="s">
        <v>112</v>
      </c>
      <c r="CL241" s="8" t="s">
        <v>112</v>
      </c>
      <c r="CM241">
        <v>134952.53</v>
      </c>
      <c r="CN241">
        <v>9857027</v>
      </c>
      <c r="CO241">
        <v>0</v>
      </c>
      <c r="CP241">
        <v>1</v>
      </c>
      <c r="CQ241">
        <v>10457564</v>
      </c>
      <c r="CR241">
        <v>152273.92000000001</v>
      </c>
      <c r="CS241" s="8" t="s">
        <v>145</v>
      </c>
      <c r="CT241">
        <v>9.2218</v>
      </c>
      <c r="CU241">
        <v>1053</v>
      </c>
      <c r="CV241" t="s">
        <v>2149</v>
      </c>
      <c r="CX241" t="s">
        <v>2150</v>
      </c>
      <c r="CY241">
        <v>0</v>
      </c>
    </row>
    <row r="242" spans="1:103" x14ac:dyDescent="0.25">
      <c r="A242" s="8" t="s">
        <v>106</v>
      </c>
      <c r="B242" s="38">
        <v>45123</v>
      </c>
      <c r="C242" s="43">
        <f>IF(YEAR(Таблица1[[#This Row],[Дата]])=2023,MONTH(Таблица1[[#This Row],[Дата]]),0)</f>
        <v>7</v>
      </c>
      <c r="D242" s="8" t="s">
        <v>2763</v>
      </c>
      <c r="E242" s="8" t="s">
        <v>108</v>
      </c>
      <c r="F242" s="8" t="s">
        <v>2764</v>
      </c>
      <c r="G242" t="s">
        <v>110</v>
      </c>
      <c r="H242" s="8" t="s">
        <v>111</v>
      </c>
      <c r="I242" s="8" t="s">
        <v>112</v>
      </c>
      <c r="J242" s="8" t="s">
        <v>112</v>
      </c>
      <c r="K242" s="8" t="s">
        <v>112</v>
      </c>
      <c r="L242" s="8" t="s">
        <v>2161</v>
      </c>
      <c r="M242" s="8" t="s">
        <v>2162</v>
      </c>
      <c r="N242" s="8" t="s">
        <v>112</v>
      </c>
      <c r="O242" s="8" t="s">
        <v>112</v>
      </c>
      <c r="P242">
        <v>4</v>
      </c>
      <c r="Q242">
        <v>0</v>
      </c>
      <c r="R242">
        <v>8</v>
      </c>
      <c r="S242">
        <v>94</v>
      </c>
      <c r="T242" s="8" t="s">
        <v>2136</v>
      </c>
      <c r="U242" s="8" t="s">
        <v>2137</v>
      </c>
      <c r="V242" s="8" t="s">
        <v>2141</v>
      </c>
      <c r="W242" s="8" t="s">
        <v>2139</v>
      </c>
      <c r="X242" s="8" t="s">
        <v>119</v>
      </c>
      <c r="Y242" s="8" t="s">
        <v>2140</v>
      </c>
      <c r="Z242" s="8" t="s">
        <v>2136</v>
      </c>
      <c r="AA242" s="8" t="s">
        <v>2137</v>
      </c>
      <c r="AB242" s="8" t="s">
        <v>2141</v>
      </c>
      <c r="AC242" s="8" t="s">
        <v>2139</v>
      </c>
      <c r="AD242" s="8" t="s">
        <v>119</v>
      </c>
      <c r="AE242" s="8" t="s">
        <v>2140</v>
      </c>
      <c r="AF242" s="8" t="s">
        <v>2163</v>
      </c>
      <c r="AG242" s="8" t="s">
        <v>2164</v>
      </c>
      <c r="AH242">
        <v>10208502.77</v>
      </c>
      <c r="AI242" s="8" t="s">
        <v>2136</v>
      </c>
      <c r="AJ242" s="8" t="s">
        <v>2137</v>
      </c>
      <c r="AK242" s="8" t="s">
        <v>2141</v>
      </c>
      <c r="AL242" s="8" t="s">
        <v>2139</v>
      </c>
      <c r="AM242" s="8" t="s">
        <v>119</v>
      </c>
      <c r="AN242" s="8" t="s">
        <v>2140</v>
      </c>
      <c r="AO242" s="8" t="s">
        <v>2163</v>
      </c>
      <c r="AP242" s="8" t="s">
        <v>2164</v>
      </c>
      <c r="AQ242" s="8" t="s">
        <v>2164</v>
      </c>
      <c r="AR242" s="8" t="s">
        <v>124</v>
      </c>
      <c r="AS242" s="8" t="s">
        <v>125</v>
      </c>
      <c r="AT242">
        <v>2</v>
      </c>
      <c r="AU242" s="8" t="s">
        <v>126</v>
      </c>
      <c r="AV242" s="8" t="s">
        <v>127</v>
      </c>
      <c r="AW242" s="8" t="s">
        <v>2165</v>
      </c>
      <c r="AX242">
        <v>1</v>
      </c>
      <c r="AY242" s="8" t="s">
        <v>129</v>
      </c>
      <c r="AZ242">
        <v>134264.579999999</v>
      </c>
      <c r="BA242">
        <v>9806779</v>
      </c>
      <c r="BB242">
        <v>148647.31</v>
      </c>
      <c r="BC242">
        <v>73.040700000000001</v>
      </c>
      <c r="BD242" s="8" t="s">
        <v>130</v>
      </c>
      <c r="BE242" s="8" t="s">
        <v>131</v>
      </c>
      <c r="BF242" s="8" t="s">
        <v>2166</v>
      </c>
      <c r="BG242" s="8" t="s">
        <v>133</v>
      </c>
      <c r="BH242" s="8" t="s">
        <v>134</v>
      </c>
      <c r="BI242" s="8" t="s">
        <v>112</v>
      </c>
      <c r="BJ242" s="8" t="s">
        <v>112</v>
      </c>
      <c r="BK242" s="8" t="s">
        <v>112</v>
      </c>
      <c r="BL242" s="8" t="s">
        <v>2655</v>
      </c>
      <c r="BM242" s="8" t="s">
        <v>2656</v>
      </c>
      <c r="BN242" s="8" t="s">
        <v>2496</v>
      </c>
      <c r="BO242" s="8" t="s">
        <v>2497</v>
      </c>
      <c r="BP242">
        <v>1</v>
      </c>
      <c r="BQ242" s="8" t="s">
        <v>2765</v>
      </c>
      <c r="BR242" s="45">
        <f>ISNUMBER(SEARCH($BR$1,Таблица1[[#This Row],[31_1 Описание и характеристика товара]]))*1</f>
        <v>0</v>
      </c>
      <c r="BT242" s="8" t="s">
        <v>2161</v>
      </c>
      <c r="BU242">
        <v>72</v>
      </c>
      <c r="BV242">
        <v>0</v>
      </c>
      <c r="BW242">
        <v>232</v>
      </c>
      <c r="BX242" t="s">
        <v>2147</v>
      </c>
      <c r="BY242">
        <v>0</v>
      </c>
      <c r="CA242" s="8" t="s">
        <v>106</v>
      </c>
      <c r="CB242" s="8" t="s">
        <v>2148</v>
      </c>
      <c r="CC242" s="8" t="s">
        <v>112</v>
      </c>
      <c r="CD242" s="8" t="s">
        <v>112</v>
      </c>
      <c r="CE242" s="8" t="s">
        <v>2163</v>
      </c>
      <c r="CF242">
        <v>14556.8</v>
      </c>
      <c r="CG242" t="s">
        <v>144</v>
      </c>
      <c r="CH242">
        <v>4000000</v>
      </c>
      <c r="CI242">
        <v>14468</v>
      </c>
      <c r="CJ242">
        <v>0</v>
      </c>
      <c r="CK242" s="8" t="s">
        <v>112</v>
      </c>
      <c r="CL242" s="8" t="s">
        <v>112</v>
      </c>
      <c r="CM242">
        <v>100148.32</v>
      </c>
      <c r="CN242">
        <v>7314903</v>
      </c>
      <c r="CO242">
        <v>0</v>
      </c>
      <c r="CP242">
        <v>1</v>
      </c>
      <c r="CQ242">
        <v>7649556.9000000004</v>
      </c>
      <c r="CR242">
        <v>111386.17</v>
      </c>
      <c r="CS242" s="8" t="s">
        <v>145</v>
      </c>
      <c r="CT242">
        <v>7.6988000000000003</v>
      </c>
      <c r="CU242">
        <v>1053</v>
      </c>
      <c r="CV242" t="s">
        <v>2149</v>
      </c>
      <c r="CX242" t="s">
        <v>2150</v>
      </c>
      <c r="CY242">
        <v>342</v>
      </c>
    </row>
    <row r="243" spans="1:103" x14ac:dyDescent="0.25">
      <c r="A243" s="8" t="s">
        <v>106</v>
      </c>
      <c r="B243" s="38">
        <v>45058</v>
      </c>
      <c r="C243" s="43">
        <f>IF(YEAR(Таблица1[[#This Row],[Дата]])=2023,MONTH(Таблица1[[#This Row],[Дата]]),0)</f>
        <v>5</v>
      </c>
      <c r="D243" s="8" t="s">
        <v>2755</v>
      </c>
      <c r="E243" s="8" t="s">
        <v>108</v>
      </c>
      <c r="F243" s="8" t="s">
        <v>2756</v>
      </c>
      <c r="G243" t="s">
        <v>110</v>
      </c>
      <c r="H243" s="8" t="s">
        <v>111</v>
      </c>
      <c r="I243" s="8" t="s">
        <v>112</v>
      </c>
      <c r="J243" s="8" t="s">
        <v>112</v>
      </c>
      <c r="K243" s="8" t="s">
        <v>112</v>
      </c>
      <c r="L243" s="8" t="s">
        <v>2161</v>
      </c>
      <c r="M243" s="8" t="s">
        <v>2162</v>
      </c>
      <c r="N243" s="8" t="s">
        <v>112</v>
      </c>
      <c r="O243" s="8" t="s">
        <v>112</v>
      </c>
      <c r="P243">
        <v>4</v>
      </c>
      <c r="Q243">
        <v>0</v>
      </c>
      <c r="R243">
        <v>8</v>
      </c>
      <c r="S243">
        <v>145</v>
      </c>
      <c r="T243" s="8" t="s">
        <v>2136</v>
      </c>
      <c r="U243" s="8" t="s">
        <v>2137</v>
      </c>
      <c r="V243" s="8" t="s">
        <v>2141</v>
      </c>
      <c r="W243" s="8" t="s">
        <v>2139</v>
      </c>
      <c r="X243" s="8" t="s">
        <v>119</v>
      </c>
      <c r="Y243" s="8" t="s">
        <v>2140</v>
      </c>
      <c r="Z243" s="8" t="s">
        <v>2136</v>
      </c>
      <c r="AA243" s="8" t="s">
        <v>2137</v>
      </c>
      <c r="AB243" s="8" t="s">
        <v>2141</v>
      </c>
      <c r="AC243" s="8" t="s">
        <v>2139</v>
      </c>
      <c r="AD243" s="8" t="s">
        <v>119</v>
      </c>
      <c r="AE243" s="8" t="s">
        <v>2140</v>
      </c>
      <c r="AF243" s="8" t="s">
        <v>2163</v>
      </c>
      <c r="AG243" s="8" t="s">
        <v>2164</v>
      </c>
      <c r="AH243">
        <v>9654363.4199999906</v>
      </c>
      <c r="AI243" s="8" t="s">
        <v>2136</v>
      </c>
      <c r="AJ243" s="8" t="s">
        <v>2137</v>
      </c>
      <c r="AK243" s="8" t="s">
        <v>2141</v>
      </c>
      <c r="AL243" s="8" t="s">
        <v>2139</v>
      </c>
      <c r="AM243" s="8" t="s">
        <v>119</v>
      </c>
      <c r="AN243" s="8" t="s">
        <v>2140</v>
      </c>
      <c r="AO243" s="8" t="s">
        <v>2163</v>
      </c>
      <c r="AP243" s="8" t="s">
        <v>2164</v>
      </c>
      <c r="AQ243" s="8" t="s">
        <v>2164</v>
      </c>
      <c r="AR243" s="8" t="s">
        <v>124</v>
      </c>
      <c r="AS243" s="8" t="s">
        <v>125</v>
      </c>
      <c r="AT243">
        <v>2</v>
      </c>
      <c r="AU243" s="8" t="s">
        <v>126</v>
      </c>
      <c r="AV243" s="8" t="s">
        <v>127</v>
      </c>
      <c r="AW243" s="8" t="s">
        <v>2165</v>
      </c>
      <c r="AX243">
        <v>1</v>
      </c>
      <c r="AY243" s="8" t="s">
        <v>129</v>
      </c>
      <c r="AZ243">
        <v>125118.86</v>
      </c>
      <c r="BA243">
        <v>9138769</v>
      </c>
      <c r="BB243">
        <v>140578.42000000001</v>
      </c>
      <c r="BC243">
        <v>73.040700000000001</v>
      </c>
      <c r="BD243" s="8" t="s">
        <v>130</v>
      </c>
      <c r="BE243" s="8" t="s">
        <v>131</v>
      </c>
      <c r="BF243" s="8" t="s">
        <v>2166</v>
      </c>
      <c r="BG243" s="8" t="s">
        <v>133</v>
      </c>
      <c r="BH243" s="8" t="s">
        <v>134</v>
      </c>
      <c r="BI243" s="8" t="s">
        <v>112</v>
      </c>
      <c r="BJ243" s="8" t="s">
        <v>2167</v>
      </c>
      <c r="BK243" s="8" t="s">
        <v>112</v>
      </c>
      <c r="BL243" s="8" t="s">
        <v>2168</v>
      </c>
      <c r="BM243" s="8" t="s">
        <v>2169</v>
      </c>
      <c r="BN243" s="8" t="s">
        <v>2170</v>
      </c>
      <c r="BO243" s="8" t="s">
        <v>2171</v>
      </c>
      <c r="BP243">
        <v>1</v>
      </c>
      <c r="BQ243" s="8" t="s">
        <v>2757</v>
      </c>
      <c r="BR243" s="45">
        <f>ISNUMBER(SEARCH($BR$1,Таблица1[[#This Row],[31_1 Описание и характеристика товара]]))*1</f>
        <v>0</v>
      </c>
      <c r="BT243" s="8" t="s">
        <v>2161</v>
      </c>
      <c r="BU243">
        <v>89</v>
      </c>
      <c r="BV243">
        <v>0</v>
      </c>
      <c r="BW243">
        <v>299</v>
      </c>
      <c r="BX243" t="s">
        <v>2147</v>
      </c>
      <c r="BY243">
        <v>0</v>
      </c>
      <c r="CA243" s="8" t="s">
        <v>106</v>
      </c>
      <c r="CB243" s="8" t="s">
        <v>2148</v>
      </c>
      <c r="CC243" s="8" t="s">
        <v>112</v>
      </c>
      <c r="CD243" s="8" t="s">
        <v>112</v>
      </c>
      <c r="CE243" s="8" t="s">
        <v>2163</v>
      </c>
      <c r="CF243">
        <v>15638.25</v>
      </c>
      <c r="CG243" t="s">
        <v>144</v>
      </c>
      <c r="CH243">
        <v>4000000</v>
      </c>
      <c r="CI243">
        <v>15592</v>
      </c>
      <c r="CJ243">
        <v>0</v>
      </c>
      <c r="CK243" s="8" t="s">
        <v>112</v>
      </c>
      <c r="CL243" s="8" t="s">
        <v>112</v>
      </c>
      <c r="CM243">
        <v>121312.9</v>
      </c>
      <c r="CN243">
        <v>8860779</v>
      </c>
      <c r="CO243">
        <v>0</v>
      </c>
      <c r="CP243">
        <v>1</v>
      </c>
      <c r="CQ243">
        <v>9366778.0800000001</v>
      </c>
      <c r="CR243">
        <v>136390.85</v>
      </c>
      <c r="CS243" s="8" t="s">
        <v>145</v>
      </c>
      <c r="CT243">
        <v>8.7475000000000005</v>
      </c>
      <c r="CU243">
        <v>1053</v>
      </c>
      <c r="CV243" t="s">
        <v>2149</v>
      </c>
      <c r="CX243" t="s">
        <v>2150</v>
      </c>
      <c r="CY243">
        <v>349</v>
      </c>
    </row>
    <row r="244" spans="1:103" x14ac:dyDescent="0.25">
      <c r="A244" t="s">
        <v>126</v>
      </c>
      <c r="B244" s="38">
        <v>45139</v>
      </c>
      <c r="C244" s="43">
        <f>IF(YEAR(Таблица1[[#This Row],[Дата]])=2023,MONTH(Таблица1[[#This Row],[Дата]]),0)</f>
        <v>8</v>
      </c>
      <c r="D244" t="s">
        <v>1928</v>
      </c>
      <c r="E244" t="s">
        <v>108</v>
      </c>
      <c r="F244" t="s">
        <v>1929</v>
      </c>
      <c r="G244" t="s">
        <v>110</v>
      </c>
      <c r="H244" t="s">
        <v>111</v>
      </c>
      <c r="I244" t="s">
        <v>112</v>
      </c>
      <c r="J244" t="s">
        <v>112</v>
      </c>
      <c r="K244" t="s">
        <v>112</v>
      </c>
      <c r="L244" t="s">
        <v>175</v>
      </c>
      <c r="M244" t="s">
        <v>448</v>
      </c>
      <c r="N244" t="s">
        <v>112</v>
      </c>
      <c r="O244" t="s">
        <v>112</v>
      </c>
      <c r="P244">
        <v>1</v>
      </c>
      <c r="R244">
        <v>1</v>
      </c>
      <c r="S244">
        <v>1</v>
      </c>
      <c r="T244" t="s">
        <v>112</v>
      </c>
      <c r="U244" t="s">
        <v>152</v>
      </c>
      <c r="V244" t="s">
        <v>153</v>
      </c>
      <c r="W244" t="s">
        <v>154</v>
      </c>
      <c r="X244" t="s">
        <v>119</v>
      </c>
      <c r="Y244" t="s">
        <v>112</v>
      </c>
      <c r="Z244" t="s">
        <v>112</v>
      </c>
      <c r="AA244" t="s">
        <v>152</v>
      </c>
      <c r="AB244" t="s">
        <v>153</v>
      </c>
      <c r="AC244" t="s">
        <v>154</v>
      </c>
      <c r="AD244" t="s">
        <v>119</v>
      </c>
      <c r="AE244" t="s">
        <v>112</v>
      </c>
      <c r="AF244" t="s">
        <v>121</v>
      </c>
      <c r="AG244" t="s">
        <v>122</v>
      </c>
      <c r="AH244">
        <v>3896.77</v>
      </c>
      <c r="AI244" t="s">
        <v>112</v>
      </c>
      <c r="AJ244" t="s">
        <v>152</v>
      </c>
      <c r="AK244" t="s">
        <v>153</v>
      </c>
      <c r="AL244" t="s">
        <v>154</v>
      </c>
      <c r="AM244" t="s">
        <v>119</v>
      </c>
      <c r="AN244" t="s">
        <v>112</v>
      </c>
      <c r="AO244" t="s">
        <v>121</v>
      </c>
      <c r="AP244" t="s">
        <v>122</v>
      </c>
      <c r="AQ244" t="s">
        <v>122</v>
      </c>
      <c r="AR244" t="s">
        <v>124</v>
      </c>
      <c r="AS244" t="s">
        <v>125</v>
      </c>
      <c r="AT244">
        <v>2</v>
      </c>
      <c r="AU244" t="s">
        <v>126</v>
      </c>
      <c r="AV244" t="s">
        <v>155</v>
      </c>
      <c r="AW244" t="s">
        <v>156</v>
      </c>
      <c r="AY244" t="s">
        <v>129</v>
      </c>
      <c r="AZ244">
        <v>32.26</v>
      </c>
      <c r="BC244">
        <v>100.303</v>
      </c>
      <c r="BD244" t="s">
        <v>112</v>
      </c>
      <c r="BE244" t="s">
        <v>112</v>
      </c>
      <c r="BF244" t="s">
        <v>157</v>
      </c>
      <c r="BG244" t="s">
        <v>133</v>
      </c>
      <c r="BH244" t="s">
        <v>134</v>
      </c>
      <c r="BI244" t="s">
        <v>112</v>
      </c>
      <c r="BJ244" t="s">
        <v>112</v>
      </c>
      <c r="BK244" t="s">
        <v>112</v>
      </c>
      <c r="BL244" t="s">
        <v>158</v>
      </c>
      <c r="BM244" t="s">
        <v>159</v>
      </c>
      <c r="BN244" t="s">
        <v>212</v>
      </c>
      <c r="BO244" t="s">
        <v>161</v>
      </c>
      <c r="BQ244" t="s">
        <v>1930</v>
      </c>
      <c r="BR244" s="45">
        <f>ISNUMBER(SEARCH($BR$1,Таблица1[[#This Row],[31_1 Описание и характеристика товара]]))*1</f>
        <v>1</v>
      </c>
      <c r="BT244" t="s">
        <v>150</v>
      </c>
      <c r="BU244">
        <v>1</v>
      </c>
      <c r="BV244">
        <v>0</v>
      </c>
      <c r="BW244">
        <v>0</v>
      </c>
      <c r="BY244">
        <v>0</v>
      </c>
      <c r="CA244" t="s">
        <v>106</v>
      </c>
      <c r="CB244" t="s">
        <v>142</v>
      </c>
      <c r="CC244" t="s">
        <v>112</v>
      </c>
      <c r="CD244" t="s">
        <v>112</v>
      </c>
      <c r="CE244" t="s">
        <v>121</v>
      </c>
      <c r="CF244">
        <v>4.0819999999999999</v>
      </c>
      <c r="CG244" t="s">
        <v>144</v>
      </c>
      <c r="CH244">
        <v>4000064</v>
      </c>
      <c r="CI244">
        <v>4.0819999999999999</v>
      </c>
      <c r="CJ244">
        <v>0</v>
      </c>
      <c r="CK244" t="s">
        <v>112</v>
      </c>
      <c r="CL244" t="s">
        <v>112</v>
      </c>
      <c r="CM244">
        <v>32.26</v>
      </c>
      <c r="CO244">
        <v>0</v>
      </c>
      <c r="CP244">
        <v>1</v>
      </c>
      <c r="CQ244">
        <v>3896.77</v>
      </c>
      <c r="CR244">
        <v>41.15</v>
      </c>
      <c r="CS244" t="s">
        <v>145</v>
      </c>
      <c r="CT244">
        <v>41.146560000000001</v>
      </c>
      <c r="CU244">
        <v>10.08</v>
      </c>
      <c r="CV244">
        <v>45</v>
      </c>
      <c r="CX244" t="s">
        <v>233</v>
      </c>
      <c r="CY244">
        <v>22</v>
      </c>
    </row>
    <row r="245" spans="1:103" x14ac:dyDescent="0.25">
      <c r="A245" t="s">
        <v>106</v>
      </c>
      <c r="B245" s="38">
        <v>45074</v>
      </c>
      <c r="C245" s="43">
        <f>IF(YEAR(Таблица1[[#This Row],[Дата]])=2023,MONTH(Таблица1[[#This Row],[Дата]]),0)</f>
        <v>5</v>
      </c>
      <c r="D245" t="s">
        <v>1900</v>
      </c>
      <c r="E245" t="s">
        <v>108</v>
      </c>
      <c r="F245" t="s">
        <v>1901</v>
      </c>
      <c r="G245" t="s">
        <v>110</v>
      </c>
      <c r="H245" t="s">
        <v>111</v>
      </c>
      <c r="I245" t="s">
        <v>112</v>
      </c>
      <c r="J245" t="s">
        <v>112</v>
      </c>
      <c r="K245" t="s">
        <v>112</v>
      </c>
      <c r="L245" t="s">
        <v>150</v>
      </c>
      <c r="M245" t="s">
        <v>151</v>
      </c>
      <c r="N245" t="s">
        <v>112</v>
      </c>
      <c r="O245" t="s">
        <v>112</v>
      </c>
      <c r="P245">
        <v>1</v>
      </c>
      <c r="R245">
        <v>1</v>
      </c>
      <c r="S245">
        <v>32</v>
      </c>
      <c r="T245" t="s">
        <v>112</v>
      </c>
      <c r="U245" t="s">
        <v>152</v>
      </c>
      <c r="V245" t="s">
        <v>153</v>
      </c>
      <c r="W245" t="s">
        <v>154</v>
      </c>
      <c r="X245" t="s">
        <v>119</v>
      </c>
      <c r="Y245" t="s">
        <v>112</v>
      </c>
      <c r="Z245" t="s">
        <v>112</v>
      </c>
      <c r="AA245" t="s">
        <v>152</v>
      </c>
      <c r="AB245" t="s">
        <v>153</v>
      </c>
      <c r="AC245" t="s">
        <v>154</v>
      </c>
      <c r="AD245" t="s">
        <v>119</v>
      </c>
      <c r="AE245" t="s">
        <v>112</v>
      </c>
      <c r="AF245" t="s">
        <v>121</v>
      </c>
      <c r="AG245" t="s">
        <v>122</v>
      </c>
      <c r="AH245">
        <v>4851631.03</v>
      </c>
      <c r="AI245" t="s">
        <v>112</v>
      </c>
      <c r="AJ245" t="s">
        <v>152</v>
      </c>
      <c r="AK245" t="s">
        <v>153</v>
      </c>
      <c r="AL245" t="s">
        <v>154</v>
      </c>
      <c r="AM245" t="s">
        <v>119</v>
      </c>
      <c r="AN245" t="s">
        <v>112</v>
      </c>
      <c r="AO245" t="s">
        <v>121</v>
      </c>
      <c r="AP245" t="s">
        <v>122</v>
      </c>
      <c r="AQ245" t="s">
        <v>122</v>
      </c>
      <c r="AR245" t="s">
        <v>124</v>
      </c>
      <c r="AS245" t="s">
        <v>125</v>
      </c>
      <c r="AT245">
        <v>2</v>
      </c>
      <c r="AU245" t="s">
        <v>126</v>
      </c>
      <c r="AV245" t="s">
        <v>155</v>
      </c>
      <c r="AW245" t="s">
        <v>156</v>
      </c>
      <c r="AY245" t="s">
        <v>129</v>
      </c>
      <c r="AZ245">
        <v>44386.34</v>
      </c>
      <c r="BC245">
        <v>100.303</v>
      </c>
      <c r="BD245" t="s">
        <v>112</v>
      </c>
      <c r="BE245" t="s">
        <v>112</v>
      </c>
      <c r="BF245" t="s">
        <v>157</v>
      </c>
      <c r="BG245" t="s">
        <v>133</v>
      </c>
      <c r="BH245" t="s">
        <v>134</v>
      </c>
      <c r="BI245" t="s">
        <v>112</v>
      </c>
      <c r="BJ245" t="s">
        <v>112</v>
      </c>
      <c r="BK245" t="s">
        <v>112</v>
      </c>
      <c r="BL245" t="s">
        <v>158</v>
      </c>
      <c r="BM245" t="s">
        <v>159</v>
      </c>
      <c r="BN245" t="s">
        <v>212</v>
      </c>
      <c r="BO245" t="s">
        <v>161</v>
      </c>
      <c r="BQ245" t="s">
        <v>205</v>
      </c>
      <c r="BR245" s="45">
        <f>ISNUMBER(SEARCH($BR$1,Таблица1[[#This Row],[31_1 Описание и характеристика товара]]))*1</f>
        <v>1</v>
      </c>
      <c r="BT245" t="s">
        <v>150</v>
      </c>
      <c r="BU245">
        <v>32</v>
      </c>
      <c r="BV245">
        <v>0</v>
      </c>
      <c r="BW245">
        <v>0</v>
      </c>
      <c r="BY245">
        <v>0</v>
      </c>
      <c r="CA245" t="s">
        <v>106</v>
      </c>
      <c r="CB245" t="s">
        <v>142</v>
      </c>
      <c r="CC245" t="s">
        <v>112</v>
      </c>
      <c r="CD245" t="s">
        <v>112</v>
      </c>
      <c r="CE245" t="s">
        <v>121</v>
      </c>
      <c r="CF245">
        <v>16779.238000000001</v>
      </c>
      <c r="CG245" t="s">
        <v>144</v>
      </c>
      <c r="CH245">
        <v>4000000</v>
      </c>
      <c r="CI245">
        <v>16779.238000000001</v>
      </c>
      <c r="CJ245">
        <v>0</v>
      </c>
      <c r="CK245" t="s">
        <v>112</v>
      </c>
      <c r="CL245" t="s">
        <v>112</v>
      </c>
      <c r="CM245">
        <v>44386.34</v>
      </c>
      <c r="CO245">
        <v>0</v>
      </c>
      <c r="CP245">
        <v>1</v>
      </c>
      <c r="CQ245">
        <v>4851631.03</v>
      </c>
      <c r="CR245">
        <v>51227.199999999997</v>
      </c>
      <c r="CS245" t="s">
        <v>145</v>
      </c>
      <c r="CT245">
        <v>51176.675900000002</v>
      </c>
      <c r="CU245">
        <v>3.05</v>
      </c>
      <c r="CV245">
        <v>45</v>
      </c>
      <c r="CX245" t="s">
        <v>233</v>
      </c>
      <c r="CY245">
        <v>343</v>
      </c>
    </row>
    <row r="246" spans="1:103" x14ac:dyDescent="0.25">
      <c r="A246" t="s">
        <v>106</v>
      </c>
      <c r="B246" s="38">
        <v>45085</v>
      </c>
      <c r="C246" s="43">
        <f>IF(YEAR(Таблица1[[#This Row],[Дата]])=2023,MONTH(Таблица1[[#This Row],[Дата]]),0)</f>
        <v>6</v>
      </c>
      <c r="D246" t="s">
        <v>1947</v>
      </c>
      <c r="E246" t="s">
        <v>108</v>
      </c>
      <c r="F246" t="s">
        <v>1948</v>
      </c>
      <c r="G246" t="s">
        <v>110</v>
      </c>
      <c r="H246" t="s">
        <v>111</v>
      </c>
      <c r="I246" t="s">
        <v>112</v>
      </c>
      <c r="J246" t="s">
        <v>112</v>
      </c>
      <c r="K246" t="s">
        <v>112</v>
      </c>
      <c r="L246" t="s">
        <v>150</v>
      </c>
      <c r="M246" t="s">
        <v>151</v>
      </c>
      <c r="N246" t="s">
        <v>112</v>
      </c>
      <c r="O246" t="s">
        <v>112</v>
      </c>
      <c r="P246">
        <v>1</v>
      </c>
      <c r="R246">
        <v>1</v>
      </c>
      <c r="S246">
        <v>33</v>
      </c>
      <c r="T246" t="s">
        <v>112</v>
      </c>
      <c r="U246" t="s">
        <v>152</v>
      </c>
      <c r="V246" t="s">
        <v>153</v>
      </c>
      <c r="W246" t="s">
        <v>154</v>
      </c>
      <c r="X246" t="s">
        <v>119</v>
      </c>
      <c r="Y246" t="s">
        <v>112</v>
      </c>
      <c r="Z246" t="s">
        <v>112</v>
      </c>
      <c r="AA246" t="s">
        <v>152</v>
      </c>
      <c r="AB246" t="s">
        <v>153</v>
      </c>
      <c r="AC246" t="s">
        <v>154</v>
      </c>
      <c r="AD246" t="s">
        <v>119</v>
      </c>
      <c r="AE246" t="s">
        <v>112</v>
      </c>
      <c r="AF246" t="s">
        <v>121</v>
      </c>
      <c r="AG246" t="s">
        <v>122</v>
      </c>
      <c r="AH246">
        <v>4283720.46</v>
      </c>
      <c r="AI246" t="s">
        <v>112</v>
      </c>
      <c r="AJ246" t="s">
        <v>152</v>
      </c>
      <c r="AK246" t="s">
        <v>153</v>
      </c>
      <c r="AL246" t="s">
        <v>154</v>
      </c>
      <c r="AM246" t="s">
        <v>119</v>
      </c>
      <c r="AN246" t="s">
        <v>112</v>
      </c>
      <c r="AO246" t="s">
        <v>121</v>
      </c>
      <c r="AP246" t="s">
        <v>122</v>
      </c>
      <c r="AQ246" t="s">
        <v>122</v>
      </c>
      <c r="AR246" t="s">
        <v>124</v>
      </c>
      <c r="AS246" t="s">
        <v>125</v>
      </c>
      <c r="AT246">
        <v>2</v>
      </c>
      <c r="AU246" t="s">
        <v>126</v>
      </c>
      <c r="AV246" t="s">
        <v>155</v>
      </c>
      <c r="AW246" t="s">
        <v>156</v>
      </c>
      <c r="AY246" t="s">
        <v>129</v>
      </c>
      <c r="AZ246">
        <v>38717.800000000003</v>
      </c>
      <c r="BC246">
        <v>100.303</v>
      </c>
      <c r="BD246" t="s">
        <v>112</v>
      </c>
      <c r="BE246" t="s">
        <v>112</v>
      </c>
      <c r="BF246" t="s">
        <v>157</v>
      </c>
      <c r="BG246" t="s">
        <v>133</v>
      </c>
      <c r="BH246" t="s">
        <v>134</v>
      </c>
      <c r="BI246" t="s">
        <v>112</v>
      </c>
      <c r="BJ246" t="s">
        <v>112</v>
      </c>
      <c r="BK246" t="s">
        <v>112</v>
      </c>
      <c r="BL246" t="s">
        <v>158</v>
      </c>
      <c r="BM246" t="s">
        <v>159</v>
      </c>
      <c r="BN246" t="s">
        <v>212</v>
      </c>
      <c r="BO246" t="s">
        <v>161</v>
      </c>
      <c r="BQ246" t="s">
        <v>232</v>
      </c>
      <c r="BR246" s="45">
        <f>ISNUMBER(SEARCH($BR$1,Таблица1[[#This Row],[31_1 Описание и характеристика товара]]))*1</f>
        <v>1</v>
      </c>
      <c r="BT246" t="s">
        <v>150</v>
      </c>
      <c r="BU246">
        <v>33</v>
      </c>
      <c r="BV246">
        <v>0</v>
      </c>
      <c r="BW246">
        <v>0</v>
      </c>
      <c r="BY246">
        <v>0</v>
      </c>
      <c r="CA246" t="s">
        <v>106</v>
      </c>
      <c r="CB246" t="s">
        <v>142</v>
      </c>
      <c r="CC246" t="s">
        <v>112</v>
      </c>
      <c r="CD246" t="s">
        <v>112</v>
      </c>
      <c r="CE246" t="s">
        <v>121</v>
      </c>
      <c r="CF246">
        <v>15741.96</v>
      </c>
      <c r="CG246" t="s">
        <v>144</v>
      </c>
      <c r="CH246">
        <v>4000000</v>
      </c>
      <c r="CI246">
        <v>15443.16</v>
      </c>
      <c r="CJ246">
        <v>0</v>
      </c>
      <c r="CK246" t="s">
        <v>112</v>
      </c>
      <c r="CL246" t="s">
        <v>112</v>
      </c>
      <c r="CM246">
        <v>38717.800000000003</v>
      </c>
      <c r="CO246">
        <v>0</v>
      </c>
      <c r="CP246">
        <v>1</v>
      </c>
      <c r="CQ246">
        <v>4283720.46</v>
      </c>
      <c r="CR246">
        <v>45230.77</v>
      </c>
      <c r="CS246" t="s">
        <v>145</v>
      </c>
      <c r="CT246">
        <v>45248.4588</v>
      </c>
      <c r="CU246">
        <v>2.93</v>
      </c>
      <c r="CV246">
        <v>45</v>
      </c>
      <c r="CX246" t="s">
        <v>1140</v>
      </c>
      <c r="CY246">
        <v>22</v>
      </c>
    </row>
    <row r="247" spans="1:103" x14ac:dyDescent="0.25">
      <c r="A247" t="s">
        <v>106</v>
      </c>
      <c r="B247" s="38">
        <v>44848</v>
      </c>
      <c r="C247" s="43">
        <f>IF(YEAR(Таблица1[[#This Row],[Дата]])=2023,MONTH(Таблица1[[#This Row],[Дата]]),0)</f>
        <v>0</v>
      </c>
      <c r="D247" t="s">
        <v>1947</v>
      </c>
      <c r="E247" t="s">
        <v>108</v>
      </c>
      <c r="F247" t="s">
        <v>1948</v>
      </c>
      <c r="G247" t="s">
        <v>110</v>
      </c>
      <c r="H247" t="s">
        <v>111</v>
      </c>
      <c r="I247" t="s">
        <v>112</v>
      </c>
      <c r="J247" t="s">
        <v>112</v>
      </c>
      <c r="K247" t="s">
        <v>112</v>
      </c>
      <c r="L247" t="s">
        <v>150</v>
      </c>
      <c r="M247" t="s">
        <v>151</v>
      </c>
      <c r="N247" t="s">
        <v>112</v>
      </c>
      <c r="O247" t="s">
        <v>112</v>
      </c>
      <c r="P247">
        <v>1</v>
      </c>
      <c r="R247">
        <v>1</v>
      </c>
      <c r="S247">
        <v>33</v>
      </c>
      <c r="T247" t="s">
        <v>112</v>
      </c>
      <c r="U247" t="s">
        <v>152</v>
      </c>
      <c r="V247" t="s">
        <v>153</v>
      </c>
      <c r="W247" t="s">
        <v>154</v>
      </c>
      <c r="X247" t="s">
        <v>119</v>
      </c>
      <c r="Y247" t="s">
        <v>112</v>
      </c>
      <c r="Z247" t="s">
        <v>112</v>
      </c>
      <c r="AA247" t="s">
        <v>152</v>
      </c>
      <c r="AB247" t="s">
        <v>153</v>
      </c>
      <c r="AC247" t="s">
        <v>154</v>
      </c>
      <c r="AD247" t="s">
        <v>119</v>
      </c>
      <c r="AE247" t="s">
        <v>112</v>
      </c>
      <c r="AF247" t="s">
        <v>121</v>
      </c>
      <c r="AG247" t="s">
        <v>122</v>
      </c>
      <c r="AH247">
        <v>4283720.46</v>
      </c>
      <c r="AI247" t="s">
        <v>112</v>
      </c>
      <c r="AJ247" t="s">
        <v>152</v>
      </c>
      <c r="AK247" t="s">
        <v>153</v>
      </c>
      <c r="AL247" t="s">
        <v>154</v>
      </c>
      <c r="AM247" t="s">
        <v>119</v>
      </c>
      <c r="AN247" t="s">
        <v>112</v>
      </c>
      <c r="AO247" t="s">
        <v>121</v>
      </c>
      <c r="AP247" t="s">
        <v>122</v>
      </c>
      <c r="AQ247" t="s">
        <v>122</v>
      </c>
      <c r="AR247" t="s">
        <v>124</v>
      </c>
      <c r="AS247" t="s">
        <v>125</v>
      </c>
      <c r="AT247">
        <v>2</v>
      </c>
      <c r="AU247" t="s">
        <v>126</v>
      </c>
      <c r="AV247" t="s">
        <v>155</v>
      </c>
      <c r="AW247" t="s">
        <v>156</v>
      </c>
      <c r="AY247" t="s">
        <v>129</v>
      </c>
      <c r="AZ247">
        <v>38717.800000000003</v>
      </c>
      <c r="BC247">
        <v>100.303</v>
      </c>
      <c r="BD247" t="s">
        <v>112</v>
      </c>
      <c r="BE247" t="s">
        <v>112</v>
      </c>
      <c r="BF247" t="s">
        <v>157</v>
      </c>
      <c r="BG247" t="s">
        <v>133</v>
      </c>
      <c r="BH247" t="s">
        <v>134</v>
      </c>
      <c r="BI247" t="s">
        <v>112</v>
      </c>
      <c r="BJ247" t="s">
        <v>112</v>
      </c>
      <c r="BK247" t="s">
        <v>112</v>
      </c>
      <c r="BL247" t="s">
        <v>158</v>
      </c>
      <c r="BM247" t="s">
        <v>159</v>
      </c>
      <c r="BN247" t="s">
        <v>212</v>
      </c>
      <c r="BO247" t="s">
        <v>161</v>
      </c>
      <c r="BQ247" t="s">
        <v>232</v>
      </c>
      <c r="BR247" s="45">
        <f>ISNUMBER(SEARCH($BR$1,Таблица1[[#This Row],[31_1 Описание и характеристика товара]]))*1</f>
        <v>1</v>
      </c>
      <c r="BT247" t="s">
        <v>150</v>
      </c>
      <c r="BU247">
        <v>33</v>
      </c>
      <c r="BV247">
        <v>0</v>
      </c>
      <c r="BW247">
        <v>0</v>
      </c>
      <c r="BY247">
        <v>0</v>
      </c>
      <c r="CA247" t="s">
        <v>106</v>
      </c>
      <c r="CB247" t="s">
        <v>142</v>
      </c>
      <c r="CC247" t="s">
        <v>112</v>
      </c>
      <c r="CD247" t="s">
        <v>112</v>
      </c>
      <c r="CE247" t="s">
        <v>121</v>
      </c>
      <c r="CF247">
        <v>15741.96</v>
      </c>
      <c r="CG247" t="s">
        <v>144</v>
      </c>
      <c r="CH247">
        <v>4000000</v>
      </c>
      <c r="CI247">
        <v>15443.16</v>
      </c>
      <c r="CJ247">
        <v>0</v>
      </c>
      <c r="CK247" t="s">
        <v>112</v>
      </c>
      <c r="CL247" t="s">
        <v>112</v>
      </c>
      <c r="CM247">
        <v>38717.800000000003</v>
      </c>
      <c r="CO247">
        <v>0</v>
      </c>
      <c r="CP247">
        <v>1</v>
      </c>
      <c r="CQ247">
        <v>4283720.46</v>
      </c>
      <c r="CR247">
        <v>45230.77</v>
      </c>
      <c r="CS247" t="s">
        <v>145</v>
      </c>
      <c r="CT247">
        <v>45248.4588</v>
      </c>
      <c r="CU247">
        <v>2.93</v>
      </c>
      <c r="CV247">
        <v>45</v>
      </c>
      <c r="CX247" t="s">
        <v>1140</v>
      </c>
      <c r="CY247">
        <v>22</v>
      </c>
    </row>
    <row r="248" spans="1:103" x14ac:dyDescent="0.25">
      <c r="A248" t="s">
        <v>106</v>
      </c>
      <c r="B248" s="38">
        <v>45290</v>
      </c>
      <c r="C248" s="43">
        <f>IF(YEAR(Таблица1[[#This Row],[Дата]])=2023,MONTH(Таблица1[[#This Row],[Дата]]),0)</f>
        <v>12</v>
      </c>
      <c r="D248" t="s">
        <v>1953</v>
      </c>
      <c r="E248" t="s">
        <v>108</v>
      </c>
      <c r="F248" t="s">
        <v>1954</v>
      </c>
      <c r="G248" t="s">
        <v>110</v>
      </c>
      <c r="H248" t="s">
        <v>111</v>
      </c>
      <c r="I248" t="s">
        <v>112</v>
      </c>
      <c r="J248" t="s">
        <v>112</v>
      </c>
      <c r="K248" t="s">
        <v>112</v>
      </c>
      <c r="L248" t="s">
        <v>150</v>
      </c>
      <c r="M248" t="s">
        <v>151</v>
      </c>
      <c r="N248" t="s">
        <v>112</v>
      </c>
      <c r="O248" t="s">
        <v>112</v>
      </c>
      <c r="P248">
        <v>1</v>
      </c>
      <c r="R248">
        <v>1</v>
      </c>
      <c r="S248">
        <v>33</v>
      </c>
      <c r="T248" t="s">
        <v>112</v>
      </c>
      <c r="U248" t="s">
        <v>152</v>
      </c>
      <c r="V248" t="s">
        <v>153</v>
      </c>
      <c r="W248" t="s">
        <v>154</v>
      </c>
      <c r="X248" t="s">
        <v>119</v>
      </c>
      <c r="Y248" t="s">
        <v>112</v>
      </c>
      <c r="Z248" t="s">
        <v>112</v>
      </c>
      <c r="AA248" t="s">
        <v>152</v>
      </c>
      <c r="AB248" t="s">
        <v>153</v>
      </c>
      <c r="AC248" t="s">
        <v>154</v>
      </c>
      <c r="AD248" t="s">
        <v>119</v>
      </c>
      <c r="AE248" t="s">
        <v>112</v>
      </c>
      <c r="AF248" t="s">
        <v>121</v>
      </c>
      <c r="AG248" t="s">
        <v>122</v>
      </c>
      <c r="AH248">
        <v>4995631.04</v>
      </c>
      <c r="AI248" t="s">
        <v>112</v>
      </c>
      <c r="AJ248" t="s">
        <v>152</v>
      </c>
      <c r="AK248" t="s">
        <v>153</v>
      </c>
      <c r="AL248" t="s">
        <v>154</v>
      </c>
      <c r="AM248" t="s">
        <v>119</v>
      </c>
      <c r="AN248" t="s">
        <v>112</v>
      </c>
      <c r="AO248" t="s">
        <v>121</v>
      </c>
      <c r="AP248" t="s">
        <v>122</v>
      </c>
      <c r="AQ248" t="s">
        <v>122</v>
      </c>
      <c r="AR248" t="s">
        <v>124</v>
      </c>
      <c r="AS248" t="s">
        <v>125</v>
      </c>
      <c r="AT248">
        <v>2</v>
      </c>
      <c r="AU248" t="s">
        <v>126</v>
      </c>
      <c r="AV248" t="s">
        <v>155</v>
      </c>
      <c r="AW248" t="s">
        <v>156</v>
      </c>
      <c r="AY248" t="s">
        <v>129</v>
      </c>
      <c r="AZ248">
        <v>45815.4</v>
      </c>
      <c r="BC248">
        <v>100.303</v>
      </c>
      <c r="BD248" t="s">
        <v>112</v>
      </c>
      <c r="BE248" t="s">
        <v>112</v>
      </c>
      <c r="BF248" t="s">
        <v>157</v>
      </c>
      <c r="BG248" t="s">
        <v>133</v>
      </c>
      <c r="BH248" t="s">
        <v>134</v>
      </c>
      <c r="BI248" t="s">
        <v>112</v>
      </c>
      <c r="BJ248" t="s">
        <v>112</v>
      </c>
      <c r="BK248" t="s">
        <v>112</v>
      </c>
      <c r="BL248" t="s">
        <v>158</v>
      </c>
      <c r="BM248" t="s">
        <v>159</v>
      </c>
      <c r="BN248" t="s">
        <v>212</v>
      </c>
      <c r="BO248" t="s">
        <v>161</v>
      </c>
      <c r="BQ248" t="s">
        <v>205</v>
      </c>
      <c r="BR248" s="45">
        <f>ISNUMBER(SEARCH($BR$1,Таблица1[[#This Row],[31_1 Описание и характеристика товара]]))*1</f>
        <v>1</v>
      </c>
      <c r="BT248" t="s">
        <v>150</v>
      </c>
      <c r="BU248">
        <v>33</v>
      </c>
      <c r="BV248">
        <v>0</v>
      </c>
      <c r="BW248">
        <v>0</v>
      </c>
      <c r="BY248">
        <v>0</v>
      </c>
      <c r="CA248" t="s">
        <v>106</v>
      </c>
      <c r="CB248" t="s">
        <v>142</v>
      </c>
      <c r="CC248" t="s">
        <v>112</v>
      </c>
      <c r="CD248" t="s">
        <v>112</v>
      </c>
      <c r="CE248" t="s">
        <v>121</v>
      </c>
      <c r="CF248">
        <v>16783.32</v>
      </c>
      <c r="CG248" t="s">
        <v>144</v>
      </c>
      <c r="CH248">
        <v>4000000</v>
      </c>
      <c r="CI248">
        <v>16783.32</v>
      </c>
      <c r="CJ248">
        <v>0</v>
      </c>
      <c r="CK248" t="s">
        <v>112</v>
      </c>
      <c r="CL248" t="s">
        <v>112</v>
      </c>
      <c r="CM248">
        <v>45815.4</v>
      </c>
      <c r="CO248">
        <v>0</v>
      </c>
      <c r="CP248">
        <v>1</v>
      </c>
      <c r="CQ248">
        <v>4995631.04</v>
      </c>
      <c r="CR248">
        <v>52747.66</v>
      </c>
      <c r="CS248" t="s">
        <v>145</v>
      </c>
      <c r="CT248">
        <v>52699.624799999998</v>
      </c>
      <c r="CU248">
        <v>3.14</v>
      </c>
      <c r="CV248">
        <v>45</v>
      </c>
      <c r="CX248" t="s">
        <v>729</v>
      </c>
      <c r="CY248">
        <v>229</v>
      </c>
    </row>
    <row r="249" spans="1:103" x14ac:dyDescent="0.25">
      <c r="A249" t="s">
        <v>106</v>
      </c>
      <c r="B249" s="38">
        <v>44852</v>
      </c>
      <c r="C249" s="43">
        <f>IF(YEAR(Таблица1[[#This Row],[Дата]])=2023,MONTH(Таблица1[[#This Row],[Дата]]),0)</f>
        <v>0</v>
      </c>
      <c r="D249" t="s">
        <v>1953</v>
      </c>
      <c r="E249" t="s">
        <v>108</v>
      </c>
      <c r="F249" t="s">
        <v>1954</v>
      </c>
      <c r="G249" t="s">
        <v>110</v>
      </c>
      <c r="H249" t="s">
        <v>111</v>
      </c>
      <c r="I249" t="s">
        <v>112</v>
      </c>
      <c r="J249" t="s">
        <v>112</v>
      </c>
      <c r="K249" t="s">
        <v>112</v>
      </c>
      <c r="L249" t="s">
        <v>150</v>
      </c>
      <c r="M249" t="s">
        <v>151</v>
      </c>
      <c r="N249" t="s">
        <v>112</v>
      </c>
      <c r="O249" t="s">
        <v>112</v>
      </c>
      <c r="P249">
        <v>1</v>
      </c>
      <c r="R249">
        <v>1</v>
      </c>
      <c r="S249">
        <v>33</v>
      </c>
      <c r="T249" t="s">
        <v>112</v>
      </c>
      <c r="U249" t="s">
        <v>152</v>
      </c>
      <c r="V249" t="s">
        <v>153</v>
      </c>
      <c r="W249" t="s">
        <v>154</v>
      </c>
      <c r="X249" t="s">
        <v>119</v>
      </c>
      <c r="Y249" t="s">
        <v>112</v>
      </c>
      <c r="Z249" t="s">
        <v>112</v>
      </c>
      <c r="AA249" t="s">
        <v>152</v>
      </c>
      <c r="AB249" t="s">
        <v>153</v>
      </c>
      <c r="AC249" t="s">
        <v>154</v>
      </c>
      <c r="AD249" t="s">
        <v>119</v>
      </c>
      <c r="AE249" t="s">
        <v>112</v>
      </c>
      <c r="AF249" t="s">
        <v>121</v>
      </c>
      <c r="AG249" t="s">
        <v>122</v>
      </c>
      <c r="AH249">
        <v>4995631.04</v>
      </c>
      <c r="AI249" t="s">
        <v>112</v>
      </c>
      <c r="AJ249" t="s">
        <v>152</v>
      </c>
      <c r="AK249" t="s">
        <v>153</v>
      </c>
      <c r="AL249" t="s">
        <v>154</v>
      </c>
      <c r="AM249" t="s">
        <v>119</v>
      </c>
      <c r="AN249" t="s">
        <v>112</v>
      </c>
      <c r="AO249" t="s">
        <v>121</v>
      </c>
      <c r="AP249" t="s">
        <v>122</v>
      </c>
      <c r="AQ249" t="s">
        <v>122</v>
      </c>
      <c r="AR249" t="s">
        <v>124</v>
      </c>
      <c r="AS249" t="s">
        <v>125</v>
      </c>
      <c r="AT249">
        <v>2</v>
      </c>
      <c r="AU249" t="s">
        <v>126</v>
      </c>
      <c r="AV249" t="s">
        <v>155</v>
      </c>
      <c r="AW249" t="s">
        <v>156</v>
      </c>
      <c r="AY249" t="s">
        <v>129</v>
      </c>
      <c r="AZ249">
        <v>45815.4</v>
      </c>
      <c r="BC249">
        <v>100.303</v>
      </c>
      <c r="BD249" t="s">
        <v>112</v>
      </c>
      <c r="BE249" t="s">
        <v>112</v>
      </c>
      <c r="BF249" t="s">
        <v>157</v>
      </c>
      <c r="BG249" t="s">
        <v>133</v>
      </c>
      <c r="BH249" t="s">
        <v>134</v>
      </c>
      <c r="BI249" t="s">
        <v>112</v>
      </c>
      <c r="BJ249" t="s">
        <v>112</v>
      </c>
      <c r="BK249" t="s">
        <v>112</v>
      </c>
      <c r="BL249" t="s">
        <v>158</v>
      </c>
      <c r="BM249" t="s">
        <v>159</v>
      </c>
      <c r="BN249" t="s">
        <v>212</v>
      </c>
      <c r="BO249" t="s">
        <v>161</v>
      </c>
      <c r="BQ249" t="s">
        <v>205</v>
      </c>
      <c r="BR249" s="45">
        <f>ISNUMBER(SEARCH($BR$1,Таблица1[[#This Row],[31_1 Описание и характеристика товара]]))*1</f>
        <v>1</v>
      </c>
      <c r="BT249" t="s">
        <v>150</v>
      </c>
      <c r="BU249">
        <v>33</v>
      </c>
      <c r="BV249">
        <v>0</v>
      </c>
      <c r="BW249">
        <v>0</v>
      </c>
      <c r="BY249">
        <v>0</v>
      </c>
      <c r="CA249" t="s">
        <v>106</v>
      </c>
      <c r="CB249" t="s">
        <v>142</v>
      </c>
      <c r="CC249" t="s">
        <v>112</v>
      </c>
      <c r="CD249" t="s">
        <v>112</v>
      </c>
      <c r="CE249" t="s">
        <v>121</v>
      </c>
      <c r="CF249">
        <v>16783.32</v>
      </c>
      <c r="CG249" t="s">
        <v>144</v>
      </c>
      <c r="CH249">
        <v>4000000</v>
      </c>
      <c r="CI249">
        <v>16783.32</v>
      </c>
      <c r="CJ249">
        <v>0</v>
      </c>
      <c r="CK249" t="s">
        <v>112</v>
      </c>
      <c r="CL249" t="s">
        <v>112</v>
      </c>
      <c r="CM249">
        <v>45815.4</v>
      </c>
      <c r="CO249">
        <v>0</v>
      </c>
      <c r="CP249">
        <v>1</v>
      </c>
      <c r="CQ249">
        <v>4995631.04</v>
      </c>
      <c r="CR249">
        <v>52747.66</v>
      </c>
      <c r="CS249" t="s">
        <v>145</v>
      </c>
      <c r="CT249">
        <v>52699.624799999998</v>
      </c>
      <c r="CU249">
        <v>3.14</v>
      </c>
      <c r="CV249">
        <v>45</v>
      </c>
      <c r="CX249" t="s">
        <v>729</v>
      </c>
      <c r="CY249">
        <v>229</v>
      </c>
    </row>
    <row r="250" spans="1:103" x14ac:dyDescent="0.25">
      <c r="A250" t="s">
        <v>106</v>
      </c>
      <c r="B250" s="38">
        <v>45184</v>
      </c>
      <c r="C250" s="43">
        <f>IF(YEAR(Таблица1[[#This Row],[Дата]])=2023,MONTH(Таблица1[[#This Row],[Дата]]),0)</f>
        <v>9</v>
      </c>
      <c r="D250" t="s">
        <v>1786</v>
      </c>
      <c r="E250" t="s">
        <v>108</v>
      </c>
      <c r="F250" t="s">
        <v>1787</v>
      </c>
      <c r="G250" t="s">
        <v>110</v>
      </c>
      <c r="H250" t="s">
        <v>111</v>
      </c>
      <c r="I250" t="s">
        <v>112</v>
      </c>
      <c r="J250" t="s">
        <v>112</v>
      </c>
      <c r="K250" t="s">
        <v>112</v>
      </c>
      <c r="L250" t="s">
        <v>150</v>
      </c>
      <c r="M250" t="s">
        <v>151</v>
      </c>
      <c r="N250" t="s">
        <v>112</v>
      </c>
      <c r="O250" t="s">
        <v>112</v>
      </c>
      <c r="R250">
        <v>1</v>
      </c>
      <c r="S250">
        <v>33</v>
      </c>
      <c r="T250" t="s">
        <v>166</v>
      </c>
      <c r="U250" t="s">
        <v>152</v>
      </c>
      <c r="V250" t="s">
        <v>153</v>
      </c>
      <c r="W250" t="s">
        <v>154</v>
      </c>
      <c r="X250" t="s">
        <v>119</v>
      </c>
      <c r="Y250" t="s">
        <v>112</v>
      </c>
      <c r="Z250" t="s">
        <v>166</v>
      </c>
      <c r="AA250" t="s">
        <v>152</v>
      </c>
      <c r="AB250" t="s">
        <v>153</v>
      </c>
      <c r="AC250" t="s">
        <v>154</v>
      </c>
      <c r="AD250" t="s">
        <v>119</v>
      </c>
      <c r="AE250" t="s">
        <v>112</v>
      </c>
      <c r="AF250" t="s">
        <v>121</v>
      </c>
      <c r="AG250" t="s">
        <v>122</v>
      </c>
      <c r="AH250">
        <v>4890252.96</v>
      </c>
      <c r="AI250" t="s">
        <v>166</v>
      </c>
      <c r="AJ250" t="s">
        <v>152</v>
      </c>
      <c r="AK250" t="s">
        <v>153</v>
      </c>
      <c r="AL250" t="s">
        <v>154</v>
      </c>
      <c r="AM250" t="s">
        <v>119</v>
      </c>
      <c r="AN250" t="s">
        <v>112</v>
      </c>
      <c r="AO250" t="s">
        <v>121</v>
      </c>
      <c r="AP250" t="s">
        <v>122</v>
      </c>
      <c r="AQ250" t="s">
        <v>122</v>
      </c>
      <c r="AR250" t="s">
        <v>124</v>
      </c>
      <c r="AS250" t="s">
        <v>125</v>
      </c>
      <c r="AU250" t="s">
        <v>126</v>
      </c>
      <c r="AV250" t="s">
        <v>155</v>
      </c>
      <c r="AW250" t="s">
        <v>156</v>
      </c>
      <c r="AY250" t="s">
        <v>129</v>
      </c>
      <c r="AZ250">
        <v>43698.68</v>
      </c>
      <c r="BC250">
        <v>102.2452</v>
      </c>
      <c r="BD250" t="s">
        <v>112</v>
      </c>
      <c r="BE250" t="s">
        <v>112</v>
      </c>
      <c r="BF250" t="s">
        <v>112</v>
      </c>
      <c r="BG250" t="s">
        <v>133</v>
      </c>
      <c r="BH250" t="s">
        <v>167</v>
      </c>
      <c r="BI250" t="s">
        <v>112</v>
      </c>
      <c r="BJ250" t="s">
        <v>112</v>
      </c>
      <c r="BK250" t="s">
        <v>112</v>
      </c>
      <c r="BL250" t="s">
        <v>112</v>
      </c>
      <c r="BM250" t="s">
        <v>112</v>
      </c>
      <c r="BN250" t="s">
        <v>112</v>
      </c>
      <c r="BO250" t="s">
        <v>161</v>
      </c>
      <c r="BQ250" t="s">
        <v>162</v>
      </c>
      <c r="BR250" s="45">
        <f>ISNUMBER(SEARCH($BR$1,Таблица1[[#This Row],[31_1 Описание и характеристика товара]]))*1</f>
        <v>1</v>
      </c>
      <c r="BT250" t="s">
        <v>150</v>
      </c>
      <c r="BU250">
        <v>33</v>
      </c>
      <c r="CA250" t="s">
        <v>106</v>
      </c>
      <c r="CB250" t="s">
        <v>142</v>
      </c>
      <c r="CC250" t="s">
        <v>112</v>
      </c>
      <c r="CD250" t="s">
        <v>112</v>
      </c>
      <c r="CE250" t="s">
        <v>121</v>
      </c>
      <c r="CF250">
        <v>16823.599999999999</v>
      </c>
      <c r="CG250" t="s">
        <v>144</v>
      </c>
      <c r="CH250">
        <v>4000000</v>
      </c>
      <c r="CI250">
        <v>16751.599999999999</v>
      </c>
      <c r="CK250" t="s">
        <v>112</v>
      </c>
      <c r="CL250" t="s">
        <v>112</v>
      </c>
      <c r="CM250">
        <v>43698.68</v>
      </c>
      <c r="CO250">
        <v>0</v>
      </c>
      <c r="CP250">
        <v>1</v>
      </c>
      <c r="CQ250">
        <v>4890252.96</v>
      </c>
      <c r="CR250">
        <v>51780.43</v>
      </c>
      <c r="CS250" t="s">
        <v>145</v>
      </c>
      <c r="CT250">
        <v>51762.443999999996</v>
      </c>
      <c r="CU250">
        <v>3.09</v>
      </c>
      <c r="CY250">
        <v>20</v>
      </c>
    </row>
    <row r="251" spans="1:103" x14ac:dyDescent="0.25">
      <c r="A251" t="s">
        <v>106</v>
      </c>
      <c r="B251" s="38">
        <v>45285</v>
      </c>
      <c r="C251" s="43">
        <f>IF(YEAR(Таблица1[[#This Row],[Дата]])=2023,MONTH(Таблица1[[#This Row],[Дата]]),0)</f>
        <v>12</v>
      </c>
      <c r="D251" t="s">
        <v>1782</v>
      </c>
      <c r="E251" t="s">
        <v>108</v>
      </c>
      <c r="F251" t="s">
        <v>1783</v>
      </c>
      <c r="G251" t="s">
        <v>110</v>
      </c>
      <c r="H251" t="s">
        <v>111</v>
      </c>
      <c r="I251" t="s">
        <v>112</v>
      </c>
      <c r="J251" t="s">
        <v>112</v>
      </c>
      <c r="K251" t="s">
        <v>112</v>
      </c>
      <c r="L251" t="s">
        <v>150</v>
      </c>
      <c r="M251" t="s">
        <v>151</v>
      </c>
      <c r="N251" t="s">
        <v>112</v>
      </c>
      <c r="O251" t="s">
        <v>112</v>
      </c>
      <c r="R251">
        <v>1</v>
      </c>
      <c r="S251">
        <v>33</v>
      </c>
      <c r="T251" t="s">
        <v>166</v>
      </c>
      <c r="U251" t="s">
        <v>152</v>
      </c>
      <c r="V251" t="s">
        <v>153</v>
      </c>
      <c r="W251" t="s">
        <v>154</v>
      </c>
      <c r="X251" t="s">
        <v>119</v>
      </c>
      <c r="Y251" t="s">
        <v>112</v>
      </c>
      <c r="Z251" t="s">
        <v>166</v>
      </c>
      <c r="AA251" t="s">
        <v>152</v>
      </c>
      <c r="AB251" t="s">
        <v>153</v>
      </c>
      <c r="AC251" t="s">
        <v>154</v>
      </c>
      <c r="AD251" t="s">
        <v>119</v>
      </c>
      <c r="AE251" t="s">
        <v>112</v>
      </c>
      <c r="AF251" t="s">
        <v>121</v>
      </c>
      <c r="AG251" t="s">
        <v>122</v>
      </c>
      <c r="AH251">
        <v>4122767.77</v>
      </c>
      <c r="AI251" t="s">
        <v>166</v>
      </c>
      <c r="AJ251" t="s">
        <v>152</v>
      </c>
      <c r="AK251" t="s">
        <v>153</v>
      </c>
      <c r="AL251" t="s">
        <v>154</v>
      </c>
      <c r="AM251" t="s">
        <v>119</v>
      </c>
      <c r="AN251" t="s">
        <v>112</v>
      </c>
      <c r="AO251" t="s">
        <v>121</v>
      </c>
      <c r="AP251" t="s">
        <v>122</v>
      </c>
      <c r="AQ251" t="s">
        <v>122</v>
      </c>
      <c r="AR251" t="s">
        <v>124</v>
      </c>
      <c r="AS251" t="s">
        <v>125</v>
      </c>
      <c r="AU251" t="s">
        <v>126</v>
      </c>
      <c r="AV251" t="s">
        <v>155</v>
      </c>
      <c r="AW251" t="s">
        <v>156</v>
      </c>
      <c r="AY251" t="s">
        <v>129</v>
      </c>
      <c r="AZ251">
        <v>36192.36</v>
      </c>
      <c r="BC251">
        <v>102.2452</v>
      </c>
      <c r="BD251" t="s">
        <v>112</v>
      </c>
      <c r="BE251" t="s">
        <v>112</v>
      </c>
      <c r="BF251" t="s">
        <v>112</v>
      </c>
      <c r="BG251" t="s">
        <v>133</v>
      </c>
      <c r="BH251" t="s">
        <v>134</v>
      </c>
      <c r="BI251" t="s">
        <v>112</v>
      </c>
      <c r="BJ251" t="s">
        <v>112</v>
      </c>
      <c r="BK251" t="s">
        <v>112</v>
      </c>
      <c r="BL251" t="s">
        <v>112</v>
      </c>
      <c r="BM251" t="s">
        <v>112</v>
      </c>
      <c r="BN251" t="s">
        <v>112</v>
      </c>
      <c r="BO251" t="s">
        <v>161</v>
      </c>
      <c r="BQ251" t="s">
        <v>213</v>
      </c>
      <c r="BR251" s="45">
        <f>ISNUMBER(SEARCH($BR$1,Таблица1[[#This Row],[31_1 Описание и характеристика товара]]))*1</f>
        <v>1</v>
      </c>
      <c r="BT251" t="s">
        <v>150</v>
      </c>
      <c r="BU251">
        <v>33</v>
      </c>
      <c r="BV251">
        <v>0</v>
      </c>
      <c r="BW251">
        <v>0</v>
      </c>
      <c r="CA251" t="s">
        <v>106</v>
      </c>
      <c r="CB251" t="s">
        <v>142</v>
      </c>
      <c r="CC251" t="s">
        <v>112</v>
      </c>
      <c r="CD251" t="s">
        <v>112</v>
      </c>
      <c r="CE251" t="s">
        <v>121</v>
      </c>
      <c r="CF251">
        <v>17353.91</v>
      </c>
      <c r="CG251" t="s">
        <v>144</v>
      </c>
      <c r="CH251">
        <v>4000000</v>
      </c>
      <c r="CI251">
        <v>17353.91</v>
      </c>
      <c r="CJ251">
        <v>0</v>
      </c>
      <c r="CK251" t="s">
        <v>112</v>
      </c>
      <c r="CL251" t="s">
        <v>112</v>
      </c>
      <c r="CM251">
        <v>36192.36</v>
      </c>
      <c r="CO251">
        <v>0</v>
      </c>
      <c r="CP251">
        <v>1</v>
      </c>
      <c r="CQ251">
        <v>4122767.77</v>
      </c>
      <c r="CR251">
        <v>43653.919999999998</v>
      </c>
      <c r="CS251" t="s">
        <v>145</v>
      </c>
      <c r="CT251">
        <v>43731.853199999998</v>
      </c>
      <c r="CU251">
        <v>2.52</v>
      </c>
      <c r="CY251">
        <v>205</v>
      </c>
    </row>
    <row r="252" spans="1:103" x14ac:dyDescent="0.25">
      <c r="A252" t="s">
        <v>106</v>
      </c>
      <c r="B252" s="38">
        <v>44833</v>
      </c>
      <c r="C252" s="43">
        <f>IF(YEAR(Таблица1[[#This Row],[Дата]])=2023,MONTH(Таблица1[[#This Row],[Дата]]),0)</f>
        <v>0</v>
      </c>
      <c r="D252" t="s">
        <v>1778</v>
      </c>
      <c r="E252" t="s">
        <v>108</v>
      </c>
      <c r="F252" t="s">
        <v>1779</v>
      </c>
      <c r="G252" t="s">
        <v>110</v>
      </c>
      <c r="H252" t="s">
        <v>111</v>
      </c>
      <c r="I252" t="s">
        <v>112</v>
      </c>
      <c r="J252" t="s">
        <v>112</v>
      </c>
      <c r="K252" t="s">
        <v>112</v>
      </c>
      <c r="L252" t="s">
        <v>150</v>
      </c>
      <c r="M252" t="s">
        <v>151</v>
      </c>
      <c r="N252" t="s">
        <v>112</v>
      </c>
      <c r="O252" t="s">
        <v>112</v>
      </c>
      <c r="R252">
        <v>1</v>
      </c>
      <c r="S252">
        <v>33</v>
      </c>
      <c r="T252" t="s">
        <v>166</v>
      </c>
      <c r="U252" t="s">
        <v>152</v>
      </c>
      <c r="V252" t="s">
        <v>153</v>
      </c>
      <c r="W252" t="s">
        <v>154</v>
      </c>
      <c r="X252" t="s">
        <v>119</v>
      </c>
      <c r="Y252" t="s">
        <v>112</v>
      </c>
      <c r="Z252" t="s">
        <v>166</v>
      </c>
      <c r="AA252" t="s">
        <v>152</v>
      </c>
      <c r="AB252" t="s">
        <v>153</v>
      </c>
      <c r="AC252" t="s">
        <v>154</v>
      </c>
      <c r="AD252" t="s">
        <v>119</v>
      </c>
      <c r="AE252" t="s">
        <v>112</v>
      </c>
      <c r="AF252" t="s">
        <v>121</v>
      </c>
      <c r="AG252" t="s">
        <v>122</v>
      </c>
      <c r="AH252">
        <v>5029281.8899999997</v>
      </c>
      <c r="AI252" t="s">
        <v>166</v>
      </c>
      <c r="AJ252" t="s">
        <v>152</v>
      </c>
      <c r="AK252" t="s">
        <v>153</v>
      </c>
      <c r="AL252" t="s">
        <v>154</v>
      </c>
      <c r="AM252" t="s">
        <v>119</v>
      </c>
      <c r="AN252" t="s">
        <v>112</v>
      </c>
      <c r="AO252" t="s">
        <v>121</v>
      </c>
      <c r="AP252" t="s">
        <v>122</v>
      </c>
      <c r="AQ252" t="s">
        <v>122</v>
      </c>
      <c r="AR252" t="s">
        <v>124</v>
      </c>
      <c r="AS252" t="s">
        <v>125</v>
      </c>
      <c r="AU252" t="s">
        <v>126</v>
      </c>
      <c r="AV252" t="s">
        <v>155</v>
      </c>
      <c r="AW252" t="s">
        <v>156</v>
      </c>
      <c r="AY252" t="s">
        <v>129</v>
      </c>
      <c r="AZ252">
        <v>45058.44</v>
      </c>
      <c r="BC252">
        <v>102.2452</v>
      </c>
      <c r="BD252" t="s">
        <v>112</v>
      </c>
      <c r="BE252" t="s">
        <v>112</v>
      </c>
      <c r="BF252" t="s">
        <v>112</v>
      </c>
      <c r="BG252" t="s">
        <v>133</v>
      </c>
      <c r="BH252" t="s">
        <v>134</v>
      </c>
      <c r="BI252" t="s">
        <v>112</v>
      </c>
      <c r="BJ252" t="s">
        <v>112</v>
      </c>
      <c r="BK252" t="s">
        <v>112</v>
      </c>
      <c r="BL252" t="s">
        <v>112</v>
      </c>
      <c r="BM252" t="s">
        <v>112</v>
      </c>
      <c r="BN252" t="s">
        <v>112</v>
      </c>
      <c r="BO252" t="s">
        <v>161</v>
      </c>
      <c r="BQ252" t="s">
        <v>205</v>
      </c>
      <c r="BR252" s="45">
        <f>ISNUMBER(SEARCH($BR$1,Таблица1[[#This Row],[31_1 Описание и характеристика товара]]))*1</f>
        <v>1</v>
      </c>
      <c r="BT252" t="s">
        <v>150</v>
      </c>
      <c r="BU252">
        <v>33</v>
      </c>
      <c r="BV252">
        <v>0</v>
      </c>
      <c r="BW252">
        <v>0</v>
      </c>
      <c r="CA252" t="s">
        <v>106</v>
      </c>
      <c r="CB252" t="s">
        <v>142</v>
      </c>
      <c r="CC252" t="s">
        <v>112</v>
      </c>
      <c r="CD252" t="s">
        <v>112</v>
      </c>
      <c r="CE252" t="s">
        <v>121</v>
      </c>
      <c r="CF252">
        <v>14622.07</v>
      </c>
      <c r="CG252" t="s">
        <v>144</v>
      </c>
      <c r="CH252">
        <v>4000000</v>
      </c>
      <c r="CI252">
        <v>14322.66</v>
      </c>
      <c r="CJ252">
        <v>0</v>
      </c>
      <c r="CK252" t="s">
        <v>112</v>
      </c>
      <c r="CL252" t="s">
        <v>112</v>
      </c>
      <c r="CM252">
        <v>45058.44</v>
      </c>
      <c r="CO252">
        <v>0</v>
      </c>
      <c r="CP252">
        <v>1</v>
      </c>
      <c r="CQ252">
        <v>5029281.8899999997</v>
      </c>
      <c r="CR252">
        <v>53252.54</v>
      </c>
      <c r="CS252" t="s">
        <v>145</v>
      </c>
      <c r="CT252">
        <v>53280.2952</v>
      </c>
      <c r="CU252">
        <v>3.72</v>
      </c>
      <c r="CY252">
        <v>257</v>
      </c>
    </row>
    <row r="253" spans="1:103" x14ac:dyDescent="0.25">
      <c r="A253" t="s">
        <v>106</v>
      </c>
      <c r="B253" s="38">
        <v>45251</v>
      </c>
      <c r="C253" s="43">
        <f>IF(YEAR(Таблица1[[#This Row],[Дата]])=2023,MONTH(Таблица1[[#This Row],[Дата]]),0)</f>
        <v>11</v>
      </c>
      <c r="D253" t="s">
        <v>1571</v>
      </c>
      <c r="E253" t="s">
        <v>108</v>
      </c>
      <c r="F253" t="s">
        <v>1572</v>
      </c>
      <c r="G253" t="s">
        <v>110</v>
      </c>
      <c r="H253" t="s">
        <v>111</v>
      </c>
      <c r="I253" t="s">
        <v>112</v>
      </c>
      <c r="J253" t="s">
        <v>112</v>
      </c>
      <c r="K253" t="s">
        <v>112</v>
      </c>
      <c r="L253" t="s">
        <v>150</v>
      </c>
      <c r="M253" t="s">
        <v>1143</v>
      </c>
      <c r="N253" t="s">
        <v>112</v>
      </c>
      <c r="O253" t="s">
        <v>112</v>
      </c>
      <c r="P253">
        <v>1</v>
      </c>
      <c r="Q253">
        <v>0</v>
      </c>
      <c r="R253">
        <v>1</v>
      </c>
      <c r="S253">
        <v>33</v>
      </c>
      <c r="T253" t="s">
        <v>166</v>
      </c>
      <c r="U253" t="s">
        <v>152</v>
      </c>
      <c r="V253" t="s">
        <v>153</v>
      </c>
      <c r="W253" t="s">
        <v>154</v>
      </c>
      <c r="X253" t="s">
        <v>119</v>
      </c>
      <c r="Y253" t="s">
        <v>112</v>
      </c>
      <c r="Z253" t="s">
        <v>166</v>
      </c>
      <c r="AA253" t="s">
        <v>152</v>
      </c>
      <c r="AB253" t="s">
        <v>153</v>
      </c>
      <c r="AC253" t="s">
        <v>154</v>
      </c>
      <c r="AD253" t="s">
        <v>119</v>
      </c>
      <c r="AE253" t="s">
        <v>112</v>
      </c>
      <c r="AF253" t="s">
        <v>121</v>
      </c>
      <c r="AG253" t="s">
        <v>122</v>
      </c>
      <c r="AH253">
        <v>4462221.21</v>
      </c>
      <c r="AI253" t="s">
        <v>166</v>
      </c>
      <c r="AJ253" t="s">
        <v>152</v>
      </c>
      <c r="AK253" t="s">
        <v>153</v>
      </c>
      <c r="AL253" t="s">
        <v>154</v>
      </c>
      <c r="AM253" t="s">
        <v>119</v>
      </c>
      <c r="AN253" t="s">
        <v>112</v>
      </c>
      <c r="AO253" t="s">
        <v>121</v>
      </c>
      <c r="AP253" t="s">
        <v>122</v>
      </c>
      <c r="AQ253" t="s">
        <v>122</v>
      </c>
      <c r="AR253" t="s">
        <v>124</v>
      </c>
      <c r="AS253" t="s">
        <v>125</v>
      </c>
      <c r="AT253">
        <v>2</v>
      </c>
      <c r="AU253" t="s">
        <v>126</v>
      </c>
      <c r="AV253" t="s">
        <v>155</v>
      </c>
      <c r="AW253" t="s">
        <v>156</v>
      </c>
      <c r="AX253">
        <v>1</v>
      </c>
      <c r="AY253" t="s">
        <v>129</v>
      </c>
      <c r="AZ253">
        <v>40201.31</v>
      </c>
      <c r="BA253">
        <v>4046511</v>
      </c>
      <c r="BB253">
        <v>49369.26</v>
      </c>
      <c r="BC253">
        <v>100.6562</v>
      </c>
      <c r="BD253" t="s">
        <v>130</v>
      </c>
      <c r="BE253" t="s">
        <v>112</v>
      </c>
      <c r="BF253" t="s">
        <v>157</v>
      </c>
      <c r="BG253" t="s">
        <v>133</v>
      </c>
      <c r="BH253" t="s">
        <v>134</v>
      </c>
      <c r="BI253" t="s">
        <v>112</v>
      </c>
      <c r="BJ253" t="s">
        <v>112</v>
      </c>
      <c r="BK253" t="s">
        <v>112</v>
      </c>
      <c r="BL253" t="s">
        <v>169</v>
      </c>
      <c r="BM253" t="s">
        <v>159</v>
      </c>
      <c r="BN253" t="s">
        <v>722</v>
      </c>
      <c r="BO253" t="s">
        <v>161</v>
      </c>
      <c r="BP253">
        <v>1</v>
      </c>
      <c r="BQ253" t="s">
        <v>162</v>
      </c>
      <c r="BR253" s="45">
        <f>ISNUMBER(SEARCH($BR$1,Таблица1[[#This Row],[31_1 Описание и характеристика товара]]))*1</f>
        <v>1</v>
      </c>
      <c r="BT253" t="s">
        <v>150</v>
      </c>
      <c r="BU253">
        <v>33</v>
      </c>
      <c r="BV253">
        <v>0</v>
      </c>
      <c r="BW253">
        <v>0</v>
      </c>
      <c r="BY253">
        <v>0</v>
      </c>
      <c r="CA253" t="s">
        <v>106</v>
      </c>
      <c r="CB253" t="s">
        <v>142</v>
      </c>
      <c r="CC253" t="s">
        <v>112</v>
      </c>
      <c r="CD253" t="s">
        <v>112</v>
      </c>
      <c r="CE253" t="s">
        <v>121</v>
      </c>
      <c r="CF253">
        <v>16150.66</v>
      </c>
      <c r="CG253" t="s">
        <v>144</v>
      </c>
      <c r="CH253">
        <v>4000000</v>
      </c>
      <c r="CI253">
        <v>16079.85</v>
      </c>
      <c r="CJ253">
        <v>0</v>
      </c>
      <c r="CK253" t="s">
        <v>112</v>
      </c>
      <c r="CL253" t="s">
        <v>112</v>
      </c>
      <c r="CM253">
        <v>40201.31</v>
      </c>
      <c r="CN253">
        <v>4046511</v>
      </c>
      <c r="CO253">
        <v>0</v>
      </c>
      <c r="CP253">
        <v>1</v>
      </c>
      <c r="CQ253">
        <v>4462221.21</v>
      </c>
      <c r="CR253">
        <v>49369.26</v>
      </c>
      <c r="CS253" t="s">
        <v>145</v>
      </c>
      <c r="CT253">
        <v>49365.139499999997</v>
      </c>
      <c r="CU253">
        <v>3.07</v>
      </c>
      <c r="CV253">
        <v>45</v>
      </c>
      <c r="CW253" t="s">
        <v>171</v>
      </c>
      <c r="CX253" t="s">
        <v>350</v>
      </c>
      <c r="CY253">
        <v>564</v>
      </c>
    </row>
    <row r="254" spans="1:103" x14ac:dyDescent="0.25">
      <c r="A254" t="s">
        <v>106</v>
      </c>
      <c r="B254" s="38">
        <v>44877</v>
      </c>
      <c r="C254" s="43">
        <f>IF(YEAR(Таблица1[[#This Row],[Дата]])=2023,MONTH(Таблица1[[#This Row],[Дата]]),0)</f>
        <v>0</v>
      </c>
      <c r="D254" t="s">
        <v>1552</v>
      </c>
      <c r="E254" t="s">
        <v>108</v>
      </c>
      <c r="F254" t="s">
        <v>1553</v>
      </c>
      <c r="G254" t="s">
        <v>110</v>
      </c>
      <c r="H254" t="s">
        <v>111</v>
      </c>
      <c r="I254" t="s">
        <v>112</v>
      </c>
      <c r="J254" t="s">
        <v>112</v>
      </c>
      <c r="K254" t="s">
        <v>112</v>
      </c>
      <c r="L254" t="s">
        <v>150</v>
      </c>
      <c r="M254" t="s">
        <v>1143</v>
      </c>
      <c r="N254" t="s">
        <v>112</v>
      </c>
      <c r="O254" t="s">
        <v>112</v>
      </c>
      <c r="P254">
        <v>1</v>
      </c>
      <c r="Q254">
        <v>0</v>
      </c>
      <c r="R254">
        <v>1</v>
      </c>
      <c r="S254">
        <v>33</v>
      </c>
      <c r="T254" t="s">
        <v>166</v>
      </c>
      <c r="U254" t="s">
        <v>152</v>
      </c>
      <c r="V254" t="s">
        <v>153</v>
      </c>
      <c r="W254" t="s">
        <v>154</v>
      </c>
      <c r="X254" t="s">
        <v>119</v>
      </c>
      <c r="Y254" t="s">
        <v>112</v>
      </c>
      <c r="Z254" t="s">
        <v>166</v>
      </c>
      <c r="AA254" t="s">
        <v>152</v>
      </c>
      <c r="AB254" t="s">
        <v>153</v>
      </c>
      <c r="AC254" t="s">
        <v>154</v>
      </c>
      <c r="AD254" t="s">
        <v>119</v>
      </c>
      <c r="AE254" t="s">
        <v>112</v>
      </c>
      <c r="AF254" t="s">
        <v>121</v>
      </c>
      <c r="AG254" t="s">
        <v>122</v>
      </c>
      <c r="AH254">
        <v>4804080.87</v>
      </c>
      <c r="AI254" t="s">
        <v>166</v>
      </c>
      <c r="AJ254" t="s">
        <v>152</v>
      </c>
      <c r="AK254" t="s">
        <v>153</v>
      </c>
      <c r="AL254" t="s">
        <v>154</v>
      </c>
      <c r="AM254" t="s">
        <v>119</v>
      </c>
      <c r="AN254" t="s">
        <v>112</v>
      </c>
      <c r="AO254" t="s">
        <v>121</v>
      </c>
      <c r="AP254" t="s">
        <v>122</v>
      </c>
      <c r="AQ254" t="s">
        <v>122</v>
      </c>
      <c r="AR254" t="s">
        <v>124</v>
      </c>
      <c r="AS254" t="s">
        <v>125</v>
      </c>
      <c r="AT254">
        <v>2</v>
      </c>
      <c r="AU254" t="s">
        <v>126</v>
      </c>
      <c r="AV254" t="s">
        <v>155</v>
      </c>
      <c r="AW254" t="s">
        <v>156</v>
      </c>
      <c r="AX254">
        <v>1</v>
      </c>
      <c r="AY254" t="s">
        <v>129</v>
      </c>
      <c r="AZ254">
        <v>43597.62</v>
      </c>
      <c r="BA254">
        <v>4388371</v>
      </c>
      <c r="BB254">
        <v>53151.54</v>
      </c>
      <c r="BC254">
        <v>100.6562</v>
      </c>
      <c r="BD254" t="s">
        <v>130</v>
      </c>
      <c r="BE254" t="s">
        <v>112</v>
      </c>
      <c r="BF254" t="s">
        <v>157</v>
      </c>
      <c r="BG254" t="s">
        <v>133</v>
      </c>
      <c r="BH254" t="s">
        <v>134</v>
      </c>
      <c r="BI254" t="s">
        <v>112</v>
      </c>
      <c r="BJ254" t="s">
        <v>112</v>
      </c>
      <c r="BK254" t="s">
        <v>112</v>
      </c>
      <c r="BL254" t="s">
        <v>169</v>
      </c>
      <c r="BM254" t="s">
        <v>159</v>
      </c>
      <c r="BN254" t="s">
        <v>722</v>
      </c>
      <c r="BO254" t="s">
        <v>161</v>
      </c>
      <c r="BP254">
        <v>1</v>
      </c>
      <c r="BQ254" t="s">
        <v>1418</v>
      </c>
      <c r="BR254" s="45">
        <f>ISNUMBER(SEARCH($BR$1,Таблица1[[#This Row],[31_1 Описание и характеристика товара]]))*1</f>
        <v>1</v>
      </c>
      <c r="BT254" t="s">
        <v>150</v>
      </c>
      <c r="BU254">
        <v>33</v>
      </c>
      <c r="BV254">
        <v>0</v>
      </c>
      <c r="BW254">
        <v>0</v>
      </c>
      <c r="BY254">
        <v>0</v>
      </c>
      <c r="CA254" t="s">
        <v>106</v>
      </c>
      <c r="CB254" t="s">
        <v>142</v>
      </c>
      <c r="CC254" t="s">
        <v>112</v>
      </c>
      <c r="CD254" t="s">
        <v>112</v>
      </c>
      <c r="CE254" t="s">
        <v>121</v>
      </c>
      <c r="CF254">
        <v>16528.28</v>
      </c>
      <c r="CG254" t="s">
        <v>144</v>
      </c>
      <c r="CH254">
        <v>4000000</v>
      </c>
      <c r="CI254">
        <v>16474.28</v>
      </c>
      <c r="CJ254">
        <v>0</v>
      </c>
      <c r="CK254" t="s">
        <v>112</v>
      </c>
      <c r="CL254" t="s">
        <v>112</v>
      </c>
      <c r="CM254">
        <v>43597.62</v>
      </c>
      <c r="CN254">
        <v>4388371</v>
      </c>
      <c r="CO254">
        <v>0</v>
      </c>
      <c r="CP254">
        <v>1</v>
      </c>
      <c r="CQ254">
        <v>4804080.87</v>
      </c>
      <c r="CR254">
        <v>53151.54</v>
      </c>
      <c r="CS254" t="s">
        <v>145</v>
      </c>
      <c r="CT254">
        <v>53211.924399999996</v>
      </c>
      <c r="CU254">
        <v>3.23</v>
      </c>
      <c r="CV254">
        <v>45</v>
      </c>
      <c r="CW254" t="s">
        <v>171</v>
      </c>
      <c r="CX254" t="s">
        <v>463</v>
      </c>
      <c r="CY254">
        <v>4</v>
      </c>
    </row>
    <row r="255" spans="1:103" x14ac:dyDescent="0.25">
      <c r="A255" t="s">
        <v>106</v>
      </c>
      <c r="B255" s="38">
        <v>45125</v>
      </c>
      <c r="C255" s="43">
        <f>IF(YEAR(Таблица1[[#This Row],[Дата]])=2023,MONTH(Таблица1[[#This Row],[Дата]]),0)</f>
        <v>7</v>
      </c>
      <c r="D255" t="s">
        <v>1573</v>
      </c>
      <c r="E255" t="s">
        <v>108</v>
      </c>
      <c r="F255" t="s">
        <v>1574</v>
      </c>
      <c r="G255" t="s">
        <v>110</v>
      </c>
      <c r="H255" t="s">
        <v>111</v>
      </c>
      <c r="I255" t="s">
        <v>112</v>
      </c>
      <c r="J255" t="s">
        <v>112</v>
      </c>
      <c r="K255" t="s">
        <v>112</v>
      </c>
      <c r="L255" t="s">
        <v>150</v>
      </c>
      <c r="M255" t="s">
        <v>1143</v>
      </c>
      <c r="N255" t="s">
        <v>112</v>
      </c>
      <c r="O255" t="s">
        <v>112</v>
      </c>
      <c r="P255">
        <v>1</v>
      </c>
      <c r="Q255">
        <v>0</v>
      </c>
      <c r="R255">
        <v>1</v>
      </c>
      <c r="S255">
        <v>33</v>
      </c>
      <c r="T255" t="s">
        <v>166</v>
      </c>
      <c r="U255" t="s">
        <v>152</v>
      </c>
      <c r="V255" t="s">
        <v>153</v>
      </c>
      <c r="W255" t="s">
        <v>154</v>
      </c>
      <c r="X255" t="s">
        <v>119</v>
      </c>
      <c r="Y255" t="s">
        <v>112</v>
      </c>
      <c r="Z255" t="s">
        <v>166</v>
      </c>
      <c r="AA255" t="s">
        <v>152</v>
      </c>
      <c r="AB255" t="s">
        <v>153</v>
      </c>
      <c r="AC255" t="s">
        <v>154</v>
      </c>
      <c r="AD255" t="s">
        <v>119</v>
      </c>
      <c r="AE255" t="s">
        <v>112</v>
      </c>
      <c r="AF255" t="s">
        <v>121</v>
      </c>
      <c r="AG255" t="s">
        <v>122</v>
      </c>
      <c r="AH255">
        <v>4718472.7699999996</v>
      </c>
      <c r="AI255" t="s">
        <v>166</v>
      </c>
      <c r="AJ255" t="s">
        <v>152</v>
      </c>
      <c r="AK255" t="s">
        <v>153</v>
      </c>
      <c r="AL255" t="s">
        <v>154</v>
      </c>
      <c r="AM255" t="s">
        <v>119</v>
      </c>
      <c r="AN255" t="s">
        <v>112</v>
      </c>
      <c r="AO255" t="s">
        <v>121</v>
      </c>
      <c r="AP255" t="s">
        <v>122</v>
      </c>
      <c r="AQ255" t="s">
        <v>122</v>
      </c>
      <c r="AR255" t="s">
        <v>124</v>
      </c>
      <c r="AS255" t="s">
        <v>125</v>
      </c>
      <c r="AT255">
        <v>2</v>
      </c>
      <c r="AU255" t="s">
        <v>126</v>
      </c>
      <c r="AV255" t="s">
        <v>155</v>
      </c>
      <c r="AW255" t="s">
        <v>156</v>
      </c>
      <c r="AX255">
        <v>1</v>
      </c>
      <c r="AY255" t="s">
        <v>129</v>
      </c>
      <c r="AZ255">
        <v>42747.12</v>
      </c>
      <c r="BA255">
        <v>4302763</v>
      </c>
      <c r="BB255">
        <v>52204.39</v>
      </c>
      <c r="BC255">
        <v>100.6562</v>
      </c>
      <c r="BD255" t="s">
        <v>130</v>
      </c>
      <c r="BE255" t="s">
        <v>112</v>
      </c>
      <c r="BF255" t="s">
        <v>157</v>
      </c>
      <c r="BG255" t="s">
        <v>133</v>
      </c>
      <c r="BH255" t="s">
        <v>134</v>
      </c>
      <c r="BI255" t="s">
        <v>112</v>
      </c>
      <c r="BJ255" t="s">
        <v>112</v>
      </c>
      <c r="BK255" t="s">
        <v>112</v>
      </c>
      <c r="BL255" t="s">
        <v>169</v>
      </c>
      <c r="BM255" t="s">
        <v>159</v>
      </c>
      <c r="BN255" t="s">
        <v>722</v>
      </c>
      <c r="BO255" t="s">
        <v>161</v>
      </c>
      <c r="BP255">
        <v>1</v>
      </c>
      <c r="BQ255" t="s">
        <v>1366</v>
      </c>
      <c r="BR255" s="45">
        <f>ISNUMBER(SEARCH($BR$1,Таблица1[[#This Row],[31_1 Описание и характеристика товара]]))*1</f>
        <v>1</v>
      </c>
      <c r="BT255" t="s">
        <v>150</v>
      </c>
      <c r="BU255">
        <v>33</v>
      </c>
      <c r="BV255">
        <v>0</v>
      </c>
      <c r="BW255">
        <v>0</v>
      </c>
      <c r="BY255">
        <v>0</v>
      </c>
      <c r="CA255" t="s">
        <v>106</v>
      </c>
      <c r="CB255" t="s">
        <v>142</v>
      </c>
      <c r="CC255" t="s">
        <v>112</v>
      </c>
      <c r="CD255" t="s">
        <v>112</v>
      </c>
      <c r="CE255" t="s">
        <v>121</v>
      </c>
      <c r="CF255">
        <v>16994.14</v>
      </c>
      <c r="CG255" t="s">
        <v>144</v>
      </c>
      <c r="CH255">
        <v>4000000</v>
      </c>
      <c r="CI255">
        <v>16994.14</v>
      </c>
      <c r="CJ255">
        <v>0</v>
      </c>
      <c r="CK255" t="s">
        <v>112</v>
      </c>
      <c r="CL255" t="s">
        <v>112</v>
      </c>
      <c r="CM255">
        <v>42747.12</v>
      </c>
      <c r="CN255">
        <v>4302763</v>
      </c>
      <c r="CO255">
        <v>0</v>
      </c>
      <c r="CP255">
        <v>1</v>
      </c>
      <c r="CQ255">
        <v>4718472.7699999996</v>
      </c>
      <c r="CR255">
        <v>52204.39</v>
      </c>
      <c r="CS255" t="s">
        <v>145</v>
      </c>
      <c r="CT255">
        <v>52172.009799999993</v>
      </c>
      <c r="CU255">
        <v>3.07</v>
      </c>
      <c r="CV255">
        <v>45</v>
      </c>
      <c r="CW255" t="s">
        <v>171</v>
      </c>
      <c r="CX255" t="s">
        <v>369</v>
      </c>
      <c r="CY255">
        <v>577</v>
      </c>
    </row>
    <row r="256" spans="1:103" x14ac:dyDescent="0.25">
      <c r="A256" t="s">
        <v>106</v>
      </c>
      <c r="B256" s="38">
        <v>45153</v>
      </c>
      <c r="C256" s="43">
        <f>IF(YEAR(Таблица1[[#This Row],[Дата]])=2023,MONTH(Таблица1[[#This Row],[Дата]]),0)</f>
        <v>8</v>
      </c>
      <c r="D256" t="s">
        <v>1567</v>
      </c>
      <c r="E256" t="s">
        <v>108</v>
      </c>
      <c r="F256" t="s">
        <v>1568</v>
      </c>
      <c r="G256" t="s">
        <v>110</v>
      </c>
      <c r="H256" t="s">
        <v>111</v>
      </c>
      <c r="I256" t="s">
        <v>112</v>
      </c>
      <c r="J256" t="s">
        <v>112</v>
      </c>
      <c r="K256" t="s">
        <v>112</v>
      </c>
      <c r="L256" t="s">
        <v>150</v>
      </c>
      <c r="M256" t="s">
        <v>1143</v>
      </c>
      <c r="N256" t="s">
        <v>112</v>
      </c>
      <c r="O256" t="s">
        <v>112</v>
      </c>
      <c r="P256">
        <v>1</v>
      </c>
      <c r="Q256">
        <v>0</v>
      </c>
      <c r="R256">
        <v>1</v>
      </c>
      <c r="S256">
        <v>33</v>
      </c>
      <c r="T256" t="s">
        <v>166</v>
      </c>
      <c r="U256" t="s">
        <v>152</v>
      </c>
      <c r="V256" t="s">
        <v>153</v>
      </c>
      <c r="W256" t="s">
        <v>154</v>
      </c>
      <c r="X256" t="s">
        <v>119</v>
      </c>
      <c r="Y256" t="s">
        <v>112</v>
      </c>
      <c r="Z256" t="s">
        <v>166</v>
      </c>
      <c r="AA256" t="s">
        <v>152</v>
      </c>
      <c r="AB256" t="s">
        <v>153</v>
      </c>
      <c r="AC256" t="s">
        <v>154</v>
      </c>
      <c r="AD256" t="s">
        <v>119</v>
      </c>
      <c r="AE256" t="s">
        <v>112</v>
      </c>
      <c r="AF256" t="s">
        <v>121</v>
      </c>
      <c r="AG256" t="s">
        <v>122</v>
      </c>
      <c r="AH256">
        <v>4544878.07</v>
      </c>
      <c r="AI256" t="s">
        <v>166</v>
      </c>
      <c r="AJ256" t="s">
        <v>152</v>
      </c>
      <c r="AK256" t="s">
        <v>153</v>
      </c>
      <c r="AL256" t="s">
        <v>154</v>
      </c>
      <c r="AM256" t="s">
        <v>119</v>
      </c>
      <c r="AN256" t="s">
        <v>112</v>
      </c>
      <c r="AO256" t="s">
        <v>121</v>
      </c>
      <c r="AP256" t="s">
        <v>122</v>
      </c>
      <c r="AQ256" t="s">
        <v>122</v>
      </c>
      <c r="AR256" t="s">
        <v>124</v>
      </c>
      <c r="AS256" t="s">
        <v>125</v>
      </c>
      <c r="AT256">
        <v>2</v>
      </c>
      <c r="AU256" t="s">
        <v>126</v>
      </c>
      <c r="AV256" t="s">
        <v>155</v>
      </c>
      <c r="AW256" t="s">
        <v>156</v>
      </c>
      <c r="AX256">
        <v>1</v>
      </c>
      <c r="AY256" t="s">
        <v>129</v>
      </c>
      <c r="AZ256">
        <v>41022.49</v>
      </c>
      <c r="BA256">
        <v>4129168</v>
      </c>
      <c r="BB256">
        <v>50283.77</v>
      </c>
      <c r="BC256">
        <v>100.6562</v>
      </c>
      <c r="BD256" t="s">
        <v>130</v>
      </c>
      <c r="BE256" t="s">
        <v>112</v>
      </c>
      <c r="BF256" t="s">
        <v>157</v>
      </c>
      <c r="BG256" t="s">
        <v>133</v>
      </c>
      <c r="BH256" t="s">
        <v>167</v>
      </c>
      <c r="BI256" t="s">
        <v>168</v>
      </c>
      <c r="BJ256" t="s">
        <v>112</v>
      </c>
      <c r="BK256" t="s">
        <v>112</v>
      </c>
      <c r="BL256" t="s">
        <v>169</v>
      </c>
      <c r="BM256" t="s">
        <v>159</v>
      </c>
      <c r="BN256" t="s">
        <v>726</v>
      </c>
      <c r="BO256" t="s">
        <v>161</v>
      </c>
      <c r="BP256">
        <v>1</v>
      </c>
      <c r="BQ256" t="s">
        <v>232</v>
      </c>
      <c r="BR256" s="45">
        <f>ISNUMBER(SEARCH($BR$1,Таблица1[[#This Row],[31_1 Описание и характеристика товара]]))*1</f>
        <v>1</v>
      </c>
      <c r="BT256" t="s">
        <v>150</v>
      </c>
      <c r="BU256">
        <v>33</v>
      </c>
      <c r="BV256">
        <v>0</v>
      </c>
      <c r="BW256">
        <v>0</v>
      </c>
      <c r="BY256">
        <v>0</v>
      </c>
      <c r="CA256" t="s">
        <v>106</v>
      </c>
      <c r="CB256" t="s">
        <v>142</v>
      </c>
      <c r="CC256" t="s">
        <v>112</v>
      </c>
      <c r="CD256" t="s">
        <v>112</v>
      </c>
      <c r="CE256" t="s">
        <v>121</v>
      </c>
      <c r="CF256">
        <v>16665.78</v>
      </c>
      <c r="CG256" t="s">
        <v>144</v>
      </c>
      <c r="CH256">
        <v>4000000</v>
      </c>
      <c r="CI256">
        <v>16557.78</v>
      </c>
      <c r="CJ256">
        <v>0</v>
      </c>
      <c r="CK256" t="s">
        <v>112</v>
      </c>
      <c r="CL256" t="s">
        <v>112</v>
      </c>
      <c r="CM256">
        <v>41022.49</v>
      </c>
      <c r="CN256">
        <v>4129168</v>
      </c>
      <c r="CO256">
        <v>0</v>
      </c>
      <c r="CP256">
        <v>1</v>
      </c>
      <c r="CQ256">
        <v>4544878.07</v>
      </c>
      <c r="CR256">
        <v>50283.77</v>
      </c>
      <c r="CS256" t="s">
        <v>145</v>
      </c>
      <c r="CT256">
        <v>50335.6512</v>
      </c>
      <c r="CU256">
        <v>3.04</v>
      </c>
      <c r="CV256">
        <v>45</v>
      </c>
      <c r="CW256" t="s">
        <v>171</v>
      </c>
      <c r="CX256" t="s">
        <v>463</v>
      </c>
      <c r="CY256">
        <v>80</v>
      </c>
    </row>
    <row r="257" spans="1:103" x14ac:dyDescent="0.25">
      <c r="A257" t="s">
        <v>106</v>
      </c>
      <c r="B257" s="38">
        <v>44992</v>
      </c>
      <c r="C257" s="43">
        <f>IF(YEAR(Таблица1[[#This Row],[Дата]])=2023,MONTH(Таблица1[[#This Row],[Дата]]),0)</f>
        <v>3</v>
      </c>
      <c r="D257" t="s">
        <v>1554</v>
      </c>
      <c r="E257" t="s">
        <v>108</v>
      </c>
      <c r="F257" t="s">
        <v>1555</v>
      </c>
      <c r="G257" t="s">
        <v>110</v>
      </c>
      <c r="H257" t="s">
        <v>111</v>
      </c>
      <c r="I257" t="s">
        <v>112</v>
      </c>
      <c r="J257" t="s">
        <v>112</v>
      </c>
      <c r="K257" t="s">
        <v>112</v>
      </c>
      <c r="L257" t="s">
        <v>150</v>
      </c>
      <c r="M257" t="s">
        <v>1143</v>
      </c>
      <c r="N257" t="s">
        <v>112</v>
      </c>
      <c r="O257" t="s">
        <v>112</v>
      </c>
      <c r="P257">
        <v>1</v>
      </c>
      <c r="Q257">
        <v>0</v>
      </c>
      <c r="R257">
        <v>1</v>
      </c>
      <c r="S257">
        <v>33</v>
      </c>
      <c r="T257" t="s">
        <v>166</v>
      </c>
      <c r="U257" t="s">
        <v>152</v>
      </c>
      <c r="V257" t="s">
        <v>153</v>
      </c>
      <c r="W257" t="s">
        <v>154</v>
      </c>
      <c r="X257" t="s">
        <v>119</v>
      </c>
      <c r="Y257" t="s">
        <v>112</v>
      </c>
      <c r="Z257" t="s">
        <v>166</v>
      </c>
      <c r="AA257" t="s">
        <v>152</v>
      </c>
      <c r="AB257" t="s">
        <v>153</v>
      </c>
      <c r="AC257" t="s">
        <v>154</v>
      </c>
      <c r="AD257" t="s">
        <v>119</v>
      </c>
      <c r="AE257" t="s">
        <v>112</v>
      </c>
      <c r="AF257" t="s">
        <v>121</v>
      </c>
      <c r="AG257" t="s">
        <v>122</v>
      </c>
      <c r="AH257">
        <v>4590498.4800000004</v>
      </c>
      <c r="AI257" t="s">
        <v>166</v>
      </c>
      <c r="AJ257" t="s">
        <v>152</v>
      </c>
      <c r="AK257" t="s">
        <v>153</v>
      </c>
      <c r="AL257" t="s">
        <v>154</v>
      </c>
      <c r="AM257" t="s">
        <v>119</v>
      </c>
      <c r="AN257" t="s">
        <v>112</v>
      </c>
      <c r="AO257" t="s">
        <v>121</v>
      </c>
      <c r="AP257" t="s">
        <v>122</v>
      </c>
      <c r="AQ257" t="s">
        <v>122</v>
      </c>
      <c r="AR257" t="s">
        <v>124</v>
      </c>
      <c r="AS257" t="s">
        <v>125</v>
      </c>
      <c r="AT257">
        <v>2</v>
      </c>
      <c r="AU257" t="s">
        <v>126</v>
      </c>
      <c r="AV257" t="s">
        <v>155</v>
      </c>
      <c r="AW257" t="s">
        <v>156</v>
      </c>
      <c r="AX257">
        <v>1</v>
      </c>
      <c r="AY257" t="s">
        <v>129</v>
      </c>
      <c r="AZ257">
        <v>41475.72</v>
      </c>
      <c r="BA257">
        <v>4174788</v>
      </c>
      <c r="BB257">
        <v>50788.5</v>
      </c>
      <c r="BC257">
        <v>100.6562</v>
      </c>
      <c r="BD257" t="s">
        <v>130</v>
      </c>
      <c r="BE257" t="s">
        <v>112</v>
      </c>
      <c r="BF257" t="s">
        <v>157</v>
      </c>
      <c r="BG257" t="s">
        <v>133</v>
      </c>
      <c r="BH257" t="s">
        <v>167</v>
      </c>
      <c r="BI257" t="s">
        <v>168</v>
      </c>
      <c r="BJ257" t="s">
        <v>112</v>
      </c>
      <c r="BK257" t="s">
        <v>112</v>
      </c>
      <c r="BL257" t="s">
        <v>169</v>
      </c>
      <c r="BM257" t="s">
        <v>159</v>
      </c>
      <c r="BN257" t="s">
        <v>726</v>
      </c>
      <c r="BO257" t="s">
        <v>161</v>
      </c>
      <c r="BP257">
        <v>1</v>
      </c>
      <c r="BQ257" t="s">
        <v>466</v>
      </c>
      <c r="BR257" s="45">
        <f>ISNUMBER(SEARCH($BR$1,Таблица1[[#This Row],[31_1 Описание и характеристика товара]]))*1</f>
        <v>1</v>
      </c>
      <c r="BT257" t="s">
        <v>150</v>
      </c>
      <c r="BU257">
        <v>33</v>
      </c>
      <c r="BV257">
        <v>0</v>
      </c>
      <c r="BW257">
        <v>0</v>
      </c>
      <c r="BY257">
        <v>0</v>
      </c>
      <c r="CA257" t="s">
        <v>106</v>
      </c>
      <c r="CB257" t="s">
        <v>142</v>
      </c>
      <c r="CC257" t="s">
        <v>112</v>
      </c>
      <c r="CD257" t="s">
        <v>112</v>
      </c>
      <c r="CE257" t="s">
        <v>121</v>
      </c>
      <c r="CF257">
        <v>16853.62</v>
      </c>
      <c r="CG257" t="s">
        <v>144</v>
      </c>
      <c r="CH257">
        <v>4000000</v>
      </c>
      <c r="CI257">
        <v>16767.22</v>
      </c>
      <c r="CJ257">
        <v>0</v>
      </c>
      <c r="CK257" t="s">
        <v>112</v>
      </c>
      <c r="CL257" t="s">
        <v>112</v>
      </c>
      <c r="CM257">
        <v>41475.72</v>
      </c>
      <c r="CN257">
        <v>4174788</v>
      </c>
      <c r="CO257">
        <v>0</v>
      </c>
      <c r="CP257">
        <v>1</v>
      </c>
      <c r="CQ257">
        <v>4590498.4800000004</v>
      </c>
      <c r="CR257">
        <v>50788.5</v>
      </c>
      <c r="CS257" t="s">
        <v>145</v>
      </c>
      <c r="CT257">
        <v>50804.676599999999</v>
      </c>
      <c r="CU257">
        <v>3.03</v>
      </c>
      <c r="CV257">
        <v>45</v>
      </c>
      <c r="CW257" t="s">
        <v>171</v>
      </c>
      <c r="CX257" t="s">
        <v>369</v>
      </c>
      <c r="CY257">
        <v>310</v>
      </c>
    </row>
    <row r="258" spans="1:103" x14ac:dyDescent="0.25">
      <c r="A258" t="s">
        <v>106</v>
      </c>
      <c r="B258" s="38">
        <v>45278</v>
      </c>
      <c r="C258" s="43">
        <f>IF(YEAR(Таблица1[[#This Row],[Дата]])=2023,MONTH(Таблица1[[#This Row],[Дата]]),0)</f>
        <v>12</v>
      </c>
      <c r="D258" t="s">
        <v>1579</v>
      </c>
      <c r="E258" t="s">
        <v>108</v>
      </c>
      <c r="F258" t="s">
        <v>1580</v>
      </c>
      <c r="G258" t="s">
        <v>110</v>
      </c>
      <c r="H258" t="s">
        <v>111</v>
      </c>
      <c r="I258" t="s">
        <v>112</v>
      </c>
      <c r="J258" t="s">
        <v>112</v>
      </c>
      <c r="K258" t="s">
        <v>112</v>
      </c>
      <c r="L258" t="s">
        <v>150</v>
      </c>
      <c r="M258" t="s">
        <v>1143</v>
      </c>
      <c r="N258" t="s">
        <v>112</v>
      </c>
      <c r="O258" t="s">
        <v>112</v>
      </c>
      <c r="P258">
        <v>1</v>
      </c>
      <c r="Q258">
        <v>0</v>
      </c>
      <c r="R258">
        <v>1</v>
      </c>
      <c r="S258">
        <v>33</v>
      </c>
      <c r="T258" t="s">
        <v>166</v>
      </c>
      <c r="U258" t="s">
        <v>152</v>
      </c>
      <c r="V258" t="s">
        <v>153</v>
      </c>
      <c r="W258" t="s">
        <v>154</v>
      </c>
      <c r="X258" t="s">
        <v>119</v>
      </c>
      <c r="Y258" t="s">
        <v>112</v>
      </c>
      <c r="Z258" t="s">
        <v>166</v>
      </c>
      <c r="AA258" t="s">
        <v>152</v>
      </c>
      <c r="AB258" t="s">
        <v>153</v>
      </c>
      <c r="AC258" t="s">
        <v>154</v>
      </c>
      <c r="AD258" t="s">
        <v>119</v>
      </c>
      <c r="AE258" t="s">
        <v>112</v>
      </c>
      <c r="AF258" t="s">
        <v>121</v>
      </c>
      <c r="AG258" t="s">
        <v>122</v>
      </c>
      <c r="AH258">
        <v>4462866.42</v>
      </c>
      <c r="AI258" t="s">
        <v>166</v>
      </c>
      <c r="AJ258" t="s">
        <v>152</v>
      </c>
      <c r="AK258" t="s">
        <v>153</v>
      </c>
      <c r="AL258" t="s">
        <v>154</v>
      </c>
      <c r="AM258" t="s">
        <v>119</v>
      </c>
      <c r="AN258" t="s">
        <v>112</v>
      </c>
      <c r="AO258" t="s">
        <v>121</v>
      </c>
      <c r="AP258" t="s">
        <v>122</v>
      </c>
      <c r="AQ258" t="s">
        <v>122</v>
      </c>
      <c r="AR258" t="s">
        <v>124</v>
      </c>
      <c r="AS258" t="s">
        <v>125</v>
      </c>
      <c r="AT258">
        <v>2</v>
      </c>
      <c r="AU258" t="s">
        <v>126</v>
      </c>
      <c r="AV258" t="s">
        <v>155</v>
      </c>
      <c r="AW258" t="s">
        <v>156</v>
      </c>
      <c r="AX258">
        <v>1</v>
      </c>
      <c r="AY258" t="s">
        <v>129</v>
      </c>
      <c r="AZ258">
        <v>40207.72</v>
      </c>
      <c r="BA258">
        <v>4047156</v>
      </c>
      <c r="BB258">
        <v>49376.4</v>
      </c>
      <c r="BC258">
        <v>100.6562</v>
      </c>
      <c r="BD258" t="s">
        <v>130</v>
      </c>
      <c r="BE258" t="s">
        <v>112</v>
      </c>
      <c r="BF258" t="s">
        <v>157</v>
      </c>
      <c r="BG258" t="s">
        <v>133</v>
      </c>
      <c r="BH258" t="s">
        <v>167</v>
      </c>
      <c r="BI258" t="s">
        <v>168</v>
      </c>
      <c r="BJ258" t="s">
        <v>112</v>
      </c>
      <c r="BK258" t="s">
        <v>112</v>
      </c>
      <c r="BL258" t="s">
        <v>169</v>
      </c>
      <c r="BM258" t="s">
        <v>159</v>
      </c>
      <c r="BN258" t="s">
        <v>726</v>
      </c>
      <c r="BO258" t="s">
        <v>161</v>
      </c>
      <c r="BP258">
        <v>1</v>
      </c>
      <c r="BQ258" t="s">
        <v>232</v>
      </c>
      <c r="BR258" s="45">
        <f>ISNUMBER(SEARCH($BR$1,Таблица1[[#This Row],[31_1 Описание и характеристика товара]]))*1</f>
        <v>1</v>
      </c>
      <c r="BT258" t="s">
        <v>150</v>
      </c>
      <c r="BU258">
        <v>33</v>
      </c>
      <c r="BV258">
        <v>0</v>
      </c>
      <c r="BW258">
        <v>0</v>
      </c>
      <c r="BY258">
        <v>0</v>
      </c>
      <c r="CA258" t="s">
        <v>106</v>
      </c>
      <c r="CB258" t="s">
        <v>142</v>
      </c>
      <c r="CC258" t="s">
        <v>112</v>
      </c>
      <c r="CD258" t="s">
        <v>112</v>
      </c>
      <c r="CE258" t="s">
        <v>121</v>
      </c>
      <c r="CF258">
        <v>16815.52</v>
      </c>
      <c r="CG258" t="s">
        <v>144</v>
      </c>
      <c r="CH258">
        <v>4000000</v>
      </c>
      <c r="CI258">
        <v>16774.72</v>
      </c>
      <c r="CJ258">
        <v>0</v>
      </c>
      <c r="CK258" t="s">
        <v>112</v>
      </c>
      <c r="CL258" t="s">
        <v>112</v>
      </c>
      <c r="CM258">
        <v>40207.72</v>
      </c>
      <c r="CN258">
        <v>4047156</v>
      </c>
      <c r="CO258">
        <v>0</v>
      </c>
      <c r="CP258">
        <v>1</v>
      </c>
      <c r="CQ258">
        <v>4462866.42</v>
      </c>
      <c r="CR258">
        <v>49376.4</v>
      </c>
      <c r="CS258" t="s">
        <v>145</v>
      </c>
      <c r="CT258">
        <v>49317.676800000001</v>
      </c>
      <c r="CU258">
        <v>2.94</v>
      </c>
      <c r="CV258">
        <v>45</v>
      </c>
      <c r="CW258" t="s">
        <v>171</v>
      </c>
      <c r="CX258" t="s">
        <v>350</v>
      </c>
      <c r="CY258">
        <v>15</v>
      </c>
    </row>
    <row r="259" spans="1:103" x14ac:dyDescent="0.25">
      <c r="A259" t="s">
        <v>106</v>
      </c>
      <c r="B259" s="38">
        <v>45150</v>
      </c>
      <c r="C259" s="43">
        <f>IF(YEAR(Таблица1[[#This Row],[Дата]])=2023,MONTH(Таблица1[[#This Row],[Дата]]),0)</f>
        <v>8</v>
      </c>
      <c r="D259" t="s">
        <v>1225</v>
      </c>
      <c r="E259" t="s">
        <v>108</v>
      </c>
      <c r="F259" t="s">
        <v>1226</v>
      </c>
      <c r="G259" t="s">
        <v>110</v>
      </c>
      <c r="H259" t="s">
        <v>111</v>
      </c>
      <c r="I259" t="s">
        <v>112</v>
      </c>
      <c r="J259" t="s">
        <v>112</v>
      </c>
      <c r="K259" t="s">
        <v>112</v>
      </c>
      <c r="L259" t="s">
        <v>150</v>
      </c>
      <c r="M259" t="s">
        <v>1060</v>
      </c>
      <c r="N259" t="s">
        <v>112</v>
      </c>
      <c r="O259" t="s">
        <v>112</v>
      </c>
      <c r="P259">
        <v>1</v>
      </c>
      <c r="Q259">
        <v>0</v>
      </c>
      <c r="R259">
        <v>1</v>
      </c>
      <c r="S259">
        <v>33</v>
      </c>
      <c r="T259" t="s">
        <v>166</v>
      </c>
      <c r="U259" t="s">
        <v>152</v>
      </c>
      <c r="V259" t="s">
        <v>153</v>
      </c>
      <c r="W259" t="s">
        <v>154</v>
      </c>
      <c r="X259" t="s">
        <v>119</v>
      </c>
      <c r="Y259" t="s">
        <v>112</v>
      </c>
      <c r="Z259" t="s">
        <v>166</v>
      </c>
      <c r="AA259" t="s">
        <v>152</v>
      </c>
      <c r="AB259" t="s">
        <v>153</v>
      </c>
      <c r="AC259" t="s">
        <v>154</v>
      </c>
      <c r="AD259" t="s">
        <v>119</v>
      </c>
      <c r="AE259" t="s">
        <v>112</v>
      </c>
      <c r="AF259" t="s">
        <v>121</v>
      </c>
      <c r="AG259" t="s">
        <v>122</v>
      </c>
      <c r="AH259">
        <v>3722807.99</v>
      </c>
      <c r="AI259" t="s">
        <v>166</v>
      </c>
      <c r="AJ259" t="s">
        <v>152</v>
      </c>
      <c r="AK259" t="s">
        <v>153</v>
      </c>
      <c r="AL259" t="s">
        <v>154</v>
      </c>
      <c r="AM259" t="s">
        <v>119</v>
      </c>
      <c r="AN259" t="s">
        <v>112</v>
      </c>
      <c r="AO259" t="s">
        <v>121</v>
      </c>
      <c r="AP259" t="s">
        <v>122</v>
      </c>
      <c r="AQ259" t="s">
        <v>122</v>
      </c>
      <c r="AR259" t="s">
        <v>124</v>
      </c>
      <c r="AS259" t="s">
        <v>125</v>
      </c>
      <c r="AT259">
        <v>2</v>
      </c>
      <c r="AU259" t="s">
        <v>126</v>
      </c>
      <c r="AV259" t="s">
        <v>155</v>
      </c>
      <c r="AW259" t="s">
        <v>156</v>
      </c>
      <c r="AX259">
        <v>1</v>
      </c>
      <c r="AY259" t="s">
        <v>129</v>
      </c>
      <c r="AZ259">
        <v>38883.279999999999</v>
      </c>
      <c r="BA259">
        <v>3365356</v>
      </c>
      <c r="BB259">
        <v>46438.45</v>
      </c>
      <c r="BC259">
        <v>86.550200000000004</v>
      </c>
      <c r="BD259" t="s">
        <v>130</v>
      </c>
      <c r="BE259" t="s">
        <v>112</v>
      </c>
      <c r="BF259" t="s">
        <v>157</v>
      </c>
      <c r="BG259" t="s">
        <v>133</v>
      </c>
      <c r="BH259" t="s">
        <v>134</v>
      </c>
      <c r="BI259" t="s">
        <v>112</v>
      </c>
      <c r="BJ259" t="s">
        <v>112</v>
      </c>
      <c r="BK259" t="s">
        <v>112</v>
      </c>
      <c r="BL259" t="s">
        <v>169</v>
      </c>
      <c r="BM259" t="s">
        <v>159</v>
      </c>
      <c r="BN259" t="s">
        <v>722</v>
      </c>
      <c r="BO259" t="s">
        <v>161</v>
      </c>
      <c r="BP259">
        <v>1</v>
      </c>
      <c r="BQ259" t="s">
        <v>232</v>
      </c>
      <c r="BR259" s="45">
        <f>ISNUMBER(SEARCH($BR$1,Таблица1[[#This Row],[31_1 Описание и характеристика товара]]))*1</f>
        <v>1</v>
      </c>
      <c r="BT259" t="s">
        <v>150</v>
      </c>
      <c r="BU259">
        <v>33</v>
      </c>
      <c r="BV259">
        <v>0</v>
      </c>
      <c r="BW259">
        <v>0</v>
      </c>
      <c r="BY259">
        <v>0</v>
      </c>
      <c r="CA259" t="s">
        <v>106</v>
      </c>
      <c r="CB259" t="s">
        <v>142</v>
      </c>
      <c r="CC259" t="s">
        <v>112</v>
      </c>
      <c r="CD259" t="s">
        <v>112</v>
      </c>
      <c r="CE259" t="s">
        <v>121</v>
      </c>
      <c r="CF259">
        <v>16736.02</v>
      </c>
      <c r="CG259" t="s">
        <v>144</v>
      </c>
      <c r="CH259">
        <v>4000000</v>
      </c>
      <c r="CI259">
        <v>16628.02</v>
      </c>
      <c r="CJ259">
        <v>0</v>
      </c>
      <c r="CK259" t="s">
        <v>112</v>
      </c>
      <c r="CL259" t="s">
        <v>112</v>
      </c>
      <c r="CM259">
        <v>38883.279999999999</v>
      </c>
      <c r="CN259">
        <v>3365356</v>
      </c>
      <c r="CO259">
        <v>0</v>
      </c>
      <c r="CP259">
        <v>1</v>
      </c>
      <c r="CQ259">
        <v>3722807.99</v>
      </c>
      <c r="CR259">
        <v>46438.45</v>
      </c>
      <c r="CS259" t="s">
        <v>145</v>
      </c>
      <c r="CT259">
        <v>46438.734256000003</v>
      </c>
      <c r="CU259">
        <v>2.7928000000000002</v>
      </c>
      <c r="CV259">
        <v>45</v>
      </c>
      <c r="CW259" t="s">
        <v>171</v>
      </c>
      <c r="CX259" t="s">
        <v>372</v>
      </c>
      <c r="CY259">
        <v>580</v>
      </c>
    </row>
    <row r="260" spans="1:103" x14ac:dyDescent="0.25">
      <c r="A260" t="s">
        <v>106</v>
      </c>
      <c r="B260" s="38">
        <v>45058</v>
      </c>
      <c r="C260" s="43">
        <f>IF(YEAR(Таблица1[[#This Row],[Дата]])=2023,MONTH(Таблица1[[#This Row],[Дата]]),0)</f>
        <v>5</v>
      </c>
      <c r="D260" t="s">
        <v>1223</v>
      </c>
      <c r="E260" t="s">
        <v>108</v>
      </c>
      <c r="F260" t="s">
        <v>1224</v>
      </c>
      <c r="G260" t="s">
        <v>110</v>
      </c>
      <c r="H260" t="s">
        <v>111</v>
      </c>
      <c r="I260" t="s">
        <v>112</v>
      </c>
      <c r="J260" t="s">
        <v>112</v>
      </c>
      <c r="K260" t="s">
        <v>112</v>
      </c>
      <c r="L260" t="s">
        <v>150</v>
      </c>
      <c r="M260" t="s">
        <v>1060</v>
      </c>
      <c r="N260" t="s">
        <v>112</v>
      </c>
      <c r="O260" t="s">
        <v>112</v>
      </c>
      <c r="P260">
        <v>1</v>
      </c>
      <c r="Q260">
        <v>0</v>
      </c>
      <c r="R260">
        <v>1</v>
      </c>
      <c r="S260">
        <v>33</v>
      </c>
      <c r="T260" t="s">
        <v>166</v>
      </c>
      <c r="U260" t="s">
        <v>152</v>
      </c>
      <c r="V260" t="s">
        <v>153</v>
      </c>
      <c r="W260" t="s">
        <v>154</v>
      </c>
      <c r="X260" t="s">
        <v>119</v>
      </c>
      <c r="Y260" t="s">
        <v>112</v>
      </c>
      <c r="Z260" t="s">
        <v>166</v>
      </c>
      <c r="AA260" t="s">
        <v>152</v>
      </c>
      <c r="AB260" t="s">
        <v>153</v>
      </c>
      <c r="AC260" t="s">
        <v>154</v>
      </c>
      <c r="AD260" t="s">
        <v>119</v>
      </c>
      <c r="AE260" t="s">
        <v>112</v>
      </c>
      <c r="AF260" t="s">
        <v>121</v>
      </c>
      <c r="AG260" t="s">
        <v>122</v>
      </c>
      <c r="AH260">
        <v>4044542.78</v>
      </c>
      <c r="AI260" t="s">
        <v>166</v>
      </c>
      <c r="AJ260" t="s">
        <v>152</v>
      </c>
      <c r="AK260" t="s">
        <v>153</v>
      </c>
      <c r="AL260" t="s">
        <v>154</v>
      </c>
      <c r="AM260" t="s">
        <v>119</v>
      </c>
      <c r="AN260" t="s">
        <v>112</v>
      </c>
      <c r="AO260" t="s">
        <v>121</v>
      </c>
      <c r="AP260" t="s">
        <v>122</v>
      </c>
      <c r="AQ260" t="s">
        <v>122</v>
      </c>
      <c r="AR260" t="s">
        <v>124</v>
      </c>
      <c r="AS260" t="s">
        <v>125</v>
      </c>
      <c r="AT260">
        <v>2</v>
      </c>
      <c r="AU260" t="s">
        <v>126</v>
      </c>
      <c r="AV260" t="s">
        <v>155</v>
      </c>
      <c r="AW260" t="s">
        <v>156</v>
      </c>
      <c r="AX260">
        <v>1</v>
      </c>
      <c r="AY260" t="s">
        <v>129</v>
      </c>
      <c r="AZ260">
        <v>42600.6</v>
      </c>
      <c r="BA260">
        <v>3687090</v>
      </c>
      <c r="BB260">
        <v>50451.78</v>
      </c>
      <c r="BC260">
        <v>86.550200000000004</v>
      </c>
      <c r="BD260" t="s">
        <v>130</v>
      </c>
      <c r="BE260" t="s">
        <v>112</v>
      </c>
      <c r="BF260" t="s">
        <v>157</v>
      </c>
      <c r="BG260" t="s">
        <v>133</v>
      </c>
      <c r="BH260" t="s">
        <v>134</v>
      </c>
      <c r="BI260" t="s">
        <v>112</v>
      </c>
      <c r="BJ260" t="s">
        <v>112</v>
      </c>
      <c r="BK260" t="s">
        <v>112</v>
      </c>
      <c r="BL260" t="s">
        <v>169</v>
      </c>
      <c r="BM260" t="s">
        <v>159</v>
      </c>
      <c r="BN260" t="s">
        <v>722</v>
      </c>
      <c r="BO260" t="s">
        <v>161</v>
      </c>
      <c r="BP260">
        <v>1</v>
      </c>
      <c r="BQ260" t="s">
        <v>162</v>
      </c>
      <c r="BR260" s="45">
        <f>ISNUMBER(SEARCH($BR$1,Таблица1[[#This Row],[31_1 Описание и характеристика товара]]))*1</f>
        <v>1</v>
      </c>
      <c r="BT260" t="s">
        <v>150</v>
      </c>
      <c r="BU260">
        <v>33</v>
      </c>
      <c r="BV260">
        <v>0</v>
      </c>
      <c r="BW260">
        <v>0</v>
      </c>
      <c r="BY260">
        <v>0</v>
      </c>
      <c r="CA260" t="s">
        <v>106</v>
      </c>
      <c r="CB260" t="s">
        <v>142</v>
      </c>
      <c r="CC260" t="s">
        <v>112</v>
      </c>
      <c r="CD260" t="s">
        <v>112</v>
      </c>
      <c r="CE260" t="s">
        <v>121</v>
      </c>
      <c r="CF260">
        <v>17031.54</v>
      </c>
      <c r="CG260" t="s">
        <v>144</v>
      </c>
      <c r="CH260">
        <v>4000000</v>
      </c>
      <c r="CI260">
        <v>16966.740000000002</v>
      </c>
      <c r="CJ260">
        <v>0</v>
      </c>
      <c r="CK260" t="s">
        <v>112</v>
      </c>
      <c r="CL260" t="s">
        <v>112</v>
      </c>
      <c r="CM260">
        <v>42600.6</v>
      </c>
      <c r="CN260">
        <v>3687090</v>
      </c>
      <c r="CO260">
        <v>0</v>
      </c>
      <c r="CP260">
        <v>1</v>
      </c>
      <c r="CQ260">
        <v>4044542.78</v>
      </c>
      <c r="CR260">
        <v>50451.78</v>
      </c>
      <c r="CS260" t="s">
        <v>145</v>
      </c>
      <c r="CT260">
        <v>50452.298064000002</v>
      </c>
      <c r="CU260">
        <v>2.9735999999999998</v>
      </c>
      <c r="CV260">
        <v>45</v>
      </c>
      <c r="CW260" t="s">
        <v>171</v>
      </c>
      <c r="CX260" t="s">
        <v>350</v>
      </c>
      <c r="CY260">
        <v>152</v>
      </c>
    </row>
    <row r="261" spans="1:103" x14ac:dyDescent="0.25">
      <c r="A261" t="s">
        <v>106</v>
      </c>
      <c r="B261" s="38">
        <v>45022</v>
      </c>
      <c r="C261" s="43">
        <f>IF(YEAR(Таблица1[[#This Row],[Дата]])=2023,MONTH(Таблица1[[#This Row],[Дата]]),0)</f>
        <v>4</v>
      </c>
      <c r="D261" t="s">
        <v>1227</v>
      </c>
      <c r="E261" t="s">
        <v>108</v>
      </c>
      <c r="F261" t="s">
        <v>1228</v>
      </c>
      <c r="G261" t="s">
        <v>110</v>
      </c>
      <c r="H261" t="s">
        <v>111</v>
      </c>
      <c r="I261" t="s">
        <v>112</v>
      </c>
      <c r="J261" t="s">
        <v>112</v>
      </c>
      <c r="K261" t="s">
        <v>112</v>
      </c>
      <c r="L261" t="s">
        <v>150</v>
      </c>
      <c r="M261" t="s">
        <v>1060</v>
      </c>
      <c r="N261" t="s">
        <v>112</v>
      </c>
      <c r="O261" t="s">
        <v>112</v>
      </c>
      <c r="P261">
        <v>1</v>
      </c>
      <c r="Q261">
        <v>0</v>
      </c>
      <c r="R261">
        <v>1</v>
      </c>
      <c r="S261">
        <v>33</v>
      </c>
      <c r="T261" t="s">
        <v>166</v>
      </c>
      <c r="U261" t="s">
        <v>152</v>
      </c>
      <c r="V261" t="s">
        <v>153</v>
      </c>
      <c r="W261" t="s">
        <v>154</v>
      </c>
      <c r="X261" t="s">
        <v>119</v>
      </c>
      <c r="Y261" t="s">
        <v>112</v>
      </c>
      <c r="Z261" t="s">
        <v>166</v>
      </c>
      <c r="AA261" t="s">
        <v>152</v>
      </c>
      <c r="AB261" t="s">
        <v>153</v>
      </c>
      <c r="AC261" t="s">
        <v>154</v>
      </c>
      <c r="AD261" t="s">
        <v>119</v>
      </c>
      <c r="AE261" t="s">
        <v>112</v>
      </c>
      <c r="AF261" t="s">
        <v>121</v>
      </c>
      <c r="AG261" t="s">
        <v>122</v>
      </c>
      <c r="AH261">
        <v>4251418.53</v>
      </c>
      <c r="AI261" t="s">
        <v>166</v>
      </c>
      <c r="AJ261" t="s">
        <v>152</v>
      </c>
      <c r="AK261" t="s">
        <v>153</v>
      </c>
      <c r="AL261" t="s">
        <v>154</v>
      </c>
      <c r="AM261" t="s">
        <v>119</v>
      </c>
      <c r="AN261" t="s">
        <v>112</v>
      </c>
      <c r="AO261" t="s">
        <v>121</v>
      </c>
      <c r="AP261" t="s">
        <v>122</v>
      </c>
      <c r="AQ261" t="s">
        <v>122</v>
      </c>
      <c r="AR261" t="s">
        <v>124</v>
      </c>
      <c r="AS261" t="s">
        <v>125</v>
      </c>
      <c r="AT261">
        <v>2</v>
      </c>
      <c r="AU261" t="s">
        <v>126</v>
      </c>
      <c r="AV261" t="s">
        <v>155</v>
      </c>
      <c r="AW261" t="s">
        <v>156</v>
      </c>
      <c r="AX261">
        <v>1</v>
      </c>
      <c r="AY261" t="s">
        <v>129</v>
      </c>
      <c r="AZ261">
        <v>44470.84</v>
      </c>
      <c r="BA261">
        <v>3848960</v>
      </c>
      <c r="BB261">
        <v>53032.36</v>
      </c>
      <c r="BC261">
        <v>86.550200000000004</v>
      </c>
      <c r="BD261" t="s">
        <v>130</v>
      </c>
      <c r="BE261" t="s">
        <v>112</v>
      </c>
      <c r="BF261" t="s">
        <v>157</v>
      </c>
      <c r="BG261" t="s">
        <v>133</v>
      </c>
      <c r="BH261" t="s">
        <v>134</v>
      </c>
      <c r="BI261" t="s">
        <v>112</v>
      </c>
      <c r="BJ261" t="s">
        <v>112</v>
      </c>
      <c r="BK261" t="s">
        <v>112</v>
      </c>
      <c r="BL261" t="s">
        <v>169</v>
      </c>
      <c r="BM261" t="s">
        <v>159</v>
      </c>
      <c r="BN261" t="s">
        <v>722</v>
      </c>
      <c r="BO261" t="s">
        <v>161</v>
      </c>
      <c r="BP261">
        <v>1</v>
      </c>
      <c r="BQ261" t="s">
        <v>205</v>
      </c>
      <c r="BR261" s="45">
        <f>ISNUMBER(SEARCH($BR$1,Таблица1[[#This Row],[31_1 Описание и характеристика товара]]))*1</f>
        <v>1</v>
      </c>
      <c r="BT261" t="s">
        <v>150</v>
      </c>
      <c r="BU261">
        <v>33</v>
      </c>
      <c r="BV261">
        <v>0</v>
      </c>
      <c r="BW261">
        <v>0</v>
      </c>
      <c r="BY261">
        <v>0</v>
      </c>
      <c r="CA261" t="s">
        <v>106</v>
      </c>
      <c r="CB261" t="s">
        <v>142</v>
      </c>
      <c r="CC261" t="s">
        <v>112</v>
      </c>
      <c r="CD261" t="s">
        <v>112</v>
      </c>
      <c r="CE261" t="s">
        <v>121</v>
      </c>
      <c r="CF261">
        <v>17204.650000000001</v>
      </c>
      <c r="CG261" t="s">
        <v>144</v>
      </c>
      <c r="CH261">
        <v>4000000</v>
      </c>
      <c r="CI261">
        <v>17161.45</v>
      </c>
      <c r="CJ261">
        <v>0</v>
      </c>
      <c r="CK261" t="s">
        <v>112</v>
      </c>
      <c r="CL261" t="s">
        <v>112</v>
      </c>
      <c r="CM261">
        <v>44470.84</v>
      </c>
      <c r="CN261">
        <v>3848960</v>
      </c>
      <c r="CO261">
        <v>0</v>
      </c>
      <c r="CP261">
        <v>1</v>
      </c>
      <c r="CQ261">
        <v>4251418.53</v>
      </c>
      <c r="CR261">
        <v>53032.36</v>
      </c>
      <c r="CS261" t="s">
        <v>145</v>
      </c>
      <c r="CT261">
        <v>53032.312789999996</v>
      </c>
      <c r="CU261">
        <v>3.0901999999999998</v>
      </c>
      <c r="CV261">
        <v>45</v>
      </c>
      <c r="CW261" t="s">
        <v>171</v>
      </c>
      <c r="CX261" t="s">
        <v>463</v>
      </c>
      <c r="CY261">
        <v>174</v>
      </c>
    </row>
    <row r="262" spans="1:103" x14ac:dyDescent="0.25">
      <c r="A262" t="s">
        <v>106</v>
      </c>
      <c r="B262" s="38">
        <v>45230</v>
      </c>
      <c r="C262" s="43">
        <f>IF(YEAR(Таблица1[[#This Row],[Дата]])=2023,MONTH(Таблица1[[#This Row],[Дата]]),0)</f>
        <v>10</v>
      </c>
      <c r="D262" t="s">
        <v>1221</v>
      </c>
      <c r="E262" t="s">
        <v>108</v>
      </c>
      <c r="F262" t="s">
        <v>1222</v>
      </c>
      <c r="G262" t="s">
        <v>110</v>
      </c>
      <c r="H262" t="s">
        <v>111</v>
      </c>
      <c r="I262" t="s">
        <v>112</v>
      </c>
      <c r="J262" t="s">
        <v>112</v>
      </c>
      <c r="K262" t="s">
        <v>112</v>
      </c>
      <c r="L262" t="s">
        <v>150</v>
      </c>
      <c r="M262" t="s">
        <v>1060</v>
      </c>
      <c r="N262" t="s">
        <v>112</v>
      </c>
      <c r="O262" t="s">
        <v>112</v>
      </c>
      <c r="P262">
        <v>1</v>
      </c>
      <c r="Q262">
        <v>0</v>
      </c>
      <c r="R262">
        <v>1</v>
      </c>
      <c r="S262">
        <v>33</v>
      </c>
      <c r="T262" t="s">
        <v>166</v>
      </c>
      <c r="U262" t="s">
        <v>152</v>
      </c>
      <c r="V262" t="s">
        <v>153</v>
      </c>
      <c r="W262" t="s">
        <v>154</v>
      </c>
      <c r="X262" t="s">
        <v>119</v>
      </c>
      <c r="Y262" t="s">
        <v>112</v>
      </c>
      <c r="Z262" t="s">
        <v>166</v>
      </c>
      <c r="AA262" t="s">
        <v>152</v>
      </c>
      <c r="AB262" t="s">
        <v>153</v>
      </c>
      <c r="AC262" t="s">
        <v>154</v>
      </c>
      <c r="AD262" t="s">
        <v>119</v>
      </c>
      <c r="AE262" t="s">
        <v>112</v>
      </c>
      <c r="AF262" t="s">
        <v>121</v>
      </c>
      <c r="AG262" t="s">
        <v>122</v>
      </c>
      <c r="AH262">
        <v>3926855.28</v>
      </c>
      <c r="AI262" t="s">
        <v>166</v>
      </c>
      <c r="AJ262" t="s">
        <v>152</v>
      </c>
      <c r="AK262" t="s">
        <v>153</v>
      </c>
      <c r="AL262" t="s">
        <v>154</v>
      </c>
      <c r="AM262" t="s">
        <v>119</v>
      </c>
      <c r="AN262" t="s">
        <v>112</v>
      </c>
      <c r="AO262" t="s">
        <v>121</v>
      </c>
      <c r="AP262" t="s">
        <v>122</v>
      </c>
      <c r="AQ262" t="s">
        <v>122</v>
      </c>
      <c r="AR262" t="s">
        <v>124</v>
      </c>
      <c r="AS262" t="s">
        <v>125</v>
      </c>
      <c r="AT262">
        <v>2</v>
      </c>
      <c r="AU262" t="s">
        <v>126</v>
      </c>
      <c r="AV262" t="s">
        <v>155</v>
      </c>
      <c r="AW262" t="s">
        <v>156</v>
      </c>
      <c r="AX262">
        <v>1</v>
      </c>
      <c r="AY262" t="s">
        <v>129</v>
      </c>
      <c r="AZ262">
        <v>40720.839999999997</v>
      </c>
      <c r="BA262">
        <v>3524397</v>
      </c>
      <c r="BB262">
        <v>48983.74</v>
      </c>
      <c r="BC262">
        <v>86.550200000000004</v>
      </c>
      <c r="BD262" t="s">
        <v>130</v>
      </c>
      <c r="BE262" t="s">
        <v>112</v>
      </c>
      <c r="BF262" t="s">
        <v>157</v>
      </c>
      <c r="BG262" t="s">
        <v>133</v>
      </c>
      <c r="BH262" t="s">
        <v>134</v>
      </c>
      <c r="BI262" t="s">
        <v>112</v>
      </c>
      <c r="BJ262" t="s">
        <v>112</v>
      </c>
      <c r="BK262" t="s">
        <v>112</v>
      </c>
      <c r="BL262" t="s">
        <v>169</v>
      </c>
      <c r="BM262" t="s">
        <v>159</v>
      </c>
      <c r="BN262" t="s">
        <v>722</v>
      </c>
      <c r="BO262" t="s">
        <v>161</v>
      </c>
      <c r="BP262">
        <v>1</v>
      </c>
      <c r="BQ262" t="s">
        <v>232</v>
      </c>
      <c r="BR262" s="45">
        <f>ISNUMBER(SEARCH($BR$1,Таблица1[[#This Row],[31_1 Описание и характеристика товара]]))*1</f>
        <v>1</v>
      </c>
      <c r="BT262" t="s">
        <v>150</v>
      </c>
      <c r="BU262">
        <v>33</v>
      </c>
      <c r="BV262">
        <v>0</v>
      </c>
      <c r="BW262">
        <v>0</v>
      </c>
      <c r="BY262">
        <v>0</v>
      </c>
      <c r="CA262" t="s">
        <v>106</v>
      </c>
      <c r="CB262" t="s">
        <v>142</v>
      </c>
      <c r="CC262" t="s">
        <v>112</v>
      </c>
      <c r="CD262" t="s">
        <v>112</v>
      </c>
      <c r="CE262" t="s">
        <v>121</v>
      </c>
      <c r="CF262">
        <v>17395.93</v>
      </c>
      <c r="CG262" t="s">
        <v>144</v>
      </c>
      <c r="CH262">
        <v>4000000</v>
      </c>
      <c r="CI262">
        <v>17395.93</v>
      </c>
      <c r="CJ262">
        <v>0</v>
      </c>
      <c r="CK262" t="s">
        <v>112</v>
      </c>
      <c r="CL262" t="s">
        <v>112</v>
      </c>
      <c r="CM262">
        <v>40720.839999999997</v>
      </c>
      <c r="CN262">
        <v>3524397</v>
      </c>
      <c r="CO262">
        <v>0</v>
      </c>
      <c r="CP262">
        <v>1</v>
      </c>
      <c r="CQ262">
        <v>3926855.28</v>
      </c>
      <c r="CR262">
        <v>48983.74</v>
      </c>
      <c r="CS262" t="s">
        <v>145</v>
      </c>
      <c r="CT262">
        <v>48983.459693999997</v>
      </c>
      <c r="CU262">
        <v>2.8157999999999999</v>
      </c>
      <c r="CV262">
        <v>45</v>
      </c>
      <c r="CW262" t="s">
        <v>171</v>
      </c>
      <c r="CX262" t="s">
        <v>372</v>
      </c>
      <c r="CY262">
        <v>102</v>
      </c>
    </row>
    <row r="263" spans="1:103" x14ac:dyDescent="0.25">
      <c r="A263" t="s">
        <v>106</v>
      </c>
      <c r="B263" s="38">
        <v>45279</v>
      </c>
      <c r="C263" s="43">
        <f>IF(YEAR(Таблица1[[#This Row],[Дата]])=2023,MONTH(Таблица1[[#This Row],[Дата]]),0)</f>
        <v>12</v>
      </c>
      <c r="D263" t="s">
        <v>1219</v>
      </c>
      <c r="E263" t="s">
        <v>108</v>
      </c>
      <c r="F263" t="s">
        <v>1220</v>
      </c>
      <c r="G263" t="s">
        <v>110</v>
      </c>
      <c r="H263" t="s">
        <v>111</v>
      </c>
      <c r="I263" t="s">
        <v>112</v>
      </c>
      <c r="J263" t="s">
        <v>112</v>
      </c>
      <c r="K263" t="s">
        <v>112</v>
      </c>
      <c r="L263" t="s">
        <v>150</v>
      </c>
      <c r="M263" t="s">
        <v>1060</v>
      </c>
      <c r="N263" t="s">
        <v>112</v>
      </c>
      <c r="O263" t="s">
        <v>112</v>
      </c>
      <c r="P263">
        <v>1</v>
      </c>
      <c r="Q263">
        <v>0</v>
      </c>
      <c r="R263">
        <v>1</v>
      </c>
      <c r="S263">
        <v>33</v>
      </c>
      <c r="T263" t="s">
        <v>166</v>
      </c>
      <c r="U263" t="s">
        <v>152</v>
      </c>
      <c r="V263" t="s">
        <v>153</v>
      </c>
      <c r="W263" t="s">
        <v>154</v>
      </c>
      <c r="X263" t="s">
        <v>119</v>
      </c>
      <c r="Y263" t="s">
        <v>112</v>
      </c>
      <c r="Z263" t="s">
        <v>166</v>
      </c>
      <c r="AA263" t="s">
        <v>152</v>
      </c>
      <c r="AB263" t="s">
        <v>153</v>
      </c>
      <c r="AC263" t="s">
        <v>154</v>
      </c>
      <c r="AD263" t="s">
        <v>119</v>
      </c>
      <c r="AE263" t="s">
        <v>112</v>
      </c>
      <c r="AF263" t="s">
        <v>121</v>
      </c>
      <c r="AG263" t="s">
        <v>122</v>
      </c>
      <c r="AH263">
        <v>3815195.14</v>
      </c>
      <c r="AI263" t="s">
        <v>166</v>
      </c>
      <c r="AJ263" t="s">
        <v>152</v>
      </c>
      <c r="AK263" t="s">
        <v>153</v>
      </c>
      <c r="AL263" t="s">
        <v>154</v>
      </c>
      <c r="AM263" t="s">
        <v>119</v>
      </c>
      <c r="AN263" t="s">
        <v>112</v>
      </c>
      <c r="AO263" t="s">
        <v>121</v>
      </c>
      <c r="AP263" t="s">
        <v>122</v>
      </c>
      <c r="AQ263" t="s">
        <v>122</v>
      </c>
      <c r="AR263" t="s">
        <v>124</v>
      </c>
      <c r="AS263" t="s">
        <v>125</v>
      </c>
      <c r="AT263">
        <v>2</v>
      </c>
      <c r="AU263" t="s">
        <v>126</v>
      </c>
      <c r="AV263" t="s">
        <v>155</v>
      </c>
      <c r="AW263" t="s">
        <v>156</v>
      </c>
      <c r="AX263">
        <v>1</v>
      </c>
      <c r="AY263" t="s">
        <v>129</v>
      </c>
      <c r="AZ263">
        <v>39950.720000000001</v>
      </c>
      <c r="BA263">
        <v>3457743</v>
      </c>
      <c r="BB263">
        <v>47590.89</v>
      </c>
      <c r="BC263">
        <v>86.550200000000004</v>
      </c>
      <c r="BD263" t="s">
        <v>130</v>
      </c>
      <c r="BE263" t="s">
        <v>112</v>
      </c>
      <c r="BF263" t="s">
        <v>157</v>
      </c>
      <c r="BG263" t="s">
        <v>133</v>
      </c>
      <c r="BH263" t="s">
        <v>134</v>
      </c>
      <c r="BI263" t="s">
        <v>112</v>
      </c>
      <c r="BJ263" t="s">
        <v>112</v>
      </c>
      <c r="BK263" t="s">
        <v>112</v>
      </c>
      <c r="BL263" t="s">
        <v>169</v>
      </c>
      <c r="BM263" t="s">
        <v>159</v>
      </c>
      <c r="BN263" t="s">
        <v>722</v>
      </c>
      <c r="BO263" t="s">
        <v>161</v>
      </c>
      <c r="BP263">
        <v>1</v>
      </c>
      <c r="BQ263" t="s">
        <v>162</v>
      </c>
      <c r="BR263" s="45">
        <f>ISNUMBER(SEARCH($BR$1,Таблица1[[#This Row],[31_1 Описание и характеристика товара]]))*1</f>
        <v>1</v>
      </c>
      <c r="BT263" t="s">
        <v>150</v>
      </c>
      <c r="BU263">
        <v>33</v>
      </c>
      <c r="BV263">
        <v>0</v>
      </c>
      <c r="BW263">
        <v>0</v>
      </c>
      <c r="BY263">
        <v>0</v>
      </c>
      <c r="CA263" t="s">
        <v>106</v>
      </c>
      <c r="CB263" t="s">
        <v>142</v>
      </c>
      <c r="CC263" t="s">
        <v>112</v>
      </c>
      <c r="CD263" t="s">
        <v>112</v>
      </c>
      <c r="CE263" t="s">
        <v>121</v>
      </c>
      <c r="CF263">
        <v>17168.3</v>
      </c>
      <c r="CG263" t="s">
        <v>144</v>
      </c>
      <c r="CH263">
        <v>4000000</v>
      </c>
      <c r="CI263">
        <v>17168.3</v>
      </c>
      <c r="CJ263">
        <v>0</v>
      </c>
      <c r="CK263" t="s">
        <v>112</v>
      </c>
      <c r="CL263" t="s">
        <v>112</v>
      </c>
      <c r="CM263">
        <v>39950.720000000001</v>
      </c>
      <c r="CN263">
        <v>3457743</v>
      </c>
      <c r="CO263">
        <v>0</v>
      </c>
      <c r="CP263">
        <v>1</v>
      </c>
      <c r="CQ263">
        <v>3815195.14</v>
      </c>
      <c r="CR263">
        <v>47590.89</v>
      </c>
      <c r="CS263" t="s">
        <v>145</v>
      </c>
      <c r="CT263">
        <v>47590.527599999994</v>
      </c>
      <c r="CU263">
        <v>2.7719999999999998</v>
      </c>
      <c r="CV263">
        <v>45</v>
      </c>
      <c r="CW263" t="s">
        <v>171</v>
      </c>
      <c r="CX263" t="s">
        <v>350</v>
      </c>
      <c r="CY263">
        <v>166</v>
      </c>
    </row>
    <row r="264" spans="1:103" x14ac:dyDescent="0.25">
      <c r="A264" t="s">
        <v>106</v>
      </c>
      <c r="B264" s="38">
        <v>45249</v>
      </c>
      <c r="C264" s="43">
        <f>IF(YEAR(Таблица1[[#This Row],[Дата]])=2023,MONTH(Таблица1[[#This Row],[Дата]]),0)</f>
        <v>11</v>
      </c>
      <c r="D264" t="s">
        <v>1018</v>
      </c>
      <c r="E264" t="s">
        <v>108</v>
      </c>
      <c r="F264" t="s">
        <v>1019</v>
      </c>
      <c r="G264" t="s">
        <v>110</v>
      </c>
      <c r="H264" t="s">
        <v>111</v>
      </c>
      <c r="I264" t="s">
        <v>112</v>
      </c>
      <c r="J264" t="s">
        <v>112</v>
      </c>
      <c r="K264" t="s">
        <v>112</v>
      </c>
      <c r="L264" t="s">
        <v>150</v>
      </c>
      <c r="M264" t="s">
        <v>1020</v>
      </c>
      <c r="N264" t="s">
        <v>112</v>
      </c>
      <c r="O264" t="s">
        <v>112</v>
      </c>
      <c r="P264">
        <v>1</v>
      </c>
      <c r="Q264">
        <v>0</v>
      </c>
      <c r="R264">
        <v>1</v>
      </c>
      <c r="S264">
        <v>33</v>
      </c>
      <c r="T264" t="s">
        <v>166</v>
      </c>
      <c r="U264" t="s">
        <v>152</v>
      </c>
      <c r="V264" t="s">
        <v>153</v>
      </c>
      <c r="W264" t="s">
        <v>154</v>
      </c>
      <c r="X264" t="s">
        <v>119</v>
      </c>
      <c r="Y264" t="s">
        <v>112</v>
      </c>
      <c r="Z264" t="s">
        <v>166</v>
      </c>
      <c r="AA264" t="s">
        <v>152</v>
      </c>
      <c r="AB264" t="s">
        <v>153</v>
      </c>
      <c r="AC264" t="s">
        <v>154</v>
      </c>
      <c r="AD264" t="s">
        <v>119</v>
      </c>
      <c r="AE264" t="s">
        <v>112</v>
      </c>
      <c r="AF264" t="s">
        <v>121</v>
      </c>
      <c r="AG264" t="s">
        <v>122</v>
      </c>
      <c r="AH264">
        <v>4255758.68</v>
      </c>
      <c r="AI264" t="s">
        <v>166</v>
      </c>
      <c r="AJ264" t="s">
        <v>152</v>
      </c>
      <c r="AK264" t="s">
        <v>153</v>
      </c>
      <c r="AL264" t="s">
        <v>154</v>
      </c>
      <c r="AM264" t="s">
        <v>119</v>
      </c>
      <c r="AN264" t="s">
        <v>112</v>
      </c>
      <c r="AO264" t="s">
        <v>121</v>
      </c>
      <c r="AP264" t="s">
        <v>122</v>
      </c>
      <c r="AQ264" t="s">
        <v>122</v>
      </c>
      <c r="AR264" t="s">
        <v>124</v>
      </c>
      <c r="AS264" t="s">
        <v>125</v>
      </c>
      <c r="AT264">
        <v>2</v>
      </c>
      <c r="AU264" t="s">
        <v>126</v>
      </c>
      <c r="AV264" t="s">
        <v>155</v>
      </c>
      <c r="AW264" t="s">
        <v>156</v>
      </c>
      <c r="AX264">
        <v>1</v>
      </c>
      <c r="AY264" t="s">
        <v>129</v>
      </c>
      <c r="AZ264">
        <v>43280.47</v>
      </c>
      <c r="BA264">
        <v>3867088</v>
      </c>
      <c r="BB264">
        <v>52226.68</v>
      </c>
      <c r="BC264">
        <v>89.349500000000006</v>
      </c>
      <c r="BD264" t="s">
        <v>130</v>
      </c>
      <c r="BE264" t="s">
        <v>112</v>
      </c>
      <c r="BF264" t="s">
        <v>157</v>
      </c>
      <c r="BG264" t="s">
        <v>133</v>
      </c>
      <c r="BH264" t="s">
        <v>134</v>
      </c>
      <c r="BI264" t="s">
        <v>112</v>
      </c>
      <c r="BJ264" t="s">
        <v>112</v>
      </c>
      <c r="BK264" t="s">
        <v>112</v>
      </c>
      <c r="BL264" t="s">
        <v>169</v>
      </c>
      <c r="BM264" t="s">
        <v>159</v>
      </c>
      <c r="BN264" t="s">
        <v>722</v>
      </c>
      <c r="BO264" t="s">
        <v>161</v>
      </c>
      <c r="BP264">
        <v>1</v>
      </c>
      <c r="BQ264" t="s">
        <v>205</v>
      </c>
      <c r="BR264" s="45">
        <f>ISNUMBER(SEARCH($BR$1,Таблица1[[#This Row],[31_1 Описание и характеристика товара]]))*1</f>
        <v>1</v>
      </c>
      <c r="BT264" t="s">
        <v>150</v>
      </c>
      <c r="BU264">
        <v>33</v>
      </c>
      <c r="BV264">
        <v>0</v>
      </c>
      <c r="BW264">
        <v>0</v>
      </c>
      <c r="BY264">
        <v>0</v>
      </c>
      <c r="CA264" t="s">
        <v>106</v>
      </c>
      <c r="CB264" t="s">
        <v>142</v>
      </c>
      <c r="CC264" t="s">
        <v>112</v>
      </c>
      <c r="CD264" t="s">
        <v>112</v>
      </c>
      <c r="CE264" t="s">
        <v>121</v>
      </c>
      <c r="CF264">
        <v>16836</v>
      </c>
      <c r="CG264" t="s">
        <v>144</v>
      </c>
      <c r="CH264">
        <v>4000000</v>
      </c>
      <c r="CI264">
        <v>16710</v>
      </c>
      <c r="CJ264">
        <v>0</v>
      </c>
      <c r="CK264" t="s">
        <v>112</v>
      </c>
      <c r="CL264" t="s">
        <v>112</v>
      </c>
      <c r="CM264">
        <v>43280.47</v>
      </c>
      <c r="CN264">
        <v>3867088</v>
      </c>
      <c r="CO264">
        <v>0</v>
      </c>
      <c r="CP264">
        <v>1</v>
      </c>
      <c r="CQ264">
        <v>4255758.68</v>
      </c>
      <c r="CR264">
        <v>52226.68</v>
      </c>
      <c r="CS264" t="s">
        <v>145</v>
      </c>
      <c r="CT264">
        <v>52227.105000000003</v>
      </c>
      <c r="CU264">
        <v>3.1255000000000002</v>
      </c>
      <c r="CV264">
        <v>45</v>
      </c>
      <c r="CW264" t="s">
        <v>171</v>
      </c>
      <c r="CX264" t="s">
        <v>172</v>
      </c>
      <c r="CY264">
        <v>286</v>
      </c>
    </row>
    <row r="265" spans="1:103" x14ac:dyDescent="0.25">
      <c r="A265" t="s">
        <v>106</v>
      </c>
      <c r="B265" s="38">
        <v>45243</v>
      </c>
      <c r="C265" s="43">
        <f>IF(YEAR(Таблица1[[#This Row],[Дата]])=2023,MONTH(Таблица1[[#This Row],[Дата]]),0)</f>
        <v>11</v>
      </c>
      <c r="D265" t="s">
        <v>1023</v>
      </c>
      <c r="E265" t="s">
        <v>108</v>
      </c>
      <c r="F265" t="s">
        <v>1024</v>
      </c>
      <c r="G265" t="s">
        <v>110</v>
      </c>
      <c r="H265" t="s">
        <v>111</v>
      </c>
      <c r="I265" t="s">
        <v>112</v>
      </c>
      <c r="J265" t="s">
        <v>112</v>
      </c>
      <c r="K265" t="s">
        <v>112</v>
      </c>
      <c r="L265" t="s">
        <v>150</v>
      </c>
      <c r="M265" t="s">
        <v>1020</v>
      </c>
      <c r="N265" t="s">
        <v>112</v>
      </c>
      <c r="O265" t="s">
        <v>112</v>
      </c>
      <c r="P265">
        <v>1</v>
      </c>
      <c r="Q265">
        <v>0</v>
      </c>
      <c r="R265">
        <v>1</v>
      </c>
      <c r="S265">
        <v>33</v>
      </c>
      <c r="T265" t="s">
        <v>166</v>
      </c>
      <c r="U265" t="s">
        <v>152</v>
      </c>
      <c r="V265" t="s">
        <v>153</v>
      </c>
      <c r="W265" t="s">
        <v>154</v>
      </c>
      <c r="X265" t="s">
        <v>119</v>
      </c>
      <c r="Y265" t="s">
        <v>112</v>
      </c>
      <c r="Z265" t="s">
        <v>166</v>
      </c>
      <c r="AA265" t="s">
        <v>152</v>
      </c>
      <c r="AB265" t="s">
        <v>153</v>
      </c>
      <c r="AC265" t="s">
        <v>154</v>
      </c>
      <c r="AD265" t="s">
        <v>119</v>
      </c>
      <c r="AE265" t="s">
        <v>112</v>
      </c>
      <c r="AF265" t="s">
        <v>121</v>
      </c>
      <c r="AG265" t="s">
        <v>122</v>
      </c>
      <c r="AH265">
        <v>4397675.18</v>
      </c>
      <c r="AI265" t="s">
        <v>166</v>
      </c>
      <c r="AJ265" t="s">
        <v>152</v>
      </c>
      <c r="AK265" t="s">
        <v>153</v>
      </c>
      <c r="AL265" t="s">
        <v>154</v>
      </c>
      <c r="AM265" t="s">
        <v>119</v>
      </c>
      <c r="AN265" t="s">
        <v>112</v>
      </c>
      <c r="AO265" t="s">
        <v>121</v>
      </c>
      <c r="AP265" t="s">
        <v>122</v>
      </c>
      <c r="AQ265" t="s">
        <v>122</v>
      </c>
      <c r="AR265" t="s">
        <v>124</v>
      </c>
      <c r="AS265" t="s">
        <v>125</v>
      </c>
      <c r="AT265">
        <v>2</v>
      </c>
      <c r="AU265" t="s">
        <v>126</v>
      </c>
      <c r="AV265" t="s">
        <v>155</v>
      </c>
      <c r="AW265" t="s">
        <v>156</v>
      </c>
      <c r="AX265">
        <v>1</v>
      </c>
      <c r="AY265" t="s">
        <v>129</v>
      </c>
      <c r="AZ265">
        <v>44868.800000000003</v>
      </c>
      <c r="BA265">
        <v>4009005</v>
      </c>
      <c r="BB265">
        <v>53968.28</v>
      </c>
      <c r="BC265">
        <v>89.349500000000006</v>
      </c>
      <c r="BD265" t="s">
        <v>130</v>
      </c>
      <c r="BE265" t="s">
        <v>112</v>
      </c>
      <c r="BF265" t="s">
        <v>157</v>
      </c>
      <c r="BG265" t="s">
        <v>133</v>
      </c>
      <c r="BH265" t="s">
        <v>167</v>
      </c>
      <c r="BI265" t="s">
        <v>168</v>
      </c>
      <c r="BJ265" t="s">
        <v>112</v>
      </c>
      <c r="BK265" t="s">
        <v>112</v>
      </c>
      <c r="BL265" t="s">
        <v>169</v>
      </c>
      <c r="BM265" t="s">
        <v>159</v>
      </c>
      <c r="BN265" t="s">
        <v>726</v>
      </c>
      <c r="BO265" t="s">
        <v>161</v>
      </c>
      <c r="BP265">
        <v>1</v>
      </c>
      <c r="BQ265" t="s">
        <v>205</v>
      </c>
      <c r="BR265" s="45">
        <f>ISNUMBER(SEARCH($BR$1,Таблица1[[#This Row],[31_1 Описание и характеристика товара]]))*1</f>
        <v>1</v>
      </c>
      <c r="BT265" t="s">
        <v>150</v>
      </c>
      <c r="BU265">
        <v>33</v>
      </c>
      <c r="BV265">
        <v>0</v>
      </c>
      <c r="BW265">
        <v>0</v>
      </c>
      <c r="BY265">
        <v>0</v>
      </c>
      <c r="CA265" t="s">
        <v>106</v>
      </c>
      <c r="CB265" t="s">
        <v>142</v>
      </c>
      <c r="CC265" t="s">
        <v>112</v>
      </c>
      <c r="CD265" t="s">
        <v>112</v>
      </c>
      <c r="CE265" t="s">
        <v>121</v>
      </c>
      <c r="CF265">
        <v>15643.32</v>
      </c>
      <c r="CG265" t="s">
        <v>144</v>
      </c>
      <c r="CH265">
        <v>4000000</v>
      </c>
      <c r="CI265">
        <v>15445.32</v>
      </c>
      <c r="CJ265">
        <v>0</v>
      </c>
      <c r="CK265" t="s">
        <v>112</v>
      </c>
      <c r="CL265" t="s">
        <v>112</v>
      </c>
      <c r="CM265">
        <v>44868.800000000003</v>
      </c>
      <c r="CN265">
        <v>4009005</v>
      </c>
      <c r="CO265">
        <v>0</v>
      </c>
      <c r="CP265">
        <v>1</v>
      </c>
      <c r="CQ265">
        <v>4397675.18</v>
      </c>
      <c r="CR265">
        <v>53968.28</v>
      </c>
      <c r="CS265" t="s">
        <v>145</v>
      </c>
      <c r="CT265">
        <v>53969.037144000002</v>
      </c>
      <c r="CU265">
        <v>3.4942000000000002</v>
      </c>
      <c r="CV265">
        <v>45</v>
      </c>
      <c r="CW265" t="s">
        <v>171</v>
      </c>
      <c r="CX265" t="s">
        <v>172</v>
      </c>
      <c r="CY265">
        <v>157</v>
      </c>
    </row>
    <row r="266" spans="1:103" x14ac:dyDescent="0.25">
      <c r="A266" t="s">
        <v>106</v>
      </c>
      <c r="B266" s="38">
        <v>45181</v>
      </c>
      <c r="C266" s="43">
        <f>IF(YEAR(Таблица1[[#This Row],[Дата]])=2023,MONTH(Таблица1[[#This Row],[Дата]]),0)</f>
        <v>9</v>
      </c>
      <c r="D266" t="s">
        <v>714</v>
      </c>
      <c r="E266" t="s">
        <v>108</v>
      </c>
      <c r="F266" t="s">
        <v>715</v>
      </c>
      <c r="G266" t="s">
        <v>110</v>
      </c>
      <c r="H266" t="s">
        <v>111</v>
      </c>
      <c r="I266" t="s">
        <v>112</v>
      </c>
      <c r="J266" t="s">
        <v>112</v>
      </c>
      <c r="K266" t="s">
        <v>112</v>
      </c>
      <c r="L266" t="s">
        <v>150</v>
      </c>
      <c r="M266" t="s">
        <v>151</v>
      </c>
      <c r="N266" t="s">
        <v>112</v>
      </c>
      <c r="O266" t="s">
        <v>112</v>
      </c>
      <c r="P266">
        <v>1</v>
      </c>
      <c r="Q266">
        <v>0</v>
      </c>
      <c r="R266">
        <v>1</v>
      </c>
      <c r="S266">
        <v>33</v>
      </c>
      <c r="T266" t="s">
        <v>166</v>
      </c>
      <c r="U266" t="s">
        <v>152</v>
      </c>
      <c r="V266" t="s">
        <v>153</v>
      </c>
      <c r="W266" t="s">
        <v>154</v>
      </c>
      <c r="X266" t="s">
        <v>119</v>
      </c>
      <c r="Y266" t="s">
        <v>112</v>
      </c>
      <c r="Z266" t="s">
        <v>166</v>
      </c>
      <c r="AA266" t="s">
        <v>152</v>
      </c>
      <c r="AB266" t="s">
        <v>153</v>
      </c>
      <c r="AC266" t="s">
        <v>154</v>
      </c>
      <c r="AD266" t="s">
        <v>119</v>
      </c>
      <c r="AE266" t="s">
        <v>112</v>
      </c>
      <c r="AF266" t="s">
        <v>121</v>
      </c>
      <c r="AG266" t="s">
        <v>122</v>
      </c>
      <c r="AH266">
        <v>3638317.55</v>
      </c>
      <c r="AI266" t="s">
        <v>166</v>
      </c>
      <c r="AJ266" t="s">
        <v>152</v>
      </c>
      <c r="AK266" t="s">
        <v>153</v>
      </c>
      <c r="AL266" t="s">
        <v>154</v>
      </c>
      <c r="AM266" t="s">
        <v>119</v>
      </c>
      <c r="AN266" t="s">
        <v>112</v>
      </c>
      <c r="AO266" t="s">
        <v>121</v>
      </c>
      <c r="AP266" t="s">
        <v>122</v>
      </c>
      <c r="AQ266" t="s">
        <v>122</v>
      </c>
      <c r="AR266" t="s">
        <v>124</v>
      </c>
      <c r="AS266" t="s">
        <v>125</v>
      </c>
      <c r="AT266">
        <v>2</v>
      </c>
      <c r="AU266" t="s">
        <v>126</v>
      </c>
      <c r="AV266" t="s">
        <v>155</v>
      </c>
      <c r="AW266" t="s">
        <v>156</v>
      </c>
      <c r="AX266">
        <v>1</v>
      </c>
      <c r="AY266" t="s">
        <v>129</v>
      </c>
      <c r="AZ266">
        <v>39408.6</v>
      </c>
      <c r="BA266">
        <v>3276636</v>
      </c>
      <c r="BB266">
        <v>47679.87</v>
      </c>
      <c r="BC266">
        <v>83.145200000000003</v>
      </c>
      <c r="BD266" t="s">
        <v>130</v>
      </c>
      <c r="BE266" t="s">
        <v>112</v>
      </c>
      <c r="BF266" t="s">
        <v>157</v>
      </c>
      <c r="BG266" t="s">
        <v>133</v>
      </c>
      <c r="BH266" t="s">
        <v>134</v>
      </c>
      <c r="BI266" t="s">
        <v>112</v>
      </c>
      <c r="BJ266" t="s">
        <v>112</v>
      </c>
      <c r="BK266" t="s">
        <v>112</v>
      </c>
      <c r="BL266" t="s">
        <v>169</v>
      </c>
      <c r="BM266" t="s">
        <v>159</v>
      </c>
      <c r="BN266" t="s">
        <v>212</v>
      </c>
      <c r="BO266" t="s">
        <v>161</v>
      </c>
      <c r="BP266">
        <v>1</v>
      </c>
      <c r="BQ266" t="s">
        <v>716</v>
      </c>
      <c r="BR266" s="45">
        <f>ISNUMBER(SEARCH($BR$1,Таблица1[[#This Row],[31_1 Описание и характеристика товара]]))*1</f>
        <v>1</v>
      </c>
      <c r="BT266" t="s">
        <v>150</v>
      </c>
      <c r="BU266">
        <v>33</v>
      </c>
      <c r="BV266">
        <v>0</v>
      </c>
      <c r="BW266">
        <v>0</v>
      </c>
      <c r="BY266">
        <v>0</v>
      </c>
      <c r="CA266" t="s">
        <v>106</v>
      </c>
      <c r="CB266" t="s">
        <v>142</v>
      </c>
      <c r="CC266" t="s">
        <v>112</v>
      </c>
      <c r="CD266" t="s">
        <v>112</v>
      </c>
      <c r="CE266" t="s">
        <v>121</v>
      </c>
      <c r="CF266">
        <v>16759.36</v>
      </c>
      <c r="CG266" t="s">
        <v>144</v>
      </c>
      <c r="CH266">
        <v>4000000</v>
      </c>
      <c r="CI266">
        <v>16759.36</v>
      </c>
      <c r="CJ266">
        <v>0</v>
      </c>
      <c r="CK266" t="s">
        <v>112</v>
      </c>
      <c r="CL266" t="s">
        <v>112</v>
      </c>
      <c r="CM266">
        <v>39408.6</v>
      </c>
      <c r="CN266">
        <v>3276636</v>
      </c>
      <c r="CO266">
        <v>0</v>
      </c>
      <c r="CP266">
        <v>1</v>
      </c>
      <c r="CQ266">
        <v>3638317.55</v>
      </c>
      <c r="CR266">
        <v>47679.87</v>
      </c>
      <c r="CS266" t="s">
        <v>145</v>
      </c>
      <c r="CT266">
        <v>47680.379200000003</v>
      </c>
      <c r="CU266">
        <v>2.8450000000000002</v>
      </c>
      <c r="CV266">
        <v>45</v>
      </c>
      <c r="CW266" t="s">
        <v>171</v>
      </c>
      <c r="CX266" t="s">
        <v>463</v>
      </c>
      <c r="CY266">
        <v>313</v>
      </c>
    </row>
    <row r="267" spans="1:103" x14ac:dyDescent="0.25">
      <c r="A267" t="s">
        <v>106</v>
      </c>
      <c r="B267" s="38">
        <v>45187</v>
      </c>
      <c r="C267" s="43">
        <f>IF(YEAR(Таблица1[[#This Row],[Дата]])=2023,MONTH(Таблица1[[#This Row],[Дата]]),0)</f>
        <v>9</v>
      </c>
      <c r="D267" t="s">
        <v>717</v>
      </c>
      <c r="E267" t="s">
        <v>108</v>
      </c>
      <c r="F267" t="s">
        <v>718</v>
      </c>
      <c r="G267" t="s">
        <v>110</v>
      </c>
      <c r="H267" t="s">
        <v>111</v>
      </c>
      <c r="I267" t="s">
        <v>112</v>
      </c>
      <c r="J267" t="s">
        <v>112</v>
      </c>
      <c r="K267" t="s">
        <v>112</v>
      </c>
      <c r="L267" t="s">
        <v>150</v>
      </c>
      <c r="M267" t="s">
        <v>151</v>
      </c>
      <c r="N267" t="s">
        <v>112</v>
      </c>
      <c r="O267" t="s">
        <v>112</v>
      </c>
      <c r="P267">
        <v>1</v>
      </c>
      <c r="Q267">
        <v>0</v>
      </c>
      <c r="R267">
        <v>1</v>
      </c>
      <c r="S267">
        <v>33</v>
      </c>
      <c r="T267" t="s">
        <v>166</v>
      </c>
      <c r="U267" t="s">
        <v>152</v>
      </c>
      <c r="V267" t="s">
        <v>153</v>
      </c>
      <c r="W267" t="s">
        <v>154</v>
      </c>
      <c r="X267" t="s">
        <v>119</v>
      </c>
      <c r="Y267" t="s">
        <v>112</v>
      </c>
      <c r="Z267" t="s">
        <v>166</v>
      </c>
      <c r="AA267" t="s">
        <v>152</v>
      </c>
      <c r="AB267" t="s">
        <v>153</v>
      </c>
      <c r="AC267" t="s">
        <v>154</v>
      </c>
      <c r="AD267" t="s">
        <v>119</v>
      </c>
      <c r="AE267" t="s">
        <v>112</v>
      </c>
      <c r="AF267" t="s">
        <v>121</v>
      </c>
      <c r="AG267" t="s">
        <v>122</v>
      </c>
      <c r="AH267">
        <v>4231699.9000000004</v>
      </c>
      <c r="AI267" t="s">
        <v>166</v>
      </c>
      <c r="AJ267" t="s">
        <v>152</v>
      </c>
      <c r="AK267" t="s">
        <v>153</v>
      </c>
      <c r="AL267" t="s">
        <v>154</v>
      </c>
      <c r="AM267" t="s">
        <v>119</v>
      </c>
      <c r="AN267" t="s">
        <v>112</v>
      </c>
      <c r="AO267" t="s">
        <v>121</v>
      </c>
      <c r="AP267" t="s">
        <v>122</v>
      </c>
      <c r="AQ267" t="s">
        <v>122</v>
      </c>
      <c r="AR267" t="s">
        <v>124</v>
      </c>
      <c r="AS267" t="s">
        <v>125</v>
      </c>
      <c r="AT267">
        <v>2</v>
      </c>
      <c r="AU267" t="s">
        <v>126</v>
      </c>
      <c r="AV267" t="s">
        <v>155</v>
      </c>
      <c r="AW267" t="s">
        <v>156</v>
      </c>
      <c r="AX267">
        <v>1</v>
      </c>
      <c r="AY267" t="s">
        <v>129</v>
      </c>
      <c r="AZ267">
        <v>46545.3</v>
      </c>
      <c r="BA267">
        <v>3870018</v>
      </c>
      <c r="BB267">
        <v>55456.1</v>
      </c>
      <c r="BC267">
        <v>83.145200000000003</v>
      </c>
      <c r="BD267" t="s">
        <v>130</v>
      </c>
      <c r="BE267" t="s">
        <v>112</v>
      </c>
      <c r="BF267" t="s">
        <v>157</v>
      </c>
      <c r="BG267" t="s">
        <v>133</v>
      </c>
      <c r="BH267" t="s">
        <v>134</v>
      </c>
      <c r="BI267" t="s">
        <v>112</v>
      </c>
      <c r="BJ267" t="s">
        <v>112</v>
      </c>
      <c r="BK267" t="s">
        <v>112</v>
      </c>
      <c r="BL267" t="s">
        <v>169</v>
      </c>
      <c r="BM267" t="s">
        <v>159</v>
      </c>
      <c r="BN267" t="s">
        <v>212</v>
      </c>
      <c r="BO267" t="s">
        <v>161</v>
      </c>
      <c r="BP267">
        <v>1</v>
      </c>
      <c r="BQ267" t="s">
        <v>719</v>
      </c>
      <c r="BR267" s="45">
        <f>ISNUMBER(SEARCH($BR$1,Таблица1[[#This Row],[31_1 Описание и характеристика товара]]))*1</f>
        <v>1</v>
      </c>
      <c r="BT267" t="s">
        <v>150</v>
      </c>
      <c r="BU267">
        <v>33</v>
      </c>
      <c r="BV267">
        <v>0</v>
      </c>
      <c r="BW267">
        <v>0</v>
      </c>
      <c r="BY267">
        <v>0</v>
      </c>
      <c r="CA267" t="s">
        <v>106</v>
      </c>
      <c r="CB267" t="s">
        <v>142</v>
      </c>
      <c r="CC267" t="s">
        <v>112</v>
      </c>
      <c r="CD267" t="s">
        <v>112</v>
      </c>
      <c r="CE267" t="s">
        <v>121</v>
      </c>
      <c r="CF267">
        <v>16567.349999999999</v>
      </c>
      <c r="CG267" t="s">
        <v>144</v>
      </c>
      <c r="CH267">
        <v>4000000</v>
      </c>
      <c r="CI267">
        <v>16513.349999999999</v>
      </c>
      <c r="CJ267">
        <v>0</v>
      </c>
      <c r="CK267" t="s">
        <v>112</v>
      </c>
      <c r="CL267" t="s">
        <v>112</v>
      </c>
      <c r="CM267">
        <v>46545.3</v>
      </c>
      <c r="CN267">
        <v>3870018</v>
      </c>
      <c r="CO267">
        <v>0</v>
      </c>
      <c r="CP267">
        <v>1</v>
      </c>
      <c r="CQ267">
        <v>4231699.9000000004</v>
      </c>
      <c r="CR267">
        <v>55456.1</v>
      </c>
      <c r="CS267" t="s">
        <v>145</v>
      </c>
      <c r="CT267">
        <v>55456.78330499999</v>
      </c>
      <c r="CU267">
        <v>3.3582999999999998</v>
      </c>
      <c r="CV267">
        <v>45</v>
      </c>
      <c r="CW267" t="s">
        <v>171</v>
      </c>
      <c r="CX267" t="s">
        <v>172</v>
      </c>
      <c r="CY267">
        <v>340</v>
      </c>
    </row>
    <row r="268" spans="1:103" x14ac:dyDescent="0.25">
      <c r="A268" t="s">
        <v>106</v>
      </c>
      <c r="B268" s="38">
        <v>45076</v>
      </c>
      <c r="C268" s="43">
        <f>IF(YEAR(Таблица1[[#This Row],[Дата]])=2023,MONTH(Таблица1[[#This Row],[Дата]]),0)</f>
        <v>5</v>
      </c>
      <c r="D268" t="s">
        <v>366</v>
      </c>
      <c r="E268" t="s">
        <v>108</v>
      </c>
      <c r="F268" t="s">
        <v>367</v>
      </c>
      <c r="G268" t="s">
        <v>110</v>
      </c>
      <c r="H268" t="s">
        <v>111</v>
      </c>
      <c r="I268" t="s">
        <v>112</v>
      </c>
      <c r="J268" t="s">
        <v>112</v>
      </c>
      <c r="K268" t="s">
        <v>112</v>
      </c>
      <c r="L268" t="s">
        <v>150</v>
      </c>
      <c r="M268" t="s">
        <v>151</v>
      </c>
      <c r="N268" t="s">
        <v>112</v>
      </c>
      <c r="O268" t="s">
        <v>112</v>
      </c>
      <c r="P268">
        <v>1</v>
      </c>
      <c r="Q268">
        <v>0</v>
      </c>
      <c r="R268">
        <v>1</v>
      </c>
      <c r="S268">
        <v>33</v>
      </c>
      <c r="T268" t="s">
        <v>166</v>
      </c>
      <c r="U268" t="s">
        <v>152</v>
      </c>
      <c r="V268" t="s">
        <v>153</v>
      </c>
      <c r="W268" t="s">
        <v>154</v>
      </c>
      <c r="X268" t="s">
        <v>119</v>
      </c>
      <c r="Y268" t="s">
        <v>112</v>
      </c>
      <c r="Z268" t="s">
        <v>166</v>
      </c>
      <c r="AA268" t="s">
        <v>152</v>
      </c>
      <c r="AB268" t="s">
        <v>153</v>
      </c>
      <c r="AC268" t="s">
        <v>154</v>
      </c>
      <c r="AD268" t="s">
        <v>119</v>
      </c>
      <c r="AE268" t="s">
        <v>112</v>
      </c>
      <c r="AF268" t="s">
        <v>121</v>
      </c>
      <c r="AG268" t="s">
        <v>122</v>
      </c>
      <c r="AH268">
        <v>3165633.56</v>
      </c>
      <c r="AI268" t="s">
        <v>166</v>
      </c>
      <c r="AJ268" t="s">
        <v>152</v>
      </c>
      <c r="AK268" t="s">
        <v>153</v>
      </c>
      <c r="AL268" t="s">
        <v>154</v>
      </c>
      <c r="AM268" t="s">
        <v>119</v>
      </c>
      <c r="AN268" t="s">
        <v>112</v>
      </c>
      <c r="AO268" t="s">
        <v>121</v>
      </c>
      <c r="AP268" t="s">
        <v>122</v>
      </c>
      <c r="AQ268" t="s">
        <v>122</v>
      </c>
      <c r="AR268" t="s">
        <v>124</v>
      </c>
      <c r="AS268" t="s">
        <v>125</v>
      </c>
      <c r="AT268">
        <v>2</v>
      </c>
      <c r="AU268" t="s">
        <v>126</v>
      </c>
      <c r="AV268" t="s">
        <v>155</v>
      </c>
      <c r="AW268" t="s">
        <v>156</v>
      </c>
      <c r="AX268">
        <v>1</v>
      </c>
      <c r="AY268" t="s">
        <v>129</v>
      </c>
      <c r="AZ268">
        <v>38010.550000000003</v>
      </c>
      <c r="BA268">
        <v>2840555</v>
      </c>
      <c r="BB268">
        <v>46126.9</v>
      </c>
      <c r="BC268">
        <v>74.730699999999999</v>
      </c>
      <c r="BD268" t="s">
        <v>130</v>
      </c>
      <c r="BE268" t="s">
        <v>112</v>
      </c>
      <c r="BF268" t="s">
        <v>157</v>
      </c>
      <c r="BG268" t="s">
        <v>133</v>
      </c>
      <c r="BH268" t="s">
        <v>134</v>
      </c>
      <c r="BI268" t="s">
        <v>112</v>
      </c>
      <c r="BJ268" t="s">
        <v>112</v>
      </c>
      <c r="BK268" t="s">
        <v>112</v>
      </c>
      <c r="BL268" t="s">
        <v>169</v>
      </c>
      <c r="BM268" t="s">
        <v>159</v>
      </c>
      <c r="BN268" t="s">
        <v>212</v>
      </c>
      <c r="BO268" t="s">
        <v>161</v>
      </c>
      <c r="BP268">
        <v>1</v>
      </c>
      <c r="BQ268" t="s">
        <v>368</v>
      </c>
      <c r="BR268" s="45">
        <f>ISNUMBER(SEARCH($BR$1,Таблица1[[#This Row],[31_1 Описание и характеристика товара]]))*1</f>
        <v>1</v>
      </c>
      <c r="BT268" t="s">
        <v>150</v>
      </c>
      <c r="BU268">
        <v>33</v>
      </c>
      <c r="BV268">
        <v>0</v>
      </c>
      <c r="BW268">
        <v>0</v>
      </c>
      <c r="BY268">
        <v>0</v>
      </c>
      <c r="CA268" t="s">
        <v>106</v>
      </c>
      <c r="CB268" t="s">
        <v>142</v>
      </c>
      <c r="CC268" t="s">
        <v>112</v>
      </c>
      <c r="CD268" t="s">
        <v>112</v>
      </c>
      <c r="CE268" t="s">
        <v>121</v>
      </c>
      <c r="CF268">
        <v>16477.28</v>
      </c>
      <c r="CG268" t="s">
        <v>144</v>
      </c>
      <c r="CH268">
        <v>4000000</v>
      </c>
      <c r="CI268">
        <v>16299.68</v>
      </c>
      <c r="CJ268">
        <v>0</v>
      </c>
      <c r="CK268" t="s">
        <v>112</v>
      </c>
      <c r="CL268" t="s">
        <v>112</v>
      </c>
      <c r="CM268">
        <v>38010.550000000003</v>
      </c>
      <c r="CN268">
        <v>2840555</v>
      </c>
      <c r="CO268">
        <v>0</v>
      </c>
      <c r="CP268">
        <v>1</v>
      </c>
      <c r="CQ268">
        <v>3165633.56</v>
      </c>
      <c r="CR268">
        <v>46126.9</v>
      </c>
      <c r="CS268" t="s">
        <v>145</v>
      </c>
      <c r="CT268">
        <v>46126.464432000001</v>
      </c>
      <c r="CU268">
        <v>2.8298999999999999</v>
      </c>
      <c r="CV268">
        <v>45</v>
      </c>
      <c r="CW268" t="s">
        <v>171</v>
      </c>
      <c r="CX268" t="s">
        <v>369</v>
      </c>
      <c r="CY268">
        <v>169</v>
      </c>
    </row>
    <row r="269" spans="1:103" x14ac:dyDescent="0.25">
      <c r="A269" t="s">
        <v>106</v>
      </c>
      <c r="B269" s="38">
        <v>45172</v>
      </c>
      <c r="C269" s="43">
        <f>IF(YEAR(Таблица1[[#This Row],[Дата]])=2023,MONTH(Таблица1[[#This Row],[Дата]]),0)</f>
        <v>9</v>
      </c>
      <c r="D269" t="s">
        <v>370</v>
      </c>
      <c r="E269" t="s">
        <v>108</v>
      </c>
      <c r="F269" t="s">
        <v>371</v>
      </c>
      <c r="G269" t="s">
        <v>110</v>
      </c>
      <c r="H269" t="s">
        <v>111</v>
      </c>
      <c r="I269" t="s">
        <v>112</v>
      </c>
      <c r="J269" t="s">
        <v>112</v>
      </c>
      <c r="K269" t="s">
        <v>112</v>
      </c>
      <c r="L269" t="s">
        <v>150</v>
      </c>
      <c r="M269" t="s">
        <v>151</v>
      </c>
      <c r="N269" t="s">
        <v>112</v>
      </c>
      <c r="O269" t="s">
        <v>112</v>
      </c>
      <c r="P269">
        <v>1</v>
      </c>
      <c r="Q269">
        <v>0</v>
      </c>
      <c r="R269">
        <v>1</v>
      </c>
      <c r="S269">
        <v>33</v>
      </c>
      <c r="T269" t="s">
        <v>166</v>
      </c>
      <c r="U269" t="s">
        <v>152</v>
      </c>
      <c r="V269" t="s">
        <v>153</v>
      </c>
      <c r="W269" t="s">
        <v>154</v>
      </c>
      <c r="X269" t="s">
        <v>119</v>
      </c>
      <c r="Y269" t="s">
        <v>112</v>
      </c>
      <c r="Z269" t="s">
        <v>166</v>
      </c>
      <c r="AA269" t="s">
        <v>152</v>
      </c>
      <c r="AB269" t="s">
        <v>153</v>
      </c>
      <c r="AC269" t="s">
        <v>154</v>
      </c>
      <c r="AD269" t="s">
        <v>119</v>
      </c>
      <c r="AE269" t="s">
        <v>112</v>
      </c>
      <c r="AF269" t="s">
        <v>121</v>
      </c>
      <c r="AG269" t="s">
        <v>122</v>
      </c>
      <c r="AH269">
        <v>3667450.96</v>
      </c>
      <c r="AI269" t="s">
        <v>166</v>
      </c>
      <c r="AJ269" t="s">
        <v>152</v>
      </c>
      <c r="AK269" t="s">
        <v>153</v>
      </c>
      <c r="AL269" t="s">
        <v>154</v>
      </c>
      <c r="AM269" t="s">
        <v>119</v>
      </c>
      <c r="AN269" t="s">
        <v>112</v>
      </c>
      <c r="AO269" t="s">
        <v>121</v>
      </c>
      <c r="AP269" t="s">
        <v>122</v>
      </c>
      <c r="AQ269" t="s">
        <v>122</v>
      </c>
      <c r="AR269" t="s">
        <v>124</v>
      </c>
      <c r="AS269" t="s">
        <v>125</v>
      </c>
      <c r="AT269">
        <v>2</v>
      </c>
      <c r="AU269" t="s">
        <v>126</v>
      </c>
      <c r="AV269" t="s">
        <v>155</v>
      </c>
      <c r="AW269" t="s">
        <v>156</v>
      </c>
      <c r="AX269">
        <v>1</v>
      </c>
      <c r="AY269" t="s">
        <v>129</v>
      </c>
      <c r="AZ269">
        <v>44725.56</v>
      </c>
      <c r="BA269">
        <v>3342372</v>
      </c>
      <c r="BB269">
        <v>53438.95</v>
      </c>
      <c r="BC269">
        <v>74.730699999999999</v>
      </c>
      <c r="BD269" t="s">
        <v>130</v>
      </c>
      <c r="BE269" t="s">
        <v>112</v>
      </c>
      <c r="BF269" t="s">
        <v>157</v>
      </c>
      <c r="BG269" t="s">
        <v>133</v>
      </c>
      <c r="BH269" t="s">
        <v>134</v>
      </c>
      <c r="BI269" t="s">
        <v>112</v>
      </c>
      <c r="BJ269" t="s">
        <v>112</v>
      </c>
      <c r="BK269" t="s">
        <v>112</v>
      </c>
      <c r="BL269" t="s">
        <v>169</v>
      </c>
      <c r="BM269" t="s">
        <v>159</v>
      </c>
      <c r="BN269" t="s">
        <v>212</v>
      </c>
      <c r="BO269" t="s">
        <v>161</v>
      </c>
      <c r="BP269">
        <v>1</v>
      </c>
      <c r="BQ269" t="s">
        <v>232</v>
      </c>
      <c r="BR269" s="45">
        <f>ISNUMBER(SEARCH($BR$1,Таблица1[[#This Row],[31_1 Описание и характеристика товара]]))*1</f>
        <v>1</v>
      </c>
      <c r="BT269" t="s">
        <v>150</v>
      </c>
      <c r="BU269">
        <v>33</v>
      </c>
      <c r="BV269">
        <v>0</v>
      </c>
      <c r="BW269">
        <v>0</v>
      </c>
      <c r="BY269">
        <v>0</v>
      </c>
      <c r="CA269" t="s">
        <v>106</v>
      </c>
      <c r="CB269" t="s">
        <v>142</v>
      </c>
      <c r="CC269" t="s">
        <v>112</v>
      </c>
      <c r="CD269" t="s">
        <v>112</v>
      </c>
      <c r="CE269" t="s">
        <v>121</v>
      </c>
      <c r="CF269">
        <v>16399.55</v>
      </c>
      <c r="CG269" t="s">
        <v>144</v>
      </c>
      <c r="CH269">
        <v>4000000</v>
      </c>
      <c r="CI269">
        <v>16248.35</v>
      </c>
      <c r="CJ269">
        <v>0</v>
      </c>
      <c r="CK269" t="s">
        <v>112</v>
      </c>
      <c r="CL269" t="s">
        <v>112</v>
      </c>
      <c r="CM269">
        <v>44725.56</v>
      </c>
      <c r="CN269">
        <v>3342372</v>
      </c>
      <c r="CO269">
        <v>0</v>
      </c>
      <c r="CP269">
        <v>1</v>
      </c>
      <c r="CQ269">
        <v>3667450.96</v>
      </c>
      <c r="CR269">
        <v>53438.95</v>
      </c>
      <c r="CS269" t="s">
        <v>145</v>
      </c>
      <c r="CT269">
        <v>53439.198315000001</v>
      </c>
      <c r="CU269">
        <v>3.2888999999999999</v>
      </c>
      <c r="CV269">
        <v>45</v>
      </c>
      <c r="CW269" t="s">
        <v>171</v>
      </c>
      <c r="CX269" t="s">
        <v>372</v>
      </c>
      <c r="CY269">
        <v>252</v>
      </c>
    </row>
    <row r="270" spans="1:103" x14ac:dyDescent="0.25">
      <c r="A270" s="8" t="s">
        <v>106</v>
      </c>
      <c r="B270" s="38">
        <v>45231</v>
      </c>
      <c r="C270" s="43">
        <f>IF(YEAR(Таблица1[[#This Row],[Дата]])=2023,MONTH(Таблица1[[#This Row],[Дата]]),0)</f>
        <v>11</v>
      </c>
      <c r="D270" s="8" t="s">
        <v>2810</v>
      </c>
      <c r="E270" s="8" t="s">
        <v>108</v>
      </c>
      <c r="F270" s="8" t="s">
        <v>2811</v>
      </c>
      <c r="G270" t="s">
        <v>110</v>
      </c>
      <c r="H270" s="8" t="s">
        <v>111</v>
      </c>
      <c r="I270" s="8" t="s">
        <v>112</v>
      </c>
      <c r="J270" s="8" t="s">
        <v>112</v>
      </c>
      <c r="K270" s="8" t="s">
        <v>112</v>
      </c>
      <c r="L270" s="8" t="s">
        <v>2161</v>
      </c>
      <c r="M270" s="8" t="s">
        <v>2162</v>
      </c>
      <c r="N270" s="8" t="s">
        <v>112</v>
      </c>
      <c r="O270" s="8" t="s">
        <v>112</v>
      </c>
      <c r="P270">
        <v>5</v>
      </c>
      <c r="Q270">
        <v>0</v>
      </c>
      <c r="R270">
        <v>12</v>
      </c>
      <c r="S270">
        <v>95</v>
      </c>
      <c r="T270" s="8" t="s">
        <v>2136</v>
      </c>
      <c r="U270" s="8" t="s">
        <v>2137</v>
      </c>
      <c r="V270" s="8" t="s">
        <v>2141</v>
      </c>
      <c r="W270" s="8" t="s">
        <v>2139</v>
      </c>
      <c r="X270" s="8" t="s">
        <v>119</v>
      </c>
      <c r="Y270" s="8" t="s">
        <v>2140</v>
      </c>
      <c r="Z270" s="8" t="s">
        <v>2136</v>
      </c>
      <c r="AA270" s="8" t="s">
        <v>2137</v>
      </c>
      <c r="AB270" s="8" t="s">
        <v>2141</v>
      </c>
      <c r="AC270" s="8" t="s">
        <v>2139</v>
      </c>
      <c r="AD270" s="8" t="s">
        <v>119</v>
      </c>
      <c r="AE270" s="8" t="s">
        <v>2140</v>
      </c>
      <c r="AF270" s="8" t="s">
        <v>2163</v>
      </c>
      <c r="AG270" s="8" t="s">
        <v>2164</v>
      </c>
      <c r="AH270">
        <v>10067763.34</v>
      </c>
      <c r="AI270" s="8" t="s">
        <v>2136</v>
      </c>
      <c r="AJ270" s="8" t="s">
        <v>2137</v>
      </c>
      <c r="AK270" s="8" t="s">
        <v>2141</v>
      </c>
      <c r="AL270" s="8" t="s">
        <v>2139</v>
      </c>
      <c r="AM270" s="8" t="s">
        <v>119</v>
      </c>
      <c r="AN270" s="8" t="s">
        <v>2140</v>
      </c>
      <c r="AO270" s="8" t="s">
        <v>2163</v>
      </c>
      <c r="AP270" s="8" t="s">
        <v>2164</v>
      </c>
      <c r="AQ270" s="8" t="s">
        <v>2164</v>
      </c>
      <c r="AR270" s="8" t="s">
        <v>124</v>
      </c>
      <c r="AS270" s="8" t="s">
        <v>125</v>
      </c>
      <c r="AT270">
        <v>2</v>
      </c>
      <c r="AU270" s="8" t="s">
        <v>126</v>
      </c>
      <c r="AV270" s="8" t="s">
        <v>127</v>
      </c>
      <c r="AW270" s="8" t="s">
        <v>2165</v>
      </c>
      <c r="AX270">
        <v>1</v>
      </c>
      <c r="AY270" s="8" t="s">
        <v>129</v>
      </c>
      <c r="AZ270">
        <v>125956.46</v>
      </c>
      <c r="BA270">
        <v>9653882</v>
      </c>
      <c r="BB270">
        <v>139576.87</v>
      </c>
      <c r="BC270">
        <v>76.644599999999897</v>
      </c>
      <c r="BD270" s="8" t="s">
        <v>130</v>
      </c>
      <c r="BE270" s="8" t="s">
        <v>131</v>
      </c>
      <c r="BF270" s="8" t="s">
        <v>2166</v>
      </c>
      <c r="BG270" s="8" t="s">
        <v>133</v>
      </c>
      <c r="BH270" s="8" t="s">
        <v>134</v>
      </c>
      <c r="BI270" s="8" t="s">
        <v>112</v>
      </c>
      <c r="BJ270" s="8" t="s">
        <v>112</v>
      </c>
      <c r="BK270" s="8" t="s">
        <v>112</v>
      </c>
      <c r="BL270" s="8" t="s">
        <v>2655</v>
      </c>
      <c r="BM270" s="8" t="s">
        <v>2656</v>
      </c>
      <c r="BN270" s="8" t="s">
        <v>2496</v>
      </c>
      <c r="BO270" s="8" t="s">
        <v>2497</v>
      </c>
      <c r="BP270">
        <v>1</v>
      </c>
      <c r="BQ270" s="8" t="s">
        <v>2812</v>
      </c>
      <c r="BR270" s="45">
        <f>ISNUMBER(SEARCH($BR$1,Таблица1[[#This Row],[31_1 Описание и характеристика товара]]))*1</f>
        <v>0</v>
      </c>
      <c r="BT270" s="8" t="s">
        <v>2161</v>
      </c>
      <c r="BU270">
        <v>90</v>
      </c>
      <c r="BV270">
        <v>0</v>
      </c>
      <c r="BW270">
        <v>318</v>
      </c>
      <c r="BX270" t="s">
        <v>2147</v>
      </c>
      <c r="BY270">
        <v>0</v>
      </c>
      <c r="CA270" s="8" t="s">
        <v>106</v>
      </c>
      <c r="CB270" s="8" t="s">
        <v>2148</v>
      </c>
      <c r="CC270" s="8" t="s">
        <v>112</v>
      </c>
      <c r="CD270" s="8" t="s">
        <v>112</v>
      </c>
      <c r="CE270" s="8" t="s">
        <v>2163</v>
      </c>
      <c r="CF270">
        <v>16387.8</v>
      </c>
      <c r="CG270" t="s">
        <v>144</v>
      </c>
      <c r="CH270">
        <v>4000000</v>
      </c>
      <c r="CI270">
        <v>16290</v>
      </c>
      <c r="CJ270">
        <v>0</v>
      </c>
      <c r="CK270" s="8" t="s">
        <v>112</v>
      </c>
      <c r="CL270" s="8" t="s">
        <v>112</v>
      </c>
      <c r="CM270">
        <v>122034.76</v>
      </c>
      <c r="CN270">
        <v>9353305</v>
      </c>
      <c r="CO270">
        <v>0</v>
      </c>
      <c r="CP270">
        <v>1</v>
      </c>
      <c r="CQ270">
        <v>9762516.25</v>
      </c>
      <c r="CR270">
        <v>135345</v>
      </c>
      <c r="CS270" s="8" t="s">
        <v>145</v>
      </c>
      <c r="CT270">
        <v>8.3085000000000004</v>
      </c>
      <c r="CU270">
        <v>1053</v>
      </c>
      <c r="CV270" t="s">
        <v>2149</v>
      </c>
      <c r="CX270" t="s">
        <v>2150</v>
      </c>
      <c r="CY270">
        <v>163</v>
      </c>
    </row>
    <row r="271" spans="1:103" x14ac:dyDescent="0.25">
      <c r="A271" t="s">
        <v>106</v>
      </c>
      <c r="B271" s="38">
        <v>45164</v>
      </c>
      <c r="C271" s="43">
        <f>IF(YEAR(Таблица1[[#This Row],[Дата]])=2023,MONTH(Таблица1[[#This Row],[Дата]]),0)</f>
        <v>8</v>
      </c>
      <c r="D271" t="s">
        <v>1332</v>
      </c>
      <c r="E271" t="s">
        <v>108</v>
      </c>
      <c r="F271" t="s">
        <v>1333</v>
      </c>
      <c r="G271" t="s">
        <v>110</v>
      </c>
      <c r="H271" t="s">
        <v>111</v>
      </c>
      <c r="I271" t="s">
        <v>112</v>
      </c>
      <c r="J271" t="s">
        <v>112</v>
      </c>
      <c r="K271" t="s">
        <v>112</v>
      </c>
      <c r="L271" t="s">
        <v>150</v>
      </c>
      <c r="M271" t="s">
        <v>151</v>
      </c>
      <c r="N271" t="s">
        <v>112</v>
      </c>
      <c r="O271" t="s">
        <v>112</v>
      </c>
      <c r="P271">
        <v>1</v>
      </c>
      <c r="R271">
        <v>1</v>
      </c>
      <c r="S271">
        <v>33</v>
      </c>
      <c r="T271" t="s">
        <v>112</v>
      </c>
      <c r="U271" t="s">
        <v>152</v>
      </c>
      <c r="V271" t="s">
        <v>153</v>
      </c>
      <c r="W271" t="s">
        <v>154</v>
      </c>
      <c r="X271" t="s">
        <v>119</v>
      </c>
      <c r="Y271" t="s">
        <v>112</v>
      </c>
      <c r="Z271" t="s">
        <v>112</v>
      </c>
      <c r="AA271" t="s">
        <v>152</v>
      </c>
      <c r="AB271" t="s">
        <v>153</v>
      </c>
      <c r="AC271" t="s">
        <v>154</v>
      </c>
      <c r="AD271" t="s">
        <v>119</v>
      </c>
      <c r="AE271" t="s">
        <v>112</v>
      </c>
      <c r="AF271" t="s">
        <v>121</v>
      </c>
      <c r="AG271" t="s">
        <v>122</v>
      </c>
      <c r="AH271">
        <v>4565867.87</v>
      </c>
      <c r="AI271" t="s">
        <v>112</v>
      </c>
      <c r="AJ271" t="s">
        <v>152</v>
      </c>
      <c r="AK271" t="s">
        <v>153</v>
      </c>
      <c r="AL271" t="s">
        <v>154</v>
      </c>
      <c r="AM271" t="s">
        <v>119</v>
      </c>
      <c r="AN271" t="s">
        <v>112</v>
      </c>
      <c r="AO271" t="s">
        <v>121</v>
      </c>
      <c r="AP271" t="s">
        <v>122</v>
      </c>
      <c r="AQ271" t="s">
        <v>122</v>
      </c>
      <c r="AR271" t="s">
        <v>124</v>
      </c>
      <c r="AS271" t="s">
        <v>125</v>
      </c>
      <c r="AT271">
        <v>2</v>
      </c>
      <c r="AU271" t="s">
        <v>126</v>
      </c>
      <c r="AV271" t="s">
        <v>155</v>
      </c>
      <c r="AW271" t="s">
        <v>156</v>
      </c>
      <c r="AY271" t="s">
        <v>129</v>
      </c>
      <c r="AZ271">
        <v>43498.16</v>
      </c>
      <c r="BC271">
        <v>96.147499999999994</v>
      </c>
      <c r="BD271" t="s">
        <v>112</v>
      </c>
      <c r="BE271" t="s">
        <v>112</v>
      </c>
      <c r="BF271" t="s">
        <v>157</v>
      </c>
      <c r="BG271" t="s">
        <v>133</v>
      </c>
      <c r="BH271" t="s">
        <v>134</v>
      </c>
      <c r="BI271" t="s">
        <v>112</v>
      </c>
      <c r="BJ271" t="s">
        <v>112</v>
      </c>
      <c r="BK271" t="s">
        <v>112</v>
      </c>
      <c r="BL271" t="s">
        <v>158</v>
      </c>
      <c r="BM271" t="s">
        <v>159</v>
      </c>
      <c r="BN271" t="s">
        <v>212</v>
      </c>
      <c r="BO271" t="s">
        <v>161</v>
      </c>
      <c r="BQ271" t="s">
        <v>466</v>
      </c>
      <c r="BR271" s="45">
        <f>ISNUMBER(SEARCH($BR$1,Таблица1[[#This Row],[31_1 Описание и характеристика товара]]))*1</f>
        <v>1</v>
      </c>
      <c r="BT271" t="s">
        <v>150</v>
      </c>
      <c r="BU271">
        <v>33</v>
      </c>
      <c r="BV271">
        <v>0</v>
      </c>
      <c r="BW271">
        <v>0</v>
      </c>
      <c r="BY271">
        <v>0</v>
      </c>
      <c r="CA271" t="s">
        <v>106</v>
      </c>
      <c r="CB271" t="s">
        <v>142</v>
      </c>
      <c r="CC271" t="s">
        <v>112</v>
      </c>
      <c r="CD271" t="s">
        <v>112</v>
      </c>
      <c r="CE271" t="s">
        <v>121</v>
      </c>
      <c r="CF271">
        <v>16033.55</v>
      </c>
      <c r="CG271" t="s">
        <v>144</v>
      </c>
      <c r="CH271">
        <v>4000000</v>
      </c>
      <c r="CI271">
        <v>15831.95</v>
      </c>
      <c r="CJ271">
        <v>0</v>
      </c>
      <c r="CK271" t="s">
        <v>112</v>
      </c>
      <c r="CL271" t="s">
        <v>112</v>
      </c>
      <c r="CM271">
        <v>43498.16</v>
      </c>
      <c r="CO271">
        <v>0</v>
      </c>
      <c r="CP271">
        <v>1</v>
      </c>
      <c r="CQ271">
        <v>4565867.87</v>
      </c>
      <c r="CR271">
        <v>51787.88</v>
      </c>
      <c r="CS271" t="s">
        <v>145</v>
      </c>
      <c r="CT271">
        <v>51770.476500000004</v>
      </c>
      <c r="CU271">
        <v>3.27</v>
      </c>
      <c r="CV271">
        <v>45</v>
      </c>
      <c r="CX271" t="s">
        <v>729</v>
      </c>
      <c r="CY271">
        <v>544</v>
      </c>
    </row>
    <row r="272" spans="1:103" x14ac:dyDescent="0.25">
      <c r="A272" t="s">
        <v>106</v>
      </c>
      <c r="B272" s="38">
        <v>45082</v>
      </c>
      <c r="C272" s="43">
        <f>IF(YEAR(Таблица1[[#This Row],[Дата]])=2023,MONTH(Таблица1[[#This Row],[Дата]]),0)</f>
        <v>6</v>
      </c>
      <c r="D272" t="s">
        <v>1935</v>
      </c>
      <c r="E272" t="s">
        <v>108</v>
      </c>
      <c r="F272" t="s">
        <v>1936</v>
      </c>
      <c r="G272" t="s">
        <v>110</v>
      </c>
      <c r="H272" t="s">
        <v>111</v>
      </c>
      <c r="I272" t="s">
        <v>112</v>
      </c>
      <c r="J272" t="s">
        <v>112</v>
      </c>
      <c r="K272" t="s">
        <v>112</v>
      </c>
      <c r="L272" t="s">
        <v>150</v>
      </c>
      <c r="M272" t="s">
        <v>151</v>
      </c>
      <c r="N272" t="s">
        <v>112</v>
      </c>
      <c r="O272" t="s">
        <v>112</v>
      </c>
      <c r="P272">
        <v>1</v>
      </c>
      <c r="R272">
        <v>1</v>
      </c>
      <c r="S272">
        <v>33</v>
      </c>
      <c r="T272" t="s">
        <v>112</v>
      </c>
      <c r="U272" t="s">
        <v>152</v>
      </c>
      <c r="V272" t="s">
        <v>153</v>
      </c>
      <c r="W272" t="s">
        <v>154</v>
      </c>
      <c r="X272" t="s">
        <v>119</v>
      </c>
      <c r="Y272" t="s">
        <v>112</v>
      </c>
      <c r="Z272" t="s">
        <v>112</v>
      </c>
      <c r="AA272" t="s">
        <v>152</v>
      </c>
      <c r="AB272" t="s">
        <v>153</v>
      </c>
      <c r="AC272" t="s">
        <v>154</v>
      </c>
      <c r="AD272" t="s">
        <v>119</v>
      </c>
      <c r="AE272" t="s">
        <v>112</v>
      </c>
      <c r="AF272" t="s">
        <v>121</v>
      </c>
      <c r="AG272" t="s">
        <v>122</v>
      </c>
      <c r="AH272">
        <v>4511475.99</v>
      </c>
      <c r="AI272" t="s">
        <v>112</v>
      </c>
      <c r="AJ272" t="s">
        <v>152</v>
      </c>
      <c r="AK272" t="s">
        <v>153</v>
      </c>
      <c r="AL272" t="s">
        <v>154</v>
      </c>
      <c r="AM272" t="s">
        <v>119</v>
      </c>
      <c r="AN272" t="s">
        <v>112</v>
      </c>
      <c r="AO272" t="s">
        <v>121</v>
      </c>
      <c r="AP272" t="s">
        <v>122</v>
      </c>
      <c r="AQ272" t="s">
        <v>122</v>
      </c>
      <c r="AR272" t="s">
        <v>124</v>
      </c>
      <c r="AS272" t="s">
        <v>125</v>
      </c>
      <c r="AT272">
        <v>2</v>
      </c>
      <c r="AU272" t="s">
        <v>126</v>
      </c>
      <c r="AV272" t="s">
        <v>155</v>
      </c>
      <c r="AW272" t="s">
        <v>156</v>
      </c>
      <c r="AY272" t="s">
        <v>129</v>
      </c>
      <c r="AZ272">
        <v>40490.6</v>
      </c>
      <c r="BC272">
        <v>101.42570000000001</v>
      </c>
      <c r="BD272" t="s">
        <v>112</v>
      </c>
      <c r="BE272" t="s">
        <v>112</v>
      </c>
      <c r="BF272" t="s">
        <v>157</v>
      </c>
      <c r="BG272" t="s">
        <v>133</v>
      </c>
      <c r="BH272" t="s">
        <v>134</v>
      </c>
      <c r="BI272" t="s">
        <v>112</v>
      </c>
      <c r="BJ272" t="s">
        <v>112</v>
      </c>
      <c r="BK272" t="s">
        <v>112</v>
      </c>
      <c r="BL272" t="s">
        <v>158</v>
      </c>
      <c r="BM272" t="s">
        <v>159</v>
      </c>
      <c r="BN272" t="s">
        <v>212</v>
      </c>
      <c r="BO272" t="s">
        <v>161</v>
      </c>
      <c r="BQ272" t="s">
        <v>213</v>
      </c>
      <c r="BR272" s="45">
        <f>ISNUMBER(SEARCH($BR$1,Таблица1[[#This Row],[31_1 Описание и характеристика товара]]))*1</f>
        <v>1</v>
      </c>
      <c r="BT272" t="s">
        <v>150</v>
      </c>
      <c r="BU272">
        <v>33</v>
      </c>
      <c r="BV272">
        <v>0</v>
      </c>
      <c r="BW272">
        <v>0</v>
      </c>
      <c r="BY272">
        <v>0</v>
      </c>
      <c r="CA272" t="s">
        <v>106</v>
      </c>
      <c r="CB272" t="s">
        <v>142</v>
      </c>
      <c r="CC272" t="s">
        <v>112</v>
      </c>
      <c r="CD272" t="s">
        <v>112</v>
      </c>
      <c r="CE272" t="s">
        <v>121</v>
      </c>
      <c r="CF272">
        <v>15312.12</v>
      </c>
      <c r="CG272" t="s">
        <v>144</v>
      </c>
      <c r="CH272">
        <v>4000000</v>
      </c>
      <c r="CI272">
        <v>14988.12</v>
      </c>
      <c r="CJ272">
        <v>0</v>
      </c>
      <c r="CK272" t="s">
        <v>112</v>
      </c>
      <c r="CL272" t="s">
        <v>112</v>
      </c>
      <c r="CM272">
        <v>40490.6</v>
      </c>
      <c r="CO272">
        <v>0</v>
      </c>
      <c r="CP272">
        <v>1</v>
      </c>
      <c r="CQ272">
        <v>4511475.99</v>
      </c>
      <c r="CR272">
        <v>47040.95</v>
      </c>
      <c r="CS272" t="s">
        <v>145</v>
      </c>
      <c r="CT272">
        <v>47062.696800000005</v>
      </c>
      <c r="CU272">
        <v>3.14</v>
      </c>
      <c r="CV272">
        <v>45</v>
      </c>
      <c r="CX272" t="s">
        <v>233</v>
      </c>
      <c r="CY272">
        <v>34</v>
      </c>
    </row>
    <row r="273" spans="1:103" x14ac:dyDescent="0.25">
      <c r="A273" t="s">
        <v>106</v>
      </c>
      <c r="B273" s="38">
        <v>45213</v>
      </c>
      <c r="C273" s="43">
        <f>IF(YEAR(Таблица1[[#This Row],[Дата]])=2023,MONTH(Таблица1[[#This Row],[Дата]]),0)</f>
        <v>10</v>
      </c>
      <c r="D273" t="s">
        <v>1937</v>
      </c>
      <c r="E273" t="s">
        <v>108</v>
      </c>
      <c r="F273" t="s">
        <v>1938</v>
      </c>
      <c r="G273" t="s">
        <v>110</v>
      </c>
      <c r="H273" t="s">
        <v>111</v>
      </c>
      <c r="I273" t="s">
        <v>112</v>
      </c>
      <c r="J273" t="s">
        <v>112</v>
      </c>
      <c r="K273" t="s">
        <v>112</v>
      </c>
      <c r="L273" t="s">
        <v>150</v>
      </c>
      <c r="M273" t="s">
        <v>151</v>
      </c>
      <c r="N273" t="s">
        <v>112</v>
      </c>
      <c r="O273" t="s">
        <v>112</v>
      </c>
      <c r="P273">
        <v>1</v>
      </c>
      <c r="R273">
        <v>1</v>
      </c>
      <c r="S273">
        <v>33</v>
      </c>
      <c r="T273" t="s">
        <v>112</v>
      </c>
      <c r="U273" t="s">
        <v>152</v>
      </c>
      <c r="V273" t="s">
        <v>153</v>
      </c>
      <c r="W273" t="s">
        <v>154</v>
      </c>
      <c r="X273" t="s">
        <v>119</v>
      </c>
      <c r="Y273" t="s">
        <v>112</v>
      </c>
      <c r="Z273" t="s">
        <v>112</v>
      </c>
      <c r="AA273" t="s">
        <v>152</v>
      </c>
      <c r="AB273" t="s">
        <v>153</v>
      </c>
      <c r="AC273" t="s">
        <v>154</v>
      </c>
      <c r="AD273" t="s">
        <v>119</v>
      </c>
      <c r="AE273" t="s">
        <v>112</v>
      </c>
      <c r="AF273" t="s">
        <v>121</v>
      </c>
      <c r="AG273" t="s">
        <v>122</v>
      </c>
      <c r="AH273">
        <v>4451939.0999999996</v>
      </c>
      <c r="AI273" t="s">
        <v>112</v>
      </c>
      <c r="AJ273" t="s">
        <v>152</v>
      </c>
      <c r="AK273" t="s">
        <v>153</v>
      </c>
      <c r="AL273" t="s">
        <v>154</v>
      </c>
      <c r="AM273" t="s">
        <v>119</v>
      </c>
      <c r="AN273" t="s">
        <v>112</v>
      </c>
      <c r="AO273" t="s">
        <v>121</v>
      </c>
      <c r="AP273" t="s">
        <v>122</v>
      </c>
      <c r="AQ273" t="s">
        <v>122</v>
      </c>
      <c r="AR273" t="s">
        <v>124</v>
      </c>
      <c r="AS273" t="s">
        <v>125</v>
      </c>
      <c r="AT273">
        <v>2</v>
      </c>
      <c r="AU273" t="s">
        <v>126</v>
      </c>
      <c r="AV273" t="s">
        <v>155</v>
      </c>
      <c r="AW273" t="s">
        <v>156</v>
      </c>
      <c r="AY273" t="s">
        <v>129</v>
      </c>
      <c r="AZ273">
        <v>39903.599999999999</v>
      </c>
      <c r="BC273">
        <v>101.42570000000001</v>
      </c>
      <c r="BD273" t="s">
        <v>112</v>
      </c>
      <c r="BE273" t="s">
        <v>112</v>
      </c>
      <c r="BF273" t="s">
        <v>157</v>
      </c>
      <c r="BG273" t="s">
        <v>133</v>
      </c>
      <c r="BH273" t="s">
        <v>167</v>
      </c>
      <c r="BI273" t="s">
        <v>112</v>
      </c>
      <c r="BJ273" t="s">
        <v>112</v>
      </c>
      <c r="BK273" t="s">
        <v>112</v>
      </c>
      <c r="BL273" t="s">
        <v>158</v>
      </c>
      <c r="BM273" t="s">
        <v>159</v>
      </c>
      <c r="BN273" t="s">
        <v>160</v>
      </c>
      <c r="BO273" t="s">
        <v>161</v>
      </c>
      <c r="BQ273" t="s">
        <v>213</v>
      </c>
      <c r="BR273" s="45">
        <f>ISNUMBER(SEARCH($BR$1,Таблица1[[#This Row],[31_1 Описание и характеристика товара]]))*1</f>
        <v>1</v>
      </c>
      <c r="BT273" t="s">
        <v>150</v>
      </c>
      <c r="BU273">
        <v>33</v>
      </c>
      <c r="BV273">
        <v>0</v>
      </c>
      <c r="BW273">
        <v>0</v>
      </c>
      <c r="BY273">
        <v>0</v>
      </c>
      <c r="CA273" t="s">
        <v>106</v>
      </c>
      <c r="CB273" t="s">
        <v>142</v>
      </c>
      <c r="CC273" t="s">
        <v>112</v>
      </c>
      <c r="CD273" t="s">
        <v>112</v>
      </c>
      <c r="CE273" t="s">
        <v>121</v>
      </c>
      <c r="CF273">
        <v>14983.74</v>
      </c>
      <c r="CG273" t="s">
        <v>144</v>
      </c>
      <c r="CH273">
        <v>4000000</v>
      </c>
      <c r="CI273">
        <v>14594.94</v>
      </c>
      <c r="CJ273">
        <v>0</v>
      </c>
      <c r="CK273" t="s">
        <v>112</v>
      </c>
      <c r="CL273" t="s">
        <v>112</v>
      </c>
      <c r="CM273">
        <v>39903.599999999999</v>
      </c>
      <c r="CO273">
        <v>0</v>
      </c>
      <c r="CP273">
        <v>1</v>
      </c>
      <c r="CQ273">
        <v>4451939.0999999996</v>
      </c>
      <c r="CR273">
        <v>46420.160000000003</v>
      </c>
      <c r="CS273" t="s">
        <v>145</v>
      </c>
      <c r="CT273">
        <v>46411.909200000002</v>
      </c>
      <c r="CU273">
        <v>3.18</v>
      </c>
      <c r="CV273">
        <v>45</v>
      </c>
      <c r="CX273" t="s">
        <v>1140</v>
      </c>
      <c r="CY273">
        <v>368</v>
      </c>
    </row>
    <row r="274" spans="1:103" x14ac:dyDescent="0.25">
      <c r="A274" t="s">
        <v>106</v>
      </c>
      <c r="B274" s="38">
        <v>45067</v>
      </c>
      <c r="C274" s="43">
        <f>IF(YEAR(Таблица1[[#This Row],[Дата]])=2023,MONTH(Таблица1[[#This Row],[Дата]]),0)</f>
        <v>5</v>
      </c>
      <c r="D274" t="s">
        <v>1945</v>
      </c>
      <c r="E274" t="s">
        <v>108</v>
      </c>
      <c r="F274" t="s">
        <v>1946</v>
      </c>
      <c r="G274" t="s">
        <v>110</v>
      </c>
      <c r="H274" t="s">
        <v>111</v>
      </c>
      <c r="I274" t="s">
        <v>112</v>
      </c>
      <c r="J274" t="s">
        <v>112</v>
      </c>
      <c r="K274" t="s">
        <v>112</v>
      </c>
      <c r="L274" t="s">
        <v>150</v>
      </c>
      <c r="M274" t="s">
        <v>151</v>
      </c>
      <c r="N274" t="s">
        <v>112</v>
      </c>
      <c r="O274" t="s">
        <v>112</v>
      </c>
      <c r="P274">
        <v>1</v>
      </c>
      <c r="R274">
        <v>1</v>
      </c>
      <c r="S274">
        <v>33</v>
      </c>
      <c r="T274" t="s">
        <v>112</v>
      </c>
      <c r="U274" t="s">
        <v>152</v>
      </c>
      <c r="V274" t="s">
        <v>153</v>
      </c>
      <c r="W274" t="s">
        <v>154</v>
      </c>
      <c r="X274" t="s">
        <v>119</v>
      </c>
      <c r="Y274" t="s">
        <v>112</v>
      </c>
      <c r="Z274" t="s">
        <v>112</v>
      </c>
      <c r="AA274" t="s">
        <v>152</v>
      </c>
      <c r="AB274" t="s">
        <v>153</v>
      </c>
      <c r="AC274" t="s">
        <v>154</v>
      </c>
      <c r="AD274" t="s">
        <v>119</v>
      </c>
      <c r="AE274" t="s">
        <v>112</v>
      </c>
      <c r="AF274" t="s">
        <v>121</v>
      </c>
      <c r="AG274" t="s">
        <v>122</v>
      </c>
      <c r="AH274">
        <v>4790928.13</v>
      </c>
      <c r="AI274" t="s">
        <v>112</v>
      </c>
      <c r="AJ274" t="s">
        <v>152</v>
      </c>
      <c r="AK274" t="s">
        <v>153</v>
      </c>
      <c r="AL274" t="s">
        <v>154</v>
      </c>
      <c r="AM274" t="s">
        <v>119</v>
      </c>
      <c r="AN274" t="s">
        <v>112</v>
      </c>
      <c r="AO274" t="s">
        <v>121</v>
      </c>
      <c r="AP274" t="s">
        <v>122</v>
      </c>
      <c r="AQ274" t="s">
        <v>122</v>
      </c>
      <c r="AR274" t="s">
        <v>124</v>
      </c>
      <c r="AS274" t="s">
        <v>125</v>
      </c>
      <c r="AT274">
        <v>2</v>
      </c>
      <c r="AU274" t="s">
        <v>126</v>
      </c>
      <c r="AV274" t="s">
        <v>155</v>
      </c>
      <c r="AW274" t="s">
        <v>156</v>
      </c>
      <c r="AY274" t="s">
        <v>129</v>
      </c>
      <c r="AZ274">
        <v>42715.839999999997</v>
      </c>
      <c r="BC274">
        <v>101.42570000000001</v>
      </c>
      <c r="BD274" t="s">
        <v>112</v>
      </c>
      <c r="BE274" t="s">
        <v>112</v>
      </c>
      <c r="BF274" t="s">
        <v>157</v>
      </c>
      <c r="BG274" t="s">
        <v>133</v>
      </c>
      <c r="BH274" t="s">
        <v>134</v>
      </c>
      <c r="BI274" t="s">
        <v>112</v>
      </c>
      <c r="BJ274" t="s">
        <v>112</v>
      </c>
      <c r="BK274" t="s">
        <v>112</v>
      </c>
      <c r="BL274" t="s">
        <v>158</v>
      </c>
      <c r="BM274" t="s">
        <v>159</v>
      </c>
      <c r="BN274" t="s">
        <v>212</v>
      </c>
      <c r="BO274" t="s">
        <v>161</v>
      </c>
      <c r="BQ274" t="s">
        <v>232</v>
      </c>
      <c r="BR274" s="45">
        <f>ISNUMBER(SEARCH($BR$1,Таблица1[[#This Row],[31_1 Описание и характеристика товара]]))*1</f>
        <v>1</v>
      </c>
      <c r="BT274" t="s">
        <v>150</v>
      </c>
      <c r="BU274">
        <v>33</v>
      </c>
      <c r="BV274">
        <v>0</v>
      </c>
      <c r="BW274">
        <v>0</v>
      </c>
      <c r="BY274">
        <v>0</v>
      </c>
      <c r="CA274" t="s">
        <v>106</v>
      </c>
      <c r="CB274" t="s">
        <v>142</v>
      </c>
      <c r="CC274" t="s">
        <v>112</v>
      </c>
      <c r="CD274" t="s">
        <v>112</v>
      </c>
      <c r="CE274" t="s">
        <v>121</v>
      </c>
      <c r="CF274">
        <v>16777.330000000002</v>
      </c>
      <c r="CG274" t="s">
        <v>144</v>
      </c>
      <c r="CH274">
        <v>4000000</v>
      </c>
      <c r="CI274">
        <v>16777.330000000002</v>
      </c>
      <c r="CJ274">
        <v>0</v>
      </c>
      <c r="CK274" t="s">
        <v>112</v>
      </c>
      <c r="CL274" t="s">
        <v>112</v>
      </c>
      <c r="CM274">
        <v>42715.839999999997</v>
      </c>
      <c r="CO274">
        <v>0</v>
      </c>
      <c r="CP274">
        <v>1</v>
      </c>
      <c r="CQ274">
        <v>4790928.13</v>
      </c>
      <c r="CR274">
        <v>49954.78</v>
      </c>
      <c r="CS274" t="s">
        <v>145</v>
      </c>
      <c r="CT274">
        <v>49996.443400000004</v>
      </c>
      <c r="CU274">
        <v>2.98</v>
      </c>
      <c r="CV274">
        <v>45</v>
      </c>
      <c r="CX274" t="s">
        <v>163</v>
      </c>
      <c r="CY274">
        <v>337</v>
      </c>
    </row>
    <row r="275" spans="1:103" x14ac:dyDescent="0.25">
      <c r="A275" t="s">
        <v>106</v>
      </c>
      <c r="B275" s="38">
        <v>44585</v>
      </c>
      <c r="C275" s="43">
        <f>IF(YEAR(Таблица1[[#This Row],[Дата]])=2023,MONTH(Таблица1[[#This Row],[Дата]]),0)</f>
        <v>0</v>
      </c>
      <c r="D275" t="s">
        <v>1945</v>
      </c>
      <c r="E275" t="s">
        <v>108</v>
      </c>
      <c r="F275" t="s">
        <v>1946</v>
      </c>
      <c r="G275" t="s">
        <v>110</v>
      </c>
      <c r="H275" t="s">
        <v>111</v>
      </c>
      <c r="I275" t="s">
        <v>112</v>
      </c>
      <c r="J275" t="s">
        <v>112</v>
      </c>
      <c r="K275" t="s">
        <v>112</v>
      </c>
      <c r="L275" t="s">
        <v>150</v>
      </c>
      <c r="M275" t="s">
        <v>151</v>
      </c>
      <c r="N275" t="s">
        <v>112</v>
      </c>
      <c r="O275" t="s">
        <v>112</v>
      </c>
      <c r="P275">
        <v>1</v>
      </c>
      <c r="R275">
        <v>1</v>
      </c>
      <c r="S275">
        <v>33</v>
      </c>
      <c r="T275" t="s">
        <v>112</v>
      </c>
      <c r="U275" t="s">
        <v>152</v>
      </c>
      <c r="V275" t="s">
        <v>153</v>
      </c>
      <c r="W275" t="s">
        <v>154</v>
      </c>
      <c r="X275" t="s">
        <v>119</v>
      </c>
      <c r="Y275" t="s">
        <v>112</v>
      </c>
      <c r="Z275" t="s">
        <v>112</v>
      </c>
      <c r="AA275" t="s">
        <v>152</v>
      </c>
      <c r="AB275" t="s">
        <v>153</v>
      </c>
      <c r="AC275" t="s">
        <v>154</v>
      </c>
      <c r="AD275" t="s">
        <v>119</v>
      </c>
      <c r="AE275" t="s">
        <v>112</v>
      </c>
      <c r="AF275" t="s">
        <v>121</v>
      </c>
      <c r="AG275" t="s">
        <v>122</v>
      </c>
      <c r="AH275">
        <v>4790928.13</v>
      </c>
      <c r="AI275" t="s">
        <v>112</v>
      </c>
      <c r="AJ275" t="s">
        <v>152</v>
      </c>
      <c r="AK275" t="s">
        <v>153</v>
      </c>
      <c r="AL275" t="s">
        <v>154</v>
      </c>
      <c r="AM275" t="s">
        <v>119</v>
      </c>
      <c r="AN275" t="s">
        <v>112</v>
      </c>
      <c r="AO275" t="s">
        <v>121</v>
      </c>
      <c r="AP275" t="s">
        <v>122</v>
      </c>
      <c r="AQ275" t="s">
        <v>122</v>
      </c>
      <c r="AR275" t="s">
        <v>124</v>
      </c>
      <c r="AS275" t="s">
        <v>125</v>
      </c>
      <c r="AT275">
        <v>2</v>
      </c>
      <c r="AU275" t="s">
        <v>126</v>
      </c>
      <c r="AV275" t="s">
        <v>155</v>
      </c>
      <c r="AW275" t="s">
        <v>156</v>
      </c>
      <c r="AY275" t="s">
        <v>129</v>
      </c>
      <c r="AZ275">
        <v>42715.839999999997</v>
      </c>
      <c r="BC275">
        <v>101.42570000000001</v>
      </c>
      <c r="BD275" t="s">
        <v>112</v>
      </c>
      <c r="BE275" t="s">
        <v>112</v>
      </c>
      <c r="BF275" t="s">
        <v>157</v>
      </c>
      <c r="BG275" t="s">
        <v>133</v>
      </c>
      <c r="BH275" t="s">
        <v>134</v>
      </c>
      <c r="BI275" t="s">
        <v>112</v>
      </c>
      <c r="BJ275" t="s">
        <v>112</v>
      </c>
      <c r="BK275" t="s">
        <v>112</v>
      </c>
      <c r="BL275" t="s">
        <v>158</v>
      </c>
      <c r="BM275" t="s">
        <v>159</v>
      </c>
      <c r="BN275" t="s">
        <v>212</v>
      </c>
      <c r="BO275" t="s">
        <v>161</v>
      </c>
      <c r="BQ275" t="s">
        <v>232</v>
      </c>
      <c r="BR275" s="45">
        <f>ISNUMBER(SEARCH($BR$1,Таблица1[[#This Row],[31_1 Описание и характеристика товара]]))*1</f>
        <v>1</v>
      </c>
      <c r="BT275" t="s">
        <v>150</v>
      </c>
      <c r="BU275">
        <v>33</v>
      </c>
      <c r="BV275">
        <v>0</v>
      </c>
      <c r="BW275">
        <v>0</v>
      </c>
      <c r="BY275">
        <v>0</v>
      </c>
      <c r="CA275" t="s">
        <v>106</v>
      </c>
      <c r="CB275" t="s">
        <v>142</v>
      </c>
      <c r="CC275" t="s">
        <v>112</v>
      </c>
      <c r="CD275" t="s">
        <v>112</v>
      </c>
      <c r="CE275" t="s">
        <v>121</v>
      </c>
      <c r="CF275">
        <v>16777.330000000002</v>
      </c>
      <c r="CG275" t="s">
        <v>144</v>
      </c>
      <c r="CH275">
        <v>4000000</v>
      </c>
      <c r="CI275">
        <v>16777.330000000002</v>
      </c>
      <c r="CJ275">
        <v>0</v>
      </c>
      <c r="CK275" t="s">
        <v>112</v>
      </c>
      <c r="CL275" t="s">
        <v>112</v>
      </c>
      <c r="CM275">
        <v>42715.839999999997</v>
      </c>
      <c r="CO275">
        <v>0</v>
      </c>
      <c r="CP275">
        <v>1</v>
      </c>
      <c r="CQ275">
        <v>4790928.13</v>
      </c>
      <c r="CR275">
        <v>49954.78</v>
      </c>
      <c r="CS275" t="s">
        <v>145</v>
      </c>
      <c r="CT275">
        <v>49996.443400000004</v>
      </c>
      <c r="CU275">
        <v>2.98</v>
      </c>
      <c r="CV275">
        <v>45</v>
      </c>
      <c r="CX275" t="s">
        <v>163</v>
      </c>
      <c r="CY275">
        <v>337</v>
      </c>
    </row>
    <row r="276" spans="1:103" x14ac:dyDescent="0.25">
      <c r="A276" t="s">
        <v>106</v>
      </c>
      <c r="B276" s="38">
        <v>45236</v>
      </c>
      <c r="C276" s="43">
        <f>IF(YEAR(Таблица1[[#This Row],[Дата]])=2023,MONTH(Таблица1[[#This Row],[Дата]]),0)</f>
        <v>11</v>
      </c>
      <c r="D276" t="s">
        <v>1884</v>
      </c>
      <c r="E276" t="s">
        <v>108</v>
      </c>
      <c r="F276" t="s">
        <v>1885</v>
      </c>
      <c r="G276" t="s">
        <v>110</v>
      </c>
      <c r="H276" t="s">
        <v>111</v>
      </c>
      <c r="I276" t="s">
        <v>112</v>
      </c>
      <c r="J276" t="s">
        <v>112</v>
      </c>
      <c r="K276" t="s">
        <v>112</v>
      </c>
      <c r="L276" t="s">
        <v>150</v>
      </c>
      <c r="M276" t="s">
        <v>151</v>
      </c>
      <c r="N276" t="s">
        <v>112</v>
      </c>
      <c r="O276" t="s">
        <v>112</v>
      </c>
      <c r="P276">
        <v>1</v>
      </c>
      <c r="R276">
        <v>1</v>
      </c>
      <c r="S276">
        <v>33</v>
      </c>
      <c r="T276" t="s">
        <v>112</v>
      </c>
      <c r="U276" t="s">
        <v>152</v>
      </c>
      <c r="V276" t="s">
        <v>153</v>
      </c>
      <c r="W276" t="s">
        <v>154</v>
      </c>
      <c r="X276" t="s">
        <v>119</v>
      </c>
      <c r="Y276" t="s">
        <v>112</v>
      </c>
      <c r="Z276" t="s">
        <v>112</v>
      </c>
      <c r="AA276" t="s">
        <v>152</v>
      </c>
      <c r="AB276" t="s">
        <v>153</v>
      </c>
      <c r="AC276" t="s">
        <v>154</v>
      </c>
      <c r="AD276" t="s">
        <v>119</v>
      </c>
      <c r="AE276" t="s">
        <v>112</v>
      </c>
      <c r="AF276" t="s">
        <v>121</v>
      </c>
      <c r="AG276" t="s">
        <v>122</v>
      </c>
      <c r="AH276">
        <v>4575479.66</v>
      </c>
      <c r="AI276" t="s">
        <v>112</v>
      </c>
      <c r="AJ276" t="s">
        <v>152</v>
      </c>
      <c r="AK276" t="s">
        <v>153</v>
      </c>
      <c r="AL276" t="s">
        <v>154</v>
      </c>
      <c r="AM276" t="s">
        <v>119</v>
      </c>
      <c r="AN276" t="s">
        <v>112</v>
      </c>
      <c r="AO276" t="s">
        <v>121</v>
      </c>
      <c r="AP276" t="s">
        <v>122</v>
      </c>
      <c r="AQ276" t="s">
        <v>122</v>
      </c>
      <c r="AR276" t="s">
        <v>124</v>
      </c>
      <c r="AS276" t="s">
        <v>125</v>
      </c>
      <c r="AT276">
        <v>2</v>
      </c>
      <c r="AU276" t="s">
        <v>126</v>
      </c>
      <c r="AV276" t="s">
        <v>155</v>
      </c>
      <c r="AW276" t="s">
        <v>156</v>
      </c>
      <c r="AY276" t="s">
        <v>129</v>
      </c>
      <c r="AZ276">
        <v>41121.64</v>
      </c>
      <c r="BC276">
        <v>101.42570000000001</v>
      </c>
      <c r="BD276" t="s">
        <v>112</v>
      </c>
      <c r="BE276" t="s">
        <v>112</v>
      </c>
      <c r="BF276" t="s">
        <v>157</v>
      </c>
      <c r="BG276" t="s">
        <v>133</v>
      </c>
      <c r="BH276" t="s">
        <v>134</v>
      </c>
      <c r="BI276" t="s">
        <v>112</v>
      </c>
      <c r="BJ276" t="s">
        <v>112</v>
      </c>
      <c r="BK276" t="s">
        <v>112</v>
      </c>
      <c r="BL276" t="s">
        <v>158</v>
      </c>
      <c r="BM276" t="s">
        <v>159</v>
      </c>
      <c r="BN276" t="s">
        <v>212</v>
      </c>
      <c r="BO276" t="s">
        <v>161</v>
      </c>
      <c r="BQ276" t="s">
        <v>213</v>
      </c>
      <c r="BR276" s="45">
        <f>ISNUMBER(SEARCH($BR$1,Таблица1[[#This Row],[31_1 Описание и характеристика товара]]))*1</f>
        <v>1</v>
      </c>
      <c r="BT276" t="s">
        <v>150</v>
      </c>
      <c r="BU276">
        <v>33</v>
      </c>
      <c r="BV276">
        <v>0</v>
      </c>
      <c r="BW276">
        <v>0</v>
      </c>
      <c r="BY276">
        <v>0</v>
      </c>
      <c r="CA276" t="s">
        <v>106</v>
      </c>
      <c r="CB276" t="s">
        <v>142</v>
      </c>
      <c r="CC276" t="s">
        <v>112</v>
      </c>
      <c r="CD276" t="s">
        <v>112</v>
      </c>
      <c r="CE276" t="s">
        <v>121</v>
      </c>
      <c r="CF276">
        <v>15505.33</v>
      </c>
      <c r="CG276" t="s">
        <v>144</v>
      </c>
      <c r="CH276">
        <v>4000000</v>
      </c>
      <c r="CI276">
        <v>15159.73</v>
      </c>
      <c r="CJ276">
        <v>0</v>
      </c>
      <c r="CK276" t="s">
        <v>112</v>
      </c>
      <c r="CL276" t="s">
        <v>112</v>
      </c>
      <c r="CM276">
        <v>41121.64</v>
      </c>
      <c r="CO276">
        <v>0</v>
      </c>
      <c r="CP276">
        <v>1</v>
      </c>
      <c r="CQ276">
        <v>4575479.66</v>
      </c>
      <c r="CR276">
        <v>47708.31</v>
      </c>
      <c r="CS276" t="s">
        <v>145</v>
      </c>
      <c r="CT276">
        <v>47753.1495</v>
      </c>
      <c r="CU276">
        <v>3.15</v>
      </c>
      <c r="CV276">
        <v>45</v>
      </c>
      <c r="CX276" t="s">
        <v>163</v>
      </c>
      <c r="CY276">
        <v>342</v>
      </c>
    </row>
    <row r="277" spans="1:103" x14ac:dyDescent="0.25">
      <c r="A277" t="s">
        <v>106</v>
      </c>
      <c r="B277" s="38">
        <v>44654</v>
      </c>
      <c r="C277" s="43">
        <f>IF(YEAR(Таблица1[[#This Row],[Дата]])=2023,MONTH(Таблица1[[#This Row],[Дата]]),0)</f>
        <v>0</v>
      </c>
      <c r="D277" t="s">
        <v>1776</v>
      </c>
      <c r="E277" t="s">
        <v>108</v>
      </c>
      <c r="F277" t="s">
        <v>1777</v>
      </c>
      <c r="G277" t="s">
        <v>110</v>
      </c>
      <c r="H277" t="s">
        <v>111</v>
      </c>
      <c r="I277" t="s">
        <v>112</v>
      </c>
      <c r="J277" t="s">
        <v>112</v>
      </c>
      <c r="K277" t="s">
        <v>112</v>
      </c>
      <c r="L277" t="s">
        <v>150</v>
      </c>
      <c r="M277" t="s">
        <v>151</v>
      </c>
      <c r="N277" t="s">
        <v>112</v>
      </c>
      <c r="O277" t="s">
        <v>112</v>
      </c>
      <c r="R277">
        <v>1</v>
      </c>
      <c r="S277">
        <v>33</v>
      </c>
      <c r="T277" t="s">
        <v>166</v>
      </c>
      <c r="U277" t="s">
        <v>152</v>
      </c>
      <c r="V277" t="s">
        <v>153</v>
      </c>
      <c r="W277" t="s">
        <v>154</v>
      </c>
      <c r="X277" t="s">
        <v>119</v>
      </c>
      <c r="Y277" t="s">
        <v>112</v>
      </c>
      <c r="Z277" t="s">
        <v>166</v>
      </c>
      <c r="AA277" t="s">
        <v>152</v>
      </c>
      <c r="AB277" t="s">
        <v>153</v>
      </c>
      <c r="AC277" t="s">
        <v>154</v>
      </c>
      <c r="AD277" t="s">
        <v>119</v>
      </c>
      <c r="AE277" t="s">
        <v>112</v>
      </c>
      <c r="AF277" t="s">
        <v>121</v>
      </c>
      <c r="AG277" t="s">
        <v>122</v>
      </c>
      <c r="AH277">
        <v>4833427.1399999997</v>
      </c>
      <c r="AI277" t="s">
        <v>166</v>
      </c>
      <c r="AJ277" t="s">
        <v>152</v>
      </c>
      <c r="AK277" t="s">
        <v>153</v>
      </c>
      <c r="AL277" t="s">
        <v>154</v>
      </c>
      <c r="AM277" t="s">
        <v>119</v>
      </c>
      <c r="AN277" t="s">
        <v>112</v>
      </c>
      <c r="AO277" t="s">
        <v>121</v>
      </c>
      <c r="AP277" t="s">
        <v>122</v>
      </c>
      <c r="AQ277" t="s">
        <v>122</v>
      </c>
      <c r="AR277" t="s">
        <v>124</v>
      </c>
      <c r="AS277" t="s">
        <v>125</v>
      </c>
      <c r="AU277" t="s">
        <v>126</v>
      </c>
      <c r="AV277" t="s">
        <v>155</v>
      </c>
      <c r="AW277" t="s">
        <v>156</v>
      </c>
      <c r="AY277" t="s">
        <v>129</v>
      </c>
      <c r="AZ277">
        <v>42389.279999999999</v>
      </c>
      <c r="BC277">
        <v>102.753</v>
      </c>
      <c r="BD277" t="s">
        <v>112</v>
      </c>
      <c r="BE277" t="s">
        <v>112</v>
      </c>
      <c r="BF277" t="s">
        <v>112</v>
      </c>
      <c r="BG277" t="s">
        <v>133</v>
      </c>
      <c r="BH277" t="s">
        <v>167</v>
      </c>
      <c r="BI277" t="s">
        <v>112</v>
      </c>
      <c r="BJ277" t="s">
        <v>112</v>
      </c>
      <c r="BK277" t="s">
        <v>112</v>
      </c>
      <c r="BL277" t="s">
        <v>112</v>
      </c>
      <c r="BM277" t="s">
        <v>112</v>
      </c>
      <c r="BN277" t="s">
        <v>112</v>
      </c>
      <c r="BO277" t="s">
        <v>161</v>
      </c>
      <c r="BQ277" t="s">
        <v>466</v>
      </c>
      <c r="BR277" s="45">
        <f>ISNUMBER(SEARCH($BR$1,Таблица1[[#This Row],[31_1 Описание и характеристика товара]]))*1</f>
        <v>1</v>
      </c>
      <c r="BT277" t="s">
        <v>150</v>
      </c>
      <c r="BU277">
        <v>33</v>
      </c>
      <c r="CA277" t="s">
        <v>106</v>
      </c>
      <c r="CB277" t="s">
        <v>142</v>
      </c>
      <c r="CC277" t="s">
        <v>112</v>
      </c>
      <c r="CD277" t="s">
        <v>112</v>
      </c>
      <c r="CE277" t="s">
        <v>121</v>
      </c>
      <c r="CF277">
        <v>15951.26</v>
      </c>
      <c r="CG277" t="s">
        <v>144</v>
      </c>
      <c r="CH277">
        <v>4000000</v>
      </c>
      <c r="CI277">
        <v>15771.26</v>
      </c>
      <c r="CK277" t="s">
        <v>112</v>
      </c>
      <c r="CL277" t="s">
        <v>112</v>
      </c>
      <c r="CM277">
        <v>42389.279999999999</v>
      </c>
      <c r="CO277">
        <v>0</v>
      </c>
      <c r="CP277">
        <v>1</v>
      </c>
      <c r="CQ277">
        <v>4833427.1399999997</v>
      </c>
      <c r="CR277">
        <v>51354.7</v>
      </c>
      <c r="CS277" t="s">
        <v>145</v>
      </c>
      <c r="CT277">
        <v>51414.3076</v>
      </c>
      <c r="CU277">
        <v>3.26</v>
      </c>
      <c r="CY277">
        <v>343</v>
      </c>
    </row>
    <row r="278" spans="1:103" x14ac:dyDescent="0.25">
      <c r="A278" t="s">
        <v>106</v>
      </c>
      <c r="B278" s="38">
        <v>44602</v>
      </c>
      <c r="C278" s="43">
        <f>IF(YEAR(Таблица1[[#This Row],[Дата]])=2023,MONTH(Таблица1[[#This Row],[Дата]]),0)</f>
        <v>0</v>
      </c>
      <c r="D278" t="s">
        <v>1774</v>
      </c>
      <c r="E278" t="s">
        <v>108</v>
      </c>
      <c r="F278" t="s">
        <v>1775</v>
      </c>
      <c r="G278" t="s">
        <v>110</v>
      </c>
      <c r="H278" t="s">
        <v>111</v>
      </c>
      <c r="I278" t="s">
        <v>112</v>
      </c>
      <c r="J278" t="s">
        <v>112</v>
      </c>
      <c r="K278" t="s">
        <v>112</v>
      </c>
      <c r="L278" t="s">
        <v>150</v>
      </c>
      <c r="M278" t="s">
        <v>151</v>
      </c>
      <c r="N278" t="s">
        <v>112</v>
      </c>
      <c r="O278" t="s">
        <v>112</v>
      </c>
      <c r="R278">
        <v>1</v>
      </c>
      <c r="S278">
        <v>33</v>
      </c>
      <c r="T278" t="s">
        <v>166</v>
      </c>
      <c r="U278" t="s">
        <v>152</v>
      </c>
      <c r="V278" t="s">
        <v>153</v>
      </c>
      <c r="W278" t="s">
        <v>154</v>
      </c>
      <c r="X278" t="s">
        <v>119</v>
      </c>
      <c r="Y278" t="s">
        <v>112</v>
      </c>
      <c r="Z278" t="s">
        <v>166</v>
      </c>
      <c r="AA278" t="s">
        <v>152</v>
      </c>
      <c r="AB278" t="s">
        <v>153</v>
      </c>
      <c r="AC278" t="s">
        <v>154</v>
      </c>
      <c r="AD278" t="s">
        <v>119</v>
      </c>
      <c r="AE278" t="s">
        <v>112</v>
      </c>
      <c r="AF278" t="s">
        <v>121</v>
      </c>
      <c r="AG278" t="s">
        <v>122</v>
      </c>
      <c r="AH278">
        <v>5048070.96</v>
      </c>
      <c r="AI278" t="s">
        <v>166</v>
      </c>
      <c r="AJ278" t="s">
        <v>152</v>
      </c>
      <c r="AK278" t="s">
        <v>153</v>
      </c>
      <c r="AL278" t="s">
        <v>154</v>
      </c>
      <c r="AM278" t="s">
        <v>119</v>
      </c>
      <c r="AN278" t="s">
        <v>112</v>
      </c>
      <c r="AO278" t="s">
        <v>121</v>
      </c>
      <c r="AP278" t="s">
        <v>122</v>
      </c>
      <c r="AQ278" t="s">
        <v>122</v>
      </c>
      <c r="AR278" t="s">
        <v>124</v>
      </c>
      <c r="AS278" t="s">
        <v>125</v>
      </c>
      <c r="AU278" t="s">
        <v>126</v>
      </c>
      <c r="AV278" t="s">
        <v>155</v>
      </c>
      <c r="AW278" t="s">
        <v>156</v>
      </c>
      <c r="AY278" t="s">
        <v>129</v>
      </c>
      <c r="AZ278">
        <v>44998.21</v>
      </c>
      <c r="BC278">
        <v>102.753</v>
      </c>
      <c r="BD278" t="s">
        <v>112</v>
      </c>
      <c r="BE278" t="s">
        <v>112</v>
      </c>
      <c r="BF278" t="s">
        <v>112</v>
      </c>
      <c r="BG278" t="s">
        <v>133</v>
      </c>
      <c r="BH278" t="s">
        <v>167</v>
      </c>
      <c r="BI278" t="s">
        <v>112</v>
      </c>
      <c r="BJ278" t="s">
        <v>112</v>
      </c>
      <c r="BK278" t="s">
        <v>112</v>
      </c>
      <c r="BL278" t="s">
        <v>112</v>
      </c>
      <c r="BM278" t="s">
        <v>112</v>
      </c>
      <c r="BN278" t="s">
        <v>112</v>
      </c>
      <c r="BO278" t="s">
        <v>161</v>
      </c>
      <c r="BQ278" t="s">
        <v>162</v>
      </c>
      <c r="BR278" s="45">
        <f>ISNUMBER(SEARCH($BR$1,Таблица1[[#This Row],[31_1 Описание и характеристика товара]]))*1</f>
        <v>1</v>
      </c>
      <c r="BT278" t="s">
        <v>150</v>
      </c>
      <c r="BU278">
        <v>33</v>
      </c>
      <c r="CA278" t="s">
        <v>106</v>
      </c>
      <c r="CB278" t="s">
        <v>142</v>
      </c>
      <c r="CC278" t="s">
        <v>112</v>
      </c>
      <c r="CD278" t="s">
        <v>112</v>
      </c>
      <c r="CE278" t="s">
        <v>121</v>
      </c>
      <c r="CF278">
        <v>16257.65</v>
      </c>
      <c r="CG278" t="s">
        <v>144</v>
      </c>
      <c r="CH278">
        <v>4000000</v>
      </c>
      <c r="CI278">
        <v>16149.65</v>
      </c>
      <c r="CK278" t="s">
        <v>112</v>
      </c>
      <c r="CL278" t="s">
        <v>112</v>
      </c>
      <c r="CM278">
        <v>44998.21</v>
      </c>
      <c r="CO278">
        <v>0</v>
      </c>
      <c r="CP278">
        <v>1</v>
      </c>
      <c r="CQ278">
        <v>5048070.96</v>
      </c>
      <c r="CR278">
        <v>53635.27</v>
      </c>
      <c r="CS278" t="s">
        <v>145</v>
      </c>
      <c r="CT278">
        <v>53616.837999999996</v>
      </c>
      <c r="CU278">
        <v>3.32</v>
      </c>
      <c r="CY278">
        <v>34</v>
      </c>
    </row>
    <row r="279" spans="1:103" x14ac:dyDescent="0.25">
      <c r="A279" t="s">
        <v>106</v>
      </c>
      <c r="B279" s="38">
        <v>44565</v>
      </c>
      <c r="C279" s="43">
        <f>IF(YEAR(Таблица1[[#This Row],[Дата]])=2023,MONTH(Таблица1[[#This Row],[Дата]]),0)</f>
        <v>0</v>
      </c>
      <c r="D279" t="s">
        <v>1772</v>
      </c>
      <c r="E279" t="s">
        <v>108</v>
      </c>
      <c r="F279" t="s">
        <v>1773</v>
      </c>
      <c r="G279" t="s">
        <v>110</v>
      </c>
      <c r="H279" t="s">
        <v>111</v>
      </c>
      <c r="I279" t="s">
        <v>112</v>
      </c>
      <c r="J279" t="s">
        <v>112</v>
      </c>
      <c r="K279" t="s">
        <v>112</v>
      </c>
      <c r="L279" t="s">
        <v>150</v>
      </c>
      <c r="M279" t="s">
        <v>151</v>
      </c>
      <c r="N279" t="s">
        <v>112</v>
      </c>
      <c r="O279" t="s">
        <v>112</v>
      </c>
      <c r="R279">
        <v>1</v>
      </c>
      <c r="S279">
        <v>33</v>
      </c>
      <c r="T279" t="s">
        <v>166</v>
      </c>
      <c r="U279" t="s">
        <v>152</v>
      </c>
      <c r="V279" t="s">
        <v>153</v>
      </c>
      <c r="W279" t="s">
        <v>154</v>
      </c>
      <c r="X279" t="s">
        <v>119</v>
      </c>
      <c r="Y279" t="s">
        <v>112</v>
      </c>
      <c r="Z279" t="s">
        <v>166</v>
      </c>
      <c r="AA279" t="s">
        <v>152</v>
      </c>
      <c r="AB279" t="s">
        <v>153</v>
      </c>
      <c r="AC279" t="s">
        <v>154</v>
      </c>
      <c r="AD279" t="s">
        <v>119</v>
      </c>
      <c r="AE279" t="s">
        <v>112</v>
      </c>
      <c r="AF279" t="s">
        <v>121</v>
      </c>
      <c r="AG279" t="s">
        <v>122</v>
      </c>
      <c r="AH279">
        <v>4620884.6100000003</v>
      </c>
      <c r="AI279" t="s">
        <v>166</v>
      </c>
      <c r="AJ279" t="s">
        <v>152</v>
      </c>
      <c r="AK279" t="s">
        <v>153</v>
      </c>
      <c r="AL279" t="s">
        <v>154</v>
      </c>
      <c r="AM279" t="s">
        <v>119</v>
      </c>
      <c r="AN279" t="s">
        <v>112</v>
      </c>
      <c r="AO279" t="s">
        <v>121</v>
      </c>
      <c r="AP279" t="s">
        <v>122</v>
      </c>
      <c r="AQ279" t="s">
        <v>122</v>
      </c>
      <c r="AR279" t="s">
        <v>124</v>
      </c>
      <c r="AS279" t="s">
        <v>125</v>
      </c>
      <c r="AU279" t="s">
        <v>126</v>
      </c>
      <c r="AV279" t="s">
        <v>155</v>
      </c>
      <c r="AW279" t="s">
        <v>156</v>
      </c>
      <c r="AY279" t="s">
        <v>129</v>
      </c>
      <c r="AZ279">
        <v>40840.800000000003</v>
      </c>
      <c r="BC279">
        <v>102.753</v>
      </c>
      <c r="BD279" t="s">
        <v>112</v>
      </c>
      <c r="BE279" t="s">
        <v>112</v>
      </c>
      <c r="BF279" t="s">
        <v>112</v>
      </c>
      <c r="BG279" t="s">
        <v>133</v>
      </c>
      <c r="BH279" t="s">
        <v>134</v>
      </c>
      <c r="BI279" t="s">
        <v>112</v>
      </c>
      <c r="BJ279" t="s">
        <v>112</v>
      </c>
      <c r="BK279" t="s">
        <v>112</v>
      </c>
      <c r="BL279" t="s">
        <v>112</v>
      </c>
      <c r="BM279" t="s">
        <v>112</v>
      </c>
      <c r="BN279" t="s">
        <v>112</v>
      </c>
      <c r="BO279" t="s">
        <v>161</v>
      </c>
      <c r="BQ279" t="s">
        <v>232</v>
      </c>
      <c r="BR279" s="45">
        <f>ISNUMBER(SEARCH($BR$1,Таблица1[[#This Row],[31_1 Описание и характеристика товара]]))*1</f>
        <v>1</v>
      </c>
      <c r="BT279" t="s">
        <v>150</v>
      </c>
      <c r="BU279">
        <v>33</v>
      </c>
      <c r="BV279">
        <v>0</v>
      </c>
      <c r="BW279">
        <v>0</v>
      </c>
      <c r="CA279" t="s">
        <v>106</v>
      </c>
      <c r="CB279" t="s">
        <v>142</v>
      </c>
      <c r="CC279" t="s">
        <v>112</v>
      </c>
      <c r="CD279" t="s">
        <v>112</v>
      </c>
      <c r="CE279" t="s">
        <v>121</v>
      </c>
      <c r="CF279">
        <v>16485.990000000002</v>
      </c>
      <c r="CG279" t="s">
        <v>144</v>
      </c>
      <c r="CH279">
        <v>4000000</v>
      </c>
      <c r="CI279">
        <v>16344.99</v>
      </c>
      <c r="CJ279">
        <v>0</v>
      </c>
      <c r="CK279" t="s">
        <v>112</v>
      </c>
      <c r="CL279" t="s">
        <v>112</v>
      </c>
      <c r="CM279">
        <v>40840.800000000003</v>
      </c>
      <c r="CO279">
        <v>0</v>
      </c>
      <c r="CP279">
        <v>1</v>
      </c>
      <c r="CQ279">
        <v>4620884.6100000003</v>
      </c>
      <c r="CR279">
        <v>49096.45</v>
      </c>
      <c r="CS279" t="s">
        <v>145</v>
      </c>
      <c r="CT279">
        <v>49034.97</v>
      </c>
      <c r="CU279">
        <v>3</v>
      </c>
      <c r="CY279">
        <v>243</v>
      </c>
    </row>
    <row r="280" spans="1:103" x14ac:dyDescent="0.25">
      <c r="A280" t="s">
        <v>106</v>
      </c>
      <c r="B280" s="38">
        <v>45198</v>
      </c>
      <c r="C280" s="43">
        <f>IF(YEAR(Таблица1[[#This Row],[Дата]])=2023,MONTH(Таблица1[[#This Row],[Дата]]),0)</f>
        <v>9</v>
      </c>
      <c r="D280" t="s">
        <v>1213</v>
      </c>
      <c r="E280" t="s">
        <v>108</v>
      </c>
      <c r="F280" t="s">
        <v>1214</v>
      </c>
      <c r="G280" t="s">
        <v>110</v>
      </c>
      <c r="H280" t="s">
        <v>111</v>
      </c>
      <c r="I280" t="s">
        <v>112</v>
      </c>
      <c r="J280" t="s">
        <v>112</v>
      </c>
      <c r="K280" t="s">
        <v>112</v>
      </c>
      <c r="L280" t="s">
        <v>150</v>
      </c>
      <c r="M280" t="s">
        <v>1060</v>
      </c>
      <c r="N280" t="s">
        <v>112</v>
      </c>
      <c r="O280" t="s">
        <v>112</v>
      </c>
      <c r="P280">
        <v>1</v>
      </c>
      <c r="Q280">
        <v>0</v>
      </c>
      <c r="R280">
        <v>1</v>
      </c>
      <c r="S280">
        <v>33</v>
      </c>
      <c r="T280" t="s">
        <v>166</v>
      </c>
      <c r="U280" t="s">
        <v>152</v>
      </c>
      <c r="V280" t="s">
        <v>153</v>
      </c>
      <c r="W280" t="s">
        <v>154</v>
      </c>
      <c r="X280" t="s">
        <v>119</v>
      </c>
      <c r="Y280" t="s">
        <v>112</v>
      </c>
      <c r="Z280" t="s">
        <v>166</v>
      </c>
      <c r="AA280" t="s">
        <v>152</v>
      </c>
      <c r="AB280" t="s">
        <v>153</v>
      </c>
      <c r="AC280" t="s">
        <v>154</v>
      </c>
      <c r="AD280" t="s">
        <v>119</v>
      </c>
      <c r="AE280" t="s">
        <v>112</v>
      </c>
      <c r="AF280" t="s">
        <v>121</v>
      </c>
      <c r="AG280" t="s">
        <v>122</v>
      </c>
      <c r="AH280">
        <v>4055493.2</v>
      </c>
      <c r="AI280" t="s">
        <v>166</v>
      </c>
      <c r="AJ280" t="s">
        <v>152</v>
      </c>
      <c r="AK280" t="s">
        <v>153</v>
      </c>
      <c r="AL280" t="s">
        <v>154</v>
      </c>
      <c r="AM280" t="s">
        <v>119</v>
      </c>
      <c r="AN280" t="s">
        <v>112</v>
      </c>
      <c r="AO280" t="s">
        <v>121</v>
      </c>
      <c r="AP280" t="s">
        <v>122</v>
      </c>
      <c r="AQ280" t="s">
        <v>122</v>
      </c>
      <c r="AR280" t="s">
        <v>124</v>
      </c>
      <c r="AS280" t="s">
        <v>125</v>
      </c>
      <c r="AT280">
        <v>2</v>
      </c>
      <c r="AU280" t="s">
        <v>126</v>
      </c>
      <c r="AV280" t="s">
        <v>155</v>
      </c>
      <c r="AW280" t="s">
        <v>156</v>
      </c>
      <c r="AX280">
        <v>1</v>
      </c>
      <c r="AY280" t="s">
        <v>129</v>
      </c>
      <c r="AZ280">
        <v>42756.32</v>
      </c>
      <c r="BA280">
        <v>3698263</v>
      </c>
      <c r="BB280">
        <v>50733.05</v>
      </c>
      <c r="BC280">
        <v>86.496300000000005</v>
      </c>
      <c r="BD280" t="s">
        <v>130</v>
      </c>
      <c r="BE280" t="s">
        <v>112</v>
      </c>
      <c r="BF280" t="s">
        <v>157</v>
      </c>
      <c r="BG280" t="s">
        <v>133</v>
      </c>
      <c r="BH280" t="s">
        <v>134</v>
      </c>
      <c r="BI280" t="s">
        <v>112</v>
      </c>
      <c r="BJ280" t="s">
        <v>112</v>
      </c>
      <c r="BK280" t="s">
        <v>112</v>
      </c>
      <c r="BL280" t="s">
        <v>169</v>
      </c>
      <c r="BM280" t="s">
        <v>159</v>
      </c>
      <c r="BN280" t="s">
        <v>722</v>
      </c>
      <c r="BO280" t="s">
        <v>161</v>
      </c>
      <c r="BP280">
        <v>1</v>
      </c>
      <c r="BQ280" t="s">
        <v>205</v>
      </c>
      <c r="BR280" s="45">
        <f>ISNUMBER(SEARCH($BR$1,Таблица1[[#This Row],[31_1 Описание и характеристика товара]]))*1</f>
        <v>1</v>
      </c>
      <c r="BT280" t="s">
        <v>150</v>
      </c>
      <c r="BU280">
        <v>33</v>
      </c>
      <c r="BV280">
        <v>0</v>
      </c>
      <c r="BW280">
        <v>0</v>
      </c>
      <c r="BY280">
        <v>0</v>
      </c>
      <c r="CA280" t="s">
        <v>106</v>
      </c>
      <c r="CB280" t="s">
        <v>142</v>
      </c>
      <c r="CC280" t="s">
        <v>112</v>
      </c>
      <c r="CD280" t="s">
        <v>112</v>
      </c>
      <c r="CE280" t="s">
        <v>121</v>
      </c>
      <c r="CF280">
        <v>17315.400000000001</v>
      </c>
      <c r="CG280" t="s">
        <v>144</v>
      </c>
      <c r="CH280">
        <v>4000000</v>
      </c>
      <c r="CI280">
        <v>17315.400000000001</v>
      </c>
      <c r="CJ280">
        <v>0</v>
      </c>
      <c r="CK280" t="s">
        <v>112</v>
      </c>
      <c r="CL280" t="s">
        <v>112</v>
      </c>
      <c r="CM280">
        <v>42756.32</v>
      </c>
      <c r="CN280">
        <v>3698263</v>
      </c>
      <c r="CO280">
        <v>0</v>
      </c>
      <c r="CP280">
        <v>1</v>
      </c>
      <c r="CQ280">
        <v>4055493.2</v>
      </c>
      <c r="CR280">
        <v>50733.05</v>
      </c>
      <c r="CS280" t="s">
        <v>145</v>
      </c>
      <c r="CT280">
        <v>50732.390460000002</v>
      </c>
      <c r="CU280">
        <v>2.9298999999999999</v>
      </c>
      <c r="CV280">
        <v>45</v>
      </c>
      <c r="CW280" t="s">
        <v>171</v>
      </c>
      <c r="CX280" t="s">
        <v>369</v>
      </c>
      <c r="CY280">
        <v>319</v>
      </c>
    </row>
    <row r="281" spans="1:103" x14ac:dyDescent="0.25">
      <c r="A281" t="s">
        <v>106</v>
      </c>
      <c r="B281" s="38">
        <v>44933</v>
      </c>
      <c r="C281" s="43">
        <f>IF(YEAR(Таблица1[[#This Row],[Дата]])=2023,MONTH(Таблица1[[#This Row],[Дата]]),0)</f>
        <v>1</v>
      </c>
      <c r="D281" t="s">
        <v>1217</v>
      </c>
      <c r="E281" t="s">
        <v>108</v>
      </c>
      <c r="F281" t="s">
        <v>1218</v>
      </c>
      <c r="G281" t="s">
        <v>110</v>
      </c>
      <c r="H281" t="s">
        <v>111</v>
      </c>
      <c r="I281" t="s">
        <v>112</v>
      </c>
      <c r="J281" t="s">
        <v>112</v>
      </c>
      <c r="K281" t="s">
        <v>112</v>
      </c>
      <c r="L281" t="s">
        <v>150</v>
      </c>
      <c r="M281" t="s">
        <v>1060</v>
      </c>
      <c r="N281" t="s">
        <v>112</v>
      </c>
      <c r="O281" t="s">
        <v>112</v>
      </c>
      <c r="P281">
        <v>1</v>
      </c>
      <c r="Q281">
        <v>0</v>
      </c>
      <c r="R281">
        <v>1</v>
      </c>
      <c r="S281">
        <v>33</v>
      </c>
      <c r="T281" t="s">
        <v>166</v>
      </c>
      <c r="U281" t="s">
        <v>152</v>
      </c>
      <c r="V281" t="s">
        <v>153</v>
      </c>
      <c r="W281" t="s">
        <v>154</v>
      </c>
      <c r="X281" t="s">
        <v>119</v>
      </c>
      <c r="Y281" t="s">
        <v>112</v>
      </c>
      <c r="Z281" t="s">
        <v>166</v>
      </c>
      <c r="AA281" t="s">
        <v>152</v>
      </c>
      <c r="AB281" t="s">
        <v>153</v>
      </c>
      <c r="AC281" t="s">
        <v>154</v>
      </c>
      <c r="AD281" t="s">
        <v>119</v>
      </c>
      <c r="AE281" t="s">
        <v>112</v>
      </c>
      <c r="AF281" t="s">
        <v>121</v>
      </c>
      <c r="AG281" t="s">
        <v>122</v>
      </c>
      <c r="AH281">
        <v>4089136.81</v>
      </c>
      <c r="AI281" t="s">
        <v>166</v>
      </c>
      <c r="AJ281" t="s">
        <v>152</v>
      </c>
      <c r="AK281" t="s">
        <v>153</v>
      </c>
      <c r="AL281" t="s">
        <v>154</v>
      </c>
      <c r="AM281" t="s">
        <v>119</v>
      </c>
      <c r="AN281" t="s">
        <v>112</v>
      </c>
      <c r="AO281" t="s">
        <v>121</v>
      </c>
      <c r="AP281" t="s">
        <v>122</v>
      </c>
      <c r="AQ281" t="s">
        <v>122</v>
      </c>
      <c r="AR281" t="s">
        <v>124</v>
      </c>
      <c r="AS281" t="s">
        <v>125</v>
      </c>
      <c r="AT281">
        <v>2</v>
      </c>
      <c r="AU281" t="s">
        <v>126</v>
      </c>
      <c r="AV281" t="s">
        <v>155</v>
      </c>
      <c r="AW281" t="s">
        <v>156</v>
      </c>
      <c r="AX281">
        <v>1</v>
      </c>
      <c r="AY281" t="s">
        <v>129</v>
      </c>
      <c r="AZ281">
        <v>42625.279999999999</v>
      </c>
      <c r="BA281">
        <v>3686929</v>
      </c>
      <c r="BB281">
        <v>51153.919999999998</v>
      </c>
      <c r="BC281">
        <v>86.496300000000005</v>
      </c>
      <c r="BD281" t="s">
        <v>130</v>
      </c>
      <c r="BE281" t="s">
        <v>112</v>
      </c>
      <c r="BF281" t="s">
        <v>157</v>
      </c>
      <c r="BG281" t="s">
        <v>133</v>
      </c>
      <c r="BH281" t="s">
        <v>134</v>
      </c>
      <c r="BI281" t="s">
        <v>112</v>
      </c>
      <c r="BJ281" t="s">
        <v>112</v>
      </c>
      <c r="BK281" t="s">
        <v>112</v>
      </c>
      <c r="BL281" t="s">
        <v>169</v>
      </c>
      <c r="BM281" t="s">
        <v>159</v>
      </c>
      <c r="BN281" t="s">
        <v>722</v>
      </c>
      <c r="BO281" t="s">
        <v>161</v>
      </c>
      <c r="BP281">
        <v>1</v>
      </c>
      <c r="BQ281" t="s">
        <v>205</v>
      </c>
      <c r="BR281" s="45">
        <f>ISNUMBER(SEARCH($BR$1,Таблица1[[#This Row],[31_1 Описание и характеристика товара]]))*1</f>
        <v>1</v>
      </c>
      <c r="BT281" t="s">
        <v>150</v>
      </c>
      <c r="BU281">
        <v>33</v>
      </c>
      <c r="BV281">
        <v>0</v>
      </c>
      <c r="BW281">
        <v>0</v>
      </c>
      <c r="BY281">
        <v>0</v>
      </c>
      <c r="CA281" t="s">
        <v>106</v>
      </c>
      <c r="CB281" t="s">
        <v>142</v>
      </c>
      <c r="CC281" t="s">
        <v>112</v>
      </c>
      <c r="CD281" t="s">
        <v>112</v>
      </c>
      <c r="CE281" t="s">
        <v>121</v>
      </c>
      <c r="CF281">
        <v>16444.5</v>
      </c>
      <c r="CG281" t="s">
        <v>144</v>
      </c>
      <c r="CH281">
        <v>4000000</v>
      </c>
      <c r="CI281">
        <v>16401.3</v>
      </c>
      <c r="CJ281">
        <v>0</v>
      </c>
      <c r="CK281" t="s">
        <v>112</v>
      </c>
      <c r="CL281" t="s">
        <v>112</v>
      </c>
      <c r="CM281">
        <v>42625.279999999999</v>
      </c>
      <c r="CN281">
        <v>3686929</v>
      </c>
      <c r="CO281">
        <v>0</v>
      </c>
      <c r="CP281">
        <v>1</v>
      </c>
      <c r="CQ281">
        <v>4089136.81</v>
      </c>
      <c r="CR281">
        <v>51153.919999999998</v>
      </c>
      <c r="CS281" t="s">
        <v>145</v>
      </c>
      <c r="CT281">
        <v>51154.014569999999</v>
      </c>
      <c r="CU281">
        <v>3.1189</v>
      </c>
      <c r="CV281">
        <v>45</v>
      </c>
      <c r="CW281" t="s">
        <v>171</v>
      </c>
      <c r="CX281" t="s">
        <v>369</v>
      </c>
      <c r="CY281">
        <v>343</v>
      </c>
    </row>
    <row r="282" spans="1:103" x14ac:dyDescent="0.25">
      <c r="A282" t="s">
        <v>106</v>
      </c>
      <c r="B282" s="38">
        <v>45086</v>
      </c>
      <c r="C282" s="43">
        <f>IF(YEAR(Таблица1[[#This Row],[Дата]])=2023,MONTH(Таблица1[[#This Row],[Дата]]),0)</f>
        <v>6</v>
      </c>
      <c r="D282" t="s">
        <v>698</v>
      </c>
      <c r="E282" t="s">
        <v>108</v>
      </c>
      <c r="F282" t="s">
        <v>699</v>
      </c>
      <c r="G282" t="s">
        <v>110</v>
      </c>
      <c r="H282" t="s">
        <v>111</v>
      </c>
      <c r="I282" t="s">
        <v>112</v>
      </c>
      <c r="J282" t="s">
        <v>112</v>
      </c>
      <c r="K282" t="s">
        <v>112</v>
      </c>
      <c r="L282" t="s">
        <v>150</v>
      </c>
      <c r="M282" t="s">
        <v>151</v>
      </c>
      <c r="N282" t="s">
        <v>112</v>
      </c>
      <c r="O282" t="s">
        <v>112</v>
      </c>
      <c r="P282">
        <v>1</v>
      </c>
      <c r="R282">
        <v>1</v>
      </c>
      <c r="S282">
        <v>33</v>
      </c>
      <c r="T282" t="s">
        <v>166</v>
      </c>
      <c r="U282" t="s">
        <v>152</v>
      </c>
      <c r="V282" t="s">
        <v>153</v>
      </c>
      <c r="W282" t="s">
        <v>154</v>
      </c>
      <c r="X282" t="s">
        <v>119</v>
      </c>
      <c r="Y282" t="s">
        <v>112</v>
      </c>
      <c r="Z282" t="s">
        <v>166</v>
      </c>
      <c r="AA282" t="s">
        <v>152</v>
      </c>
      <c r="AB282" t="s">
        <v>153</v>
      </c>
      <c r="AC282" t="s">
        <v>154</v>
      </c>
      <c r="AD282" t="s">
        <v>119</v>
      </c>
      <c r="AE282" t="s">
        <v>112</v>
      </c>
      <c r="AF282" t="s">
        <v>121</v>
      </c>
      <c r="AG282" t="s">
        <v>122</v>
      </c>
      <c r="AH282">
        <v>4176294.94</v>
      </c>
      <c r="AI282" t="s">
        <v>166</v>
      </c>
      <c r="AJ282" t="s">
        <v>152</v>
      </c>
      <c r="AK282" t="s">
        <v>153</v>
      </c>
      <c r="AL282" t="s">
        <v>154</v>
      </c>
      <c r="AM282" t="s">
        <v>119</v>
      </c>
      <c r="AN282" t="s">
        <v>112</v>
      </c>
      <c r="AO282" t="s">
        <v>121</v>
      </c>
      <c r="AP282" t="s">
        <v>122</v>
      </c>
      <c r="AQ282" t="s">
        <v>122</v>
      </c>
      <c r="AR282" t="s">
        <v>124</v>
      </c>
      <c r="AS282" t="s">
        <v>125</v>
      </c>
      <c r="AT282">
        <v>2</v>
      </c>
      <c r="AU282" t="s">
        <v>126</v>
      </c>
      <c r="AV282" t="s">
        <v>155</v>
      </c>
      <c r="AW282" t="s">
        <v>156</v>
      </c>
      <c r="AX282">
        <v>1</v>
      </c>
      <c r="AY282" t="s">
        <v>129</v>
      </c>
      <c r="AZ282">
        <v>45986.82</v>
      </c>
      <c r="BA282">
        <v>3815388</v>
      </c>
      <c r="BB282">
        <v>54268.54</v>
      </c>
      <c r="BC282">
        <v>82.966999999999999</v>
      </c>
      <c r="BD282" t="s">
        <v>130</v>
      </c>
      <c r="BE282" t="s">
        <v>112</v>
      </c>
      <c r="BF282" t="s">
        <v>157</v>
      </c>
      <c r="BG282" t="s">
        <v>133</v>
      </c>
      <c r="BH282" t="s">
        <v>134</v>
      </c>
      <c r="BI282" t="s">
        <v>112</v>
      </c>
      <c r="BJ282" t="s">
        <v>112</v>
      </c>
      <c r="BK282" t="s">
        <v>112</v>
      </c>
      <c r="BL282" t="s">
        <v>169</v>
      </c>
      <c r="BM282" t="s">
        <v>159</v>
      </c>
      <c r="BN282" t="s">
        <v>212</v>
      </c>
      <c r="BO282" t="s">
        <v>161</v>
      </c>
      <c r="BP282">
        <v>1</v>
      </c>
      <c r="BQ282" t="s">
        <v>700</v>
      </c>
      <c r="BR282" s="45">
        <f>ISNUMBER(SEARCH($BR$1,Таблица1[[#This Row],[31_1 Описание и характеристика товара]]))*1</f>
        <v>1</v>
      </c>
      <c r="BT282" t="s">
        <v>150</v>
      </c>
      <c r="BU282">
        <v>33</v>
      </c>
      <c r="CA282" t="s">
        <v>106</v>
      </c>
      <c r="CB282" t="s">
        <v>142</v>
      </c>
      <c r="CC282" t="s">
        <v>112</v>
      </c>
      <c r="CD282" t="s">
        <v>112</v>
      </c>
      <c r="CE282" t="s">
        <v>121</v>
      </c>
      <c r="CF282">
        <v>16627.07</v>
      </c>
      <c r="CG282" t="s">
        <v>144</v>
      </c>
      <c r="CH282">
        <v>4000000</v>
      </c>
      <c r="CI282">
        <v>16627.07</v>
      </c>
      <c r="CK282" t="s">
        <v>112</v>
      </c>
      <c r="CL282" t="s">
        <v>112</v>
      </c>
      <c r="CM282">
        <v>45986.82</v>
      </c>
      <c r="CN282">
        <v>3815388</v>
      </c>
      <c r="CO282">
        <v>0</v>
      </c>
      <c r="CP282">
        <v>1</v>
      </c>
      <c r="CQ282">
        <v>4176294.94</v>
      </c>
      <c r="CR282">
        <v>54268.54</v>
      </c>
      <c r="CS282" t="s">
        <v>145</v>
      </c>
      <c r="CT282">
        <v>54269.093773000001</v>
      </c>
      <c r="CU282">
        <v>3.2639</v>
      </c>
      <c r="CV282">
        <v>45</v>
      </c>
      <c r="CW282" t="s">
        <v>171</v>
      </c>
      <c r="CX282" t="s">
        <v>372</v>
      </c>
      <c r="CY282">
        <v>552</v>
      </c>
    </row>
    <row r="283" spans="1:103" x14ac:dyDescent="0.25">
      <c r="A283" t="s">
        <v>106</v>
      </c>
      <c r="B283" s="38">
        <v>45283</v>
      </c>
      <c r="C283" s="43">
        <f>IF(YEAR(Таблица1[[#This Row],[Дата]])=2023,MONTH(Таблица1[[#This Row],[Дата]]),0)</f>
        <v>12</v>
      </c>
      <c r="D283" t="s">
        <v>710</v>
      </c>
      <c r="E283" t="s">
        <v>108</v>
      </c>
      <c r="F283" t="s">
        <v>711</v>
      </c>
      <c r="G283" t="s">
        <v>110</v>
      </c>
      <c r="H283" t="s">
        <v>111</v>
      </c>
      <c r="I283" t="s">
        <v>112</v>
      </c>
      <c r="J283" t="s">
        <v>112</v>
      </c>
      <c r="K283" t="s">
        <v>112</v>
      </c>
      <c r="L283" t="s">
        <v>150</v>
      </c>
      <c r="M283" t="s">
        <v>151</v>
      </c>
      <c r="N283" t="s">
        <v>112</v>
      </c>
      <c r="O283" t="s">
        <v>112</v>
      </c>
      <c r="P283">
        <v>1</v>
      </c>
      <c r="Q283">
        <v>0</v>
      </c>
      <c r="R283">
        <v>1</v>
      </c>
      <c r="S283">
        <v>33</v>
      </c>
      <c r="T283" t="s">
        <v>166</v>
      </c>
      <c r="U283" t="s">
        <v>152</v>
      </c>
      <c r="V283" t="s">
        <v>153</v>
      </c>
      <c r="W283" t="s">
        <v>154</v>
      </c>
      <c r="X283" t="s">
        <v>119</v>
      </c>
      <c r="Y283" t="s">
        <v>112</v>
      </c>
      <c r="Z283" t="s">
        <v>166</v>
      </c>
      <c r="AA283" t="s">
        <v>152</v>
      </c>
      <c r="AB283" t="s">
        <v>153</v>
      </c>
      <c r="AC283" t="s">
        <v>154</v>
      </c>
      <c r="AD283" t="s">
        <v>119</v>
      </c>
      <c r="AE283" t="s">
        <v>112</v>
      </c>
      <c r="AF283" t="s">
        <v>121</v>
      </c>
      <c r="AG283" t="s">
        <v>122</v>
      </c>
      <c r="AH283">
        <v>3763816.21</v>
      </c>
      <c r="AI283" t="s">
        <v>166</v>
      </c>
      <c r="AJ283" t="s">
        <v>152</v>
      </c>
      <c r="AK283" t="s">
        <v>153</v>
      </c>
      <c r="AL283" t="s">
        <v>154</v>
      </c>
      <c r="AM283" t="s">
        <v>119</v>
      </c>
      <c r="AN283" t="s">
        <v>112</v>
      </c>
      <c r="AO283" t="s">
        <v>121</v>
      </c>
      <c r="AP283" t="s">
        <v>122</v>
      </c>
      <c r="AQ283" t="s">
        <v>122</v>
      </c>
      <c r="AR283" t="s">
        <v>124</v>
      </c>
      <c r="AS283" t="s">
        <v>125</v>
      </c>
      <c r="AT283">
        <v>2</v>
      </c>
      <c r="AU283" t="s">
        <v>126</v>
      </c>
      <c r="AV283" t="s">
        <v>155</v>
      </c>
      <c r="AW283" t="s">
        <v>156</v>
      </c>
      <c r="AX283">
        <v>1</v>
      </c>
      <c r="AY283" t="s">
        <v>129</v>
      </c>
      <c r="AZ283">
        <v>41015.22</v>
      </c>
      <c r="BA283">
        <v>3402910</v>
      </c>
      <c r="BB283">
        <v>48908.61</v>
      </c>
      <c r="BC283">
        <v>82.966999999999999</v>
      </c>
      <c r="BD283" t="s">
        <v>130</v>
      </c>
      <c r="BE283" t="s">
        <v>112</v>
      </c>
      <c r="BF283" t="s">
        <v>157</v>
      </c>
      <c r="BG283" t="s">
        <v>133</v>
      </c>
      <c r="BH283" t="s">
        <v>134</v>
      </c>
      <c r="BI283" t="s">
        <v>112</v>
      </c>
      <c r="BJ283" t="s">
        <v>112</v>
      </c>
      <c r="BK283" t="s">
        <v>112</v>
      </c>
      <c r="BL283" t="s">
        <v>169</v>
      </c>
      <c r="BM283" t="s">
        <v>159</v>
      </c>
      <c r="BN283" t="s">
        <v>212</v>
      </c>
      <c r="BO283" t="s">
        <v>161</v>
      </c>
      <c r="BP283">
        <v>1</v>
      </c>
      <c r="BQ283" t="s">
        <v>579</v>
      </c>
      <c r="BR283" s="45">
        <f>ISNUMBER(SEARCH($BR$1,Таблица1[[#This Row],[31_1 Описание и характеристика товара]]))*1</f>
        <v>1</v>
      </c>
      <c r="BT283" t="s">
        <v>150</v>
      </c>
      <c r="BU283">
        <v>33</v>
      </c>
      <c r="BV283">
        <v>0</v>
      </c>
      <c r="BW283">
        <v>0</v>
      </c>
      <c r="BY283">
        <v>0</v>
      </c>
      <c r="CA283" t="s">
        <v>106</v>
      </c>
      <c r="CB283" t="s">
        <v>142</v>
      </c>
      <c r="CC283" t="s">
        <v>112</v>
      </c>
      <c r="CD283" t="s">
        <v>112</v>
      </c>
      <c r="CE283" t="s">
        <v>121</v>
      </c>
      <c r="CF283">
        <v>16083.75</v>
      </c>
      <c r="CG283" t="s">
        <v>144</v>
      </c>
      <c r="CH283">
        <v>4000000</v>
      </c>
      <c r="CI283">
        <v>15885.15</v>
      </c>
      <c r="CJ283">
        <v>0</v>
      </c>
      <c r="CK283" t="s">
        <v>112</v>
      </c>
      <c r="CL283" t="s">
        <v>112</v>
      </c>
      <c r="CM283">
        <v>41015.22</v>
      </c>
      <c r="CN283">
        <v>3402910</v>
      </c>
      <c r="CO283">
        <v>0</v>
      </c>
      <c r="CP283">
        <v>1</v>
      </c>
      <c r="CQ283">
        <v>3763816.21</v>
      </c>
      <c r="CR283">
        <v>48908.61</v>
      </c>
      <c r="CS283" t="s">
        <v>145</v>
      </c>
      <c r="CT283">
        <v>48908.788334999997</v>
      </c>
      <c r="CU283">
        <v>3.0789</v>
      </c>
      <c r="CV283">
        <v>45</v>
      </c>
      <c r="CW283" t="s">
        <v>171</v>
      </c>
      <c r="CX283" t="s">
        <v>172</v>
      </c>
      <c r="CY283">
        <v>319</v>
      </c>
    </row>
    <row r="284" spans="1:103" x14ac:dyDescent="0.25">
      <c r="A284" t="s">
        <v>106</v>
      </c>
      <c r="B284" s="38">
        <v>44995</v>
      </c>
      <c r="C284" s="43">
        <f>IF(YEAR(Таблица1[[#This Row],[Дата]])=2023,MONTH(Таблица1[[#This Row],[Дата]]),0)</f>
        <v>3</v>
      </c>
      <c r="D284" t="s">
        <v>705</v>
      </c>
      <c r="E284" t="s">
        <v>108</v>
      </c>
      <c r="F284" t="s">
        <v>706</v>
      </c>
      <c r="G284" t="s">
        <v>110</v>
      </c>
      <c r="H284" t="s">
        <v>111</v>
      </c>
      <c r="I284" t="s">
        <v>112</v>
      </c>
      <c r="J284" t="s">
        <v>112</v>
      </c>
      <c r="K284" t="s">
        <v>112</v>
      </c>
      <c r="L284" t="s">
        <v>150</v>
      </c>
      <c r="M284" t="s">
        <v>151</v>
      </c>
      <c r="N284" t="s">
        <v>112</v>
      </c>
      <c r="O284" t="s">
        <v>112</v>
      </c>
      <c r="P284">
        <v>1</v>
      </c>
      <c r="Q284">
        <v>0</v>
      </c>
      <c r="R284">
        <v>1</v>
      </c>
      <c r="S284">
        <v>33</v>
      </c>
      <c r="T284" t="s">
        <v>166</v>
      </c>
      <c r="U284" t="s">
        <v>152</v>
      </c>
      <c r="V284" t="s">
        <v>153</v>
      </c>
      <c r="W284" t="s">
        <v>154</v>
      </c>
      <c r="X284" t="s">
        <v>119</v>
      </c>
      <c r="Y284" t="s">
        <v>112</v>
      </c>
      <c r="Z284" t="s">
        <v>166</v>
      </c>
      <c r="AA284" t="s">
        <v>152</v>
      </c>
      <c r="AB284" t="s">
        <v>153</v>
      </c>
      <c r="AC284" t="s">
        <v>154</v>
      </c>
      <c r="AD284" t="s">
        <v>119</v>
      </c>
      <c r="AE284" t="s">
        <v>112</v>
      </c>
      <c r="AF284" t="s">
        <v>121</v>
      </c>
      <c r="AG284" t="s">
        <v>122</v>
      </c>
      <c r="AH284">
        <v>4158943.23</v>
      </c>
      <c r="AI284" t="s">
        <v>166</v>
      </c>
      <c r="AJ284" t="s">
        <v>152</v>
      </c>
      <c r="AK284" t="s">
        <v>153</v>
      </c>
      <c r="AL284" t="s">
        <v>154</v>
      </c>
      <c r="AM284" t="s">
        <v>119</v>
      </c>
      <c r="AN284" t="s">
        <v>112</v>
      </c>
      <c r="AO284" t="s">
        <v>121</v>
      </c>
      <c r="AP284" t="s">
        <v>122</v>
      </c>
      <c r="AQ284" t="s">
        <v>122</v>
      </c>
      <c r="AR284" t="s">
        <v>124</v>
      </c>
      <c r="AS284" t="s">
        <v>125</v>
      </c>
      <c r="AT284">
        <v>2</v>
      </c>
      <c r="AU284" t="s">
        <v>126</v>
      </c>
      <c r="AV284" t="s">
        <v>155</v>
      </c>
      <c r="AW284" t="s">
        <v>156</v>
      </c>
      <c r="AX284">
        <v>1</v>
      </c>
      <c r="AY284" t="s">
        <v>129</v>
      </c>
      <c r="AZ284">
        <v>45277.68</v>
      </c>
      <c r="BA284">
        <v>3756553</v>
      </c>
      <c r="BB284">
        <v>54043.06</v>
      </c>
      <c r="BC284">
        <v>82.966999999999999</v>
      </c>
      <c r="BD284" t="s">
        <v>130</v>
      </c>
      <c r="BE284" t="s">
        <v>112</v>
      </c>
      <c r="BF284" t="s">
        <v>157</v>
      </c>
      <c r="BG284" t="s">
        <v>133</v>
      </c>
      <c r="BH284" t="s">
        <v>134</v>
      </c>
      <c r="BI284" t="s">
        <v>112</v>
      </c>
      <c r="BJ284" t="s">
        <v>112</v>
      </c>
      <c r="BK284" t="s">
        <v>112</v>
      </c>
      <c r="BL284" t="s">
        <v>169</v>
      </c>
      <c r="BM284" t="s">
        <v>159</v>
      </c>
      <c r="BN284" t="s">
        <v>212</v>
      </c>
      <c r="BO284" t="s">
        <v>161</v>
      </c>
      <c r="BP284">
        <v>1</v>
      </c>
      <c r="BQ284" t="s">
        <v>707</v>
      </c>
      <c r="BR284" s="45">
        <f>ISNUMBER(SEARCH($BR$1,Таблица1[[#This Row],[31_1 Описание и характеристика товара]]))*1</f>
        <v>1</v>
      </c>
      <c r="BT284" t="s">
        <v>150</v>
      </c>
      <c r="BU284">
        <v>33</v>
      </c>
      <c r="BV284">
        <v>0</v>
      </c>
      <c r="BW284">
        <v>0</v>
      </c>
      <c r="BY284">
        <v>0</v>
      </c>
      <c r="CA284" t="s">
        <v>106</v>
      </c>
      <c r="CB284" t="s">
        <v>142</v>
      </c>
      <c r="CC284" t="s">
        <v>112</v>
      </c>
      <c r="CD284" t="s">
        <v>112</v>
      </c>
      <c r="CE284" t="s">
        <v>121</v>
      </c>
      <c r="CF284">
        <v>16728.98</v>
      </c>
      <c r="CG284" t="s">
        <v>144</v>
      </c>
      <c r="CH284">
        <v>4000000</v>
      </c>
      <c r="CI284">
        <v>16692.98</v>
      </c>
      <c r="CJ284">
        <v>0</v>
      </c>
      <c r="CK284" t="s">
        <v>112</v>
      </c>
      <c r="CL284" t="s">
        <v>112</v>
      </c>
      <c r="CM284">
        <v>45277.68</v>
      </c>
      <c r="CN284">
        <v>3756553</v>
      </c>
      <c r="CO284">
        <v>0</v>
      </c>
      <c r="CP284">
        <v>1</v>
      </c>
      <c r="CQ284">
        <v>4158943.23</v>
      </c>
      <c r="CR284">
        <v>54043.06</v>
      </c>
      <c r="CS284" t="s">
        <v>145</v>
      </c>
      <c r="CT284">
        <v>54043.522749999996</v>
      </c>
      <c r="CU284">
        <v>3.2374999999999998</v>
      </c>
      <c r="CV284">
        <v>45</v>
      </c>
      <c r="CW284" t="s">
        <v>171</v>
      </c>
      <c r="CX284" t="s">
        <v>369</v>
      </c>
      <c r="CY284">
        <v>300</v>
      </c>
    </row>
    <row r="285" spans="1:103" x14ac:dyDescent="0.25">
      <c r="A285" t="s">
        <v>106</v>
      </c>
      <c r="B285" s="38">
        <v>45127</v>
      </c>
      <c r="C285" s="43">
        <f>IF(YEAR(Таблица1[[#This Row],[Дата]])=2023,MONTH(Таблица1[[#This Row],[Дата]]),0)</f>
        <v>7</v>
      </c>
      <c r="D285" t="s">
        <v>708</v>
      </c>
      <c r="E285" t="s">
        <v>108</v>
      </c>
      <c r="F285" t="s">
        <v>709</v>
      </c>
      <c r="G285" t="s">
        <v>110</v>
      </c>
      <c r="H285" t="s">
        <v>111</v>
      </c>
      <c r="I285" t="s">
        <v>112</v>
      </c>
      <c r="J285" t="s">
        <v>112</v>
      </c>
      <c r="K285" t="s">
        <v>112</v>
      </c>
      <c r="L285" t="s">
        <v>150</v>
      </c>
      <c r="M285" t="s">
        <v>151</v>
      </c>
      <c r="N285" t="s">
        <v>112</v>
      </c>
      <c r="O285" t="s">
        <v>112</v>
      </c>
      <c r="P285">
        <v>1</v>
      </c>
      <c r="Q285">
        <v>0</v>
      </c>
      <c r="R285">
        <v>1</v>
      </c>
      <c r="S285">
        <v>33</v>
      </c>
      <c r="T285" t="s">
        <v>166</v>
      </c>
      <c r="U285" t="s">
        <v>152</v>
      </c>
      <c r="V285" t="s">
        <v>153</v>
      </c>
      <c r="W285" t="s">
        <v>154</v>
      </c>
      <c r="X285" t="s">
        <v>119</v>
      </c>
      <c r="Y285" t="s">
        <v>112</v>
      </c>
      <c r="Z285" t="s">
        <v>166</v>
      </c>
      <c r="AA285" t="s">
        <v>152</v>
      </c>
      <c r="AB285" t="s">
        <v>153</v>
      </c>
      <c r="AC285" t="s">
        <v>154</v>
      </c>
      <c r="AD285" t="s">
        <v>119</v>
      </c>
      <c r="AE285" t="s">
        <v>112</v>
      </c>
      <c r="AF285" t="s">
        <v>121</v>
      </c>
      <c r="AG285" t="s">
        <v>122</v>
      </c>
      <c r="AH285">
        <v>3494122.02</v>
      </c>
      <c r="AI285" t="s">
        <v>166</v>
      </c>
      <c r="AJ285" t="s">
        <v>152</v>
      </c>
      <c r="AK285" t="s">
        <v>153</v>
      </c>
      <c r="AL285" t="s">
        <v>154</v>
      </c>
      <c r="AM285" t="s">
        <v>119</v>
      </c>
      <c r="AN285" t="s">
        <v>112</v>
      </c>
      <c r="AO285" t="s">
        <v>121</v>
      </c>
      <c r="AP285" t="s">
        <v>122</v>
      </c>
      <c r="AQ285" t="s">
        <v>122</v>
      </c>
      <c r="AR285" t="s">
        <v>124</v>
      </c>
      <c r="AS285" t="s">
        <v>125</v>
      </c>
      <c r="AT285">
        <v>2</v>
      </c>
      <c r="AU285" t="s">
        <v>126</v>
      </c>
      <c r="AV285" t="s">
        <v>155</v>
      </c>
      <c r="AW285" t="s">
        <v>156</v>
      </c>
      <c r="AX285">
        <v>1</v>
      </c>
      <c r="AY285" t="s">
        <v>129</v>
      </c>
      <c r="AZ285">
        <v>37764.6</v>
      </c>
      <c r="BA285">
        <v>3133216</v>
      </c>
      <c r="BB285">
        <v>45404.09</v>
      </c>
      <c r="BC285">
        <v>82.966999999999999</v>
      </c>
      <c r="BD285" t="s">
        <v>130</v>
      </c>
      <c r="BE285" t="s">
        <v>112</v>
      </c>
      <c r="BF285" t="s">
        <v>157</v>
      </c>
      <c r="BG285" t="s">
        <v>133</v>
      </c>
      <c r="BH285" t="s">
        <v>167</v>
      </c>
      <c r="BI285" t="s">
        <v>168</v>
      </c>
      <c r="BJ285" t="s">
        <v>112</v>
      </c>
      <c r="BK285" t="s">
        <v>112</v>
      </c>
      <c r="BL285" t="s">
        <v>169</v>
      </c>
      <c r="BM285" t="s">
        <v>159</v>
      </c>
      <c r="BN285" t="s">
        <v>160</v>
      </c>
      <c r="BO285" t="s">
        <v>161</v>
      </c>
      <c r="BP285">
        <v>1</v>
      </c>
      <c r="BQ285" t="s">
        <v>213</v>
      </c>
      <c r="BR285" s="45">
        <f>ISNUMBER(SEARCH($BR$1,Таблица1[[#This Row],[31_1 Описание и характеристика товара]]))*1</f>
        <v>1</v>
      </c>
      <c r="BT285" t="s">
        <v>150</v>
      </c>
      <c r="BU285">
        <v>33</v>
      </c>
      <c r="BV285">
        <v>0</v>
      </c>
      <c r="BW285">
        <v>0</v>
      </c>
      <c r="BY285">
        <v>0</v>
      </c>
      <c r="CA285" t="s">
        <v>106</v>
      </c>
      <c r="CB285" t="s">
        <v>142</v>
      </c>
      <c r="CC285" t="s">
        <v>112</v>
      </c>
      <c r="CD285" t="s">
        <v>112</v>
      </c>
      <c r="CE285" t="s">
        <v>121</v>
      </c>
      <c r="CF285">
        <v>15659.46</v>
      </c>
      <c r="CG285" t="s">
        <v>144</v>
      </c>
      <c r="CH285">
        <v>4000000</v>
      </c>
      <c r="CI285">
        <v>15391.86</v>
      </c>
      <c r="CJ285">
        <v>0</v>
      </c>
      <c r="CK285" t="s">
        <v>112</v>
      </c>
      <c r="CL285" t="s">
        <v>112</v>
      </c>
      <c r="CM285">
        <v>37764.6</v>
      </c>
      <c r="CN285">
        <v>3133216</v>
      </c>
      <c r="CO285">
        <v>0</v>
      </c>
      <c r="CP285">
        <v>1</v>
      </c>
      <c r="CQ285">
        <v>3494122.02</v>
      </c>
      <c r="CR285">
        <v>45404.09</v>
      </c>
      <c r="CS285" t="s">
        <v>145</v>
      </c>
      <c r="CT285">
        <v>45404.447813999999</v>
      </c>
      <c r="CU285">
        <v>2.9499</v>
      </c>
      <c r="CV285">
        <v>45</v>
      </c>
      <c r="CW285" t="s">
        <v>171</v>
      </c>
      <c r="CX285" t="s">
        <v>172</v>
      </c>
      <c r="CY285">
        <v>224</v>
      </c>
    </row>
    <row r="286" spans="1:103" x14ac:dyDescent="0.25">
      <c r="A286" t="s">
        <v>106</v>
      </c>
      <c r="B286" s="38">
        <v>45211</v>
      </c>
      <c r="C286" s="43">
        <f>IF(YEAR(Таблица1[[#This Row],[Дата]])=2023,MONTH(Таблица1[[#This Row],[Дата]]),0)</f>
        <v>10</v>
      </c>
      <c r="D286" t="s">
        <v>363</v>
      </c>
      <c r="E286" t="s">
        <v>108</v>
      </c>
      <c r="F286" t="s">
        <v>364</v>
      </c>
      <c r="G286" t="s">
        <v>110</v>
      </c>
      <c r="H286" t="s">
        <v>111</v>
      </c>
      <c r="I286" t="s">
        <v>112</v>
      </c>
      <c r="J286" t="s">
        <v>112</v>
      </c>
      <c r="K286" t="s">
        <v>112</v>
      </c>
      <c r="L286" t="s">
        <v>175</v>
      </c>
      <c r="M286" t="s">
        <v>176</v>
      </c>
      <c r="N286" t="s">
        <v>112</v>
      </c>
      <c r="O286" t="s">
        <v>112</v>
      </c>
      <c r="P286">
        <v>1</v>
      </c>
      <c r="Q286">
        <v>0</v>
      </c>
      <c r="R286">
        <v>1</v>
      </c>
      <c r="S286">
        <v>33</v>
      </c>
      <c r="T286" t="s">
        <v>166</v>
      </c>
      <c r="U286" t="s">
        <v>152</v>
      </c>
      <c r="V286" t="s">
        <v>153</v>
      </c>
      <c r="W286" t="s">
        <v>177</v>
      </c>
      <c r="X286" t="s">
        <v>119</v>
      </c>
      <c r="Y286" t="s">
        <v>112</v>
      </c>
      <c r="Z286" t="s">
        <v>166</v>
      </c>
      <c r="AA286" t="s">
        <v>152</v>
      </c>
      <c r="AB286" t="s">
        <v>153</v>
      </c>
      <c r="AC286" t="s">
        <v>177</v>
      </c>
      <c r="AD286" t="s">
        <v>119</v>
      </c>
      <c r="AE286" t="s">
        <v>112</v>
      </c>
      <c r="AF286" t="s">
        <v>121</v>
      </c>
      <c r="AG286" t="s">
        <v>122</v>
      </c>
      <c r="AH286">
        <v>3575170.67</v>
      </c>
      <c r="AI286" t="s">
        <v>166</v>
      </c>
      <c r="AJ286" t="s">
        <v>152</v>
      </c>
      <c r="AK286" t="s">
        <v>153</v>
      </c>
      <c r="AL286" t="s">
        <v>177</v>
      </c>
      <c r="AM286" t="s">
        <v>119</v>
      </c>
      <c r="AN286" t="s">
        <v>112</v>
      </c>
      <c r="AO286" t="s">
        <v>121</v>
      </c>
      <c r="AP286" t="s">
        <v>122</v>
      </c>
      <c r="AQ286" t="s">
        <v>122</v>
      </c>
      <c r="AR286" t="s">
        <v>124</v>
      </c>
      <c r="AS286" t="s">
        <v>125</v>
      </c>
      <c r="AT286">
        <v>2</v>
      </c>
      <c r="AU286" t="s">
        <v>106</v>
      </c>
      <c r="AV286" t="s">
        <v>155</v>
      </c>
      <c r="AW286" t="s">
        <v>156</v>
      </c>
      <c r="AX286">
        <v>1</v>
      </c>
      <c r="AY286" t="s">
        <v>129</v>
      </c>
      <c r="AZ286">
        <v>44760.959999999999</v>
      </c>
      <c r="BA286">
        <v>3327682</v>
      </c>
      <c r="BB286">
        <v>52066.400000000001</v>
      </c>
      <c r="BC286">
        <v>74.343400000000003</v>
      </c>
      <c r="BD286" t="s">
        <v>130</v>
      </c>
      <c r="BE286" t="s">
        <v>112</v>
      </c>
      <c r="BF286" t="s">
        <v>157</v>
      </c>
      <c r="BG286" t="s">
        <v>133</v>
      </c>
      <c r="BH286" t="s">
        <v>134</v>
      </c>
      <c r="BI286" t="s">
        <v>112</v>
      </c>
      <c r="BJ286" t="s">
        <v>178</v>
      </c>
      <c r="BK286" t="s">
        <v>112</v>
      </c>
      <c r="BL286" t="s">
        <v>125</v>
      </c>
      <c r="BM286" t="s">
        <v>179</v>
      </c>
      <c r="BN286" t="s">
        <v>180</v>
      </c>
      <c r="BO286" t="s">
        <v>181</v>
      </c>
      <c r="BP286">
        <v>1</v>
      </c>
      <c r="BQ286" t="s">
        <v>365</v>
      </c>
      <c r="BR286" s="45">
        <f>ISNUMBER(SEARCH($BR$1,Таблица1[[#This Row],[31_1 Описание и характеристика товара]]))*1</f>
        <v>1</v>
      </c>
      <c r="BT286" t="s">
        <v>150</v>
      </c>
      <c r="BU286">
        <v>33</v>
      </c>
      <c r="BV286">
        <v>1</v>
      </c>
      <c r="BW286">
        <v>0</v>
      </c>
      <c r="BY286">
        <v>0</v>
      </c>
      <c r="CA286" t="s">
        <v>106</v>
      </c>
      <c r="CB286" t="s">
        <v>142</v>
      </c>
      <c r="CC286" t="s">
        <v>112</v>
      </c>
      <c r="CD286" t="s">
        <v>112</v>
      </c>
      <c r="CE286" t="s">
        <v>121</v>
      </c>
      <c r="CF286">
        <v>17193.21</v>
      </c>
      <c r="CG286" t="s">
        <v>144</v>
      </c>
      <c r="CH286">
        <v>4000000</v>
      </c>
      <c r="CI286">
        <v>17193.21</v>
      </c>
      <c r="CJ286">
        <v>0</v>
      </c>
      <c r="CK286" t="s">
        <v>112</v>
      </c>
      <c r="CL286" t="s">
        <v>112</v>
      </c>
      <c r="CM286">
        <v>44760.959999999999</v>
      </c>
      <c r="CN286">
        <v>3327682</v>
      </c>
      <c r="CO286">
        <v>0</v>
      </c>
      <c r="CP286">
        <v>1</v>
      </c>
      <c r="CQ286">
        <v>3575170.67</v>
      </c>
      <c r="CR286">
        <v>52066.400000000001</v>
      </c>
      <c r="CS286" t="s">
        <v>145</v>
      </c>
      <c r="CT286">
        <v>52066.197843000002</v>
      </c>
      <c r="CU286">
        <v>3.0283000000000002</v>
      </c>
      <c r="CV286">
        <v>941</v>
      </c>
      <c r="CW286" t="s">
        <v>183</v>
      </c>
      <c r="CX286" t="s">
        <v>147</v>
      </c>
      <c r="CY286">
        <v>201</v>
      </c>
    </row>
    <row r="287" spans="1:103" x14ac:dyDescent="0.25">
      <c r="A287" t="s">
        <v>106</v>
      </c>
      <c r="B287" s="38">
        <v>45011</v>
      </c>
      <c r="C287" s="43">
        <f>IF(YEAR(Таблица1[[#This Row],[Дата]])=2023,MONTH(Таблица1[[#This Row],[Дата]]),0)</f>
        <v>3</v>
      </c>
      <c r="D287" t="s">
        <v>471</v>
      </c>
      <c r="E287" t="s">
        <v>108</v>
      </c>
      <c r="F287" t="s">
        <v>472</v>
      </c>
      <c r="G287" t="s">
        <v>110</v>
      </c>
      <c r="H287" t="s">
        <v>111</v>
      </c>
      <c r="I287" t="s">
        <v>112</v>
      </c>
      <c r="J287" t="s">
        <v>112</v>
      </c>
      <c r="K287" t="s">
        <v>112</v>
      </c>
      <c r="L287" t="s">
        <v>150</v>
      </c>
      <c r="M287" t="s">
        <v>151</v>
      </c>
      <c r="N287" t="s">
        <v>112</v>
      </c>
      <c r="O287" t="s">
        <v>112</v>
      </c>
      <c r="P287">
        <v>1</v>
      </c>
      <c r="R287">
        <v>1</v>
      </c>
      <c r="S287">
        <v>33</v>
      </c>
      <c r="T287" t="s">
        <v>112</v>
      </c>
      <c r="U287" t="s">
        <v>152</v>
      </c>
      <c r="V287" t="s">
        <v>153</v>
      </c>
      <c r="W287" t="s">
        <v>154</v>
      </c>
      <c r="X287" t="s">
        <v>119</v>
      </c>
      <c r="Y287" t="s">
        <v>112</v>
      </c>
      <c r="Z287" t="s">
        <v>112</v>
      </c>
      <c r="AA287" t="s">
        <v>152</v>
      </c>
      <c r="AB287" t="s">
        <v>153</v>
      </c>
      <c r="AC287" t="s">
        <v>154</v>
      </c>
      <c r="AD287" t="s">
        <v>119</v>
      </c>
      <c r="AE287" t="s">
        <v>112</v>
      </c>
      <c r="AF287" t="s">
        <v>121</v>
      </c>
      <c r="AG287" t="s">
        <v>122</v>
      </c>
      <c r="AH287">
        <v>3947838.62</v>
      </c>
      <c r="AI287" t="s">
        <v>112</v>
      </c>
      <c r="AJ287" t="s">
        <v>152</v>
      </c>
      <c r="AK287" t="s">
        <v>153</v>
      </c>
      <c r="AL287" t="s">
        <v>154</v>
      </c>
      <c r="AM287" t="s">
        <v>119</v>
      </c>
      <c r="AN287" t="s">
        <v>112</v>
      </c>
      <c r="AO287" t="s">
        <v>121</v>
      </c>
      <c r="AP287" t="s">
        <v>122</v>
      </c>
      <c r="AQ287" t="s">
        <v>122</v>
      </c>
      <c r="AR287" t="s">
        <v>124</v>
      </c>
      <c r="AS287" t="s">
        <v>125</v>
      </c>
      <c r="AT287">
        <v>2</v>
      </c>
      <c r="AU287" t="s">
        <v>126</v>
      </c>
      <c r="AV287" t="s">
        <v>155</v>
      </c>
      <c r="AW287" t="s">
        <v>156</v>
      </c>
      <c r="AY287" t="s">
        <v>129</v>
      </c>
      <c r="AZ287">
        <v>35287.56</v>
      </c>
      <c r="BC287">
        <v>100.51130000000001</v>
      </c>
      <c r="BD287" t="s">
        <v>112</v>
      </c>
      <c r="BE287" t="s">
        <v>112</v>
      </c>
      <c r="BF287" t="s">
        <v>157</v>
      </c>
      <c r="BG287" t="s">
        <v>133</v>
      </c>
      <c r="BH287" t="s">
        <v>134</v>
      </c>
      <c r="BI287" t="s">
        <v>112</v>
      </c>
      <c r="BJ287" t="s">
        <v>112</v>
      </c>
      <c r="BK287" t="s">
        <v>112</v>
      </c>
      <c r="BL287" t="s">
        <v>158</v>
      </c>
      <c r="BM287" t="s">
        <v>159</v>
      </c>
      <c r="BN287" t="s">
        <v>212</v>
      </c>
      <c r="BO287" t="s">
        <v>161</v>
      </c>
      <c r="BQ287" t="s">
        <v>213</v>
      </c>
      <c r="BR287" s="45">
        <f>ISNUMBER(SEARCH($BR$1,Таблица1[[#This Row],[31_1 Описание и характеристика товара]]))*1</f>
        <v>1</v>
      </c>
      <c r="BT287" t="s">
        <v>150</v>
      </c>
      <c r="BU287">
        <v>33</v>
      </c>
      <c r="BV287">
        <v>0</v>
      </c>
      <c r="BW287">
        <v>0</v>
      </c>
      <c r="BY287">
        <v>0</v>
      </c>
      <c r="CA287" t="s">
        <v>106</v>
      </c>
      <c r="CB287" t="s">
        <v>142</v>
      </c>
      <c r="CC287" t="s">
        <v>112</v>
      </c>
      <c r="CD287" t="s">
        <v>112</v>
      </c>
      <c r="CE287" t="s">
        <v>121</v>
      </c>
      <c r="CF287">
        <v>17353.91</v>
      </c>
      <c r="CG287" t="s">
        <v>144</v>
      </c>
      <c r="CH287">
        <v>4000000</v>
      </c>
      <c r="CI287">
        <v>17353.91</v>
      </c>
      <c r="CJ287">
        <v>0</v>
      </c>
      <c r="CK287" t="s">
        <v>112</v>
      </c>
      <c r="CL287" t="s">
        <v>112</v>
      </c>
      <c r="CM287">
        <v>35287.56</v>
      </c>
      <c r="CO287">
        <v>0</v>
      </c>
      <c r="CP287">
        <v>1</v>
      </c>
      <c r="CQ287">
        <v>3947838.62</v>
      </c>
      <c r="CR287">
        <v>43048.76</v>
      </c>
      <c r="CS287" t="s">
        <v>145</v>
      </c>
      <c r="CT287">
        <v>43037.696799999998</v>
      </c>
      <c r="CU287">
        <v>2.48</v>
      </c>
      <c r="CV287">
        <v>45</v>
      </c>
      <c r="CX287" t="s">
        <v>163</v>
      </c>
      <c r="CY287">
        <v>221</v>
      </c>
    </row>
    <row r="288" spans="1:103" x14ac:dyDescent="0.25">
      <c r="A288" t="s">
        <v>106</v>
      </c>
      <c r="B288" s="38">
        <v>44620</v>
      </c>
      <c r="C288" s="43">
        <f>IF(YEAR(Таблица1[[#This Row],[Дата]])=2023,MONTH(Таблица1[[#This Row],[Дата]]),0)</f>
        <v>0</v>
      </c>
      <c r="D288" t="s">
        <v>496</v>
      </c>
      <c r="E288" t="s">
        <v>108</v>
      </c>
      <c r="F288" t="s">
        <v>497</v>
      </c>
      <c r="G288" t="s">
        <v>110</v>
      </c>
      <c r="H288" t="s">
        <v>111</v>
      </c>
      <c r="I288" t="s">
        <v>112</v>
      </c>
      <c r="J288" t="s">
        <v>112</v>
      </c>
      <c r="K288" t="s">
        <v>112</v>
      </c>
      <c r="L288" t="s">
        <v>150</v>
      </c>
      <c r="M288" t="s">
        <v>151</v>
      </c>
      <c r="N288" t="s">
        <v>112</v>
      </c>
      <c r="O288" t="s">
        <v>112</v>
      </c>
      <c r="P288">
        <v>1</v>
      </c>
      <c r="R288">
        <v>1</v>
      </c>
      <c r="S288">
        <v>36</v>
      </c>
      <c r="T288" t="s">
        <v>112</v>
      </c>
      <c r="U288" t="s">
        <v>152</v>
      </c>
      <c r="V288" t="s">
        <v>153</v>
      </c>
      <c r="W288" t="s">
        <v>154</v>
      </c>
      <c r="X288" t="s">
        <v>119</v>
      </c>
      <c r="Y288" t="s">
        <v>112</v>
      </c>
      <c r="Z288" t="s">
        <v>112</v>
      </c>
      <c r="AA288" t="s">
        <v>152</v>
      </c>
      <c r="AB288" t="s">
        <v>153</v>
      </c>
      <c r="AC288" t="s">
        <v>154</v>
      </c>
      <c r="AD288" t="s">
        <v>119</v>
      </c>
      <c r="AE288" t="s">
        <v>112</v>
      </c>
      <c r="AF288" t="s">
        <v>121</v>
      </c>
      <c r="AG288" t="s">
        <v>122</v>
      </c>
      <c r="AH288">
        <v>5037682.6500000004</v>
      </c>
      <c r="AI288" t="s">
        <v>112</v>
      </c>
      <c r="AJ288" t="s">
        <v>152</v>
      </c>
      <c r="AK288" t="s">
        <v>153</v>
      </c>
      <c r="AL288" t="s">
        <v>154</v>
      </c>
      <c r="AM288" t="s">
        <v>119</v>
      </c>
      <c r="AN288" t="s">
        <v>112</v>
      </c>
      <c r="AO288" t="s">
        <v>121</v>
      </c>
      <c r="AP288" t="s">
        <v>122</v>
      </c>
      <c r="AQ288" t="s">
        <v>122</v>
      </c>
      <c r="AR288" t="s">
        <v>124</v>
      </c>
      <c r="AS288" t="s">
        <v>125</v>
      </c>
      <c r="AT288">
        <v>2</v>
      </c>
      <c r="AU288" t="s">
        <v>126</v>
      </c>
      <c r="AV288" t="s">
        <v>155</v>
      </c>
      <c r="AW288" t="s">
        <v>156</v>
      </c>
      <c r="AY288" t="s">
        <v>129</v>
      </c>
      <c r="AZ288">
        <v>46130.559999999998</v>
      </c>
      <c r="BC288">
        <v>100.51130000000001</v>
      </c>
      <c r="BD288" t="s">
        <v>112</v>
      </c>
      <c r="BE288" t="s">
        <v>112</v>
      </c>
      <c r="BF288" t="s">
        <v>157</v>
      </c>
      <c r="BG288" t="s">
        <v>133</v>
      </c>
      <c r="BH288" t="s">
        <v>134</v>
      </c>
      <c r="BI288" t="s">
        <v>112</v>
      </c>
      <c r="BJ288" t="s">
        <v>112</v>
      </c>
      <c r="BK288" t="s">
        <v>112</v>
      </c>
      <c r="BL288" t="s">
        <v>158</v>
      </c>
      <c r="BM288" t="s">
        <v>159</v>
      </c>
      <c r="BN288" t="s">
        <v>212</v>
      </c>
      <c r="BO288" t="s">
        <v>161</v>
      </c>
      <c r="BQ288" t="s">
        <v>213</v>
      </c>
      <c r="BR288" s="45">
        <f>ISNUMBER(SEARCH($BR$1,Таблица1[[#This Row],[31_1 Описание и характеристика товара]]))*1</f>
        <v>1</v>
      </c>
      <c r="BT288" t="s">
        <v>150</v>
      </c>
      <c r="BU288">
        <v>36</v>
      </c>
      <c r="BV288">
        <v>0</v>
      </c>
      <c r="BW288">
        <v>0</v>
      </c>
      <c r="BY288">
        <v>0</v>
      </c>
      <c r="CA288" t="s">
        <v>106</v>
      </c>
      <c r="CB288" t="s">
        <v>142</v>
      </c>
      <c r="CC288" t="s">
        <v>112</v>
      </c>
      <c r="CD288" t="s">
        <v>112</v>
      </c>
      <c r="CE288" t="s">
        <v>121</v>
      </c>
      <c r="CF288">
        <v>19138.13</v>
      </c>
      <c r="CG288" t="s">
        <v>144</v>
      </c>
      <c r="CH288">
        <v>4000000</v>
      </c>
      <c r="CI288">
        <v>19138.13</v>
      </c>
      <c r="CJ288">
        <v>0</v>
      </c>
      <c r="CK288" t="s">
        <v>112</v>
      </c>
      <c r="CL288" t="s">
        <v>112</v>
      </c>
      <c r="CM288">
        <v>46130.559999999998</v>
      </c>
      <c r="CO288">
        <v>0</v>
      </c>
      <c r="CP288">
        <v>1</v>
      </c>
      <c r="CQ288">
        <v>5037682.6500000004</v>
      </c>
      <c r="CR288">
        <v>54932.85</v>
      </c>
      <c r="CS288" t="s">
        <v>145</v>
      </c>
      <c r="CT288">
        <v>54926.433100000002</v>
      </c>
      <c r="CU288">
        <v>2.87</v>
      </c>
      <c r="CV288">
        <v>45</v>
      </c>
      <c r="CX288" t="s">
        <v>233</v>
      </c>
      <c r="CY288">
        <v>150</v>
      </c>
    </row>
    <row r="289" spans="1:103" x14ac:dyDescent="0.25">
      <c r="A289" t="s">
        <v>106</v>
      </c>
      <c r="B289" s="38">
        <v>44658</v>
      </c>
      <c r="C289" s="43">
        <f>IF(YEAR(Таблица1[[#This Row],[Дата]])=2023,MONTH(Таблица1[[#This Row],[Дата]]),0)</f>
        <v>0</v>
      </c>
      <c r="D289" t="s">
        <v>275</v>
      </c>
      <c r="E289" t="s">
        <v>108</v>
      </c>
      <c r="F289" t="s">
        <v>276</v>
      </c>
      <c r="G289" t="s">
        <v>110</v>
      </c>
      <c r="H289" t="s">
        <v>111</v>
      </c>
      <c r="I289" t="s">
        <v>112</v>
      </c>
      <c r="J289" t="s">
        <v>112</v>
      </c>
      <c r="K289" t="s">
        <v>112</v>
      </c>
      <c r="L289" t="s">
        <v>150</v>
      </c>
      <c r="M289" t="s">
        <v>151</v>
      </c>
      <c r="N289" t="s">
        <v>112</v>
      </c>
      <c r="O289" t="s">
        <v>112</v>
      </c>
      <c r="P289">
        <v>1</v>
      </c>
      <c r="R289">
        <v>1</v>
      </c>
      <c r="S289">
        <v>33</v>
      </c>
      <c r="T289" t="s">
        <v>112</v>
      </c>
      <c r="U289" t="s">
        <v>152</v>
      </c>
      <c r="V289" t="s">
        <v>153</v>
      </c>
      <c r="W289" t="s">
        <v>154</v>
      </c>
      <c r="X289" t="s">
        <v>119</v>
      </c>
      <c r="Y289" t="s">
        <v>112</v>
      </c>
      <c r="Z289" t="s">
        <v>112</v>
      </c>
      <c r="AA289" t="s">
        <v>152</v>
      </c>
      <c r="AB289" t="s">
        <v>153</v>
      </c>
      <c r="AC289" t="s">
        <v>154</v>
      </c>
      <c r="AD289" t="s">
        <v>119</v>
      </c>
      <c r="AE289" t="s">
        <v>112</v>
      </c>
      <c r="AF289" t="s">
        <v>121</v>
      </c>
      <c r="AG289" t="s">
        <v>122</v>
      </c>
      <c r="AH289">
        <v>4185998.13</v>
      </c>
      <c r="AI289" t="s">
        <v>112</v>
      </c>
      <c r="AJ289" t="s">
        <v>152</v>
      </c>
      <c r="AK289" t="s">
        <v>153</v>
      </c>
      <c r="AL289" t="s">
        <v>154</v>
      </c>
      <c r="AM289" t="s">
        <v>119</v>
      </c>
      <c r="AN289" t="s">
        <v>112</v>
      </c>
      <c r="AO289" t="s">
        <v>121</v>
      </c>
      <c r="AP289" t="s">
        <v>122</v>
      </c>
      <c r="AQ289" t="s">
        <v>122</v>
      </c>
      <c r="AR289" t="s">
        <v>124</v>
      </c>
      <c r="AS289" t="s">
        <v>125</v>
      </c>
      <c r="AT289">
        <v>2</v>
      </c>
      <c r="AU289" t="s">
        <v>126</v>
      </c>
      <c r="AV289" t="s">
        <v>155</v>
      </c>
      <c r="AW289" t="s">
        <v>156</v>
      </c>
      <c r="AY289" t="s">
        <v>129</v>
      </c>
      <c r="AZ289">
        <v>37657.040000000001</v>
      </c>
      <c r="BC289">
        <v>100.51130000000001</v>
      </c>
      <c r="BD289" t="s">
        <v>112</v>
      </c>
      <c r="BE289" t="s">
        <v>112</v>
      </c>
      <c r="BF289" t="s">
        <v>157</v>
      </c>
      <c r="BG289" t="s">
        <v>133</v>
      </c>
      <c r="BH289" t="s">
        <v>134</v>
      </c>
      <c r="BI289" t="s">
        <v>112</v>
      </c>
      <c r="BJ289" t="s">
        <v>112</v>
      </c>
      <c r="BK289" t="s">
        <v>112</v>
      </c>
      <c r="BL289" t="s">
        <v>158</v>
      </c>
      <c r="BM289" t="s">
        <v>159</v>
      </c>
      <c r="BN289" t="s">
        <v>212</v>
      </c>
      <c r="BO289" t="s">
        <v>161</v>
      </c>
      <c r="BQ289" t="s">
        <v>162</v>
      </c>
      <c r="BR289" s="45">
        <f>ISNUMBER(SEARCH($BR$1,Таблица1[[#This Row],[31_1 Описание и характеристика товара]]))*1</f>
        <v>1</v>
      </c>
      <c r="BT289" t="s">
        <v>150</v>
      </c>
      <c r="BU289">
        <v>33</v>
      </c>
      <c r="BV289">
        <v>0</v>
      </c>
      <c r="BW289">
        <v>0</v>
      </c>
      <c r="BY289">
        <v>0</v>
      </c>
      <c r="CA289" t="s">
        <v>106</v>
      </c>
      <c r="CB289" t="s">
        <v>142</v>
      </c>
      <c r="CC289" t="s">
        <v>112</v>
      </c>
      <c r="CD289" t="s">
        <v>112</v>
      </c>
      <c r="CE289" t="s">
        <v>121</v>
      </c>
      <c r="CF289">
        <v>17221.919999999998</v>
      </c>
      <c r="CG289" t="s">
        <v>144</v>
      </c>
      <c r="CH289">
        <v>4000000</v>
      </c>
      <c r="CI289">
        <v>17203.919999999998</v>
      </c>
      <c r="CJ289">
        <v>0</v>
      </c>
      <c r="CK289" t="s">
        <v>112</v>
      </c>
      <c r="CL289" t="s">
        <v>112</v>
      </c>
      <c r="CM289">
        <v>37657.040000000001</v>
      </c>
      <c r="CO289">
        <v>0</v>
      </c>
      <c r="CP289">
        <v>1</v>
      </c>
      <c r="CQ289">
        <v>4185998.13</v>
      </c>
      <c r="CR289">
        <v>45645.75</v>
      </c>
      <c r="CS289" t="s">
        <v>145</v>
      </c>
      <c r="CT289">
        <v>45590.387999999992</v>
      </c>
      <c r="CU289">
        <v>2.65</v>
      </c>
      <c r="CV289">
        <v>45</v>
      </c>
      <c r="CX289" t="s">
        <v>163</v>
      </c>
      <c r="CY289">
        <v>128</v>
      </c>
    </row>
    <row r="290" spans="1:103" x14ac:dyDescent="0.25">
      <c r="A290" t="s">
        <v>106</v>
      </c>
      <c r="B290" s="38">
        <v>45161</v>
      </c>
      <c r="C290" s="43">
        <f>IF(YEAR(Таблица1[[#This Row],[Дата]])=2023,MONTH(Таблица1[[#This Row],[Дата]]),0)</f>
        <v>8</v>
      </c>
      <c r="D290" t="s">
        <v>346</v>
      </c>
      <c r="E290" t="s">
        <v>108</v>
      </c>
      <c r="F290" t="s">
        <v>347</v>
      </c>
      <c r="G290" t="s">
        <v>110</v>
      </c>
      <c r="H290" t="s">
        <v>111</v>
      </c>
      <c r="I290" t="s">
        <v>112</v>
      </c>
      <c r="J290" t="s">
        <v>112</v>
      </c>
      <c r="K290" t="s">
        <v>112</v>
      </c>
      <c r="L290" t="s">
        <v>150</v>
      </c>
      <c r="M290" t="s">
        <v>151</v>
      </c>
      <c r="N290" t="s">
        <v>112</v>
      </c>
      <c r="O290" t="s">
        <v>112</v>
      </c>
      <c r="P290">
        <v>1</v>
      </c>
      <c r="R290">
        <v>1</v>
      </c>
      <c r="S290">
        <v>33</v>
      </c>
      <c r="T290" t="s">
        <v>112</v>
      </c>
      <c r="U290" t="s">
        <v>152</v>
      </c>
      <c r="V290" t="s">
        <v>153</v>
      </c>
      <c r="W290" t="s">
        <v>154</v>
      </c>
      <c r="X290" t="s">
        <v>119</v>
      </c>
      <c r="Y290" t="s">
        <v>112</v>
      </c>
      <c r="Z290" t="s">
        <v>112</v>
      </c>
      <c r="AA290" t="s">
        <v>152</v>
      </c>
      <c r="AB290" t="s">
        <v>153</v>
      </c>
      <c r="AC290" t="s">
        <v>154</v>
      </c>
      <c r="AD290" t="s">
        <v>119</v>
      </c>
      <c r="AE290" t="s">
        <v>112</v>
      </c>
      <c r="AF290" t="s">
        <v>121</v>
      </c>
      <c r="AG290" t="s">
        <v>122</v>
      </c>
      <c r="AH290">
        <v>4459975.8600000003</v>
      </c>
      <c r="AI290" t="s">
        <v>112</v>
      </c>
      <c r="AJ290" t="s">
        <v>152</v>
      </c>
      <c r="AK290" t="s">
        <v>153</v>
      </c>
      <c r="AL290" t="s">
        <v>154</v>
      </c>
      <c r="AM290" t="s">
        <v>119</v>
      </c>
      <c r="AN290" t="s">
        <v>112</v>
      </c>
      <c r="AO290" t="s">
        <v>121</v>
      </c>
      <c r="AP290" t="s">
        <v>122</v>
      </c>
      <c r="AQ290" t="s">
        <v>122</v>
      </c>
      <c r="AR290" t="s">
        <v>124</v>
      </c>
      <c r="AS290" t="s">
        <v>125</v>
      </c>
      <c r="AT290">
        <v>2</v>
      </c>
      <c r="AU290" t="s">
        <v>126</v>
      </c>
      <c r="AV290" t="s">
        <v>155</v>
      </c>
      <c r="AW290" t="s">
        <v>156</v>
      </c>
      <c r="AY290" t="s">
        <v>129</v>
      </c>
      <c r="AZ290">
        <v>39852.879999999997</v>
      </c>
      <c r="BC290">
        <v>100.51130000000001</v>
      </c>
      <c r="BD290" t="s">
        <v>112</v>
      </c>
      <c r="BE290" t="s">
        <v>112</v>
      </c>
      <c r="BF290" t="s">
        <v>157</v>
      </c>
      <c r="BG290" t="s">
        <v>133</v>
      </c>
      <c r="BH290" t="s">
        <v>167</v>
      </c>
      <c r="BI290" t="s">
        <v>112</v>
      </c>
      <c r="BJ290" t="s">
        <v>112</v>
      </c>
      <c r="BK290" t="s">
        <v>112</v>
      </c>
      <c r="BL290" t="s">
        <v>158</v>
      </c>
      <c r="BM290" t="s">
        <v>159</v>
      </c>
      <c r="BN290" t="s">
        <v>160</v>
      </c>
      <c r="BO290" t="s">
        <v>161</v>
      </c>
      <c r="BQ290" t="s">
        <v>213</v>
      </c>
      <c r="BR290" s="45">
        <f>ISNUMBER(SEARCH($BR$1,Таблица1[[#This Row],[31_1 Описание и характеристика товара]]))*1</f>
        <v>1</v>
      </c>
      <c r="BT290" t="s">
        <v>150</v>
      </c>
      <c r="BU290">
        <v>33</v>
      </c>
      <c r="BV290">
        <v>0</v>
      </c>
      <c r="BW290">
        <v>0</v>
      </c>
      <c r="BY290">
        <v>0</v>
      </c>
      <c r="CA290" t="s">
        <v>106</v>
      </c>
      <c r="CB290" t="s">
        <v>142</v>
      </c>
      <c r="CC290" t="s">
        <v>112</v>
      </c>
      <c r="CD290" t="s">
        <v>112</v>
      </c>
      <c r="CE290" t="s">
        <v>121</v>
      </c>
      <c r="CF290">
        <v>17715.439999999999</v>
      </c>
      <c r="CG290" t="s">
        <v>144</v>
      </c>
      <c r="CH290">
        <v>4000000</v>
      </c>
      <c r="CI290">
        <v>17715.439999999999</v>
      </c>
      <c r="CJ290">
        <v>0</v>
      </c>
      <c r="CK290" t="s">
        <v>112</v>
      </c>
      <c r="CL290" t="s">
        <v>112</v>
      </c>
      <c r="CM290">
        <v>39852.879999999997</v>
      </c>
      <c r="CO290">
        <v>0</v>
      </c>
      <c r="CP290">
        <v>1</v>
      </c>
      <c r="CQ290">
        <v>4459975.8600000003</v>
      </c>
      <c r="CR290">
        <v>48633.31</v>
      </c>
      <c r="CS290" t="s">
        <v>145</v>
      </c>
      <c r="CT290">
        <v>48717.46</v>
      </c>
      <c r="CU290">
        <v>2.75</v>
      </c>
      <c r="CV290">
        <v>45</v>
      </c>
      <c r="CX290" t="s">
        <v>233</v>
      </c>
      <c r="CY290">
        <v>60</v>
      </c>
    </row>
    <row r="291" spans="1:103" x14ac:dyDescent="0.25">
      <c r="A291" s="8" t="s">
        <v>106</v>
      </c>
      <c r="B291" s="38">
        <v>44803</v>
      </c>
      <c r="C291" s="43">
        <f>IF(YEAR(Таблица1[[#This Row],[Дата]])=2023,MONTH(Таблица1[[#This Row],[Дата]]),0)</f>
        <v>0</v>
      </c>
      <c r="D291" s="8" t="s">
        <v>2498</v>
      </c>
      <c r="E291" s="8" t="s">
        <v>108</v>
      </c>
      <c r="F291" s="8" t="s">
        <v>2499</v>
      </c>
      <c r="G291" t="s">
        <v>110</v>
      </c>
      <c r="H291" s="8" t="s">
        <v>111</v>
      </c>
      <c r="I291" s="8" t="s">
        <v>112</v>
      </c>
      <c r="J291" s="8" t="s">
        <v>112</v>
      </c>
      <c r="K291" s="8" t="s">
        <v>112</v>
      </c>
      <c r="L291" s="8" t="s">
        <v>2500</v>
      </c>
      <c r="M291" s="8" t="s">
        <v>2501</v>
      </c>
      <c r="N291" s="8" t="s">
        <v>112</v>
      </c>
      <c r="O291" s="8" t="s">
        <v>112</v>
      </c>
      <c r="P291">
        <v>3</v>
      </c>
      <c r="Q291">
        <v>0</v>
      </c>
      <c r="R291">
        <v>5</v>
      </c>
      <c r="S291">
        <v>5</v>
      </c>
      <c r="T291" s="8" t="s">
        <v>2502</v>
      </c>
      <c r="U291" s="8" t="s">
        <v>2503</v>
      </c>
      <c r="V291" s="8" t="s">
        <v>2504</v>
      </c>
      <c r="W291" s="8" t="s">
        <v>2505</v>
      </c>
      <c r="X291" s="8" t="s">
        <v>119</v>
      </c>
      <c r="Y291" s="8" t="s">
        <v>2506</v>
      </c>
      <c r="Z291" s="8" t="s">
        <v>2502</v>
      </c>
      <c r="AA291" s="8" t="s">
        <v>2503</v>
      </c>
      <c r="AB291" s="8" t="s">
        <v>2504</v>
      </c>
      <c r="AC291" s="8" t="s">
        <v>2505</v>
      </c>
      <c r="AD291" s="8" t="s">
        <v>119</v>
      </c>
      <c r="AE291" s="8" t="s">
        <v>2506</v>
      </c>
      <c r="AF291" s="8" t="s">
        <v>2507</v>
      </c>
      <c r="AG291" s="8" t="s">
        <v>2508</v>
      </c>
      <c r="AH291">
        <v>1435627.4</v>
      </c>
      <c r="AI291" s="8" t="s">
        <v>2502</v>
      </c>
      <c r="AJ291" s="8" t="s">
        <v>2503</v>
      </c>
      <c r="AK291" s="8" t="s">
        <v>2504</v>
      </c>
      <c r="AL291" s="8" t="s">
        <v>2505</v>
      </c>
      <c r="AM291" s="8" t="s">
        <v>119</v>
      </c>
      <c r="AN291" s="8" t="s">
        <v>2506</v>
      </c>
      <c r="AO291" s="8" t="s">
        <v>2507</v>
      </c>
      <c r="AP291" s="8" t="s">
        <v>2508</v>
      </c>
      <c r="AQ291" s="8" t="s">
        <v>2397</v>
      </c>
      <c r="AR291" s="8" t="s">
        <v>124</v>
      </c>
      <c r="AS291" s="8" t="s">
        <v>125</v>
      </c>
      <c r="AT291">
        <v>2</v>
      </c>
      <c r="AU291" s="8" t="s">
        <v>126</v>
      </c>
      <c r="AV291" s="8" t="s">
        <v>155</v>
      </c>
      <c r="AW291" s="8" t="s">
        <v>2509</v>
      </c>
      <c r="AX291">
        <v>1</v>
      </c>
      <c r="AY291" s="8" t="s">
        <v>129</v>
      </c>
      <c r="AZ291">
        <v>18743.400000000001</v>
      </c>
      <c r="BA291">
        <v>1407468</v>
      </c>
      <c r="BB291">
        <v>20356.12</v>
      </c>
      <c r="BC291">
        <v>75.091399999999894</v>
      </c>
      <c r="BD291" s="8" t="s">
        <v>130</v>
      </c>
      <c r="BE291" s="8" t="s">
        <v>131</v>
      </c>
      <c r="BF291" s="8" t="s">
        <v>112</v>
      </c>
      <c r="BG291" s="8" t="s">
        <v>133</v>
      </c>
      <c r="BH291" s="8" t="s">
        <v>167</v>
      </c>
      <c r="BI291" s="8" t="s">
        <v>2426</v>
      </c>
      <c r="BJ291" s="8" t="s">
        <v>112</v>
      </c>
      <c r="BK291" s="8" t="s">
        <v>2510</v>
      </c>
      <c r="BL291" s="8" t="s">
        <v>135</v>
      </c>
      <c r="BM291" s="8" t="s">
        <v>2511</v>
      </c>
      <c r="BN291" s="8" t="s">
        <v>2512</v>
      </c>
      <c r="BO291" s="8" t="s">
        <v>2430</v>
      </c>
      <c r="BP291">
        <v>2</v>
      </c>
      <c r="BQ291" s="8" t="s">
        <v>2513</v>
      </c>
      <c r="BR291" s="45">
        <f>ISNUMBER(SEARCH($BR$1,Таблица1[[#This Row],[31_1 Описание и характеристика товара]]))*1</f>
        <v>0</v>
      </c>
      <c r="BT291" s="8" t="s">
        <v>2514</v>
      </c>
      <c r="BU291">
        <v>2</v>
      </c>
      <c r="BV291">
        <v>0</v>
      </c>
      <c r="BW291">
        <v>2</v>
      </c>
      <c r="BX291" t="s">
        <v>2147</v>
      </c>
      <c r="BY291">
        <v>0</v>
      </c>
      <c r="CA291" s="8" t="s">
        <v>2515</v>
      </c>
      <c r="CB291" s="8" t="s">
        <v>2148</v>
      </c>
      <c r="CC291" s="8" t="s">
        <v>112</v>
      </c>
      <c r="CD291" s="8" t="s">
        <v>112</v>
      </c>
      <c r="CE291" s="8" t="s">
        <v>2396</v>
      </c>
      <c r="CF291">
        <v>365</v>
      </c>
      <c r="CG291" t="s">
        <v>144</v>
      </c>
      <c r="CH291">
        <v>4000000</v>
      </c>
      <c r="CI291">
        <v>365</v>
      </c>
      <c r="CJ291">
        <v>0</v>
      </c>
      <c r="CK291" s="8" t="s">
        <v>112</v>
      </c>
      <c r="CL291" s="8" t="s">
        <v>112</v>
      </c>
      <c r="CM291">
        <v>12788</v>
      </c>
      <c r="CN291">
        <v>960269</v>
      </c>
      <c r="CO291">
        <v>0</v>
      </c>
      <c r="CP291">
        <v>1</v>
      </c>
      <c r="CQ291">
        <v>975512.37</v>
      </c>
      <c r="CR291">
        <v>13832.03</v>
      </c>
      <c r="CS291" s="8" t="s">
        <v>145</v>
      </c>
      <c r="CT291">
        <v>37.896000000000001</v>
      </c>
      <c r="CX291" t="s">
        <v>2516</v>
      </c>
      <c r="CY291">
        <v>233</v>
      </c>
    </row>
    <row r="292" spans="1:103" x14ac:dyDescent="0.25">
      <c r="A292" s="8" t="s">
        <v>106</v>
      </c>
      <c r="B292" s="38">
        <v>45024</v>
      </c>
      <c r="C292" s="43">
        <f>IF(YEAR(Таблица1[[#This Row],[Дата]])=2023,MONTH(Таблица1[[#This Row],[Дата]]),0)</f>
        <v>4</v>
      </c>
      <c r="D292" s="8" t="s">
        <v>2813</v>
      </c>
      <c r="E292" s="8" t="s">
        <v>108</v>
      </c>
      <c r="F292" s="8" t="s">
        <v>2814</v>
      </c>
      <c r="G292" t="s">
        <v>110</v>
      </c>
      <c r="H292" s="8" t="s">
        <v>111</v>
      </c>
      <c r="I292" s="8" t="s">
        <v>112</v>
      </c>
      <c r="J292" s="8" t="s">
        <v>112</v>
      </c>
      <c r="K292" s="8" t="s">
        <v>112</v>
      </c>
      <c r="L292" s="8" t="s">
        <v>2134</v>
      </c>
      <c r="M292" s="8" t="s">
        <v>2135</v>
      </c>
      <c r="N292" s="8" t="s">
        <v>112</v>
      </c>
      <c r="O292" s="8" t="s">
        <v>112</v>
      </c>
      <c r="P292">
        <v>9</v>
      </c>
      <c r="Q292">
        <v>0</v>
      </c>
      <c r="R292">
        <v>24</v>
      </c>
      <c r="S292">
        <v>52</v>
      </c>
      <c r="T292" s="8" t="s">
        <v>2136</v>
      </c>
      <c r="U292" s="8" t="s">
        <v>2137</v>
      </c>
      <c r="V292" s="8" t="s">
        <v>2138</v>
      </c>
      <c r="W292" s="8" t="s">
        <v>2139</v>
      </c>
      <c r="X292" s="8" t="s">
        <v>119</v>
      </c>
      <c r="Y292" s="8" t="s">
        <v>2140</v>
      </c>
      <c r="Z292" s="8" t="s">
        <v>2136</v>
      </c>
      <c r="AA292" s="8" t="s">
        <v>2137</v>
      </c>
      <c r="AB292" s="8" t="s">
        <v>2141</v>
      </c>
      <c r="AC292" s="8" t="s">
        <v>2139</v>
      </c>
      <c r="AD292" s="8" t="s">
        <v>119</v>
      </c>
      <c r="AE292" s="8" t="s">
        <v>2140</v>
      </c>
      <c r="AF292" s="8" t="s">
        <v>2142</v>
      </c>
      <c r="AG292" s="8" t="s">
        <v>2143</v>
      </c>
      <c r="AH292">
        <v>7494882.75</v>
      </c>
      <c r="AI292" s="8" t="s">
        <v>2136</v>
      </c>
      <c r="AJ292" s="8" t="s">
        <v>2137</v>
      </c>
      <c r="AK292" s="8" t="s">
        <v>2141</v>
      </c>
      <c r="AL292" s="8" t="s">
        <v>2139</v>
      </c>
      <c r="AM292" s="8" t="s">
        <v>119</v>
      </c>
      <c r="AN292" s="8" t="s">
        <v>2140</v>
      </c>
      <c r="AO292" s="8" t="s">
        <v>2142</v>
      </c>
      <c r="AP292" s="8" t="s">
        <v>2143</v>
      </c>
      <c r="AQ292" s="8" t="s">
        <v>2143</v>
      </c>
      <c r="AR292" s="8" t="s">
        <v>124</v>
      </c>
      <c r="AS292" s="8" t="s">
        <v>125</v>
      </c>
      <c r="AT292">
        <v>1</v>
      </c>
      <c r="AU292" s="8" t="s">
        <v>106</v>
      </c>
      <c r="AV292" s="8" t="s">
        <v>127</v>
      </c>
      <c r="AW292" s="8" t="s">
        <v>2144</v>
      </c>
      <c r="AX292">
        <v>0</v>
      </c>
      <c r="AY292" s="8" t="s">
        <v>129</v>
      </c>
      <c r="AZ292">
        <v>96034.55</v>
      </c>
      <c r="BA292">
        <v>7211369</v>
      </c>
      <c r="BB292">
        <v>106271.79</v>
      </c>
      <c r="BC292">
        <v>75.091399999999894</v>
      </c>
      <c r="BD292" s="8" t="s">
        <v>130</v>
      </c>
      <c r="BE292" s="8" t="s">
        <v>111</v>
      </c>
      <c r="BF292" s="8" t="s">
        <v>2145</v>
      </c>
      <c r="BG292" s="8" t="s">
        <v>133</v>
      </c>
      <c r="BH292" s="8" t="s">
        <v>167</v>
      </c>
      <c r="BI292" s="8" t="s">
        <v>2255</v>
      </c>
      <c r="BJ292" s="8" t="s">
        <v>112</v>
      </c>
      <c r="BK292" s="8" t="s">
        <v>112</v>
      </c>
      <c r="BL292" s="8" t="s">
        <v>169</v>
      </c>
      <c r="BM292" s="8" t="s">
        <v>159</v>
      </c>
      <c r="BN292" s="8" t="s">
        <v>160</v>
      </c>
      <c r="BO292" s="8" t="s">
        <v>161</v>
      </c>
      <c r="BP292">
        <v>1</v>
      </c>
      <c r="BQ292" s="8" t="s">
        <v>2815</v>
      </c>
      <c r="BR292" s="45">
        <f>ISNUMBER(SEARCH($BR$1,Таблица1[[#This Row],[31_1 Описание и характеристика товара]]))*1</f>
        <v>0</v>
      </c>
      <c r="BT292" s="8" t="s">
        <v>2816</v>
      </c>
      <c r="BU292">
        <v>52</v>
      </c>
      <c r="BV292">
        <v>1</v>
      </c>
      <c r="BW292">
        <v>308</v>
      </c>
      <c r="BX292" t="s">
        <v>2147</v>
      </c>
      <c r="BY292">
        <v>0</v>
      </c>
      <c r="CA292" s="8" t="s">
        <v>106</v>
      </c>
      <c r="CB292" s="8" t="s">
        <v>2148</v>
      </c>
      <c r="CC292" s="8" t="s">
        <v>112</v>
      </c>
      <c r="CD292" s="8" t="s">
        <v>112</v>
      </c>
      <c r="CE292" s="8" t="s">
        <v>2142</v>
      </c>
      <c r="CF292">
        <v>10332</v>
      </c>
      <c r="CG292" t="s">
        <v>144</v>
      </c>
      <c r="CH292">
        <v>4000000</v>
      </c>
      <c r="CI292">
        <v>10034</v>
      </c>
      <c r="CJ292">
        <v>0</v>
      </c>
      <c r="CK292" s="8" t="s">
        <v>112</v>
      </c>
      <c r="CL292" s="8" t="s">
        <v>112</v>
      </c>
      <c r="CM292">
        <v>90655.45</v>
      </c>
      <c r="CN292">
        <v>6807445</v>
      </c>
      <c r="CO292">
        <v>0</v>
      </c>
      <c r="CP292">
        <v>1</v>
      </c>
      <c r="CQ292">
        <v>7078714.5800000001</v>
      </c>
      <c r="CR292">
        <v>100370.85</v>
      </c>
      <c r="CS292" s="8" t="s">
        <v>145</v>
      </c>
      <c r="CT292">
        <v>10.0031</v>
      </c>
      <c r="CU292">
        <v>1053</v>
      </c>
      <c r="CV292" t="s">
        <v>2149</v>
      </c>
      <c r="CX292" t="s">
        <v>2817</v>
      </c>
      <c r="CY292">
        <v>150</v>
      </c>
    </row>
    <row r="293" spans="1:103" x14ac:dyDescent="0.25">
      <c r="A293" s="8" t="s">
        <v>106</v>
      </c>
      <c r="B293" s="38">
        <v>45259</v>
      </c>
      <c r="C293" s="43">
        <f>IF(YEAR(Таблица1[[#This Row],[Дата]])=2023,MONTH(Таблица1[[#This Row],[Дата]]),0)</f>
        <v>11</v>
      </c>
      <c r="D293" s="8" t="s">
        <v>2865</v>
      </c>
      <c r="E293" s="8" t="s">
        <v>108</v>
      </c>
      <c r="F293" s="8" t="s">
        <v>2866</v>
      </c>
      <c r="G293" t="s">
        <v>110</v>
      </c>
      <c r="H293" s="8" t="s">
        <v>111</v>
      </c>
      <c r="I293" s="8" t="s">
        <v>112</v>
      </c>
      <c r="J293" s="8" t="s">
        <v>112</v>
      </c>
      <c r="K293" s="8" t="s">
        <v>112</v>
      </c>
      <c r="L293" s="8" t="s">
        <v>2134</v>
      </c>
      <c r="M293" s="8" t="s">
        <v>2135</v>
      </c>
      <c r="N293" s="8" t="s">
        <v>112</v>
      </c>
      <c r="O293" s="8" t="s">
        <v>112</v>
      </c>
      <c r="P293">
        <v>1</v>
      </c>
      <c r="Q293">
        <v>0</v>
      </c>
      <c r="R293">
        <v>1</v>
      </c>
      <c r="S293">
        <v>56</v>
      </c>
      <c r="T293" s="8" t="s">
        <v>2136</v>
      </c>
      <c r="U293" s="8" t="s">
        <v>2137</v>
      </c>
      <c r="V293" s="8" t="s">
        <v>2138</v>
      </c>
      <c r="W293" s="8" t="s">
        <v>2139</v>
      </c>
      <c r="X293" s="8" t="s">
        <v>119</v>
      </c>
      <c r="Y293" s="8" t="s">
        <v>2140</v>
      </c>
      <c r="Z293" s="8" t="s">
        <v>2136</v>
      </c>
      <c r="AA293" s="8" t="s">
        <v>2137</v>
      </c>
      <c r="AB293" s="8" t="s">
        <v>2141</v>
      </c>
      <c r="AC293" s="8" t="s">
        <v>2139</v>
      </c>
      <c r="AD293" s="8" t="s">
        <v>119</v>
      </c>
      <c r="AE293" s="8" t="s">
        <v>2140</v>
      </c>
      <c r="AF293" s="8" t="s">
        <v>2142</v>
      </c>
      <c r="AG293" s="8" t="s">
        <v>2143</v>
      </c>
      <c r="AH293">
        <v>7809163.3399999896</v>
      </c>
      <c r="AI293" s="8" t="s">
        <v>2136</v>
      </c>
      <c r="AJ293" s="8" t="s">
        <v>2137</v>
      </c>
      <c r="AK293" s="8" t="s">
        <v>2141</v>
      </c>
      <c r="AL293" s="8" t="s">
        <v>2139</v>
      </c>
      <c r="AM293" s="8" t="s">
        <v>119</v>
      </c>
      <c r="AN293" s="8" t="s">
        <v>2140</v>
      </c>
      <c r="AO293" s="8" t="s">
        <v>2142</v>
      </c>
      <c r="AP293" s="8" t="s">
        <v>2143</v>
      </c>
      <c r="AQ293" s="8" t="s">
        <v>2143</v>
      </c>
      <c r="AR293" s="8" t="s">
        <v>124</v>
      </c>
      <c r="AS293" s="8" t="s">
        <v>125</v>
      </c>
      <c r="AT293">
        <v>1</v>
      </c>
      <c r="AU293" s="8" t="s">
        <v>106</v>
      </c>
      <c r="AV293" s="8" t="s">
        <v>127</v>
      </c>
      <c r="AW293" s="8" t="s">
        <v>2144</v>
      </c>
      <c r="AX293">
        <v>0</v>
      </c>
      <c r="AY293" s="8" t="s">
        <v>129</v>
      </c>
      <c r="AZ293">
        <v>100219.87</v>
      </c>
      <c r="BA293">
        <v>7525650</v>
      </c>
      <c r="BB293">
        <v>110728.07</v>
      </c>
      <c r="BC293">
        <v>75.091399999999894</v>
      </c>
      <c r="BD293" s="8" t="s">
        <v>130</v>
      </c>
      <c r="BE293" s="8" t="s">
        <v>111</v>
      </c>
      <c r="BF293" s="8" t="s">
        <v>2145</v>
      </c>
      <c r="BG293" s="8" t="s">
        <v>133</v>
      </c>
      <c r="BH293" s="8" t="s">
        <v>167</v>
      </c>
      <c r="BI293" s="8" t="s">
        <v>2255</v>
      </c>
      <c r="BJ293" s="8" t="s">
        <v>112</v>
      </c>
      <c r="BK293" s="8" t="s">
        <v>2837</v>
      </c>
      <c r="BL293" s="8" t="s">
        <v>169</v>
      </c>
      <c r="BM293" s="8" t="s">
        <v>159</v>
      </c>
      <c r="BN293" s="8" t="s">
        <v>160</v>
      </c>
      <c r="BO293" s="8" t="s">
        <v>161</v>
      </c>
      <c r="BP293">
        <v>1</v>
      </c>
      <c r="BQ293" s="8" t="s">
        <v>2146</v>
      </c>
      <c r="BR293" s="45">
        <f>ISNUMBER(SEARCH($BR$1,Таблица1[[#This Row],[31_1 Описание и характеристика товара]]))*1</f>
        <v>0</v>
      </c>
      <c r="BT293" s="8" t="s">
        <v>2134</v>
      </c>
      <c r="BU293">
        <v>56</v>
      </c>
      <c r="BV293">
        <v>1</v>
      </c>
      <c r="BW293">
        <v>388</v>
      </c>
      <c r="BX293" t="s">
        <v>2147</v>
      </c>
      <c r="BY293">
        <v>0</v>
      </c>
      <c r="CA293" s="8" t="s">
        <v>106</v>
      </c>
      <c r="CB293" s="8" t="s">
        <v>2148</v>
      </c>
      <c r="CC293" s="8" t="s">
        <v>112</v>
      </c>
      <c r="CD293" s="8" t="s">
        <v>112</v>
      </c>
      <c r="CE293" s="8" t="s">
        <v>2142</v>
      </c>
      <c r="CF293">
        <v>11316</v>
      </c>
      <c r="CG293" t="s">
        <v>144</v>
      </c>
      <c r="CH293">
        <v>4000000</v>
      </c>
      <c r="CI293">
        <v>10864</v>
      </c>
      <c r="CJ293">
        <v>0</v>
      </c>
      <c r="CK293" s="8" t="s">
        <v>112</v>
      </c>
      <c r="CL293" s="8" t="s">
        <v>112</v>
      </c>
      <c r="CM293">
        <v>100219.87</v>
      </c>
      <c r="CN293">
        <v>7525650</v>
      </c>
      <c r="CO293">
        <v>0</v>
      </c>
      <c r="CP293">
        <v>1</v>
      </c>
      <c r="CQ293">
        <v>7809163.3399999896</v>
      </c>
      <c r="CR293">
        <v>110728.07</v>
      </c>
      <c r="CS293" s="8" t="s">
        <v>145</v>
      </c>
      <c r="CT293">
        <v>10.1922</v>
      </c>
      <c r="CU293">
        <v>1053</v>
      </c>
      <c r="CV293" t="s">
        <v>2149</v>
      </c>
      <c r="CX293" t="s">
        <v>2150</v>
      </c>
      <c r="CY293">
        <v>0</v>
      </c>
    </row>
    <row r="294" spans="1:103" x14ac:dyDescent="0.25">
      <c r="A294" s="8" t="s">
        <v>106</v>
      </c>
      <c r="B294" s="38">
        <v>44945</v>
      </c>
      <c r="C294" s="43">
        <f>IF(YEAR(Таблица1[[#This Row],[Дата]])=2023,MONTH(Таблица1[[#This Row],[Дата]]),0)</f>
        <v>1</v>
      </c>
      <c r="D294" s="8" t="s">
        <v>2900</v>
      </c>
      <c r="E294" s="8" t="s">
        <v>108</v>
      </c>
      <c r="F294" s="8" t="s">
        <v>2901</v>
      </c>
      <c r="G294" t="s">
        <v>110</v>
      </c>
      <c r="H294" s="8" t="s">
        <v>111</v>
      </c>
      <c r="I294" s="8" t="s">
        <v>112</v>
      </c>
      <c r="J294" s="8" t="s">
        <v>112</v>
      </c>
      <c r="K294" s="8" t="s">
        <v>112</v>
      </c>
      <c r="L294" s="8" t="s">
        <v>2134</v>
      </c>
      <c r="M294" s="8" t="s">
        <v>2135</v>
      </c>
      <c r="N294" s="8" t="s">
        <v>112</v>
      </c>
      <c r="O294" s="8" t="s">
        <v>112</v>
      </c>
      <c r="P294">
        <v>1</v>
      </c>
      <c r="Q294">
        <v>0</v>
      </c>
      <c r="R294">
        <v>1</v>
      </c>
      <c r="S294">
        <v>52</v>
      </c>
      <c r="T294" s="8" t="s">
        <v>2136</v>
      </c>
      <c r="U294" s="8" t="s">
        <v>2137</v>
      </c>
      <c r="V294" s="8" t="s">
        <v>2138</v>
      </c>
      <c r="W294" s="8" t="s">
        <v>2139</v>
      </c>
      <c r="X294" s="8" t="s">
        <v>119</v>
      </c>
      <c r="Y294" s="8" t="s">
        <v>2140</v>
      </c>
      <c r="Z294" s="8" t="s">
        <v>2136</v>
      </c>
      <c r="AA294" s="8" t="s">
        <v>2137</v>
      </c>
      <c r="AB294" s="8" t="s">
        <v>2141</v>
      </c>
      <c r="AC294" s="8" t="s">
        <v>2139</v>
      </c>
      <c r="AD294" s="8" t="s">
        <v>119</v>
      </c>
      <c r="AE294" s="8" t="s">
        <v>2140</v>
      </c>
      <c r="AF294" s="8" t="s">
        <v>2142</v>
      </c>
      <c r="AG294" s="8" t="s">
        <v>2143</v>
      </c>
      <c r="AH294">
        <v>7210892.8700000001</v>
      </c>
      <c r="AI294" s="8" t="s">
        <v>2136</v>
      </c>
      <c r="AJ294" s="8" t="s">
        <v>2137</v>
      </c>
      <c r="AK294" s="8" t="s">
        <v>2141</v>
      </c>
      <c r="AL294" s="8" t="s">
        <v>2139</v>
      </c>
      <c r="AM294" s="8" t="s">
        <v>119</v>
      </c>
      <c r="AN294" s="8" t="s">
        <v>2140</v>
      </c>
      <c r="AO294" s="8" t="s">
        <v>2142</v>
      </c>
      <c r="AP294" s="8" t="s">
        <v>2143</v>
      </c>
      <c r="AQ294" s="8" t="s">
        <v>2143</v>
      </c>
      <c r="AR294" s="8" t="s">
        <v>124</v>
      </c>
      <c r="AS294" s="8" t="s">
        <v>125</v>
      </c>
      <c r="AT294">
        <v>1</v>
      </c>
      <c r="AU294" s="8" t="s">
        <v>106</v>
      </c>
      <c r="AV294" s="8" t="s">
        <v>127</v>
      </c>
      <c r="AW294" s="8" t="s">
        <v>2144</v>
      </c>
      <c r="AX294">
        <v>0</v>
      </c>
      <c r="AY294" s="8" t="s">
        <v>129</v>
      </c>
      <c r="AZ294">
        <v>92252.64</v>
      </c>
      <c r="BA294">
        <v>6927380</v>
      </c>
      <c r="BB294">
        <v>102245.04</v>
      </c>
      <c r="BC294">
        <v>75.091399999999894</v>
      </c>
      <c r="BD294" s="8" t="s">
        <v>130</v>
      </c>
      <c r="BE294" s="8" t="s">
        <v>111</v>
      </c>
      <c r="BF294" s="8" t="s">
        <v>2145</v>
      </c>
      <c r="BG294" s="8" t="s">
        <v>133</v>
      </c>
      <c r="BH294" s="8" t="s">
        <v>167</v>
      </c>
      <c r="BI294" s="8" t="s">
        <v>2255</v>
      </c>
      <c r="BJ294" s="8" t="s">
        <v>112</v>
      </c>
      <c r="BK294" s="8" t="s">
        <v>2837</v>
      </c>
      <c r="BL294" s="8" t="s">
        <v>169</v>
      </c>
      <c r="BM294" s="8" t="s">
        <v>159</v>
      </c>
      <c r="BN294" s="8" t="s">
        <v>160</v>
      </c>
      <c r="BO294" s="8" t="s">
        <v>161</v>
      </c>
      <c r="BP294">
        <v>1</v>
      </c>
      <c r="BQ294" s="8" t="s">
        <v>2146</v>
      </c>
      <c r="BR294" s="45">
        <f>ISNUMBER(SEARCH($BR$1,Таблица1[[#This Row],[31_1 Описание и характеристика товара]]))*1</f>
        <v>0</v>
      </c>
      <c r="BT294" s="8" t="s">
        <v>2134</v>
      </c>
      <c r="BU294">
        <v>52</v>
      </c>
      <c r="BV294">
        <v>1</v>
      </c>
      <c r="BW294">
        <v>324</v>
      </c>
      <c r="BX294" t="s">
        <v>2147</v>
      </c>
      <c r="BY294">
        <v>0</v>
      </c>
      <c r="CA294" s="8" t="s">
        <v>106</v>
      </c>
      <c r="CB294" s="8" t="s">
        <v>2148</v>
      </c>
      <c r="CC294" s="8" t="s">
        <v>112</v>
      </c>
      <c r="CD294" s="8" t="s">
        <v>112</v>
      </c>
      <c r="CE294" s="8" t="s">
        <v>2142</v>
      </c>
      <c r="CF294">
        <v>10656</v>
      </c>
      <c r="CG294" t="s">
        <v>144</v>
      </c>
      <c r="CH294">
        <v>4000000</v>
      </c>
      <c r="CI294">
        <v>10196</v>
      </c>
      <c r="CJ294">
        <v>0</v>
      </c>
      <c r="CK294" s="8" t="s">
        <v>112</v>
      </c>
      <c r="CL294" s="8" t="s">
        <v>112</v>
      </c>
      <c r="CM294">
        <v>92252.64</v>
      </c>
      <c r="CN294">
        <v>6927380</v>
      </c>
      <c r="CO294">
        <v>0</v>
      </c>
      <c r="CP294">
        <v>1</v>
      </c>
      <c r="CQ294">
        <v>7210892.8700000001</v>
      </c>
      <c r="CR294">
        <v>102245.04</v>
      </c>
      <c r="CS294" s="8" t="s">
        <v>145</v>
      </c>
      <c r="CT294">
        <v>10.028</v>
      </c>
      <c r="CU294">
        <v>1053</v>
      </c>
      <c r="CV294" t="s">
        <v>2149</v>
      </c>
      <c r="CX294" t="s">
        <v>2150</v>
      </c>
      <c r="CY294">
        <v>0</v>
      </c>
    </row>
    <row r="295" spans="1:103" x14ac:dyDescent="0.25">
      <c r="A295" s="8" t="s">
        <v>106</v>
      </c>
      <c r="B295" s="38">
        <v>45090</v>
      </c>
      <c r="C295" s="43">
        <f>IF(YEAR(Таблица1[[#This Row],[Дата]])=2023,MONTH(Таблица1[[#This Row],[Дата]]),0)</f>
        <v>6</v>
      </c>
      <c r="D295" s="8" t="s">
        <v>2835</v>
      </c>
      <c r="E295" s="8" t="s">
        <v>108</v>
      </c>
      <c r="F295" s="8" t="s">
        <v>2836</v>
      </c>
      <c r="G295" t="s">
        <v>110</v>
      </c>
      <c r="H295" s="8" t="s">
        <v>111</v>
      </c>
      <c r="I295" s="8" t="s">
        <v>112</v>
      </c>
      <c r="J295" s="8" t="s">
        <v>112</v>
      </c>
      <c r="K295" s="8" t="s">
        <v>112</v>
      </c>
      <c r="L295" s="8" t="s">
        <v>2134</v>
      </c>
      <c r="M295" s="8" t="s">
        <v>2135</v>
      </c>
      <c r="N295" s="8" t="s">
        <v>112</v>
      </c>
      <c r="O295" s="8" t="s">
        <v>112</v>
      </c>
      <c r="P295">
        <v>1</v>
      </c>
      <c r="Q295">
        <v>0</v>
      </c>
      <c r="R295">
        <v>1</v>
      </c>
      <c r="S295">
        <v>52</v>
      </c>
      <c r="T295" s="8" t="s">
        <v>2136</v>
      </c>
      <c r="U295" s="8" t="s">
        <v>2137</v>
      </c>
      <c r="V295" s="8" t="s">
        <v>2138</v>
      </c>
      <c r="W295" s="8" t="s">
        <v>2139</v>
      </c>
      <c r="X295" s="8" t="s">
        <v>119</v>
      </c>
      <c r="Y295" s="8" t="s">
        <v>2140</v>
      </c>
      <c r="Z295" s="8" t="s">
        <v>2136</v>
      </c>
      <c r="AA295" s="8" t="s">
        <v>2137</v>
      </c>
      <c r="AB295" s="8" t="s">
        <v>2141</v>
      </c>
      <c r="AC295" s="8" t="s">
        <v>2139</v>
      </c>
      <c r="AD295" s="8" t="s">
        <v>119</v>
      </c>
      <c r="AE295" s="8" t="s">
        <v>2140</v>
      </c>
      <c r="AF295" s="8" t="s">
        <v>2142</v>
      </c>
      <c r="AG295" s="8" t="s">
        <v>2143</v>
      </c>
      <c r="AH295">
        <v>7129962.2000000002</v>
      </c>
      <c r="AI295" s="8" t="s">
        <v>2136</v>
      </c>
      <c r="AJ295" s="8" t="s">
        <v>2137</v>
      </c>
      <c r="AK295" s="8" t="s">
        <v>2141</v>
      </c>
      <c r="AL295" s="8" t="s">
        <v>2139</v>
      </c>
      <c r="AM295" s="8" t="s">
        <v>119</v>
      </c>
      <c r="AN295" s="8" t="s">
        <v>2140</v>
      </c>
      <c r="AO295" s="8" t="s">
        <v>2142</v>
      </c>
      <c r="AP295" s="8" t="s">
        <v>2143</v>
      </c>
      <c r="AQ295" s="8" t="s">
        <v>2143</v>
      </c>
      <c r="AR295" s="8" t="s">
        <v>124</v>
      </c>
      <c r="AS295" s="8" t="s">
        <v>125</v>
      </c>
      <c r="AT295">
        <v>1</v>
      </c>
      <c r="AU295" s="8" t="s">
        <v>106</v>
      </c>
      <c r="AV295" s="8" t="s">
        <v>127</v>
      </c>
      <c r="AW295" s="8" t="s">
        <v>2144</v>
      </c>
      <c r="AX295">
        <v>0</v>
      </c>
      <c r="AY295" s="8" t="s">
        <v>129</v>
      </c>
      <c r="AZ295">
        <v>91034.11</v>
      </c>
      <c r="BA295">
        <v>6835879</v>
      </c>
      <c r="BB295">
        <v>101097.51</v>
      </c>
      <c r="BC295">
        <v>75.091399999999894</v>
      </c>
      <c r="BD295" s="8" t="s">
        <v>130</v>
      </c>
      <c r="BE295" s="8" t="s">
        <v>111</v>
      </c>
      <c r="BF295" s="8" t="s">
        <v>2145</v>
      </c>
      <c r="BG295" s="8" t="s">
        <v>133</v>
      </c>
      <c r="BH295" s="8" t="s">
        <v>167</v>
      </c>
      <c r="BI295" s="8" t="s">
        <v>2255</v>
      </c>
      <c r="BJ295" s="8" t="s">
        <v>112</v>
      </c>
      <c r="BK295" s="8" t="s">
        <v>2837</v>
      </c>
      <c r="BL295" s="8" t="s">
        <v>169</v>
      </c>
      <c r="BM295" s="8" t="s">
        <v>159</v>
      </c>
      <c r="BN295" s="8" t="s">
        <v>160</v>
      </c>
      <c r="BO295" s="8" t="s">
        <v>161</v>
      </c>
      <c r="BP295">
        <v>1</v>
      </c>
      <c r="BQ295" s="8" t="s">
        <v>2146</v>
      </c>
      <c r="BR295" s="45">
        <f>ISNUMBER(SEARCH($BR$1,Таблица1[[#This Row],[31_1 Описание и характеристика товара]]))*1</f>
        <v>0</v>
      </c>
      <c r="BT295" s="8" t="s">
        <v>2134</v>
      </c>
      <c r="BU295">
        <v>52</v>
      </c>
      <c r="BV295">
        <v>1</v>
      </c>
      <c r="BW295">
        <v>324</v>
      </c>
      <c r="BX295" t="s">
        <v>2147</v>
      </c>
      <c r="BY295">
        <v>0</v>
      </c>
      <c r="CA295" s="8" t="s">
        <v>106</v>
      </c>
      <c r="CB295" s="8" t="s">
        <v>2148</v>
      </c>
      <c r="CC295" s="8" t="s">
        <v>112</v>
      </c>
      <c r="CD295" s="8" t="s">
        <v>112</v>
      </c>
      <c r="CE295" s="8" t="s">
        <v>2142</v>
      </c>
      <c r="CF295">
        <v>10528</v>
      </c>
      <c r="CG295" t="s">
        <v>144</v>
      </c>
      <c r="CH295">
        <v>4000000</v>
      </c>
      <c r="CI295">
        <v>9972</v>
      </c>
      <c r="CJ295">
        <v>0</v>
      </c>
      <c r="CK295" s="8" t="s">
        <v>112</v>
      </c>
      <c r="CL295" s="8" t="s">
        <v>112</v>
      </c>
      <c r="CM295">
        <v>91034.11</v>
      </c>
      <c r="CN295">
        <v>6835879</v>
      </c>
      <c r="CO295">
        <v>0</v>
      </c>
      <c r="CP295">
        <v>1</v>
      </c>
      <c r="CQ295">
        <v>7129962.2000000002</v>
      </c>
      <c r="CR295">
        <v>101097.51</v>
      </c>
      <c r="CS295" s="8" t="s">
        <v>145</v>
      </c>
      <c r="CT295">
        <v>10.1381</v>
      </c>
      <c r="CU295">
        <v>1053</v>
      </c>
      <c r="CV295" t="s">
        <v>2149</v>
      </c>
      <c r="CX295" t="s">
        <v>2150</v>
      </c>
      <c r="CY295">
        <v>0</v>
      </c>
    </row>
    <row r="296" spans="1:103" x14ac:dyDescent="0.25">
      <c r="A296" s="8" t="s">
        <v>106</v>
      </c>
      <c r="B296" s="38">
        <v>44958</v>
      </c>
      <c r="C296" s="43">
        <f>IF(YEAR(Таблица1[[#This Row],[Дата]])=2023,MONTH(Таблица1[[#This Row],[Дата]]),0)</f>
        <v>2</v>
      </c>
      <c r="D296" s="8" t="s">
        <v>2863</v>
      </c>
      <c r="E296" s="8" t="s">
        <v>108</v>
      </c>
      <c r="F296" s="8" t="s">
        <v>2864</v>
      </c>
      <c r="G296" t="s">
        <v>110</v>
      </c>
      <c r="H296" s="8" t="s">
        <v>111</v>
      </c>
      <c r="I296" s="8" t="s">
        <v>112</v>
      </c>
      <c r="J296" s="8" t="s">
        <v>112</v>
      </c>
      <c r="K296" s="8" t="s">
        <v>112</v>
      </c>
      <c r="L296" s="8" t="s">
        <v>2201</v>
      </c>
      <c r="M296" s="8" t="s">
        <v>2202</v>
      </c>
      <c r="N296" s="8" t="s">
        <v>112</v>
      </c>
      <c r="O296" s="8" t="s">
        <v>112</v>
      </c>
      <c r="P296">
        <v>3</v>
      </c>
      <c r="Q296">
        <v>0</v>
      </c>
      <c r="R296">
        <v>5</v>
      </c>
      <c r="S296">
        <v>38</v>
      </c>
      <c r="T296" s="8" t="s">
        <v>2136</v>
      </c>
      <c r="U296" s="8" t="s">
        <v>2137</v>
      </c>
      <c r="V296" s="8" t="s">
        <v>2141</v>
      </c>
      <c r="W296" s="8" t="s">
        <v>2203</v>
      </c>
      <c r="X296" s="8" t="s">
        <v>119</v>
      </c>
      <c r="Y296" s="8" t="s">
        <v>2140</v>
      </c>
      <c r="Z296" s="8" t="s">
        <v>2136</v>
      </c>
      <c r="AA296" s="8" t="s">
        <v>2137</v>
      </c>
      <c r="AB296" s="8" t="s">
        <v>2141</v>
      </c>
      <c r="AC296" s="8" t="s">
        <v>2203</v>
      </c>
      <c r="AD296" s="8" t="s">
        <v>119</v>
      </c>
      <c r="AE296" s="8" t="s">
        <v>2140</v>
      </c>
      <c r="AF296" s="8" t="s">
        <v>143</v>
      </c>
      <c r="AG296" s="8" t="s">
        <v>123</v>
      </c>
      <c r="AH296">
        <v>11501240.609999901</v>
      </c>
      <c r="AI296" s="8" t="s">
        <v>2136</v>
      </c>
      <c r="AJ296" s="8" t="s">
        <v>2137</v>
      </c>
      <c r="AK296" s="8" t="s">
        <v>2141</v>
      </c>
      <c r="AL296" s="8" t="s">
        <v>2203</v>
      </c>
      <c r="AM296" s="8" t="s">
        <v>119</v>
      </c>
      <c r="AN296" s="8" t="s">
        <v>2140</v>
      </c>
      <c r="AO296" s="8" t="s">
        <v>143</v>
      </c>
      <c r="AP296" s="8" t="s">
        <v>123</v>
      </c>
      <c r="AQ296" s="8" t="s">
        <v>123</v>
      </c>
      <c r="AR296" s="8" t="s">
        <v>124</v>
      </c>
      <c r="AS296" s="8" t="s">
        <v>125</v>
      </c>
      <c r="AT296">
        <v>2</v>
      </c>
      <c r="AU296" s="8" t="s">
        <v>126</v>
      </c>
      <c r="AV296" s="8" t="s">
        <v>155</v>
      </c>
      <c r="AW296" s="8" t="s">
        <v>2204</v>
      </c>
      <c r="AX296">
        <v>1</v>
      </c>
      <c r="AY296" s="8" t="s">
        <v>129</v>
      </c>
      <c r="AZ296">
        <v>148063.22</v>
      </c>
      <c r="BA296">
        <v>11118274</v>
      </c>
      <c r="BB296">
        <v>163078.95000000001</v>
      </c>
      <c r="BC296">
        <v>75.091399999999894</v>
      </c>
      <c r="BD296" s="8" t="s">
        <v>130</v>
      </c>
      <c r="BE296" s="8" t="s">
        <v>112</v>
      </c>
      <c r="BF296" s="8" t="s">
        <v>2205</v>
      </c>
      <c r="BG296" s="8" t="s">
        <v>133</v>
      </c>
      <c r="BH296" s="8" t="s">
        <v>134</v>
      </c>
      <c r="BI296" s="8" t="s">
        <v>112</v>
      </c>
      <c r="BJ296" s="8" t="s">
        <v>112</v>
      </c>
      <c r="BK296" s="8" t="s">
        <v>112</v>
      </c>
      <c r="BL296" s="8" t="s">
        <v>2168</v>
      </c>
      <c r="BM296" s="8" t="s">
        <v>2206</v>
      </c>
      <c r="BN296" s="8" t="s">
        <v>2207</v>
      </c>
      <c r="BO296" s="8" t="s">
        <v>2208</v>
      </c>
      <c r="BP296">
        <v>1</v>
      </c>
      <c r="BQ296" s="8" t="s">
        <v>2209</v>
      </c>
      <c r="BR296" s="45">
        <f>ISNUMBER(SEARCH($BR$1,Таблица1[[#This Row],[31_1 Описание и характеристика товара]]))*1</f>
        <v>0</v>
      </c>
      <c r="BT296" s="8" t="s">
        <v>2210</v>
      </c>
      <c r="BU296">
        <v>36</v>
      </c>
      <c r="BV296">
        <v>0</v>
      </c>
      <c r="BW296">
        <v>132</v>
      </c>
      <c r="BX296" t="s">
        <v>2147</v>
      </c>
      <c r="BY296">
        <v>0</v>
      </c>
      <c r="CA296" s="8" t="s">
        <v>106</v>
      </c>
      <c r="CB296" s="8" t="s">
        <v>2148</v>
      </c>
      <c r="CC296" s="8" t="s">
        <v>112</v>
      </c>
      <c r="CD296" s="8" t="s">
        <v>112</v>
      </c>
      <c r="CE296" s="8" t="s">
        <v>143</v>
      </c>
      <c r="CF296">
        <v>11630</v>
      </c>
      <c r="CG296" t="s">
        <v>144</v>
      </c>
      <c r="CH296">
        <v>4000000</v>
      </c>
      <c r="CI296">
        <v>11004</v>
      </c>
      <c r="CJ296">
        <v>0</v>
      </c>
      <c r="CK296" s="8" t="s">
        <v>112</v>
      </c>
      <c r="CL296" s="8" t="s">
        <v>112</v>
      </c>
      <c r="CM296">
        <v>142121.06</v>
      </c>
      <c r="CN296">
        <v>10672069</v>
      </c>
      <c r="CO296">
        <v>0</v>
      </c>
      <c r="CP296">
        <v>1</v>
      </c>
      <c r="CQ296">
        <v>10995048.74</v>
      </c>
      <c r="CR296">
        <v>155901.53</v>
      </c>
      <c r="CS296" s="8" t="s">
        <v>145</v>
      </c>
      <c r="CT296">
        <v>14.1677</v>
      </c>
      <c r="CU296">
        <v>1053</v>
      </c>
      <c r="CV296" t="s">
        <v>2149</v>
      </c>
      <c r="CX296" t="s">
        <v>2150</v>
      </c>
      <c r="CY296">
        <v>564</v>
      </c>
    </row>
    <row r="297" spans="1:103" x14ac:dyDescent="0.25">
      <c r="A297" t="s">
        <v>106</v>
      </c>
      <c r="B297" s="38">
        <v>45167</v>
      </c>
      <c r="C297" s="43">
        <f>IF(YEAR(Таблица1[[#This Row],[Дата]])=2023,MONTH(Таблица1[[#This Row],[Дата]]),0)</f>
        <v>8</v>
      </c>
      <c r="D297" t="s">
        <v>1334</v>
      </c>
      <c r="E297" t="s">
        <v>108</v>
      </c>
      <c r="F297" t="s">
        <v>1335</v>
      </c>
      <c r="G297" t="s">
        <v>110</v>
      </c>
      <c r="H297" t="s">
        <v>111</v>
      </c>
      <c r="I297" t="s">
        <v>112</v>
      </c>
      <c r="J297" t="s">
        <v>112</v>
      </c>
      <c r="K297" t="s">
        <v>112</v>
      </c>
      <c r="L297" t="s">
        <v>150</v>
      </c>
      <c r="M297" t="s">
        <v>151</v>
      </c>
      <c r="N297" t="s">
        <v>112</v>
      </c>
      <c r="O297" t="s">
        <v>112</v>
      </c>
      <c r="P297">
        <v>1</v>
      </c>
      <c r="R297">
        <v>1</v>
      </c>
      <c r="S297">
        <v>33</v>
      </c>
      <c r="T297" t="s">
        <v>112</v>
      </c>
      <c r="U297" t="s">
        <v>152</v>
      </c>
      <c r="V297" t="s">
        <v>153</v>
      </c>
      <c r="W297" t="s">
        <v>154</v>
      </c>
      <c r="X297" t="s">
        <v>119</v>
      </c>
      <c r="Y297" t="s">
        <v>112</v>
      </c>
      <c r="Z297" t="s">
        <v>112</v>
      </c>
      <c r="AA297" t="s">
        <v>152</v>
      </c>
      <c r="AB297" t="s">
        <v>153</v>
      </c>
      <c r="AC297" t="s">
        <v>154</v>
      </c>
      <c r="AD297" t="s">
        <v>119</v>
      </c>
      <c r="AE297" t="s">
        <v>112</v>
      </c>
      <c r="AF297" t="s">
        <v>121</v>
      </c>
      <c r="AG297" t="s">
        <v>122</v>
      </c>
      <c r="AH297">
        <v>4382627.16</v>
      </c>
      <c r="AI297" t="s">
        <v>112</v>
      </c>
      <c r="AJ297" t="s">
        <v>152</v>
      </c>
      <c r="AK297" t="s">
        <v>153</v>
      </c>
      <c r="AL297" t="s">
        <v>154</v>
      </c>
      <c r="AM297" t="s">
        <v>119</v>
      </c>
      <c r="AN297" t="s">
        <v>112</v>
      </c>
      <c r="AO297" t="s">
        <v>121</v>
      </c>
      <c r="AP297" t="s">
        <v>122</v>
      </c>
      <c r="AQ297" t="s">
        <v>122</v>
      </c>
      <c r="AR297" t="s">
        <v>124</v>
      </c>
      <c r="AS297" t="s">
        <v>125</v>
      </c>
      <c r="AT297">
        <v>2</v>
      </c>
      <c r="AU297" t="s">
        <v>126</v>
      </c>
      <c r="AV297" t="s">
        <v>155</v>
      </c>
      <c r="AW297" t="s">
        <v>156</v>
      </c>
      <c r="AY297" t="s">
        <v>129</v>
      </c>
      <c r="AZ297">
        <v>40820.79</v>
      </c>
      <c r="BC297">
        <v>96.256100000000004</v>
      </c>
      <c r="BD297" t="s">
        <v>112</v>
      </c>
      <c r="BE297" t="s">
        <v>112</v>
      </c>
      <c r="BF297" t="s">
        <v>157</v>
      </c>
      <c r="BG297" t="s">
        <v>133</v>
      </c>
      <c r="BH297" t="s">
        <v>167</v>
      </c>
      <c r="BI297" t="s">
        <v>112</v>
      </c>
      <c r="BJ297" t="s">
        <v>112</v>
      </c>
      <c r="BK297" t="s">
        <v>112</v>
      </c>
      <c r="BL297" t="s">
        <v>158</v>
      </c>
      <c r="BM297" t="s">
        <v>159</v>
      </c>
      <c r="BN297" t="s">
        <v>160</v>
      </c>
      <c r="BO297" t="s">
        <v>161</v>
      </c>
      <c r="BQ297" t="s">
        <v>205</v>
      </c>
      <c r="BR297" s="45">
        <f>ISNUMBER(SEARCH($BR$1,Таблица1[[#This Row],[31_1 Описание и характеристика товара]]))*1</f>
        <v>1</v>
      </c>
      <c r="BT297" t="s">
        <v>150</v>
      </c>
      <c r="BU297">
        <v>33</v>
      </c>
      <c r="BV297">
        <v>0</v>
      </c>
      <c r="BW297">
        <v>0</v>
      </c>
      <c r="BY297">
        <v>0</v>
      </c>
      <c r="CA297" t="s">
        <v>106</v>
      </c>
      <c r="CB297" t="s">
        <v>142</v>
      </c>
      <c r="CC297" t="s">
        <v>112</v>
      </c>
      <c r="CD297" t="s">
        <v>112</v>
      </c>
      <c r="CE297" t="s">
        <v>121</v>
      </c>
      <c r="CF297">
        <v>16683.45</v>
      </c>
      <c r="CG297" t="s">
        <v>144</v>
      </c>
      <c r="CH297">
        <v>4000000</v>
      </c>
      <c r="CI297">
        <v>16553.849999999999</v>
      </c>
      <c r="CJ297">
        <v>0</v>
      </c>
      <c r="CK297" t="s">
        <v>112</v>
      </c>
      <c r="CL297" t="s">
        <v>112</v>
      </c>
      <c r="CM297">
        <v>40820.79</v>
      </c>
      <c r="CO297">
        <v>0</v>
      </c>
      <c r="CP297">
        <v>1</v>
      </c>
      <c r="CQ297">
        <v>4382627.16</v>
      </c>
      <c r="CR297">
        <v>49523.78</v>
      </c>
      <c r="CS297" t="s">
        <v>145</v>
      </c>
      <c r="CT297">
        <v>49496.011500000001</v>
      </c>
      <c r="CU297">
        <v>2.99</v>
      </c>
      <c r="CV297">
        <v>45</v>
      </c>
      <c r="CX297" t="s">
        <v>233</v>
      </c>
      <c r="CY297">
        <v>4</v>
      </c>
    </row>
    <row r="298" spans="1:103" x14ac:dyDescent="0.25">
      <c r="A298" t="s">
        <v>106</v>
      </c>
      <c r="B298" s="38">
        <v>45209</v>
      </c>
      <c r="C298" s="43">
        <f>IF(YEAR(Таблица1[[#This Row],[Дата]])=2023,MONTH(Таблица1[[#This Row],[Дата]]),0)</f>
        <v>10</v>
      </c>
      <c r="D298" t="s">
        <v>1350</v>
      </c>
      <c r="E298" t="s">
        <v>108</v>
      </c>
      <c r="F298" t="s">
        <v>1351</v>
      </c>
      <c r="G298" t="s">
        <v>110</v>
      </c>
      <c r="H298" t="s">
        <v>111</v>
      </c>
      <c r="I298" t="s">
        <v>112</v>
      </c>
      <c r="J298" t="s">
        <v>112</v>
      </c>
      <c r="K298" t="s">
        <v>112</v>
      </c>
      <c r="L298" t="s">
        <v>150</v>
      </c>
      <c r="M298" t="s">
        <v>151</v>
      </c>
      <c r="N298" t="s">
        <v>112</v>
      </c>
      <c r="O298" t="s">
        <v>112</v>
      </c>
      <c r="P298">
        <v>1</v>
      </c>
      <c r="R298">
        <v>1</v>
      </c>
      <c r="S298">
        <v>33</v>
      </c>
      <c r="T298" t="s">
        <v>112</v>
      </c>
      <c r="U298" t="s">
        <v>152</v>
      </c>
      <c r="V298" t="s">
        <v>153</v>
      </c>
      <c r="W298" t="s">
        <v>154</v>
      </c>
      <c r="X298" t="s">
        <v>119</v>
      </c>
      <c r="Y298" t="s">
        <v>112</v>
      </c>
      <c r="Z298" t="s">
        <v>112</v>
      </c>
      <c r="AA298" t="s">
        <v>152</v>
      </c>
      <c r="AB298" t="s">
        <v>153</v>
      </c>
      <c r="AC298" t="s">
        <v>154</v>
      </c>
      <c r="AD298" t="s">
        <v>119</v>
      </c>
      <c r="AE298" t="s">
        <v>112</v>
      </c>
      <c r="AF298" t="s">
        <v>121</v>
      </c>
      <c r="AG298" t="s">
        <v>122</v>
      </c>
      <c r="AH298">
        <v>4638252.26</v>
      </c>
      <c r="AI298" t="s">
        <v>112</v>
      </c>
      <c r="AJ298" t="s">
        <v>152</v>
      </c>
      <c r="AK298" t="s">
        <v>153</v>
      </c>
      <c r="AL298" t="s">
        <v>154</v>
      </c>
      <c r="AM298" t="s">
        <v>119</v>
      </c>
      <c r="AN298" t="s">
        <v>112</v>
      </c>
      <c r="AO298" t="s">
        <v>121</v>
      </c>
      <c r="AP298" t="s">
        <v>122</v>
      </c>
      <c r="AQ298" t="s">
        <v>122</v>
      </c>
      <c r="AR298" t="s">
        <v>124</v>
      </c>
      <c r="AS298" t="s">
        <v>125</v>
      </c>
      <c r="AT298">
        <v>2</v>
      </c>
      <c r="AU298" t="s">
        <v>126</v>
      </c>
      <c r="AV298" t="s">
        <v>155</v>
      </c>
      <c r="AW298" t="s">
        <v>156</v>
      </c>
      <c r="AY298" t="s">
        <v>129</v>
      </c>
      <c r="AZ298">
        <v>43666.58</v>
      </c>
      <c r="BC298">
        <v>96.256100000000004</v>
      </c>
      <c r="BD298" t="s">
        <v>112</v>
      </c>
      <c r="BE298" t="s">
        <v>112</v>
      </c>
      <c r="BF298" t="s">
        <v>157</v>
      </c>
      <c r="BG298" t="s">
        <v>133</v>
      </c>
      <c r="BH298" t="s">
        <v>134</v>
      </c>
      <c r="BI298" t="s">
        <v>112</v>
      </c>
      <c r="BJ298" t="s">
        <v>112</v>
      </c>
      <c r="BK298" t="s">
        <v>112</v>
      </c>
      <c r="BL298" t="s">
        <v>158</v>
      </c>
      <c r="BM298" t="s">
        <v>159</v>
      </c>
      <c r="BN298" t="s">
        <v>212</v>
      </c>
      <c r="BO298" t="s">
        <v>161</v>
      </c>
      <c r="BQ298" t="s">
        <v>232</v>
      </c>
      <c r="BR298" s="45">
        <f>ISNUMBER(SEARCH($BR$1,Таблица1[[#This Row],[31_1 Описание и характеристика товара]]))*1</f>
        <v>1</v>
      </c>
      <c r="BT298" t="s">
        <v>150</v>
      </c>
      <c r="BU298">
        <v>33</v>
      </c>
      <c r="BV298">
        <v>0</v>
      </c>
      <c r="BW298">
        <v>0</v>
      </c>
      <c r="BY298">
        <v>0</v>
      </c>
      <c r="CA298" t="s">
        <v>106</v>
      </c>
      <c r="CB298" t="s">
        <v>142</v>
      </c>
      <c r="CC298" t="s">
        <v>112</v>
      </c>
      <c r="CD298" t="s">
        <v>112</v>
      </c>
      <c r="CE298" t="s">
        <v>121</v>
      </c>
      <c r="CF298">
        <v>17001.03</v>
      </c>
      <c r="CG298" t="s">
        <v>144</v>
      </c>
      <c r="CH298">
        <v>4000000</v>
      </c>
      <c r="CI298">
        <v>16921.830000000002</v>
      </c>
      <c r="CJ298">
        <v>0</v>
      </c>
      <c r="CK298" t="s">
        <v>112</v>
      </c>
      <c r="CL298" t="s">
        <v>112</v>
      </c>
      <c r="CM298">
        <v>43666.58</v>
      </c>
      <c r="CO298">
        <v>0</v>
      </c>
      <c r="CP298">
        <v>1</v>
      </c>
      <c r="CQ298">
        <v>4638252.26</v>
      </c>
      <c r="CR298">
        <v>52785.33</v>
      </c>
      <c r="CS298" t="s">
        <v>145</v>
      </c>
      <c r="CT298">
        <v>52796.109600000011</v>
      </c>
      <c r="CU298">
        <v>3.12</v>
      </c>
      <c r="CV298">
        <v>45</v>
      </c>
      <c r="CX298" t="s">
        <v>206</v>
      </c>
      <c r="CY298">
        <v>581</v>
      </c>
    </row>
    <row r="299" spans="1:103" x14ac:dyDescent="0.25">
      <c r="A299" t="s">
        <v>106</v>
      </c>
      <c r="B299" s="38">
        <v>45062</v>
      </c>
      <c r="C299" s="43">
        <f>IF(YEAR(Таблица1[[#This Row],[Дата]])=2023,MONTH(Таблица1[[#This Row],[Дата]]),0)</f>
        <v>5</v>
      </c>
      <c r="D299" t="s">
        <v>1315</v>
      </c>
      <c r="E299" t="s">
        <v>108</v>
      </c>
      <c r="F299" t="s">
        <v>1316</v>
      </c>
      <c r="G299" t="s">
        <v>110</v>
      </c>
      <c r="H299" t="s">
        <v>111</v>
      </c>
      <c r="I299" t="s">
        <v>112</v>
      </c>
      <c r="J299" t="s">
        <v>112</v>
      </c>
      <c r="K299" t="s">
        <v>112</v>
      </c>
      <c r="L299" t="s">
        <v>150</v>
      </c>
      <c r="M299" t="s">
        <v>151</v>
      </c>
      <c r="N299" t="s">
        <v>112</v>
      </c>
      <c r="O299" t="s">
        <v>112</v>
      </c>
      <c r="P299">
        <v>1</v>
      </c>
      <c r="R299">
        <v>1</v>
      </c>
      <c r="S299">
        <v>33</v>
      </c>
      <c r="T299" t="s">
        <v>112</v>
      </c>
      <c r="U299" t="s">
        <v>152</v>
      </c>
      <c r="V299" t="s">
        <v>153</v>
      </c>
      <c r="W299" t="s">
        <v>154</v>
      </c>
      <c r="X299" t="s">
        <v>119</v>
      </c>
      <c r="Y299" t="s">
        <v>112</v>
      </c>
      <c r="Z299" t="s">
        <v>112</v>
      </c>
      <c r="AA299" t="s">
        <v>152</v>
      </c>
      <c r="AB299" t="s">
        <v>153</v>
      </c>
      <c r="AC299" t="s">
        <v>154</v>
      </c>
      <c r="AD299" t="s">
        <v>119</v>
      </c>
      <c r="AE299" t="s">
        <v>112</v>
      </c>
      <c r="AF299" t="s">
        <v>121</v>
      </c>
      <c r="AG299" t="s">
        <v>122</v>
      </c>
      <c r="AH299">
        <v>4103178.08</v>
      </c>
      <c r="AI299" t="s">
        <v>112</v>
      </c>
      <c r="AJ299" t="s">
        <v>152</v>
      </c>
      <c r="AK299" t="s">
        <v>153</v>
      </c>
      <c r="AL299" t="s">
        <v>154</v>
      </c>
      <c r="AM299" t="s">
        <v>119</v>
      </c>
      <c r="AN299" t="s">
        <v>112</v>
      </c>
      <c r="AO299" t="s">
        <v>121</v>
      </c>
      <c r="AP299" t="s">
        <v>122</v>
      </c>
      <c r="AQ299" t="s">
        <v>122</v>
      </c>
      <c r="AR299" t="s">
        <v>124</v>
      </c>
      <c r="AS299" t="s">
        <v>125</v>
      </c>
      <c r="AT299">
        <v>2</v>
      </c>
      <c r="AU299" t="s">
        <v>126</v>
      </c>
      <c r="AV299" t="s">
        <v>155</v>
      </c>
      <c r="AW299" t="s">
        <v>156</v>
      </c>
      <c r="AY299" t="s">
        <v>129</v>
      </c>
      <c r="AZ299">
        <v>38637.72</v>
      </c>
      <c r="BC299">
        <v>96.256100000000004</v>
      </c>
      <c r="BD299" t="s">
        <v>112</v>
      </c>
      <c r="BE299" t="s">
        <v>112</v>
      </c>
      <c r="BF299" t="s">
        <v>157</v>
      </c>
      <c r="BG299" t="s">
        <v>133</v>
      </c>
      <c r="BH299" t="s">
        <v>134</v>
      </c>
      <c r="BI299" t="s">
        <v>112</v>
      </c>
      <c r="BJ299" t="s">
        <v>112</v>
      </c>
      <c r="BK299" t="s">
        <v>112</v>
      </c>
      <c r="BL299" t="s">
        <v>158</v>
      </c>
      <c r="BM299" t="s">
        <v>159</v>
      </c>
      <c r="BN299" t="s">
        <v>212</v>
      </c>
      <c r="BO299" t="s">
        <v>161</v>
      </c>
      <c r="BQ299" t="s">
        <v>205</v>
      </c>
      <c r="BR299" s="45">
        <f>ISNUMBER(SEARCH($BR$1,Таблица1[[#This Row],[31_1 Описание и характеристика товара]]))*1</f>
        <v>1</v>
      </c>
      <c r="BT299" t="s">
        <v>150</v>
      </c>
      <c r="BU299">
        <v>33</v>
      </c>
      <c r="BV299">
        <v>0</v>
      </c>
      <c r="BW299">
        <v>0</v>
      </c>
      <c r="BY299">
        <v>0</v>
      </c>
      <c r="CA299" t="s">
        <v>106</v>
      </c>
      <c r="CB299" t="s">
        <v>142</v>
      </c>
      <c r="CC299" t="s">
        <v>112</v>
      </c>
      <c r="CD299" t="s">
        <v>112</v>
      </c>
      <c r="CE299" t="s">
        <v>121</v>
      </c>
      <c r="CF299">
        <v>16214.59</v>
      </c>
      <c r="CG299" t="s">
        <v>144</v>
      </c>
      <c r="CH299">
        <v>4000000</v>
      </c>
      <c r="CI299">
        <v>16079.59</v>
      </c>
      <c r="CJ299">
        <v>0</v>
      </c>
      <c r="CK299" t="s">
        <v>112</v>
      </c>
      <c r="CL299" t="s">
        <v>112</v>
      </c>
      <c r="CM299">
        <v>38637.72</v>
      </c>
      <c r="CO299">
        <v>0</v>
      </c>
      <c r="CP299">
        <v>1</v>
      </c>
      <c r="CQ299">
        <v>4103178.08</v>
      </c>
      <c r="CR299">
        <v>46695.95</v>
      </c>
      <c r="CS299" t="s">
        <v>145</v>
      </c>
      <c r="CT299">
        <v>46630.811000000002</v>
      </c>
      <c r="CU299">
        <v>2.9</v>
      </c>
      <c r="CV299">
        <v>45</v>
      </c>
      <c r="CX299" t="s">
        <v>206</v>
      </c>
      <c r="CY299">
        <v>313</v>
      </c>
    </row>
    <row r="300" spans="1:103" x14ac:dyDescent="0.25">
      <c r="A300" t="s">
        <v>106</v>
      </c>
      <c r="B300" s="38">
        <v>45256</v>
      </c>
      <c r="C300" s="43">
        <f>IF(YEAR(Таблица1[[#This Row],[Дата]])=2023,MONTH(Таблица1[[#This Row],[Дата]]),0)</f>
        <v>11</v>
      </c>
      <c r="D300" t="s">
        <v>1345</v>
      </c>
      <c r="E300" t="s">
        <v>108</v>
      </c>
      <c r="F300" t="s">
        <v>1346</v>
      </c>
      <c r="G300" t="s">
        <v>110</v>
      </c>
      <c r="H300" t="s">
        <v>111</v>
      </c>
      <c r="I300" t="s">
        <v>112</v>
      </c>
      <c r="J300" t="s">
        <v>112</v>
      </c>
      <c r="K300" t="s">
        <v>112</v>
      </c>
      <c r="L300" t="s">
        <v>150</v>
      </c>
      <c r="M300" t="s">
        <v>151</v>
      </c>
      <c r="N300" t="s">
        <v>112</v>
      </c>
      <c r="O300" t="s">
        <v>112</v>
      </c>
      <c r="P300">
        <v>1</v>
      </c>
      <c r="R300">
        <v>1</v>
      </c>
      <c r="S300">
        <v>33</v>
      </c>
      <c r="T300" t="s">
        <v>112</v>
      </c>
      <c r="U300" t="s">
        <v>152</v>
      </c>
      <c r="V300" t="s">
        <v>153</v>
      </c>
      <c r="W300" t="s">
        <v>154</v>
      </c>
      <c r="X300" t="s">
        <v>119</v>
      </c>
      <c r="Y300" t="s">
        <v>112</v>
      </c>
      <c r="Z300" t="s">
        <v>112</v>
      </c>
      <c r="AA300" t="s">
        <v>152</v>
      </c>
      <c r="AB300" t="s">
        <v>153</v>
      </c>
      <c r="AC300" t="s">
        <v>154</v>
      </c>
      <c r="AD300" t="s">
        <v>119</v>
      </c>
      <c r="AE300" t="s">
        <v>112</v>
      </c>
      <c r="AF300" t="s">
        <v>121</v>
      </c>
      <c r="AG300" t="s">
        <v>122</v>
      </c>
      <c r="AH300">
        <v>4712968.17</v>
      </c>
      <c r="AI300" t="s">
        <v>112</v>
      </c>
      <c r="AJ300" t="s">
        <v>152</v>
      </c>
      <c r="AK300" t="s">
        <v>153</v>
      </c>
      <c r="AL300" t="s">
        <v>154</v>
      </c>
      <c r="AM300" t="s">
        <v>119</v>
      </c>
      <c r="AN300" t="s">
        <v>112</v>
      </c>
      <c r="AO300" t="s">
        <v>121</v>
      </c>
      <c r="AP300" t="s">
        <v>122</v>
      </c>
      <c r="AQ300" t="s">
        <v>122</v>
      </c>
      <c r="AR300" t="s">
        <v>124</v>
      </c>
      <c r="AS300" t="s">
        <v>125</v>
      </c>
      <c r="AT300">
        <v>2</v>
      </c>
      <c r="AU300" t="s">
        <v>126</v>
      </c>
      <c r="AV300" t="s">
        <v>155</v>
      </c>
      <c r="AW300" t="s">
        <v>156</v>
      </c>
      <c r="AY300" t="s">
        <v>129</v>
      </c>
      <c r="AZ300">
        <v>44972.800000000003</v>
      </c>
      <c r="BC300">
        <v>96.256100000000004</v>
      </c>
      <c r="BD300" t="s">
        <v>112</v>
      </c>
      <c r="BE300" t="s">
        <v>112</v>
      </c>
      <c r="BF300" t="s">
        <v>157</v>
      </c>
      <c r="BG300" t="s">
        <v>133</v>
      </c>
      <c r="BH300" t="s">
        <v>134</v>
      </c>
      <c r="BI300" t="s">
        <v>112</v>
      </c>
      <c r="BJ300" t="s">
        <v>112</v>
      </c>
      <c r="BK300" t="s">
        <v>112</v>
      </c>
      <c r="BL300" t="s">
        <v>158</v>
      </c>
      <c r="BM300" t="s">
        <v>159</v>
      </c>
      <c r="BN300" t="s">
        <v>212</v>
      </c>
      <c r="BO300" t="s">
        <v>161</v>
      </c>
      <c r="BQ300" t="s">
        <v>232</v>
      </c>
      <c r="BR300" s="45">
        <f>ISNUMBER(SEARCH($BR$1,Таблица1[[#This Row],[31_1 Описание и характеристика товара]]))*1</f>
        <v>1</v>
      </c>
      <c r="BT300" t="s">
        <v>150</v>
      </c>
      <c r="BU300">
        <v>33</v>
      </c>
      <c r="BV300">
        <v>0</v>
      </c>
      <c r="BW300">
        <v>0</v>
      </c>
      <c r="BY300">
        <v>0</v>
      </c>
      <c r="CA300" t="s">
        <v>106</v>
      </c>
      <c r="CB300" t="s">
        <v>142</v>
      </c>
      <c r="CC300" t="s">
        <v>112</v>
      </c>
      <c r="CD300" t="s">
        <v>112</v>
      </c>
      <c r="CE300" t="s">
        <v>121</v>
      </c>
      <c r="CF300">
        <v>16426.439999999999</v>
      </c>
      <c r="CG300" t="s">
        <v>144</v>
      </c>
      <c r="CH300">
        <v>4000000</v>
      </c>
      <c r="CI300">
        <v>16372.44</v>
      </c>
      <c r="CJ300">
        <v>0</v>
      </c>
      <c r="CK300" t="s">
        <v>112</v>
      </c>
      <c r="CL300" t="s">
        <v>112</v>
      </c>
      <c r="CM300">
        <v>44972.800000000003</v>
      </c>
      <c r="CO300">
        <v>0</v>
      </c>
      <c r="CP300">
        <v>1</v>
      </c>
      <c r="CQ300">
        <v>4712968.17</v>
      </c>
      <c r="CR300">
        <v>53635.63</v>
      </c>
      <c r="CS300" t="s">
        <v>145</v>
      </c>
      <c r="CT300">
        <v>53701.603199999998</v>
      </c>
      <c r="CU300">
        <v>3.28</v>
      </c>
      <c r="CV300">
        <v>45</v>
      </c>
      <c r="CX300" t="s">
        <v>1140</v>
      </c>
      <c r="CY300">
        <v>285</v>
      </c>
    </row>
    <row r="301" spans="1:103" x14ac:dyDescent="0.25">
      <c r="A301" t="s">
        <v>106</v>
      </c>
      <c r="B301" s="38">
        <v>45110</v>
      </c>
      <c r="C301" s="43">
        <f>IF(YEAR(Таблица1[[#This Row],[Дата]])=2023,MONTH(Таблица1[[#This Row],[Дата]]),0)</f>
        <v>7</v>
      </c>
      <c r="D301" t="s">
        <v>1339</v>
      </c>
      <c r="E301" t="s">
        <v>108</v>
      </c>
      <c r="F301" t="s">
        <v>1340</v>
      </c>
      <c r="G301" t="s">
        <v>110</v>
      </c>
      <c r="H301" t="s">
        <v>111</v>
      </c>
      <c r="I301" t="s">
        <v>112</v>
      </c>
      <c r="J301" t="s">
        <v>112</v>
      </c>
      <c r="K301" t="s">
        <v>112</v>
      </c>
      <c r="L301" t="s">
        <v>150</v>
      </c>
      <c r="M301" t="s">
        <v>151</v>
      </c>
      <c r="N301" t="s">
        <v>112</v>
      </c>
      <c r="O301" t="s">
        <v>112</v>
      </c>
      <c r="P301">
        <v>1</v>
      </c>
      <c r="R301">
        <v>1</v>
      </c>
      <c r="S301">
        <v>33</v>
      </c>
      <c r="T301" t="s">
        <v>112</v>
      </c>
      <c r="U301" t="s">
        <v>152</v>
      </c>
      <c r="V301" t="s">
        <v>153</v>
      </c>
      <c r="W301" t="s">
        <v>154</v>
      </c>
      <c r="X301" t="s">
        <v>119</v>
      </c>
      <c r="Y301" t="s">
        <v>112</v>
      </c>
      <c r="Z301" t="s">
        <v>112</v>
      </c>
      <c r="AA301" t="s">
        <v>152</v>
      </c>
      <c r="AB301" t="s">
        <v>153</v>
      </c>
      <c r="AC301" t="s">
        <v>154</v>
      </c>
      <c r="AD301" t="s">
        <v>119</v>
      </c>
      <c r="AE301" t="s">
        <v>112</v>
      </c>
      <c r="AF301" t="s">
        <v>121</v>
      </c>
      <c r="AG301" t="s">
        <v>122</v>
      </c>
      <c r="AH301">
        <v>4942269.46</v>
      </c>
      <c r="AI301" t="s">
        <v>112</v>
      </c>
      <c r="AJ301" t="s">
        <v>152</v>
      </c>
      <c r="AK301" t="s">
        <v>153</v>
      </c>
      <c r="AL301" t="s">
        <v>154</v>
      </c>
      <c r="AM301" t="s">
        <v>119</v>
      </c>
      <c r="AN301" t="s">
        <v>112</v>
      </c>
      <c r="AO301" t="s">
        <v>121</v>
      </c>
      <c r="AP301" t="s">
        <v>122</v>
      </c>
      <c r="AQ301" t="s">
        <v>122</v>
      </c>
      <c r="AR301" t="s">
        <v>124</v>
      </c>
      <c r="AS301" t="s">
        <v>125</v>
      </c>
      <c r="AT301">
        <v>2</v>
      </c>
      <c r="AU301" t="s">
        <v>126</v>
      </c>
      <c r="AV301" t="s">
        <v>155</v>
      </c>
      <c r="AW301" t="s">
        <v>156</v>
      </c>
      <c r="AY301" t="s">
        <v>129</v>
      </c>
      <c r="AZ301">
        <v>47355</v>
      </c>
      <c r="BC301">
        <v>96.256100000000004</v>
      </c>
      <c r="BD301" t="s">
        <v>112</v>
      </c>
      <c r="BE301" t="s">
        <v>112</v>
      </c>
      <c r="BF301" t="s">
        <v>157</v>
      </c>
      <c r="BG301" t="s">
        <v>133</v>
      </c>
      <c r="BH301" t="s">
        <v>134</v>
      </c>
      <c r="BI301" t="s">
        <v>112</v>
      </c>
      <c r="BJ301" t="s">
        <v>112</v>
      </c>
      <c r="BK301" t="s">
        <v>112</v>
      </c>
      <c r="BL301" t="s">
        <v>158</v>
      </c>
      <c r="BM301" t="s">
        <v>159</v>
      </c>
      <c r="BN301" t="s">
        <v>212</v>
      </c>
      <c r="BO301" t="s">
        <v>161</v>
      </c>
      <c r="BQ301" t="s">
        <v>232</v>
      </c>
      <c r="BR301" s="45">
        <f>ISNUMBER(SEARCH($BR$1,Таблица1[[#This Row],[31_1 Описание и характеристика товара]]))*1</f>
        <v>1</v>
      </c>
      <c r="BT301" t="s">
        <v>150</v>
      </c>
      <c r="BU301">
        <v>33</v>
      </c>
      <c r="BV301">
        <v>0</v>
      </c>
      <c r="BW301">
        <v>0</v>
      </c>
      <c r="BY301">
        <v>0</v>
      </c>
      <c r="CA301" t="s">
        <v>106</v>
      </c>
      <c r="CB301" t="s">
        <v>142</v>
      </c>
      <c r="CC301" t="s">
        <v>112</v>
      </c>
      <c r="CD301" t="s">
        <v>112</v>
      </c>
      <c r="CE301" t="s">
        <v>121</v>
      </c>
      <c r="CF301">
        <v>16493.7</v>
      </c>
      <c r="CG301" t="s">
        <v>144</v>
      </c>
      <c r="CH301">
        <v>4000000</v>
      </c>
      <c r="CI301">
        <v>16439.7</v>
      </c>
      <c r="CJ301">
        <v>0</v>
      </c>
      <c r="CK301" t="s">
        <v>112</v>
      </c>
      <c r="CL301" t="s">
        <v>112</v>
      </c>
      <c r="CM301">
        <v>47355</v>
      </c>
      <c r="CO301">
        <v>0</v>
      </c>
      <c r="CP301">
        <v>1</v>
      </c>
      <c r="CQ301">
        <v>4942269.46</v>
      </c>
      <c r="CR301">
        <v>56245.18</v>
      </c>
      <c r="CS301" t="s">
        <v>145</v>
      </c>
      <c r="CT301">
        <v>56223.774000000005</v>
      </c>
      <c r="CU301">
        <v>3.42</v>
      </c>
      <c r="CV301">
        <v>45</v>
      </c>
      <c r="CX301" t="s">
        <v>233</v>
      </c>
      <c r="CY301">
        <v>148</v>
      </c>
    </row>
    <row r="302" spans="1:103" x14ac:dyDescent="0.25">
      <c r="A302" t="s">
        <v>106</v>
      </c>
      <c r="B302" s="38">
        <v>45174</v>
      </c>
      <c r="C302" s="43">
        <f>IF(YEAR(Таблица1[[#This Row],[Дата]])=2023,MONTH(Таблица1[[#This Row],[Дата]]),0)</f>
        <v>9</v>
      </c>
      <c r="D302" t="s">
        <v>1343</v>
      </c>
      <c r="E302" t="s">
        <v>108</v>
      </c>
      <c r="F302" t="s">
        <v>1344</v>
      </c>
      <c r="G302" t="s">
        <v>110</v>
      </c>
      <c r="H302" t="s">
        <v>111</v>
      </c>
      <c r="I302" t="s">
        <v>112</v>
      </c>
      <c r="J302" t="s">
        <v>112</v>
      </c>
      <c r="K302" t="s">
        <v>112</v>
      </c>
      <c r="L302" t="s">
        <v>150</v>
      </c>
      <c r="M302" t="s">
        <v>151</v>
      </c>
      <c r="N302" t="s">
        <v>112</v>
      </c>
      <c r="O302" t="s">
        <v>112</v>
      </c>
      <c r="P302">
        <v>1</v>
      </c>
      <c r="R302">
        <v>1</v>
      </c>
      <c r="S302">
        <v>33</v>
      </c>
      <c r="T302" t="s">
        <v>112</v>
      </c>
      <c r="U302" t="s">
        <v>152</v>
      </c>
      <c r="V302" t="s">
        <v>153</v>
      </c>
      <c r="W302" t="s">
        <v>154</v>
      </c>
      <c r="X302" t="s">
        <v>119</v>
      </c>
      <c r="Y302" t="s">
        <v>112</v>
      </c>
      <c r="Z302" t="s">
        <v>112</v>
      </c>
      <c r="AA302" t="s">
        <v>152</v>
      </c>
      <c r="AB302" t="s">
        <v>153</v>
      </c>
      <c r="AC302" t="s">
        <v>154</v>
      </c>
      <c r="AD302" t="s">
        <v>119</v>
      </c>
      <c r="AE302" t="s">
        <v>112</v>
      </c>
      <c r="AF302" t="s">
        <v>121</v>
      </c>
      <c r="AG302" t="s">
        <v>122</v>
      </c>
      <c r="AH302">
        <v>4884669.8099999996</v>
      </c>
      <c r="AI302" t="s">
        <v>112</v>
      </c>
      <c r="AJ302" t="s">
        <v>152</v>
      </c>
      <c r="AK302" t="s">
        <v>153</v>
      </c>
      <c r="AL302" t="s">
        <v>154</v>
      </c>
      <c r="AM302" t="s">
        <v>119</v>
      </c>
      <c r="AN302" t="s">
        <v>112</v>
      </c>
      <c r="AO302" t="s">
        <v>121</v>
      </c>
      <c r="AP302" t="s">
        <v>122</v>
      </c>
      <c r="AQ302" t="s">
        <v>122</v>
      </c>
      <c r="AR302" t="s">
        <v>124</v>
      </c>
      <c r="AS302" t="s">
        <v>125</v>
      </c>
      <c r="AT302">
        <v>2</v>
      </c>
      <c r="AU302" t="s">
        <v>126</v>
      </c>
      <c r="AV302" t="s">
        <v>155</v>
      </c>
      <c r="AW302" t="s">
        <v>156</v>
      </c>
      <c r="AY302" t="s">
        <v>129</v>
      </c>
      <c r="AZ302">
        <v>46756.6</v>
      </c>
      <c r="BC302">
        <v>96.256100000000004</v>
      </c>
      <c r="BD302" t="s">
        <v>112</v>
      </c>
      <c r="BE302" t="s">
        <v>112</v>
      </c>
      <c r="BF302" t="s">
        <v>157</v>
      </c>
      <c r="BG302" t="s">
        <v>133</v>
      </c>
      <c r="BH302" t="s">
        <v>167</v>
      </c>
      <c r="BI302" t="s">
        <v>112</v>
      </c>
      <c r="BJ302" t="s">
        <v>112</v>
      </c>
      <c r="BK302" t="s">
        <v>112</v>
      </c>
      <c r="BL302" t="s">
        <v>158</v>
      </c>
      <c r="BM302" t="s">
        <v>159</v>
      </c>
      <c r="BN302" t="s">
        <v>160</v>
      </c>
      <c r="BO302" t="s">
        <v>161</v>
      </c>
      <c r="BQ302" t="s">
        <v>162</v>
      </c>
      <c r="BR302" s="45">
        <f>ISNUMBER(SEARCH($BR$1,Таблица1[[#This Row],[31_1 Описание и характеристика товара]]))*1</f>
        <v>1</v>
      </c>
      <c r="BT302" t="s">
        <v>150</v>
      </c>
      <c r="BU302">
        <v>33</v>
      </c>
      <c r="BV302">
        <v>0</v>
      </c>
      <c r="BW302">
        <v>0</v>
      </c>
      <c r="BY302">
        <v>0</v>
      </c>
      <c r="CA302" t="s">
        <v>106</v>
      </c>
      <c r="CB302" t="s">
        <v>142</v>
      </c>
      <c r="CC302" t="s">
        <v>112</v>
      </c>
      <c r="CD302" t="s">
        <v>112</v>
      </c>
      <c r="CE302" t="s">
        <v>121</v>
      </c>
      <c r="CF302">
        <v>17047.14</v>
      </c>
      <c r="CG302" t="s">
        <v>144</v>
      </c>
      <c r="CH302">
        <v>4000000</v>
      </c>
      <c r="CI302">
        <v>17029.14</v>
      </c>
      <c r="CJ302">
        <v>0</v>
      </c>
      <c r="CK302" t="s">
        <v>112</v>
      </c>
      <c r="CL302" t="s">
        <v>112</v>
      </c>
      <c r="CM302">
        <v>46756.6</v>
      </c>
      <c r="CO302">
        <v>0</v>
      </c>
      <c r="CP302">
        <v>1</v>
      </c>
      <c r="CQ302">
        <v>4884669.8099999996</v>
      </c>
      <c r="CR302">
        <v>55589.67</v>
      </c>
      <c r="CS302" t="s">
        <v>145</v>
      </c>
      <c r="CT302">
        <v>55514.996399999996</v>
      </c>
      <c r="CU302">
        <v>3.26</v>
      </c>
      <c r="CV302">
        <v>45</v>
      </c>
      <c r="CX302" t="s">
        <v>1140</v>
      </c>
      <c r="CY302">
        <v>109</v>
      </c>
    </row>
    <row r="303" spans="1:103" x14ac:dyDescent="0.25">
      <c r="A303" t="s">
        <v>106</v>
      </c>
      <c r="B303" s="38">
        <v>45032</v>
      </c>
      <c r="C303" s="43">
        <f>IF(YEAR(Таблица1[[#This Row],[Дата]])=2023,MONTH(Таблица1[[#This Row],[Дата]]),0)</f>
        <v>4</v>
      </c>
      <c r="D303" t="s">
        <v>1341</v>
      </c>
      <c r="E303" t="s">
        <v>108</v>
      </c>
      <c r="F303" t="s">
        <v>1342</v>
      </c>
      <c r="G303" t="s">
        <v>110</v>
      </c>
      <c r="H303" t="s">
        <v>111</v>
      </c>
      <c r="I303" t="s">
        <v>112</v>
      </c>
      <c r="J303" t="s">
        <v>112</v>
      </c>
      <c r="K303" t="s">
        <v>112</v>
      </c>
      <c r="L303" t="s">
        <v>150</v>
      </c>
      <c r="M303" t="s">
        <v>151</v>
      </c>
      <c r="N303" t="s">
        <v>112</v>
      </c>
      <c r="O303" t="s">
        <v>112</v>
      </c>
      <c r="P303">
        <v>1</v>
      </c>
      <c r="R303">
        <v>1</v>
      </c>
      <c r="S303">
        <v>33</v>
      </c>
      <c r="T303" t="s">
        <v>112</v>
      </c>
      <c r="U303" t="s">
        <v>152</v>
      </c>
      <c r="V303" t="s">
        <v>153</v>
      </c>
      <c r="W303" t="s">
        <v>154</v>
      </c>
      <c r="X303" t="s">
        <v>119</v>
      </c>
      <c r="Y303" t="s">
        <v>112</v>
      </c>
      <c r="Z303" t="s">
        <v>112</v>
      </c>
      <c r="AA303" t="s">
        <v>152</v>
      </c>
      <c r="AB303" t="s">
        <v>153</v>
      </c>
      <c r="AC303" t="s">
        <v>154</v>
      </c>
      <c r="AD303" t="s">
        <v>119</v>
      </c>
      <c r="AE303" t="s">
        <v>112</v>
      </c>
      <c r="AF303" t="s">
        <v>121</v>
      </c>
      <c r="AG303" t="s">
        <v>122</v>
      </c>
      <c r="AH303">
        <v>4737925.46</v>
      </c>
      <c r="AI303" t="s">
        <v>112</v>
      </c>
      <c r="AJ303" t="s">
        <v>152</v>
      </c>
      <c r="AK303" t="s">
        <v>153</v>
      </c>
      <c r="AL303" t="s">
        <v>154</v>
      </c>
      <c r="AM303" t="s">
        <v>119</v>
      </c>
      <c r="AN303" t="s">
        <v>112</v>
      </c>
      <c r="AO303" t="s">
        <v>121</v>
      </c>
      <c r="AP303" t="s">
        <v>122</v>
      </c>
      <c r="AQ303" t="s">
        <v>122</v>
      </c>
      <c r="AR303" t="s">
        <v>124</v>
      </c>
      <c r="AS303" t="s">
        <v>125</v>
      </c>
      <c r="AT303">
        <v>2</v>
      </c>
      <c r="AU303" t="s">
        <v>126</v>
      </c>
      <c r="AV303" t="s">
        <v>155</v>
      </c>
      <c r="AW303" t="s">
        <v>156</v>
      </c>
      <c r="AY303" t="s">
        <v>129</v>
      </c>
      <c r="AZ303">
        <v>45232.08</v>
      </c>
      <c r="BC303">
        <v>96.256100000000004</v>
      </c>
      <c r="BD303" t="s">
        <v>112</v>
      </c>
      <c r="BE303" t="s">
        <v>112</v>
      </c>
      <c r="BF303" t="s">
        <v>157</v>
      </c>
      <c r="BG303" t="s">
        <v>133</v>
      </c>
      <c r="BH303" t="s">
        <v>167</v>
      </c>
      <c r="BI303" t="s">
        <v>112</v>
      </c>
      <c r="BJ303" t="s">
        <v>112</v>
      </c>
      <c r="BK303" t="s">
        <v>112</v>
      </c>
      <c r="BL303" t="s">
        <v>158</v>
      </c>
      <c r="BM303" t="s">
        <v>159</v>
      </c>
      <c r="BN303" t="s">
        <v>160</v>
      </c>
      <c r="BO303" t="s">
        <v>161</v>
      </c>
      <c r="BQ303" t="s">
        <v>205</v>
      </c>
      <c r="BR303" s="45">
        <f>ISNUMBER(SEARCH($BR$1,Таблица1[[#This Row],[31_1 Описание и характеристика товара]]))*1</f>
        <v>1</v>
      </c>
      <c r="BT303" t="s">
        <v>112</v>
      </c>
      <c r="BU303">
        <v>33</v>
      </c>
      <c r="BV303">
        <v>0</v>
      </c>
      <c r="BW303">
        <v>0</v>
      </c>
      <c r="BY303">
        <v>0</v>
      </c>
      <c r="CA303" t="s">
        <v>106</v>
      </c>
      <c r="CB303" t="s">
        <v>142</v>
      </c>
      <c r="CC303" t="s">
        <v>112</v>
      </c>
      <c r="CD303" t="s">
        <v>112</v>
      </c>
      <c r="CE303" t="s">
        <v>121</v>
      </c>
      <c r="CF303">
        <v>16727.89</v>
      </c>
      <c r="CG303" t="s">
        <v>144</v>
      </c>
      <c r="CH303">
        <v>4000000</v>
      </c>
      <c r="CI303">
        <v>16727.89</v>
      </c>
      <c r="CJ303">
        <v>0</v>
      </c>
      <c r="CK303" t="s">
        <v>112</v>
      </c>
      <c r="CL303" t="s">
        <v>112</v>
      </c>
      <c r="CM303">
        <v>45232.08</v>
      </c>
      <c r="CO303">
        <v>0</v>
      </c>
      <c r="CP303">
        <v>1</v>
      </c>
      <c r="CQ303">
        <v>4737925.46</v>
      </c>
      <c r="CR303">
        <v>53919.65</v>
      </c>
      <c r="CS303" t="s">
        <v>145</v>
      </c>
      <c r="CT303">
        <v>53863.805800000002</v>
      </c>
      <c r="CU303">
        <v>3.22</v>
      </c>
      <c r="CV303">
        <v>45</v>
      </c>
      <c r="CX303" t="s">
        <v>233</v>
      </c>
      <c r="CY303">
        <v>310</v>
      </c>
    </row>
    <row r="304" spans="1:103" x14ac:dyDescent="0.25">
      <c r="A304" t="s">
        <v>106</v>
      </c>
      <c r="B304" s="38">
        <v>45271</v>
      </c>
      <c r="C304" s="43">
        <f>IF(YEAR(Таблица1[[#This Row],[Дата]])=2023,MONTH(Таблица1[[#This Row],[Дата]]),0)</f>
        <v>12</v>
      </c>
      <c r="D304" t="s">
        <v>1330</v>
      </c>
      <c r="E304" t="s">
        <v>108</v>
      </c>
      <c r="F304" t="s">
        <v>1331</v>
      </c>
      <c r="G304" t="s">
        <v>110</v>
      </c>
      <c r="H304" t="s">
        <v>111</v>
      </c>
      <c r="I304" t="s">
        <v>112</v>
      </c>
      <c r="J304" t="s">
        <v>112</v>
      </c>
      <c r="K304" t="s">
        <v>112</v>
      </c>
      <c r="L304" t="s">
        <v>150</v>
      </c>
      <c r="M304" t="s">
        <v>151</v>
      </c>
      <c r="N304" t="s">
        <v>112</v>
      </c>
      <c r="O304" t="s">
        <v>112</v>
      </c>
      <c r="P304">
        <v>1</v>
      </c>
      <c r="R304">
        <v>1</v>
      </c>
      <c r="S304">
        <v>33</v>
      </c>
      <c r="T304" t="s">
        <v>112</v>
      </c>
      <c r="U304" t="s">
        <v>152</v>
      </c>
      <c r="V304" t="s">
        <v>153</v>
      </c>
      <c r="W304" t="s">
        <v>154</v>
      </c>
      <c r="X304" t="s">
        <v>119</v>
      </c>
      <c r="Y304" t="s">
        <v>112</v>
      </c>
      <c r="Z304" t="s">
        <v>112</v>
      </c>
      <c r="AA304" t="s">
        <v>152</v>
      </c>
      <c r="AB304" t="s">
        <v>153</v>
      </c>
      <c r="AC304" t="s">
        <v>154</v>
      </c>
      <c r="AD304" t="s">
        <v>119</v>
      </c>
      <c r="AE304" t="s">
        <v>112</v>
      </c>
      <c r="AF304" t="s">
        <v>121</v>
      </c>
      <c r="AG304" t="s">
        <v>122</v>
      </c>
      <c r="AH304">
        <v>4084485.15</v>
      </c>
      <c r="AI304" t="s">
        <v>112</v>
      </c>
      <c r="AJ304" t="s">
        <v>152</v>
      </c>
      <c r="AK304" t="s">
        <v>153</v>
      </c>
      <c r="AL304" t="s">
        <v>154</v>
      </c>
      <c r="AM304" t="s">
        <v>119</v>
      </c>
      <c r="AN304" t="s">
        <v>112</v>
      </c>
      <c r="AO304" t="s">
        <v>121</v>
      </c>
      <c r="AP304" t="s">
        <v>122</v>
      </c>
      <c r="AQ304" t="s">
        <v>122</v>
      </c>
      <c r="AR304" t="s">
        <v>124</v>
      </c>
      <c r="AS304" t="s">
        <v>125</v>
      </c>
      <c r="AT304">
        <v>2</v>
      </c>
      <c r="AU304" t="s">
        <v>126</v>
      </c>
      <c r="AV304" t="s">
        <v>155</v>
      </c>
      <c r="AW304" t="s">
        <v>156</v>
      </c>
      <c r="AY304" t="s">
        <v>129</v>
      </c>
      <c r="AZ304">
        <v>38443.519999999997</v>
      </c>
      <c r="BC304">
        <v>96.256100000000004</v>
      </c>
      <c r="BD304" t="s">
        <v>112</v>
      </c>
      <c r="BE304" t="s">
        <v>112</v>
      </c>
      <c r="BF304" t="s">
        <v>157</v>
      </c>
      <c r="BG304" t="s">
        <v>133</v>
      </c>
      <c r="BH304" t="s">
        <v>167</v>
      </c>
      <c r="BI304" t="s">
        <v>112</v>
      </c>
      <c r="BJ304" t="s">
        <v>112</v>
      </c>
      <c r="BK304" t="s">
        <v>112</v>
      </c>
      <c r="BL304" t="s">
        <v>158</v>
      </c>
      <c r="BM304" t="s">
        <v>159</v>
      </c>
      <c r="BN304" t="s">
        <v>160</v>
      </c>
      <c r="BO304" t="s">
        <v>161</v>
      </c>
      <c r="BQ304" t="s">
        <v>205</v>
      </c>
      <c r="BR304" s="45">
        <f>ISNUMBER(SEARCH($BR$1,Таблица1[[#This Row],[31_1 Описание и характеристика товара]]))*1</f>
        <v>1</v>
      </c>
      <c r="BT304" t="s">
        <v>150</v>
      </c>
      <c r="BU304">
        <v>33</v>
      </c>
      <c r="BV304">
        <v>0</v>
      </c>
      <c r="BW304">
        <v>0</v>
      </c>
      <c r="BY304">
        <v>0</v>
      </c>
      <c r="CA304" t="s">
        <v>106</v>
      </c>
      <c r="CB304" t="s">
        <v>142</v>
      </c>
      <c r="CC304" t="s">
        <v>112</v>
      </c>
      <c r="CD304" t="s">
        <v>112</v>
      </c>
      <c r="CE304" t="s">
        <v>121</v>
      </c>
      <c r="CF304">
        <v>16667.740000000002</v>
      </c>
      <c r="CG304" t="s">
        <v>144</v>
      </c>
      <c r="CH304">
        <v>4000000</v>
      </c>
      <c r="CI304">
        <v>16538.14</v>
      </c>
      <c r="CJ304">
        <v>0</v>
      </c>
      <c r="CK304" t="s">
        <v>112</v>
      </c>
      <c r="CL304" t="s">
        <v>112</v>
      </c>
      <c r="CM304">
        <v>38443.519999999997</v>
      </c>
      <c r="CO304">
        <v>0</v>
      </c>
      <c r="CP304">
        <v>1</v>
      </c>
      <c r="CQ304">
        <v>4084485.15</v>
      </c>
      <c r="CR304">
        <v>46483.22</v>
      </c>
      <c r="CS304" t="s">
        <v>145</v>
      </c>
      <c r="CT304">
        <v>46472.1734</v>
      </c>
      <c r="CU304">
        <v>2.81</v>
      </c>
      <c r="CV304">
        <v>45</v>
      </c>
      <c r="CX304" t="s">
        <v>206</v>
      </c>
      <c r="CY304">
        <v>88</v>
      </c>
    </row>
    <row r="305" spans="1:103" x14ac:dyDescent="0.25">
      <c r="A305" t="s">
        <v>106</v>
      </c>
      <c r="B305" s="38">
        <v>44948</v>
      </c>
      <c r="C305" s="43">
        <f>IF(YEAR(Таблица1[[#This Row],[Дата]])=2023,MONTH(Таблица1[[#This Row],[Дата]]),0)</f>
        <v>1</v>
      </c>
      <c r="D305" t="s">
        <v>2043</v>
      </c>
      <c r="E305" t="s">
        <v>108</v>
      </c>
      <c r="F305" t="s">
        <v>2044</v>
      </c>
      <c r="G305" t="s">
        <v>110</v>
      </c>
      <c r="H305" t="s">
        <v>111</v>
      </c>
      <c r="I305" t="s">
        <v>112</v>
      </c>
      <c r="J305" t="s">
        <v>112</v>
      </c>
      <c r="K305" t="s">
        <v>112</v>
      </c>
      <c r="L305" t="s">
        <v>150</v>
      </c>
      <c r="M305" t="s">
        <v>151</v>
      </c>
      <c r="N305" t="s">
        <v>112</v>
      </c>
      <c r="O305" t="s">
        <v>112</v>
      </c>
      <c r="P305">
        <v>1</v>
      </c>
      <c r="R305">
        <v>1</v>
      </c>
      <c r="S305">
        <v>33</v>
      </c>
      <c r="T305" t="s">
        <v>112</v>
      </c>
      <c r="U305" t="s">
        <v>152</v>
      </c>
      <c r="V305" t="s">
        <v>153</v>
      </c>
      <c r="W305" t="s">
        <v>154</v>
      </c>
      <c r="X305" t="s">
        <v>119</v>
      </c>
      <c r="Y305" t="s">
        <v>112</v>
      </c>
      <c r="Z305" t="s">
        <v>112</v>
      </c>
      <c r="AA305" t="s">
        <v>152</v>
      </c>
      <c r="AB305" t="s">
        <v>153</v>
      </c>
      <c r="AC305" t="s">
        <v>154</v>
      </c>
      <c r="AD305" t="s">
        <v>119</v>
      </c>
      <c r="AE305" t="s">
        <v>112</v>
      </c>
      <c r="AF305" t="s">
        <v>121</v>
      </c>
      <c r="AG305" t="s">
        <v>122</v>
      </c>
      <c r="AH305">
        <v>5075949.5599999996</v>
      </c>
      <c r="AI305" t="s">
        <v>112</v>
      </c>
      <c r="AJ305" t="s">
        <v>152</v>
      </c>
      <c r="AK305" t="s">
        <v>153</v>
      </c>
      <c r="AL305" t="s">
        <v>154</v>
      </c>
      <c r="AM305" t="s">
        <v>119</v>
      </c>
      <c r="AN305" t="s">
        <v>112</v>
      </c>
      <c r="AO305" t="s">
        <v>121</v>
      </c>
      <c r="AP305" t="s">
        <v>122</v>
      </c>
      <c r="AQ305" t="s">
        <v>122</v>
      </c>
      <c r="AR305" t="s">
        <v>124</v>
      </c>
      <c r="AS305" t="s">
        <v>125</v>
      </c>
      <c r="AT305">
        <v>2</v>
      </c>
      <c r="AU305" t="s">
        <v>126</v>
      </c>
      <c r="AV305" t="s">
        <v>155</v>
      </c>
      <c r="AW305" t="s">
        <v>156</v>
      </c>
      <c r="AY305" t="s">
        <v>129</v>
      </c>
      <c r="AZ305">
        <v>44758.9</v>
      </c>
      <c r="BC305">
        <v>102.36060000000001</v>
      </c>
      <c r="BD305" t="s">
        <v>112</v>
      </c>
      <c r="BE305" t="s">
        <v>112</v>
      </c>
      <c r="BF305" t="s">
        <v>157</v>
      </c>
      <c r="BG305" t="s">
        <v>133</v>
      </c>
      <c r="BH305" t="s">
        <v>134</v>
      </c>
      <c r="BI305" t="s">
        <v>112</v>
      </c>
      <c r="BJ305" t="s">
        <v>112</v>
      </c>
      <c r="BK305" t="s">
        <v>112</v>
      </c>
      <c r="BL305" t="s">
        <v>169</v>
      </c>
      <c r="BM305" t="s">
        <v>159</v>
      </c>
      <c r="BN305" t="s">
        <v>212</v>
      </c>
      <c r="BO305" t="s">
        <v>161</v>
      </c>
      <c r="BQ305" t="s">
        <v>466</v>
      </c>
      <c r="BR305" s="45">
        <f>ISNUMBER(SEARCH($BR$1,Таблица1[[#This Row],[31_1 Описание и характеристика товара]]))*1</f>
        <v>1</v>
      </c>
      <c r="BT305" t="s">
        <v>150</v>
      </c>
      <c r="BU305">
        <v>33</v>
      </c>
      <c r="BV305">
        <v>0</v>
      </c>
      <c r="BW305">
        <v>0</v>
      </c>
      <c r="BY305">
        <v>0</v>
      </c>
      <c r="CA305" t="s">
        <v>106</v>
      </c>
      <c r="CB305" t="s">
        <v>142</v>
      </c>
      <c r="CC305" t="s">
        <v>112</v>
      </c>
      <c r="CD305" t="s">
        <v>112</v>
      </c>
      <c r="CE305" t="s">
        <v>121</v>
      </c>
      <c r="CF305">
        <v>16670.650000000001</v>
      </c>
      <c r="CG305" t="s">
        <v>144</v>
      </c>
      <c r="CH305">
        <v>4000000</v>
      </c>
      <c r="CI305">
        <v>16670.650000000001</v>
      </c>
      <c r="CJ305">
        <v>0</v>
      </c>
      <c r="CK305" t="s">
        <v>112</v>
      </c>
      <c r="CL305" t="s">
        <v>112</v>
      </c>
      <c r="CM305">
        <v>44758.9</v>
      </c>
      <c r="CO305">
        <v>0</v>
      </c>
      <c r="CP305">
        <v>1</v>
      </c>
      <c r="CQ305">
        <v>5075949.5599999996</v>
      </c>
      <c r="CR305">
        <v>52832.54</v>
      </c>
      <c r="CS305" t="s">
        <v>145</v>
      </c>
      <c r="CT305">
        <v>52845.960500000001</v>
      </c>
      <c r="CU305">
        <v>3.17</v>
      </c>
      <c r="CV305">
        <v>45</v>
      </c>
      <c r="CX305" t="s">
        <v>729</v>
      </c>
      <c r="CY305">
        <v>124</v>
      </c>
    </row>
    <row r="306" spans="1:103" x14ac:dyDescent="0.25">
      <c r="A306" t="s">
        <v>106</v>
      </c>
      <c r="B306" s="38">
        <v>44800</v>
      </c>
      <c r="C306" s="43">
        <f>IF(YEAR(Таблица1[[#This Row],[Дата]])=2023,MONTH(Таблица1[[#This Row],[Дата]]),0)</f>
        <v>0</v>
      </c>
      <c r="D306" t="s">
        <v>1770</v>
      </c>
      <c r="E306" t="s">
        <v>108</v>
      </c>
      <c r="F306" t="s">
        <v>1771</v>
      </c>
      <c r="G306" t="s">
        <v>110</v>
      </c>
      <c r="H306" t="s">
        <v>111</v>
      </c>
      <c r="I306" t="s">
        <v>112</v>
      </c>
      <c r="J306" t="s">
        <v>112</v>
      </c>
      <c r="K306" t="s">
        <v>112</v>
      </c>
      <c r="L306" t="s">
        <v>150</v>
      </c>
      <c r="M306" t="s">
        <v>151</v>
      </c>
      <c r="N306" t="s">
        <v>112</v>
      </c>
      <c r="O306" t="s">
        <v>112</v>
      </c>
      <c r="R306">
        <v>1</v>
      </c>
      <c r="S306">
        <v>33</v>
      </c>
      <c r="T306" t="s">
        <v>166</v>
      </c>
      <c r="U306" t="s">
        <v>152</v>
      </c>
      <c r="V306" t="s">
        <v>153</v>
      </c>
      <c r="W306" t="s">
        <v>154</v>
      </c>
      <c r="X306" t="s">
        <v>119</v>
      </c>
      <c r="Y306" t="s">
        <v>112</v>
      </c>
      <c r="Z306" t="s">
        <v>166</v>
      </c>
      <c r="AA306" t="s">
        <v>152</v>
      </c>
      <c r="AB306" t="s">
        <v>153</v>
      </c>
      <c r="AC306" t="s">
        <v>154</v>
      </c>
      <c r="AD306" t="s">
        <v>119</v>
      </c>
      <c r="AE306" t="s">
        <v>112</v>
      </c>
      <c r="AF306" t="s">
        <v>121</v>
      </c>
      <c r="AG306" t="s">
        <v>122</v>
      </c>
      <c r="AH306">
        <v>5126006.09</v>
      </c>
      <c r="AI306" t="s">
        <v>166</v>
      </c>
      <c r="AJ306" t="s">
        <v>152</v>
      </c>
      <c r="AK306" t="s">
        <v>153</v>
      </c>
      <c r="AL306" t="s">
        <v>154</v>
      </c>
      <c r="AM306" t="s">
        <v>119</v>
      </c>
      <c r="AN306" t="s">
        <v>112</v>
      </c>
      <c r="AO306" t="s">
        <v>121</v>
      </c>
      <c r="AP306" t="s">
        <v>122</v>
      </c>
      <c r="AQ306" t="s">
        <v>122</v>
      </c>
      <c r="AR306" t="s">
        <v>124</v>
      </c>
      <c r="AS306" t="s">
        <v>125</v>
      </c>
      <c r="AU306" t="s">
        <v>126</v>
      </c>
      <c r="AV306" t="s">
        <v>155</v>
      </c>
      <c r="AW306" t="s">
        <v>156</v>
      </c>
      <c r="AY306" t="s">
        <v>129</v>
      </c>
      <c r="AZ306">
        <v>45844.76</v>
      </c>
      <c r="BC306">
        <v>102.5719</v>
      </c>
      <c r="BD306" t="s">
        <v>112</v>
      </c>
      <c r="BE306" t="s">
        <v>112</v>
      </c>
      <c r="BF306" t="s">
        <v>112</v>
      </c>
      <c r="BG306" t="s">
        <v>133</v>
      </c>
      <c r="BH306" t="s">
        <v>134</v>
      </c>
      <c r="BI306" t="s">
        <v>112</v>
      </c>
      <c r="BJ306" t="s">
        <v>112</v>
      </c>
      <c r="BK306" t="s">
        <v>112</v>
      </c>
      <c r="BL306" t="s">
        <v>112</v>
      </c>
      <c r="BM306" t="s">
        <v>112</v>
      </c>
      <c r="BN306" t="s">
        <v>112</v>
      </c>
      <c r="BO306" t="s">
        <v>161</v>
      </c>
      <c r="BQ306" t="s">
        <v>205</v>
      </c>
      <c r="BR306" s="45">
        <f>ISNUMBER(SEARCH($BR$1,Таблица1[[#This Row],[31_1 Описание и характеристика товара]]))*1</f>
        <v>1</v>
      </c>
      <c r="BT306" t="s">
        <v>150</v>
      </c>
      <c r="BU306">
        <v>33</v>
      </c>
      <c r="BV306">
        <v>0</v>
      </c>
      <c r="BW306">
        <v>0</v>
      </c>
      <c r="CA306" t="s">
        <v>106</v>
      </c>
      <c r="CB306" t="s">
        <v>142</v>
      </c>
      <c r="CC306" t="s">
        <v>112</v>
      </c>
      <c r="CD306" t="s">
        <v>112</v>
      </c>
      <c r="CE306" t="s">
        <v>121</v>
      </c>
      <c r="CF306">
        <v>16642.400000000001</v>
      </c>
      <c r="CG306" t="s">
        <v>144</v>
      </c>
      <c r="CH306">
        <v>4000000</v>
      </c>
      <c r="CI306">
        <v>16552.400000000001</v>
      </c>
      <c r="CJ306">
        <v>0</v>
      </c>
      <c r="CK306" t="s">
        <v>112</v>
      </c>
      <c r="CL306" t="s">
        <v>112</v>
      </c>
      <c r="CM306">
        <v>45844.76</v>
      </c>
      <c r="CO306">
        <v>0</v>
      </c>
      <c r="CP306">
        <v>1</v>
      </c>
      <c r="CQ306">
        <v>5126006.09</v>
      </c>
      <c r="CR306">
        <v>54449.49</v>
      </c>
      <c r="CS306" t="s">
        <v>145</v>
      </c>
      <c r="CT306">
        <v>54457.396000000008</v>
      </c>
      <c r="CU306">
        <v>3.29</v>
      </c>
      <c r="CY306">
        <v>46</v>
      </c>
    </row>
    <row r="307" spans="1:103" x14ac:dyDescent="0.25">
      <c r="A307" t="s">
        <v>106</v>
      </c>
      <c r="B307" s="38">
        <v>45010</v>
      </c>
      <c r="C307" s="43">
        <f>IF(YEAR(Таблица1[[#This Row],[Дата]])=2023,MONTH(Таблица1[[#This Row],[Дата]]),0)</f>
        <v>3</v>
      </c>
      <c r="D307" t="s">
        <v>1370</v>
      </c>
      <c r="E307" t="s">
        <v>108</v>
      </c>
      <c r="F307" t="s">
        <v>1371</v>
      </c>
      <c r="G307" t="s">
        <v>110</v>
      </c>
      <c r="H307" t="s">
        <v>111</v>
      </c>
      <c r="I307" t="s">
        <v>112</v>
      </c>
      <c r="J307" t="s">
        <v>112</v>
      </c>
      <c r="K307" t="s">
        <v>112</v>
      </c>
      <c r="L307" t="s">
        <v>150</v>
      </c>
      <c r="M307" t="s">
        <v>1020</v>
      </c>
      <c r="N307" t="s">
        <v>112</v>
      </c>
      <c r="O307" t="s">
        <v>112</v>
      </c>
      <c r="P307">
        <v>1</v>
      </c>
      <c r="R307">
        <v>1</v>
      </c>
      <c r="S307">
        <v>33</v>
      </c>
      <c r="T307" t="s">
        <v>166</v>
      </c>
      <c r="U307" t="s">
        <v>152</v>
      </c>
      <c r="V307" t="s">
        <v>153</v>
      </c>
      <c r="W307" t="s">
        <v>154</v>
      </c>
      <c r="X307" t="s">
        <v>119</v>
      </c>
      <c r="Y307" t="s">
        <v>112</v>
      </c>
      <c r="Z307" t="s">
        <v>166</v>
      </c>
      <c r="AA307" t="s">
        <v>152</v>
      </c>
      <c r="AB307" t="s">
        <v>153</v>
      </c>
      <c r="AC307" t="s">
        <v>154</v>
      </c>
      <c r="AD307" t="s">
        <v>119</v>
      </c>
      <c r="AE307" t="s">
        <v>112</v>
      </c>
      <c r="AF307" t="s">
        <v>121</v>
      </c>
      <c r="AG307" t="s">
        <v>122</v>
      </c>
      <c r="AH307">
        <v>4331010.0599999996</v>
      </c>
      <c r="AI307" t="s">
        <v>166</v>
      </c>
      <c r="AJ307" t="s">
        <v>152</v>
      </c>
      <c r="AK307" t="s">
        <v>153</v>
      </c>
      <c r="AL307" t="s">
        <v>154</v>
      </c>
      <c r="AM307" t="s">
        <v>119</v>
      </c>
      <c r="AN307" t="s">
        <v>112</v>
      </c>
      <c r="AO307" t="s">
        <v>121</v>
      </c>
      <c r="AP307" t="s">
        <v>122</v>
      </c>
      <c r="AQ307" t="s">
        <v>122</v>
      </c>
      <c r="AR307" t="s">
        <v>124</v>
      </c>
      <c r="AS307" t="s">
        <v>125</v>
      </c>
      <c r="AT307">
        <v>2</v>
      </c>
      <c r="AU307" t="s">
        <v>126</v>
      </c>
      <c r="AV307" t="s">
        <v>155</v>
      </c>
      <c r="AW307" t="s">
        <v>156</v>
      </c>
      <c r="AX307">
        <v>1</v>
      </c>
      <c r="AY307" t="s">
        <v>129</v>
      </c>
      <c r="AZ307">
        <v>42945.48</v>
      </c>
      <c r="BA307">
        <v>3951044</v>
      </c>
      <c r="BB307">
        <v>51408.66</v>
      </c>
      <c r="BC307">
        <v>92.001400000000004</v>
      </c>
      <c r="BD307" t="s">
        <v>130</v>
      </c>
      <c r="BE307" t="s">
        <v>112</v>
      </c>
      <c r="BF307" t="s">
        <v>157</v>
      </c>
      <c r="BG307" t="s">
        <v>133</v>
      </c>
      <c r="BH307" t="s">
        <v>134</v>
      </c>
      <c r="BI307" t="s">
        <v>112</v>
      </c>
      <c r="BJ307" t="s">
        <v>112</v>
      </c>
      <c r="BK307" t="s">
        <v>112</v>
      </c>
      <c r="BL307" t="s">
        <v>169</v>
      </c>
      <c r="BM307" t="s">
        <v>159</v>
      </c>
      <c r="BN307" t="s">
        <v>722</v>
      </c>
      <c r="BO307" t="s">
        <v>161</v>
      </c>
      <c r="BP307">
        <v>1</v>
      </c>
      <c r="BQ307" t="s">
        <v>1372</v>
      </c>
      <c r="BR307" s="45">
        <f>ISNUMBER(SEARCH($BR$1,Таблица1[[#This Row],[31_1 Описание и характеристика товара]]))*1</f>
        <v>1</v>
      </c>
      <c r="BT307" t="s">
        <v>150</v>
      </c>
      <c r="BU307">
        <v>33</v>
      </c>
      <c r="CA307" t="s">
        <v>106</v>
      </c>
      <c r="CB307" t="s">
        <v>142</v>
      </c>
      <c r="CC307" t="s">
        <v>112</v>
      </c>
      <c r="CD307" t="s">
        <v>112</v>
      </c>
      <c r="CE307" t="s">
        <v>121</v>
      </c>
      <c r="CF307">
        <v>16978.52</v>
      </c>
      <c r="CG307" t="s">
        <v>144</v>
      </c>
      <c r="CH307">
        <v>4000000</v>
      </c>
      <c r="CI307">
        <v>16978.52</v>
      </c>
      <c r="CK307" t="s">
        <v>112</v>
      </c>
      <c r="CL307" t="s">
        <v>112</v>
      </c>
      <c r="CM307">
        <v>42945.48</v>
      </c>
      <c r="CN307">
        <v>3951044</v>
      </c>
      <c r="CO307">
        <v>0</v>
      </c>
      <c r="CP307">
        <v>1</v>
      </c>
      <c r="CQ307">
        <v>4331010.0599999996</v>
      </c>
      <c r="CR307">
        <v>51408.66</v>
      </c>
      <c r="CS307" t="s">
        <v>145</v>
      </c>
      <c r="CT307">
        <v>51444.9156</v>
      </c>
      <c r="CU307">
        <v>3.03</v>
      </c>
      <c r="CV307">
        <v>45</v>
      </c>
      <c r="CW307" t="s">
        <v>171</v>
      </c>
      <c r="CX307" t="s">
        <v>350</v>
      </c>
      <c r="CY307">
        <v>109</v>
      </c>
    </row>
    <row r="308" spans="1:103" x14ac:dyDescent="0.25">
      <c r="A308" t="s">
        <v>106</v>
      </c>
      <c r="B308" s="38">
        <v>45120</v>
      </c>
      <c r="C308" s="43">
        <f>IF(YEAR(Таблица1[[#This Row],[Дата]])=2023,MONTH(Таблица1[[#This Row],[Дата]]),0)</f>
        <v>7</v>
      </c>
      <c r="D308" t="s">
        <v>1364</v>
      </c>
      <c r="E308" t="s">
        <v>108</v>
      </c>
      <c r="F308" t="s">
        <v>1365</v>
      </c>
      <c r="G308" t="s">
        <v>110</v>
      </c>
      <c r="H308" t="s">
        <v>111</v>
      </c>
      <c r="I308" t="s">
        <v>112</v>
      </c>
      <c r="J308" t="s">
        <v>112</v>
      </c>
      <c r="K308" t="s">
        <v>112</v>
      </c>
      <c r="L308" t="s">
        <v>150</v>
      </c>
      <c r="M308" t="s">
        <v>1020</v>
      </c>
      <c r="N308" t="s">
        <v>112</v>
      </c>
      <c r="O308" t="s">
        <v>112</v>
      </c>
      <c r="P308">
        <v>1</v>
      </c>
      <c r="Q308">
        <v>0</v>
      </c>
      <c r="R308">
        <v>1</v>
      </c>
      <c r="S308">
        <v>33</v>
      </c>
      <c r="T308" t="s">
        <v>166</v>
      </c>
      <c r="U308" t="s">
        <v>152</v>
      </c>
      <c r="V308" t="s">
        <v>153</v>
      </c>
      <c r="W308" t="s">
        <v>154</v>
      </c>
      <c r="X308" t="s">
        <v>119</v>
      </c>
      <c r="Y308" t="s">
        <v>112</v>
      </c>
      <c r="Z308" t="s">
        <v>166</v>
      </c>
      <c r="AA308" t="s">
        <v>152</v>
      </c>
      <c r="AB308" t="s">
        <v>153</v>
      </c>
      <c r="AC308" t="s">
        <v>154</v>
      </c>
      <c r="AD308" t="s">
        <v>119</v>
      </c>
      <c r="AE308" t="s">
        <v>112</v>
      </c>
      <c r="AF308" t="s">
        <v>121</v>
      </c>
      <c r="AG308" t="s">
        <v>122</v>
      </c>
      <c r="AH308">
        <v>4335467.53</v>
      </c>
      <c r="AI308" t="s">
        <v>166</v>
      </c>
      <c r="AJ308" t="s">
        <v>152</v>
      </c>
      <c r="AK308" t="s">
        <v>153</v>
      </c>
      <c r="AL308" t="s">
        <v>154</v>
      </c>
      <c r="AM308" t="s">
        <v>119</v>
      </c>
      <c r="AN308" t="s">
        <v>112</v>
      </c>
      <c r="AO308" t="s">
        <v>121</v>
      </c>
      <c r="AP308" t="s">
        <v>122</v>
      </c>
      <c r="AQ308" t="s">
        <v>122</v>
      </c>
      <c r="AR308" t="s">
        <v>124</v>
      </c>
      <c r="AS308" t="s">
        <v>125</v>
      </c>
      <c r="AT308">
        <v>2</v>
      </c>
      <c r="AU308" t="s">
        <v>126</v>
      </c>
      <c r="AV308" t="s">
        <v>155</v>
      </c>
      <c r="AW308" t="s">
        <v>156</v>
      </c>
      <c r="AX308">
        <v>1</v>
      </c>
      <c r="AY308" t="s">
        <v>129</v>
      </c>
      <c r="AZ308">
        <v>42993.93</v>
      </c>
      <c r="BA308">
        <v>3955502</v>
      </c>
      <c r="BB308">
        <v>51461.57</v>
      </c>
      <c r="BC308">
        <v>92.001400000000004</v>
      </c>
      <c r="BD308" t="s">
        <v>130</v>
      </c>
      <c r="BE308" t="s">
        <v>112</v>
      </c>
      <c r="BF308" t="s">
        <v>157</v>
      </c>
      <c r="BG308" t="s">
        <v>133</v>
      </c>
      <c r="BH308" t="s">
        <v>134</v>
      </c>
      <c r="BI308" t="s">
        <v>112</v>
      </c>
      <c r="BJ308" t="s">
        <v>112</v>
      </c>
      <c r="BK308" t="s">
        <v>112</v>
      </c>
      <c r="BL308" t="s">
        <v>169</v>
      </c>
      <c r="BM308" t="s">
        <v>159</v>
      </c>
      <c r="BN308" t="s">
        <v>722</v>
      </c>
      <c r="BO308" t="s">
        <v>161</v>
      </c>
      <c r="BP308">
        <v>1</v>
      </c>
      <c r="BQ308" t="s">
        <v>1366</v>
      </c>
      <c r="BR308" s="45">
        <f>ISNUMBER(SEARCH($BR$1,Таблица1[[#This Row],[31_1 Описание и характеристика товара]]))*1</f>
        <v>1</v>
      </c>
      <c r="BT308" t="s">
        <v>150</v>
      </c>
      <c r="BU308">
        <v>33</v>
      </c>
      <c r="BV308">
        <v>0</v>
      </c>
      <c r="BW308">
        <v>0</v>
      </c>
      <c r="BY308">
        <v>0</v>
      </c>
      <c r="CA308" t="s">
        <v>106</v>
      </c>
      <c r="CB308" t="s">
        <v>142</v>
      </c>
      <c r="CC308" t="s">
        <v>112</v>
      </c>
      <c r="CD308" t="s">
        <v>112</v>
      </c>
      <c r="CE308" t="s">
        <v>121</v>
      </c>
      <c r="CF308">
        <v>17179.91</v>
      </c>
      <c r="CG308" t="s">
        <v>144</v>
      </c>
      <c r="CH308">
        <v>4000000</v>
      </c>
      <c r="CI308">
        <v>17179.91</v>
      </c>
      <c r="CJ308">
        <v>0</v>
      </c>
      <c r="CK308" t="s">
        <v>112</v>
      </c>
      <c r="CL308" t="s">
        <v>112</v>
      </c>
      <c r="CM308">
        <v>42993.93</v>
      </c>
      <c r="CN308">
        <v>3955502</v>
      </c>
      <c r="CO308">
        <v>0</v>
      </c>
      <c r="CP308">
        <v>1</v>
      </c>
      <c r="CQ308">
        <v>4335467.53</v>
      </c>
      <c r="CR308">
        <v>51461.57</v>
      </c>
      <c r="CS308" t="s">
        <v>145</v>
      </c>
      <c r="CT308">
        <v>51539.729999999996</v>
      </c>
      <c r="CU308">
        <v>3</v>
      </c>
      <c r="CV308">
        <v>45</v>
      </c>
      <c r="CW308" t="s">
        <v>171</v>
      </c>
      <c r="CX308" t="s">
        <v>369</v>
      </c>
      <c r="CY308">
        <v>15</v>
      </c>
    </row>
    <row r="309" spans="1:103" x14ac:dyDescent="0.25">
      <c r="A309" t="s">
        <v>106</v>
      </c>
      <c r="B309" s="38">
        <v>45189</v>
      </c>
      <c r="C309" s="43">
        <f>IF(YEAR(Таблица1[[#This Row],[Дата]])=2023,MONTH(Таблица1[[#This Row],[Дата]]),0)</f>
        <v>9</v>
      </c>
      <c r="D309" t="s">
        <v>1377</v>
      </c>
      <c r="E309" t="s">
        <v>108</v>
      </c>
      <c r="F309" t="s">
        <v>1378</v>
      </c>
      <c r="G309" t="s">
        <v>110</v>
      </c>
      <c r="H309" t="s">
        <v>111</v>
      </c>
      <c r="I309" t="s">
        <v>112</v>
      </c>
      <c r="J309" t="s">
        <v>112</v>
      </c>
      <c r="K309" t="s">
        <v>112</v>
      </c>
      <c r="L309" t="s">
        <v>150</v>
      </c>
      <c r="M309" t="s">
        <v>1020</v>
      </c>
      <c r="N309" t="s">
        <v>112</v>
      </c>
      <c r="O309" t="s">
        <v>112</v>
      </c>
      <c r="P309">
        <v>1</v>
      </c>
      <c r="Q309">
        <v>0</v>
      </c>
      <c r="R309">
        <v>1</v>
      </c>
      <c r="S309">
        <v>33</v>
      </c>
      <c r="T309" t="s">
        <v>166</v>
      </c>
      <c r="U309" t="s">
        <v>152</v>
      </c>
      <c r="V309" t="s">
        <v>153</v>
      </c>
      <c r="W309" t="s">
        <v>154</v>
      </c>
      <c r="X309" t="s">
        <v>119</v>
      </c>
      <c r="Y309" t="s">
        <v>112</v>
      </c>
      <c r="Z309" t="s">
        <v>166</v>
      </c>
      <c r="AA309" t="s">
        <v>152</v>
      </c>
      <c r="AB309" t="s">
        <v>153</v>
      </c>
      <c r="AC309" t="s">
        <v>154</v>
      </c>
      <c r="AD309" t="s">
        <v>119</v>
      </c>
      <c r="AE309" t="s">
        <v>112</v>
      </c>
      <c r="AF309" t="s">
        <v>121</v>
      </c>
      <c r="AG309" t="s">
        <v>122</v>
      </c>
      <c r="AH309">
        <v>4247390.91</v>
      </c>
      <c r="AI309" t="s">
        <v>166</v>
      </c>
      <c r="AJ309" t="s">
        <v>152</v>
      </c>
      <c r="AK309" t="s">
        <v>153</v>
      </c>
      <c r="AL309" t="s">
        <v>154</v>
      </c>
      <c r="AM309" t="s">
        <v>119</v>
      </c>
      <c r="AN309" t="s">
        <v>112</v>
      </c>
      <c r="AO309" t="s">
        <v>121</v>
      </c>
      <c r="AP309" t="s">
        <v>122</v>
      </c>
      <c r="AQ309" t="s">
        <v>122</v>
      </c>
      <c r="AR309" t="s">
        <v>124</v>
      </c>
      <c r="AS309" t="s">
        <v>125</v>
      </c>
      <c r="AT309">
        <v>2</v>
      </c>
      <c r="AU309" t="s">
        <v>126</v>
      </c>
      <c r="AV309" t="s">
        <v>155</v>
      </c>
      <c r="AW309" t="s">
        <v>156</v>
      </c>
      <c r="AX309">
        <v>1</v>
      </c>
      <c r="AY309" t="s">
        <v>129</v>
      </c>
      <c r="AZ309">
        <v>42036.59</v>
      </c>
      <c r="BA309">
        <v>3867425</v>
      </c>
      <c r="BB309">
        <v>50416.11</v>
      </c>
      <c r="BC309">
        <v>92.001400000000004</v>
      </c>
      <c r="BD309" t="s">
        <v>130</v>
      </c>
      <c r="BE309" t="s">
        <v>112</v>
      </c>
      <c r="BF309" t="s">
        <v>157</v>
      </c>
      <c r="BG309" t="s">
        <v>133</v>
      </c>
      <c r="BH309" t="s">
        <v>134</v>
      </c>
      <c r="BI309" t="s">
        <v>112</v>
      </c>
      <c r="BJ309" t="s">
        <v>112</v>
      </c>
      <c r="BK309" t="s">
        <v>112</v>
      </c>
      <c r="BL309" t="s">
        <v>169</v>
      </c>
      <c r="BM309" t="s">
        <v>159</v>
      </c>
      <c r="BN309" t="s">
        <v>722</v>
      </c>
      <c r="BO309" t="s">
        <v>161</v>
      </c>
      <c r="BP309">
        <v>1</v>
      </c>
      <c r="BQ309" t="s">
        <v>1967</v>
      </c>
      <c r="BR309" s="45">
        <f>ISNUMBER(SEARCH($BR$1,Таблица1[[#This Row],[31_1 Описание и характеристика товара]]))*1</f>
        <v>1</v>
      </c>
      <c r="BT309" t="s">
        <v>150</v>
      </c>
      <c r="BU309">
        <v>33</v>
      </c>
      <c r="BV309">
        <v>0</v>
      </c>
      <c r="BW309">
        <v>0</v>
      </c>
      <c r="BY309">
        <v>0</v>
      </c>
      <c r="CA309" t="s">
        <v>106</v>
      </c>
      <c r="CB309" t="s">
        <v>142</v>
      </c>
      <c r="CC309" t="s">
        <v>112</v>
      </c>
      <c r="CD309" t="s">
        <v>112</v>
      </c>
      <c r="CE309" t="s">
        <v>121</v>
      </c>
      <c r="CF309">
        <v>17313.75</v>
      </c>
      <c r="CG309" t="s">
        <v>144</v>
      </c>
      <c r="CH309">
        <v>4000000</v>
      </c>
      <c r="CI309">
        <v>17313.75</v>
      </c>
      <c r="CJ309">
        <v>0</v>
      </c>
      <c r="CK309" t="s">
        <v>112</v>
      </c>
      <c r="CL309" t="s">
        <v>112</v>
      </c>
      <c r="CM309">
        <v>42036.59</v>
      </c>
      <c r="CN309">
        <v>3867425</v>
      </c>
      <c r="CO309">
        <v>0</v>
      </c>
      <c r="CP309">
        <v>1</v>
      </c>
      <c r="CQ309">
        <v>4247390.91</v>
      </c>
      <c r="CR309">
        <v>50416.11</v>
      </c>
      <c r="CS309" t="s">
        <v>145</v>
      </c>
      <c r="CT309">
        <v>50383.012500000004</v>
      </c>
      <c r="CU309">
        <v>2.91</v>
      </c>
      <c r="CV309">
        <v>45</v>
      </c>
      <c r="CW309" t="s">
        <v>171</v>
      </c>
      <c r="CX309" t="s">
        <v>369</v>
      </c>
      <c r="CY309">
        <v>147</v>
      </c>
    </row>
    <row r="310" spans="1:103" x14ac:dyDescent="0.25">
      <c r="A310" t="s">
        <v>106</v>
      </c>
      <c r="B310" s="38">
        <v>45229</v>
      </c>
      <c r="C310" s="43">
        <f>IF(YEAR(Таблица1[[#This Row],[Дата]])=2023,MONTH(Таблица1[[#This Row],[Дата]]),0)</f>
        <v>10</v>
      </c>
      <c r="D310" t="s">
        <v>1375</v>
      </c>
      <c r="E310" t="s">
        <v>108</v>
      </c>
      <c r="F310" t="s">
        <v>1376</v>
      </c>
      <c r="G310" t="s">
        <v>110</v>
      </c>
      <c r="H310" t="s">
        <v>111</v>
      </c>
      <c r="I310" t="s">
        <v>112</v>
      </c>
      <c r="J310" t="s">
        <v>112</v>
      </c>
      <c r="K310" t="s">
        <v>112</v>
      </c>
      <c r="L310" t="s">
        <v>150</v>
      </c>
      <c r="M310" t="s">
        <v>1020</v>
      </c>
      <c r="N310" t="s">
        <v>112</v>
      </c>
      <c r="O310" t="s">
        <v>112</v>
      </c>
      <c r="P310">
        <v>1</v>
      </c>
      <c r="Q310">
        <v>0</v>
      </c>
      <c r="R310">
        <v>1</v>
      </c>
      <c r="S310">
        <v>33</v>
      </c>
      <c r="T310" t="s">
        <v>166</v>
      </c>
      <c r="U310" t="s">
        <v>152</v>
      </c>
      <c r="V310" t="s">
        <v>153</v>
      </c>
      <c r="W310" t="s">
        <v>154</v>
      </c>
      <c r="X310" t="s">
        <v>119</v>
      </c>
      <c r="Y310" t="s">
        <v>112</v>
      </c>
      <c r="Z310" t="s">
        <v>166</v>
      </c>
      <c r="AA310" t="s">
        <v>152</v>
      </c>
      <c r="AB310" t="s">
        <v>153</v>
      </c>
      <c r="AC310" t="s">
        <v>154</v>
      </c>
      <c r="AD310" t="s">
        <v>119</v>
      </c>
      <c r="AE310" t="s">
        <v>112</v>
      </c>
      <c r="AF310" t="s">
        <v>121</v>
      </c>
      <c r="AG310" t="s">
        <v>122</v>
      </c>
      <c r="AH310">
        <v>4257368.46</v>
      </c>
      <c r="AI310" t="s">
        <v>166</v>
      </c>
      <c r="AJ310" t="s">
        <v>152</v>
      </c>
      <c r="AK310" t="s">
        <v>153</v>
      </c>
      <c r="AL310" t="s">
        <v>154</v>
      </c>
      <c r="AM310" t="s">
        <v>119</v>
      </c>
      <c r="AN310" t="s">
        <v>112</v>
      </c>
      <c r="AO310" t="s">
        <v>121</v>
      </c>
      <c r="AP310" t="s">
        <v>122</v>
      </c>
      <c r="AQ310" t="s">
        <v>122</v>
      </c>
      <c r="AR310" t="s">
        <v>124</v>
      </c>
      <c r="AS310" t="s">
        <v>125</v>
      </c>
      <c r="AT310">
        <v>2</v>
      </c>
      <c r="AU310" t="s">
        <v>126</v>
      </c>
      <c r="AV310" t="s">
        <v>155</v>
      </c>
      <c r="AW310" t="s">
        <v>156</v>
      </c>
      <c r="AX310">
        <v>1</v>
      </c>
      <c r="AY310" t="s">
        <v>129</v>
      </c>
      <c r="AZ310">
        <v>42145.04</v>
      </c>
      <c r="BA310">
        <v>3877403</v>
      </c>
      <c r="BB310">
        <v>50534.54</v>
      </c>
      <c r="BC310">
        <v>92.001400000000004</v>
      </c>
      <c r="BD310" t="s">
        <v>130</v>
      </c>
      <c r="BE310" t="s">
        <v>112</v>
      </c>
      <c r="BF310" t="s">
        <v>157</v>
      </c>
      <c r="BG310" t="s">
        <v>133</v>
      </c>
      <c r="BH310" t="s">
        <v>134</v>
      </c>
      <c r="BI310" t="s">
        <v>112</v>
      </c>
      <c r="BJ310" t="s">
        <v>112</v>
      </c>
      <c r="BK310" t="s">
        <v>112</v>
      </c>
      <c r="BL310" t="s">
        <v>169</v>
      </c>
      <c r="BM310" t="s">
        <v>159</v>
      </c>
      <c r="BN310" t="s">
        <v>722</v>
      </c>
      <c r="BO310" t="s">
        <v>161</v>
      </c>
      <c r="BP310">
        <v>1</v>
      </c>
      <c r="BQ310" t="s">
        <v>1338</v>
      </c>
      <c r="BR310" s="45">
        <f>ISNUMBER(SEARCH($BR$1,Таблица1[[#This Row],[31_1 Описание и характеристика товара]]))*1</f>
        <v>1</v>
      </c>
      <c r="BT310" t="s">
        <v>150</v>
      </c>
      <c r="BU310">
        <v>33</v>
      </c>
      <c r="BV310">
        <v>0</v>
      </c>
      <c r="BW310">
        <v>0</v>
      </c>
      <c r="BY310">
        <v>0</v>
      </c>
      <c r="CA310" t="s">
        <v>106</v>
      </c>
      <c r="CB310" t="s">
        <v>142</v>
      </c>
      <c r="CC310" t="s">
        <v>112</v>
      </c>
      <c r="CD310" t="s">
        <v>112</v>
      </c>
      <c r="CE310" t="s">
        <v>121</v>
      </c>
      <c r="CF310">
        <v>17194.009999999998</v>
      </c>
      <c r="CG310" t="s">
        <v>144</v>
      </c>
      <c r="CH310">
        <v>4000000</v>
      </c>
      <c r="CI310">
        <v>17194.009999999998</v>
      </c>
      <c r="CJ310">
        <v>0</v>
      </c>
      <c r="CK310" t="s">
        <v>112</v>
      </c>
      <c r="CL310" t="s">
        <v>112</v>
      </c>
      <c r="CM310">
        <v>42145.04</v>
      </c>
      <c r="CN310">
        <v>3877403</v>
      </c>
      <c r="CO310">
        <v>0</v>
      </c>
      <c r="CP310">
        <v>1</v>
      </c>
      <c r="CQ310">
        <v>4257368.46</v>
      </c>
      <c r="CR310">
        <v>50534.54</v>
      </c>
      <c r="CS310" t="s">
        <v>145</v>
      </c>
      <c r="CT310">
        <v>50550.389399999993</v>
      </c>
      <c r="CU310">
        <v>2.94</v>
      </c>
      <c r="CV310">
        <v>45</v>
      </c>
      <c r="CW310" t="s">
        <v>171</v>
      </c>
      <c r="CX310" t="s">
        <v>463</v>
      </c>
      <c r="CY310">
        <v>152</v>
      </c>
    </row>
    <row r="311" spans="1:103" x14ac:dyDescent="0.25">
      <c r="A311" t="s">
        <v>106</v>
      </c>
      <c r="B311" s="38">
        <v>45085</v>
      </c>
      <c r="C311" s="43">
        <f>IF(YEAR(Таблица1[[#This Row],[Дата]])=2023,MONTH(Таблица1[[#This Row],[Дата]]),0)</f>
        <v>6</v>
      </c>
      <c r="D311" t="s">
        <v>1367</v>
      </c>
      <c r="E311" t="s">
        <v>108</v>
      </c>
      <c r="F311" t="s">
        <v>1368</v>
      </c>
      <c r="G311" t="s">
        <v>110</v>
      </c>
      <c r="H311" t="s">
        <v>111</v>
      </c>
      <c r="I311" t="s">
        <v>112</v>
      </c>
      <c r="J311" t="s">
        <v>112</v>
      </c>
      <c r="K311" t="s">
        <v>112</v>
      </c>
      <c r="L311" t="s">
        <v>150</v>
      </c>
      <c r="M311" t="s">
        <v>1020</v>
      </c>
      <c r="N311" t="s">
        <v>112</v>
      </c>
      <c r="O311" t="s">
        <v>112</v>
      </c>
      <c r="P311">
        <v>1</v>
      </c>
      <c r="Q311">
        <v>0</v>
      </c>
      <c r="R311">
        <v>1</v>
      </c>
      <c r="S311">
        <v>33</v>
      </c>
      <c r="T311" t="s">
        <v>166</v>
      </c>
      <c r="U311" t="s">
        <v>152</v>
      </c>
      <c r="V311" t="s">
        <v>153</v>
      </c>
      <c r="W311" t="s">
        <v>154</v>
      </c>
      <c r="X311" t="s">
        <v>119</v>
      </c>
      <c r="Y311" t="s">
        <v>112</v>
      </c>
      <c r="Z311" t="s">
        <v>166</v>
      </c>
      <c r="AA311" t="s">
        <v>152</v>
      </c>
      <c r="AB311" t="s">
        <v>153</v>
      </c>
      <c r="AC311" t="s">
        <v>154</v>
      </c>
      <c r="AD311" t="s">
        <v>119</v>
      </c>
      <c r="AE311" t="s">
        <v>112</v>
      </c>
      <c r="AF311" t="s">
        <v>121</v>
      </c>
      <c r="AG311" t="s">
        <v>122</v>
      </c>
      <c r="AH311">
        <v>4725880.07</v>
      </c>
      <c r="AI311" t="s">
        <v>166</v>
      </c>
      <c r="AJ311" t="s">
        <v>152</v>
      </c>
      <c r="AK311" t="s">
        <v>153</v>
      </c>
      <c r="AL311" t="s">
        <v>154</v>
      </c>
      <c r="AM311" t="s">
        <v>119</v>
      </c>
      <c r="AN311" t="s">
        <v>112</v>
      </c>
      <c r="AO311" t="s">
        <v>121</v>
      </c>
      <c r="AP311" t="s">
        <v>122</v>
      </c>
      <c r="AQ311" t="s">
        <v>122</v>
      </c>
      <c r="AR311" t="s">
        <v>124</v>
      </c>
      <c r="AS311" t="s">
        <v>125</v>
      </c>
      <c r="AT311">
        <v>2</v>
      </c>
      <c r="AU311" t="s">
        <v>126</v>
      </c>
      <c r="AV311" t="s">
        <v>155</v>
      </c>
      <c r="AW311" t="s">
        <v>156</v>
      </c>
      <c r="AX311">
        <v>1</v>
      </c>
      <c r="AY311" t="s">
        <v>129</v>
      </c>
      <c r="AZ311">
        <v>47237.48</v>
      </c>
      <c r="BA311">
        <v>4345914</v>
      </c>
      <c r="BB311">
        <v>56095.73</v>
      </c>
      <c r="BC311">
        <v>92.001400000000004</v>
      </c>
      <c r="BD311" t="s">
        <v>130</v>
      </c>
      <c r="BE311" t="s">
        <v>112</v>
      </c>
      <c r="BF311" t="s">
        <v>157</v>
      </c>
      <c r="BG311" t="s">
        <v>133</v>
      </c>
      <c r="BH311" t="s">
        <v>134</v>
      </c>
      <c r="BI311" t="s">
        <v>112</v>
      </c>
      <c r="BJ311" t="s">
        <v>112</v>
      </c>
      <c r="BK311" t="s">
        <v>112</v>
      </c>
      <c r="BL311" t="s">
        <v>169</v>
      </c>
      <c r="BM311" t="s">
        <v>159</v>
      </c>
      <c r="BN311" t="s">
        <v>722</v>
      </c>
      <c r="BO311" t="s">
        <v>161</v>
      </c>
      <c r="BP311">
        <v>1</v>
      </c>
      <c r="BQ311" t="s">
        <v>1369</v>
      </c>
      <c r="BR311" s="45">
        <f>ISNUMBER(SEARCH($BR$1,Таблица1[[#This Row],[31_1 Описание и характеристика товара]]))*1</f>
        <v>1</v>
      </c>
      <c r="BT311" t="s">
        <v>150</v>
      </c>
      <c r="BU311">
        <v>33</v>
      </c>
      <c r="BV311">
        <v>0</v>
      </c>
      <c r="BW311">
        <v>0</v>
      </c>
      <c r="BY311">
        <v>0</v>
      </c>
      <c r="CA311" t="s">
        <v>106</v>
      </c>
      <c r="CB311" t="s">
        <v>142</v>
      </c>
      <c r="CC311" t="s">
        <v>112</v>
      </c>
      <c r="CD311" t="s">
        <v>112</v>
      </c>
      <c r="CE311" t="s">
        <v>121</v>
      </c>
      <c r="CF311">
        <v>17287.82</v>
      </c>
      <c r="CG311" t="s">
        <v>144</v>
      </c>
      <c r="CH311">
        <v>4000000</v>
      </c>
      <c r="CI311">
        <v>17287.82</v>
      </c>
      <c r="CJ311">
        <v>0</v>
      </c>
      <c r="CK311" t="s">
        <v>112</v>
      </c>
      <c r="CL311" t="s">
        <v>112</v>
      </c>
      <c r="CM311">
        <v>47237.48</v>
      </c>
      <c r="CN311">
        <v>4345914</v>
      </c>
      <c r="CO311">
        <v>0</v>
      </c>
      <c r="CP311">
        <v>1</v>
      </c>
      <c r="CQ311">
        <v>4725880.07</v>
      </c>
      <c r="CR311">
        <v>56095.73</v>
      </c>
      <c r="CS311" t="s">
        <v>145</v>
      </c>
      <c r="CT311">
        <v>56012.536800000002</v>
      </c>
      <c r="CU311">
        <v>3.24</v>
      </c>
      <c r="CV311">
        <v>45</v>
      </c>
      <c r="CW311" t="s">
        <v>171</v>
      </c>
      <c r="CX311" t="s">
        <v>350</v>
      </c>
      <c r="CY311">
        <v>555</v>
      </c>
    </row>
    <row r="312" spans="1:103" x14ac:dyDescent="0.25">
      <c r="A312" t="s">
        <v>106</v>
      </c>
      <c r="B312" s="38">
        <v>44979</v>
      </c>
      <c r="C312" s="43">
        <f>IF(YEAR(Таблица1[[#This Row],[Дата]])=2023,MONTH(Таблица1[[#This Row],[Дата]]),0)</f>
        <v>2</v>
      </c>
      <c r="D312" t="s">
        <v>1209</v>
      </c>
      <c r="E312" t="s">
        <v>108</v>
      </c>
      <c r="F312" t="s">
        <v>1210</v>
      </c>
      <c r="G312" t="s">
        <v>110</v>
      </c>
      <c r="H312" t="s">
        <v>111</v>
      </c>
      <c r="I312" t="s">
        <v>112</v>
      </c>
      <c r="J312" t="s">
        <v>112</v>
      </c>
      <c r="K312" t="s">
        <v>112</v>
      </c>
      <c r="L312" t="s">
        <v>150</v>
      </c>
      <c r="M312" t="s">
        <v>1060</v>
      </c>
      <c r="N312" t="s">
        <v>112</v>
      </c>
      <c r="O312" t="s">
        <v>112</v>
      </c>
      <c r="P312">
        <v>1</v>
      </c>
      <c r="Q312">
        <v>0</v>
      </c>
      <c r="R312">
        <v>1</v>
      </c>
      <c r="S312">
        <v>33</v>
      </c>
      <c r="T312" t="s">
        <v>166</v>
      </c>
      <c r="U312" t="s">
        <v>152</v>
      </c>
      <c r="V312" t="s">
        <v>153</v>
      </c>
      <c r="W312" t="s">
        <v>154</v>
      </c>
      <c r="X312" t="s">
        <v>119</v>
      </c>
      <c r="Y312" t="s">
        <v>112</v>
      </c>
      <c r="Z312" t="s">
        <v>166</v>
      </c>
      <c r="AA312" t="s">
        <v>152</v>
      </c>
      <c r="AB312" t="s">
        <v>153</v>
      </c>
      <c r="AC312" t="s">
        <v>154</v>
      </c>
      <c r="AD312" t="s">
        <v>119</v>
      </c>
      <c r="AE312" t="s">
        <v>112</v>
      </c>
      <c r="AF312" t="s">
        <v>121</v>
      </c>
      <c r="AG312" t="s">
        <v>122</v>
      </c>
      <c r="AH312">
        <v>4004063.8</v>
      </c>
      <c r="AI312" t="s">
        <v>166</v>
      </c>
      <c r="AJ312" t="s">
        <v>152</v>
      </c>
      <c r="AK312" t="s">
        <v>153</v>
      </c>
      <c r="AL312" t="s">
        <v>154</v>
      </c>
      <c r="AM312" t="s">
        <v>119</v>
      </c>
      <c r="AN312" t="s">
        <v>112</v>
      </c>
      <c r="AO312" t="s">
        <v>121</v>
      </c>
      <c r="AP312" t="s">
        <v>122</v>
      </c>
      <c r="AQ312" t="s">
        <v>122</v>
      </c>
      <c r="AR312" t="s">
        <v>124</v>
      </c>
      <c r="AS312" t="s">
        <v>125</v>
      </c>
      <c r="AT312">
        <v>2</v>
      </c>
      <c r="AU312" t="s">
        <v>126</v>
      </c>
      <c r="AV312" t="s">
        <v>155</v>
      </c>
      <c r="AW312" t="s">
        <v>156</v>
      </c>
      <c r="AX312">
        <v>1</v>
      </c>
      <c r="AY312" t="s">
        <v>129</v>
      </c>
      <c r="AZ312">
        <v>42279.4</v>
      </c>
      <c r="BA312">
        <v>3647740</v>
      </c>
      <c r="BB312">
        <v>50107.61</v>
      </c>
      <c r="BC312">
        <v>86.277000000000001</v>
      </c>
      <c r="BD312" t="s">
        <v>130</v>
      </c>
      <c r="BE312" t="s">
        <v>112</v>
      </c>
      <c r="BF312" t="s">
        <v>157</v>
      </c>
      <c r="BG312" t="s">
        <v>133</v>
      </c>
      <c r="BH312" t="s">
        <v>134</v>
      </c>
      <c r="BI312" t="s">
        <v>112</v>
      </c>
      <c r="BJ312" t="s">
        <v>112</v>
      </c>
      <c r="BK312" t="s">
        <v>112</v>
      </c>
      <c r="BL312" t="s">
        <v>169</v>
      </c>
      <c r="BM312" t="s">
        <v>159</v>
      </c>
      <c r="BN312" t="s">
        <v>722</v>
      </c>
      <c r="BO312" t="s">
        <v>161</v>
      </c>
      <c r="BP312">
        <v>1</v>
      </c>
      <c r="BQ312" t="s">
        <v>466</v>
      </c>
      <c r="BR312" s="45">
        <f>ISNUMBER(SEARCH($BR$1,Таблица1[[#This Row],[31_1 Описание и характеристика товара]]))*1</f>
        <v>1</v>
      </c>
      <c r="BT312" t="s">
        <v>150</v>
      </c>
      <c r="BU312">
        <v>33</v>
      </c>
      <c r="BV312">
        <v>0</v>
      </c>
      <c r="BW312">
        <v>0</v>
      </c>
      <c r="BY312">
        <v>0</v>
      </c>
      <c r="CA312" t="s">
        <v>106</v>
      </c>
      <c r="CB312" t="s">
        <v>142</v>
      </c>
      <c r="CC312" t="s">
        <v>112</v>
      </c>
      <c r="CD312" t="s">
        <v>112</v>
      </c>
      <c r="CE312" t="s">
        <v>121</v>
      </c>
      <c r="CF312">
        <v>17214.419999999998</v>
      </c>
      <c r="CG312" t="s">
        <v>144</v>
      </c>
      <c r="CH312">
        <v>4000000</v>
      </c>
      <c r="CI312">
        <v>17160.419999999998</v>
      </c>
      <c r="CJ312">
        <v>0</v>
      </c>
      <c r="CK312" t="s">
        <v>112</v>
      </c>
      <c r="CL312" t="s">
        <v>112</v>
      </c>
      <c r="CM312">
        <v>42279.4</v>
      </c>
      <c r="CN312">
        <v>3647740</v>
      </c>
      <c r="CO312">
        <v>0</v>
      </c>
      <c r="CP312">
        <v>1</v>
      </c>
      <c r="CQ312">
        <v>4004063.8</v>
      </c>
      <c r="CR312">
        <v>50107.61</v>
      </c>
      <c r="CS312" t="s">
        <v>145</v>
      </c>
      <c r="CT312">
        <v>50108.426399999997</v>
      </c>
      <c r="CU312">
        <v>2.92</v>
      </c>
      <c r="CV312">
        <v>45</v>
      </c>
      <c r="CW312" t="s">
        <v>171</v>
      </c>
      <c r="CX312" t="s">
        <v>369</v>
      </c>
      <c r="CY312">
        <v>115</v>
      </c>
    </row>
    <row r="313" spans="1:103" x14ac:dyDescent="0.25">
      <c r="A313" t="s">
        <v>106</v>
      </c>
      <c r="B313" s="38">
        <v>45277</v>
      </c>
      <c r="C313" s="43">
        <f>IF(YEAR(Таблица1[[#This Row],[Дата]])=2023,MONTH(Таблица1[[#This Row],[Дата]]),0)</f>
        <v>12</v>
      </c>
      <c r="D313" t="s">
        <v>1197</v>
      </c>
      <c r="E313" t="s">
        <v>108</v>
      </c>
      <c r="F313" t="s">
        <v>1198</v>
      </c>
      <c r="G313" t="s">
        <v>110</v>
      </c>
      <c r="H313" t="s">
        <v>111</v>
      </c>
      <c r="I313" t="s">
        <v>112</v>
      </c>
      <c r="J313" t="s">
        <v>112</v>
      </c>
      <c r="K313" t="s">
        <v>112</v>
      </c>
      <c r="L313" t="s">
        <v>150</v>
      </c>
      <c r="M313" t="s">
        <v>1060</v>
      </c>
      <c r="N313" t="s">
        <v>112</v>
      </c>
      <c r="O313" t="s">
        <v>112</v>
      </c>
      <c r="P313">
        <v>1</v>
      </c>
      <c r="Q313">
        <v>0</v>
      </c>
      <c r="R313">
        <v>1</v>
      </c>
      <c r="S313">
        <v>33</v>
      </c>
      <c r="T313" t="s">
        <v>166</v>
      </c>
      <c r="U313" t="s">
        <v>152</v>
      </c>
      <c r="V313" t="s">
        <v>153</v>
      </c>
      <c r="W313" t="s">
        <v>154</v>
      </c>
      <c r="X313" t="s">
        <v>119</v>
      </c>
      <c r="Y313" t="s">
        <v>112</v>
      </c>
      <c r="Z313" t="s">
        <v>166</v>
      </c>
      <c r="AA313" t="s">
        <v>152</v>
      </c>
      <c r="AB313" t="s">
        <v>153</v>
      </c>
      <c r="AC313" t="s">
        <v>154</v>
      </c>
      <c r="AD313" t="s">
        <v>119</v>
      </c>
      <c r="AE313" t="s">
        <v>112</v>
      </c>
      <c r="AF313" t="s">
        <v>121</v>
      </c>
      <c r="AG313" t="s">
        <v>122</v>
      </c>
      <c r="AH313">
        <v>4070773.18</v>
      </c>
      <c r="AI313" t="s">
        <v>166</v>
      </c>
      <c r="AJ313" t="s">
        <v>152</v>
      </c>
      <c r="AK313" t="s">
        <v>153</v>
      </c>
      <c r="AL313" t="s">
        <v>154</v>
      </c>
      <c r="AM313" t="s">
        <v>119</v>
      </c>
      <c r="AN313" t="s">
        <v>112</v>
      </c>
      <c r="AO313" t="s">
        <v>121</v>
      </c>
      <c r="AP313" t="s">
        <v>122</v>
      </c>
      <c r="AQ313" t="s">
        <v>122</v>
      </c>
      <c r="AR313" t="s">
        <v>124</v>
      </c>
      <c r="AS313" t="s">
        <v>125</v>
      </c>
      <c r="AT313">
        <v>2</v>
      </c>
      <c r="AU313" t="s">
        <v>126</v>
      </c>
      <c r="AV313" t="s">
        <v>155</v>
      </c>
      <c r="AW313" t="s">
        <v>156</v>
      </c>
      <c r="AX313">
        <v>1</v>
      </c>
      <c r="AY313" t="s">
        <v>129</v>
      </c>
      <c r="AZ313">
        <v>42352.6</v>
      </c>
      <c r="BA313">
        <v>3654055</v>
      </c>
      <c r="BB313">
        <v>50942.42</v>
      </c>
      <c r="BC313">
        <v>86.277000000000001</v>
      </c>
      <c r="BD313" t="s">
        <v>130</v>
      </c>
      <c r="BE313" t="s">
        <v>112</v>
      </c>
      <c r="BF313" t="s">
        <v>157</v>
      </c>
      <c r="BG313" t="s">
        <v>133</v>
      </c>
      <c r="BH313" t="s">
        <v>134</v>
      </c>
      <c r="BI313" t="s">
        <v>112</v>
      </c>
      <c r="BJ313" t="s">
        <v>112</v>
      </c>
      <c r="BK313" t="s">
        <v>112</v>
      </c>
      <c r="BL313" t="s">
        <v>169</v>
      </c>
      <c r="BM313" t="s">
        <v>159</v>
      </c>
      <c r="BN313" t="s">
        <v>722</v>
      </c>
      <c r="BO313" t="s">
        <v>161</v>
      </c>
      <c r="BP313">
        <v>1</v>
      </c>
      <c r="BQ313" t="s">
        <v>232</v>
      </c>
      <c r="BR313" s="45">
        <f>ISNUMBER(SEARCH($BR$1,Таблица1[[#This Row],[31_1 Описание и характеристика товара]]))*1</f>
        <v>1</v>
      </c>
      <c r="BT313" t="s">
        <v>150</v>
      </c>
      <c r="BU313">
        <v>33</v>
      </c>
      <c r="BV313">
        <v>0</v>
      </c>
      <c r="BW313">
        <v>0</v>
      </c>
      <c r="BY313">
        <v>0</v>
      </c>
      <c r="CA313" t="s">
        <v>106</v>
      </c>
      <c r="CB313" t="s">
        <v>142</v>
      </c>
      <c r="CC313" t="s">
        <v>112</v>
      </c>
      <c r="CD313" t="s">
        <v>112</v>
      </c>
      <c r="CE313" t="s">
        <v>121</v>
      </c>
      <c r="CF313">
        <v>17008.86</v>
      </c>
      <c r="CG313" t="s">
        <v>144</v>
      </c>
      <c r="CH313">
        <v>4000000</v>
      </c>
      <c r="CI313">
        <v>16965.66</v>
      </c>
      <c r="CJ313">
        <v>0</v>
      </c>
      <c r="CK313" t="s">
        <v>112</v>
      </c>
      <c r="CL313" t="s">
        <v>112</v>
      </c>
      <c r="CM313">
        <v>42352.6</v>
      </c>
      <c r="CN313">
        <v>3654055</v>
      </c>
      <c r="CO313">
        <v>0</v>
      </c>
      <c r="CP313">
        <v>1</v>
      </c>
      <c r="CQ313">
        <v>4070773.18</v>
      </c>
      <c r="CR313">
        <v>50942.42</v>
      </c>
      <c r="CS313" t="s">
        <v>145</v>
      </c>
      <c r="CT313">
        <v>50942.787281999998</v>
      </c>
      <c r="CU313">
        <v>3.0026999999999999</v>
      </c>
      <c r="CV313">
        <v>45</v>
      </c>
      <c r="CW313" t="s">
        <v>171</v>
      </c>
      <c r="CX313" t="s">
        <v>463</v>
      </c>
      <c r="CY313">
        <v>314</v>
      </c>
    </row>
    <row r="314" spans="1:103" x14ac:dyDescent="0.25">
      <c r="A314" t="s">
        <v>106</v>
      </c>
      <c r="B314" s="38">
        <v>45049</v>
      </c>
      <c r="C314" s="43">
        <f>IF(YEAR(Таблица1[[#This Row],[Дата]])=2023,MONTH(Таблица1[[#This Row],[Дата]]),0)</f>
        <v>5</v>
      </c>
      <c r="D314" t="s">
        <v>1203</v>
      </c>
      <c r="E314" t="s">
        <v>108</v>
      </c>
      <c r="F314" t="s">
        <v>1204</v>
      </c>
      <c r="G314" t="s">
        <v>110</v>
      </c>
      <c r="H314" t="s">
        <v>111</v>
      </c>
      <c r="I314" t="s">
        <v>112</v>
      </c>
      <c r="J314" t="s">
        <v>112</v>
      </c>
      <c r="K314" t="s">
        <v>112</v>
      </c>
      <c r="L314" t="s">
        <v>150</v>
      </c>
      <c r="M314" t="s">
        <v>1060</v>
      </c>
      <c r="N314" t="s">
        <v>112</v>
      </c>
      <c r="O314" t="s">
        <v>112</v>
      </c>
      <c r="P314">
        <v>1</v>
      </c>
      <c r="Q314">
        <v>0</v>
      </c>
      <c r="R314">
        <v>1</v>
      </c>
      <c r="S314">
        <v>33</v>
      </c>
      <c r="T314" t="s">
        <v>166</v>
      </c>
      <c r="U314" t="s">
        <v>152</v>
      </c>
      <c r="V314" t="s">
        <v>153</v>
      </c>
      <c r="W314" t="s">
        <v>154</v>
      </c>
      <c r="X314" t="s">
        <v>119</v>
      </c>
      <c r="Y314" t="s">
        <v>112</v>
      </c>
      <c r="Z314" t="s">
        <v>166</v>
      </c>
      <c r="AA314" t="s">
        <v>152</v>
      </c>
      <c r="AB314" t="s">
        <v>153</v>
      </c>
      <c r="AC314" t="s">
        <v>154</v>
      </c>
      <c r="AD314" t="s">
        <v>119</v>
      </c>
      <c r="AE314" t="s">
        <v>112</v>
      </c>
      <c r="AF314" t="s">
        <v>121</v>
      </c>
      <c r="AG314" t="s">
        <v>122</v>
      </c>
      <c r="AH314">
        <v>4163779.79</v>
      </c>
      <c r="AI314" t="s">
        <v>166</v>
      </c>
      <c r="AJ314" t="s">
        <v>152</v>
      </c>
      <c r="AK314" t="s">
        <v>153</v>
      </c>
      <c r="AL314" t="s">
        <v>154</v>
      </c>
      <c r="AM314" t="s">
        <v>119</v>
      </c>
      <c r="AN314" t="s">
        <v>112</v>
      </c>
      <c r="AO314" t="s">
        <v>121</v>
      </c>
      <c r="AP314" t="s">
        <v>122</v>
      </c>
      <c r="AQ314" t="s">
        <v>122</v>
      </c>
      <c r="AR314" t="s">
        <v>124</v>
      </c>
      <c r="AS314" t="s">
        <v>125</v>
      </c>
      <c r="AT314">
        <v>2</v>
      </c>
      <c r="AU314" t="s">
        <v>126</v>
      </c>
      <c r="AV314" t="s">
        <v>155</v>
      </c>
      <c r="AW314" t="s">
        <v>156</v>
      </c>
      <c r="AX314">
        <v>1</v>
      </c>
      <c r="AY314" t="s">
        <v>129</v>
      </c>
      <c r="AZ314">
        <v>44130.6</v>
      </c>
      <c r="BA314">
        <v>3807456</v>
      </c>
      <c r="BB314">
        <v>52106.32</v>
      </c>
      <c r="BC314">
        <v>86.277000000000001</v>
      </c>
      <c r="BD314" t="s">
        <v>130</v>
      </c>
      <c r="BE314" t="s">
        <v>112</v>
      </c>
      <c r="BF314" t="s">
        <v>157</v>
      </c>
      <c r="BG314" t="s">
        <v>133</v>
      </c>
      <c r="BH314" t="s">
        <v>167</v>
      </c>
      <c r="BI314" t="s">
        <v>168</v>
      </c>
      <c r="BJ314" t="s">
        <v>112</v>
      </c>
      <c r="BK314" t="s">
        <v>112</v>
      </c>
      <c r="BL314" t="s">
        <v>169</v>
      </c>
      <c r="BM314" t="s">
        <v>159</v>
      </c>
      <c r="BN314" t="s">
        <v>726</v>
      </c>
      <c r="BO314" t="s">
        <v>161</v>
      </c>
      <c r="BP314">
        <v>1</v>
      </c>
      <c r="BQ314" t="s">
        <v>232</v>
      </c>
      <c r="BR314" s="45">
        <f>ISNUMBER(SEARCH($BR$1,Таблица1[[#This Row],[31_1 Описание и характеристика товара]]))*1</f>
        <v>1</v>
      </c>
      <c r="BT314" t="s">
        <v>150</v>
      </c>
      <c r="BU314">
        <v>33</v>
      </c>
      <c r="BV314">
        <v>0</v>
      </c>
      <c r="BW314">
        <v>0</v>
      </c>
      <c r="BY314">
        <v>0</v>
      </c>
      <c r="CA314" t="s">
        <v>106</v>
      </c>
      <c r="CB314" t="s">
        <v>142</v>
      </c>
      <c r="CC314" t="s">
        <v>112</v>
      </c>
      <c r="CD314" t="s">
        <v>112</v>
      </c>
      <c r="CE314" t="s">
        <v>121</v>
      </c>
      <c r="CF314">
        <v>17092.62</v>
      </c>
      <c r="CG314" t="s">
        <v>144</v>
      </c>
      <c r="CH314">
        <v>4000000</v>
      </c>
      <c r="CI314">
        <v>17092.62</v>
      </c>
      <c r="CJ314">
        <v>0</v>
      </c>
      <c r="CK314" t="s">
        <v>112</v>
      </c>
      <c r="CL314" t="s">
        <v>112</v>
      </c>
      <c r="CM314">
        <v>44130.6</v>
      </c>
      <c r="CN314">
        <v>3807456</v>
      </c>
      <c r="CO314">
        <v>0</v>
      </c>
      <c r="CP314">
        <v>1</v>
      </c>
      <c r="CQ314">
        <v>4163779.79</v>
      </c>
      <c r="CR314">
        <v>52106.32</v>
      </c>
      <c r="CS314" t="s">
        <v>145</v>
      </c>
      <c r="CT314">
        <v>52106.852070000001</v>
      </c>
      <c r="CU314">
        <v>3.0485000000000002</v>
      </c>
      <c r="CV314">
        <v>45</v>
      </c>
      <c r="CW314" t="s">
        <v>171</v>
      </c>
      <c r="CX314" t="s">
        <v>372</v>
      </c>
      <c r="CY314">
        <v>13</v>
      </c>
    </row>
    <row r="315" spans="1:103" x14ac:dyDescent="0.25">
      <c r="A315" t="s">
        <v>106</v>
      </c>
      <c r="B315" s="38">
        <v>45153</v>
      </c>
      <c r="C315" s="43">
        <f>IF(YEAR(Таблица1[[#This Row],[Дата]])=2023,MONTH(Таблица1[[#This Row],[Дата]]),0)</f>
        <v>8</v>
      </c>
      <c r="D315" t="s">
        <v>1199</v>
      </c>
      <c r="E315" t="s">
        <v>108</v>
      </c>
      <c r="F315" t="s">
        <v>1200</v>
      </c>
      <c r="G315" t="s">
        <v>110</v>
      </c>
      <c r="H315" t="s">
        <v>111</v>
      </c>
      <c r="I315" t="s">
        <v>112</v>
      </c>
      <c r="J315" t="s">
        <v>112</v>
      </c>
      <c r="K315" t="s">
        <v>112</v>
      </c>
      <c r="L315" t="s">
        <v>150</v>
      </c>
      <c r="M315" t="s">
        <v>1060</v>
      </c>
      <c r="N315" t="s">
        <v>112</v>
      </c>
      <c r="O315" t="s">
        <v>112</v>
      </c>
      <c r="P315">
        <v>1</v>
      </c>
      <c r="Q315">
        <v>0</v>
      </c>
      <c r="R315">
        <v>1</v>
      </c>
      <c r="S315">
        <v>33</v>
      </c>
      <c r="T315" t="s">
        <v>166</v>
      </c>
      <c r="U315" t="s">
        <v>152</v>
      </c>
      <c r="V315" t="s">
        <v>153</v>
      </c>
      <c r="W315" t="s">
        <v>154</v>
      </c>
      <c r="X315" t="s">
        <v>119</v>
      </c>
      <c r="Y315" t="s">
        <v>112</v>
      </c>
      <c r="Z315" t="s">
        <v>166</v>
      </c>
      <c r="AA315" t="s">
        <v>152</v>
      </c>
      <c r="AB315" t="s">
        <v>153</v>
      </c>
      <c r="AC315" t="s">
        <v>154</v>
      </c>
      <c r="AD315" t="s">
        <v>119</v>
      </c>
      <c r="AE315" t="s">
        <v>112</v>
      </c>
      <c r="AF315" t="s">
        <v>121</v>
      </c>
      <c r="AG315" t="s">
        <v>122</v>
      </c>
      <c r="AH315">
        <v>4241649.09</v>
      </c>
      <c r="AI315" t="s">
        <v>166</v>
      </c>
      <c r="AJ315" t="s">
        <v>152</v>
      </c>
      <c r="AK315" t="s">
        <v>153</v>
      </c>
      <c r="AL315" t="s">
        <v>154</v>
      </c>
      <c r="AM315" t="s">
        <v>119</v>
      </c>
      <c r="AN315" t="s">
        <v>112</v>
      </c>
      <c r="AO315" t="s">
        <v>121</v>
      </c>
      <c r="AP315" t="s">
        <v>122</v>
      </c>
      <c r="AQ315" t="s">
        <v>122</v>
      </c>
      <c r="AR315" t="s">
        <v>124</v>
      </c>
      <c r="AS315" t="s">
        <v>125</v>
      </c>
      <c r="AT315">
        <v>2</v>
      </c>
      <c r="AU315" t="s">
        <v>126</v>
      </c>
      <c r="AV315" t="s">
        <v>155</v>
      </c>
      <c r="AW315" t="s">
        <v>156</v>
      </c>
      <c r="AX315">
        <v>1</v>
      </c>
      <c r="AY315" t="s">
        <v>129</v>
      </c>
      <c r="AZ315">
        <v>44513.15</v>
      </c>
      <c r="BA315">
        <v>3840461</v>
      </c>
      <c r="BB315">
        <v>53080.79</v>
      </c>
      <c r="BC315">
        <v>86.277000000000001</v>
      </c>
      <c r="BD315" t="s">
        <v>130</v>
      </c>
      <c r="BE315" t="s">
        <v>112</v>
      </c>
      <c r="BF315" t="s">
        <v>157</v>
      </c>
      <c r="BG315" t="s">
        <v>133</v>
      </c>
      <c r="BH315" t="s">
        <v>167</v>
      </c>
      <c r="BI315" t="s">
        <v>168</v>
      </c>
      <c r="BJ315" t="s">
        <v>112</v>
      </c>
      <c r="BK315" t="s">
        <v>112</v>
      </c>
      <c r="BL315" t="s">
        <v>169</v>
      </c>
      <c r="BM315" t="s">
        <v>159</v>
      </c>
      <c r="BN315" t="s">
        <v>726</v>
      </c>
      <c r="BO315" t="s">
        <v>161</v>
      </c>
      <c r="BP315">
        <v>1</v>
      </c>
      <c r="BQ315" t="s">
        <v>232</v>
      </c>
      <c r="BR315" s="45">
        <f>ISNUMBER(SEARCH($BR$1,Таблица1[[#This Row],[31_1 Описание и характеристика товара]]))*1</f>
        <v>1</v>
      </c>
      <c r="BT315" t="s">
        <v>150</v>
      </c>
      <c r="BU315">
        <v>33</v>
      </c>
      <c r="BV315">
        <v>0</v>
      </c>
      <c r="BW315">
        <v>0</v>
      </c>
      <c r="BY315">
        <v>0</v>
      </c>
      <c r="CA315" t="s">
        <v>106</v>
      </c>
      <c r="CB315" t="s">
        <v>142</v>
      </c>
      <c r="CC315" t="s">
        <v>112</v>
      </c>
      <c r="CD315" t="s">
        <v>112</v>
      </c>
      <c r="CE315" t="s">
        <v>121</v>
      </c>
      <c r="CF315">
        <v>16492.759999999998</v>
      </c>
      <c r="CG315" t="s">
        <v>144</v>
      </c>
      <c r="CH315">
        <v>4000000</v>
      </c>
      <c r="CI315">
        <v>16402.759999999998</v>
      </c>
      <c r="CJ315">
        <v>0</v>
      </c>
      <c r="CK315" t="s">
        <v>112</v>
      </c>
      <c r="CL315" t="s">
        <v>112</v>
      </c>
      <c r="CM315">
        <v>44513.15</v>
      </c>
      <c r="CN315">
        <v>3840461</v>
      </c>
      <c r="CO315">
        <v>0</v>
      </c>
      <c r="CP315">
        <v>1</v>
      </c>
      <c r="CQ315">
        <v>4241649.09</v>
      </c>
      <c r="CR315">
        <v>53080.79</v>
      </c>
      <c r="CS315" t="s">
        <v>145</v>
      </c>
      <c r="CT315">
        <v>53080.971635999995</v>
      </c>
      <c r="CU315">
        <v>3.2361</v>
      </c>
      <c r="CV315">
        <v>45</v>
      </c>
      <c r="CW315" t="s">
        <v>171</v>
      </c>
      <c r="CX315" t="s">
        <v>463</v>
      </c>
      <c r="CY315">
        <v>36</v>
      </c>
    </row>
    <row r="316" spans="1:103" x14ac:dyDescent="0.25">
      <c r="A316" t="s">
        <v>106</v>
      </c>
      <c r="B316" s="38">
        <v>45261</v>
      </c>
      <c r="C316" s="43">
        <f>IF(YEAR(Таблица1[[#This Row],[Дата]])=2023,MONTH(Таблица1[[#This Row],[Дата]]),0)</f>
        <v>12</v>
      </c>
      <c r="D316" t="s">
        <v>1205</v>
      </c>
      <c r="E316" t="s">
        <v>108</v>
      </c>
      <c r="F316" t="s">
        <v>1206</v>
      </c>
      <c r="G316" t="s">
        <v>110</v>
      </c>
      <c r="H316" t="s">
        <v>111</v>
      </c>
      <c r="I316" t="s">
        <v>112</v>
      </c>
      <c r="J316" t="s">
        <v>112</v>
      </c>
      <c r="K316" t="s">
        <v>112</v>
      </c>
      <c r="L316" t="s">
        <v>150</v>
      </c>
      <c r="M316" t="s">
        <v>1060</v>
      </c>
      <c r="N316" t="s">
        <v>112</v>
      </c>
      <c r="O316" t="s">
        <v>112</v>
      </c>
      <c r="P316">
        <v>1</v>
      </c>
      <c r="Q316">
        <v>0</v>
      </c>
      <c r="R316">
        <v>1</v>
      </c>
      <c r="S316">
        <v>33</v>
      </c>
      <c r="T316" t="s">
        <v>166</v>
      </c>
      <c r="U316" t="s">
        <v>152</v>
      </c>
      <c r="V316" t="s">
        <v>153</v>
      </c>
      <c r="W316" t="s">
        <v>154</v>
      </c>
      <c r="X316" t="s">
        <v>119</v>
      </c>
      <c r="Y316" t="s">
        <v>112</v>
      </c>
      <c r="Z316" t="s">
        <v>166</v>
      </c>
      <c r="AA316" t="s">
        <v>152</v>
      </c>
      <c r="AB316" t="s">
        <v>153</v>
      </c>
      <c r="AC316" t="s">
        <v>154</v>
      </c>
      <c r="AD316" t="s">
        <v>119</v>
      </c>
      <c r="AE316" t="s">
        <v>112</v>
      </c>
      <c r="AF316" t="s">
        <v>121</v>
      </c>
      <c r="AG316" t="s">
        <v>122</v>
      </c>
      <c r="AH316">
        <v>4440987.79</v>
      </c>
      <c r="AI316" t="s">
        <v>166</v>
      </c>
      <c r="AJ316" t="s">
        <v>152</v>
      </c>
      <c r="AK316" t="s">
        <v>153</v>
      </c>
      <c r="AL316" t="s">
        <v>154</v>
      </c>
      <c r="AM316" t="s">
        <v>119</v>
      </c>
      <c r="AN316" t="s">
        <v>112</v>
      </c>
      <c r="AO316" t="s">
        <v>121</v>
      </c>
      <c r="AP316" t="s">
        <v>122</v>
      </c>
      <c r="AQ316" t="s">
        <v>122</v>
      </c>
      <c r="AR316" t="s">
        <v>124</v>
      </c>
      <c r="AS316" t="s">
        <v>125</v>
      </c>
      <c r="AT316">
        <v>2</v>
      </c>
      <c r="AU316" t="s">
        <v>126</v>
      </c>
      <c r="AV316" t="s">
        <v>155</v>
      </c>
      <c r="AW316" t="s">
        <v>156</v>
      </c>
      <c r="AX316">
        <v>1</v>
      </c>
      <c r="AY316" t="s">
        <v>129</v>
      </c>
      <c r="AZ316">
        <v>47343.6</v>
      </c>
      <c r="BA316">
        <v>4084664</v>
      </c>
      <c r="BB316">
        <v>55575.360000000001</v>
      </c>
      <c r="BC316">
        <v>86.277000000000001</v>
      </c>
      <c r="BD316" t="s">
        <v>130</v>
      </c>
      <c r="BE316" t="s">
        <v>112</v>
      </c>
      <c r="BF316" t="s">
        <v>157</v>
      </c>
      <c r="BG316" t="s">
        <v>133</v>
      </c>
      <c r="BH316" t="s">
        <v>167</v>
      </c>
      <c r="BI316" t="s">
        <v>168</v>
      </c>
      <c r="BJ316" t="s">
        <v>112</v>
      </c>
      <c r="BK316" t="s">
        <v>112</v>
      </c>
      <c r="BL316" t="s">
        <v>169</v>
      </c>
      <c r="BM316" t="s">
        <v>159</v>
      </c>
      <c r="BN316" t="s">
        <v>726</v>
      </c>
      <c r="BO316" t="s">
        <v>161</v>
      </c>
      <c r="BP316">
        <v>1</v>
      </c>
      <c r="BQ316" t="s">
        <v>205</v>
      </c>
      <c r="BR316" s="45">
        <f>ISNUMBER(SEARCH($BR$1,Таблица1[[#This Row],[31_1 Описание и характеристика товара]]))*1</f>
        <v>1</v>
      </c>
      <c r="BT316" t="s">
        <v>150</v>
      </c>
      <c r="BU316">
        <v>33</v>
      </c>
      <c r="BV316">
        <v>0</v>
      </c>
      <c r="BW316">
        <v>0</v>
      </c>
      <c r="BY316">
        <v>0</v>
      </c>
      <c r="CA316" t="s">
        <v>106</v>
      </c>
      <c r="CB316" t="s">
        <v>142</v>
      </c>
      <c r="CC316" t="s">
        <v>112</v>
      </c>
      <c r="CD316" t="s">
        <v>112</v>
      </c>
      <c r="CE316" t="s">
        <v>121</v>
      </c>
      <c r="CF316">
        <v>16783.32</v>
      </c>
      <c r="CG316" t="s">
        <v>144</v>
      </c>
      <c r="CH316">
        <v>4000000</v>
      </c>
      <c r="CI316">
        <v>16783.32</v>
      </c>
      <c r="CJ316">
        <v>0</v>
      </c>
      <c r="CK316" t="s">
        <v>112</v>
      </c>
      <c r="CL316" t="s">
        <v>112</v>
      </c>
      <c r="CM316">
        <v>47343.6</v>
      </c>
      <c r="CN316">
        <v>4084664</v>
      </c>
      <c r="CO316">
        <v>0</v>
      </c>
      <c r="CP316">
        <v>1</v>
      </c>
      <c r="CQ316">
        <v>4440987.79</v>
      </c>
      <c r="CR316">
        <v>55575.360000000001</v>
      </c>
      <c r="CS316" t="s">
        <v>145</v>
      </c>
      <c r="CT316">
        <v>55574.607516000004</v>
      </c>
      <c r="CU316">
        <v>3.3113000000000001</v>
      </c>
      <c r="CV316">
        <v>45</v>
      </c>
      <c r="CW316" t="s">
        <v>171</v>
      </c>
      <c r="CX316" t="s">
        <v>369</v>
      </c>
      <c r="CY316">
        <v>20</v>
      </c>
    </row>
    <row r="317" spans="1:103" x14ac:dyDescent="0.25">
      <c r="A317" t="s">
        <v>106</v>
      </c>
      <c r="B317" s="38">
        <v>45184</v>
      </c>
      <c r="C317" s="43">
        <f>IF(YEAR(Таблица1[[#This Row],[Дата]])=2023,MONTH(Таблица1[[#This Row],[Дата]]),0)</f>
        <v>9</v>
      </c>
      <c r="D317" t="s">
        <v>701</v>
      </c>
      <c r="E317" t="s">
        <v>108</v>
      </c>
      <c r="F317" t="s">
        <v>702</v>
      </c>
      <c r="G317" t="s">
        <v>110</v>
      </c>
      <c r="H317" t="s">
        <v>111</v>
      </c>
      <c r="I317" t="s">
        <v>112</v>
      </c>
      <c r="J317" t="s">
        <v>112</v>
      </c>
      <c r="K317" t="s">
        <v>112</v>
      </c>
      <c r="L317" t="s">
        <v>150</v>
      </c>
      <c r="M317" t="s">
        <v>151</v>
      </c>
      <c r="N317" t="s">
        <v>112</v>
      </c>
      <c r="O317" t="s">
        <v>112</v>
      </c>
      <c r="P317">
        <v>1</v>
      </c>
      <c r="Q317">
        <v>0</v>
      </c>
      <c r="R317">
        <v>1</v>
      </c>
      <c r="S317">
        <v>33</v>
      </c>
      <c r="T317" t="s">
        <v>166</v>
      </c>
      <c r="U317" t="s">
        <v>152</v>
      </c>
      <c r="V317" t="s">
        <v>153</v>
      </c>
      <c r="W317" t="s">
        <v>154</v>
      </c>
      <c r="X317" t="s">
        <v>119</v>
      </c>
      <c r="Y317" t="s">
        <v>112</v>
      </c>
      <c r="Z317" t="s">
        <v>166</v>
      </c>
      <c r="AA317" t="s">
        <v>152</v>
      </c>
      <c r="AB317" t="s">
        <v>153</v>
      </c>
      <c r="AC317" t="s">
        <v>154</v>
      </c>
      <c r="AD317" t="s">
        <v>119</v>
      </c>
      <c r="AE317" t="s">
        <v>112</v>
      </c>
      <c r="AF317" t="s">
        <v>121</v>
      </c>
      <c r="AG317" t="s">
        <v>122</v>
      </c>
      <c r="AH317">
        <v>3861878.81</v>
      </c>
      <c r="AI317" t="s">
        <v>166</v>
      </c>
      <c r="AJ317" t="s">
        <v>152</v>
      </c>
      <c r="AK317" t="s">
        <v>153</v>
      </c>
      <c r="AL317" t="s">
        <v>154</v>
      </c>
      <c r="AM317" t="s">
        <v>119</v>
      </c>
      <c r="AN317" t="s">
        <v>112</v>
      </c>
      <c r="AO317" t="s">
        <v>121</v>
      </c>
      <c r="AP317" t="s">
        <v>122</v>
      </c>
      <c r="AQ317" t="s">
        <v>122</v>
      </c>
      <c r="AR317" t="s">
        <v>124</v>
      </c>
      <c r="AS317" t="s">
        <v>125</v>
      </c>
      <c r="AT317">
        <v>2</v>
      </c>
      <c r="AU317" t="s">
        <v>126</v>
      </c>
      <c r="AV317" t="s">
        <v>155</v>
      </c>
      <c r="AW317" t="s">
        <v>156</v>
      </c>
      <c r="AX317">
        <v>1</v>
      </c>
      <c r="AY317" t="s">
        <v>129</v>
      </c>
      <c r="AZ317">
        <v>42436.38</v>
      </c>
      <c r="BA317">
        <v>3502818</v>
      </c>
      <c r="BB317">
        <v>50260.47</v>
      </c>
      <c r="BC317">
        <v>82.5428</v>
      </c>
      <c r="BD317" t="s">
        <v>130</v>
      </c>
      <c r="BE317" t="s">
        <v>112</v>
      </c>
      <c r="BF317" t="s">
        <v>157</v>
      </c>
      <c r="BG317" t="s">
        <v>133</v>
      </c>
      <c r="BH317" t="s">
        <v>134</v>
      </c>
      <c r="BI317" t="s">
        <v>112</v>
      </c>
      <c r="BJ317" t="s">
        <v>112</v>
      </c>
      <c r="BK317" t="s">
        <v>112</v>
      </c>
      <c r="BL317" t="s">
        <v>169</v>
      </c>
      <c r="BM317" t="s">
        <v>159</v>
      </c>
      <c r="BN317" t="s">
        <v>212</v>
      </c>
      <c r="BO317" t="s">
        <v>161</v>
      </c>
      <c r="BP317">
        <v>1</v>
      </c>
      <c r="BQ317" t="s">
        <v>162</v>
      </c>
      <c r="BR317" s="45">
        <f>ISNUMBER(SEARCH($BR$1,Таблица1[[#This Row],[31_1 Описание и характеристика товара]]))*1</f>
        <v>1</v>
      </c>
      <c r="BT317" t="s">
        <v>150</v>
      </c>
      <c r="BU317">
        <v>33</v>
      </c>
      <c r="BV317">
        <v>0</v>
      </c>
      <c r="BW317">
        <v>0</v>
      </c>
      <c r="BY317">
        <v>0</v>
      </c>
      <c r="CA317" t="s">
        <v>106</v>
      </c>
      <c r="CB317" t="s">
        <v>142</v>
      </c>
      <c r="CC317" t="s">
        <v>112</v>
      </c>
      <c r="CD317" t="s">
        <v>112</v>
      </c>
      <c r="CE317" t="s">
        <v>121</v>
      </c>
      <c r="CF317">
        <v>16532.84</v>
      </c>
      <c r="CG317" t="s">
        <v>144</v>
      </c>
      <c r="CH317">
        <v>4000000</v>
      </c>
      <c r="CI317">
        <v>16460.84</v>
      </c>
      <c r="CJ317">
        <v>0</v>
      </c>
      <c r="CK317" t="s">
        <v>112</v>
      </c>
      <c r="CL317" t="s">
        <v>112</v>
      </c>
      <c r="CM317">
        <v>42436.38</v>
      </c>
      <c r="CN317">
        <v>3502818</v>
      </c>
      <c r="CO317">
        <v>0</v>
      </c>
      <c r="CP317">
        <v>1</v>
      </c>
      <c r="CQ317">
        <v>3861878.81</v>
      </c>
      <c r="CR317">
        <v>50260.47</v>
      </c>
      <c r="CS317" t="s">
        <v>145</v>
      </c>
      <c r="CT317">
        <v>50259.882772000004</v>
      </c>
      <c r="CU317">
        <v>3.0533000000000001</v>
      </c>
      <c r="CV317">
        <v>45</v>
      </c>
      <c r="CW317" t="s">
        <v>171</v>
      </c>
      <c r="CX317" t="s">
        <v>350</v>
      </c>
      <c r="CY317">
        <v>163</v>
      </c>
    </row>
    <row r="318" spans="1:103" x14ac:dyDescent="0.25">
      <c r="A318" t="s">
        <v>106</v>
      </c>
      <c r="B318" s="38">
        <v>45163</v>
      </c>
      <c r="C318" s="43">
        <f>IF(YEAR(Таблица1[[#This Row],[Дата]])=2023,MONTH(Таблица1[[#This Row],[Дата]]),0)</f>
        <v>8</v>
      </c>
      <c r="D318" t="s">
        <v>644</v>
      </c>
      <c r="E318" t="s">
        <v>108</v>
      </c>
      <c r="F318" t="s">
        <v>645</v>
      </c>
      <c r="G318" t="s">
        <v>110</v>
      </c>
      <c r="H318" t="s">
        <v>111</v>
      </c>
      <c r="I318" t="s">
        <v>112</v>
      </c>
      <c r="J318" t="s">
        <v>112</v>
      </c>
      <c r="K318" t="s">
        <v>112</v>
      </c>
      <c r="L318" t="s">
        <v>150</v>
      </c>
      <c r="M318" t="s">
        <v>151</v>
      </c>
      <c r="N318" t="s">
        <v>112</v>
      </c>
      <c r="O318" t="s">
        <v>112</v>
      </c>
      <c r="P318">
        <v>1</v>
      </c>
      <c r="Q318">
        <v>0</v>
      </c>
      <c r="R318">
        <v>1</v>
      </c>
      <c r="S318">
        <v>33</v>
      </c>
      <c r="T318" t="s">
        <v>166</v>
      </c>
      <c r="U318" t="s">
        <v>152</v>
      </c>
      <c r="V318" t="s">
        <v>153</v>
      </c>
      <c r="W318" t="s">
        <v>154</v>
      </c>
      <c r="X318" t="s">
        <v>119</v>
      </c>
      <c r="Y318" t="s">
        <v>112</v>
      </c>
      <c r="Z318" t="s">
        <v>166</v>
      </c>
      <c r="AA318" t="s">
        <v>152</v>
      </c>
      <c r="AB318" t="s">
        <v>153</v>
      </c>
      <c r="AC318" t="s">
        <v>154</v>
      </c>
      <c r="AD318" t="s">
        <v>119</v>
      </c>
      <c r="AE318" t="s">
        <v>112</v>
      </c>
      <c r="AF318" t="s">
        <v>121</v>
      </c>
      <c r="AG318" t="s">
        <v>122</v>
      </c>
      <c r="AH318">
        <v>4111256.68</v>
      </c>
      <c r="AI318" t="s">
        <v>166</v>
      </c>
      <c r="AJ318" t="s">
        <v>152</v>
      </c>
      <c r="AK318" t="s">
        <v>153</v>
      </c>
      <c r="AL318" t="s">
        <v>154</v>
      </c>
      <c r="AM318" t="s">
        <v>119</v>
      </c>
      <c r="AN318" t="s">
        <v>112</v>
      </c>
      <c r="AO318" t="s">
        <v>121</v>
      </c>
      <c r="AP318" t="s">
        <v>122</v>
      </c>
      <c r="AQ318" t="s">
        <v>122</v>
      </c>
      <c r="AR318" t="s">
        <v>124</v>
      </c>
      <c r="AS318" t="s">
        <v>125</v>
      </c>
      <c r="AT318">
        <v>2</v>
      </c>
      <c r="AU318" t="s">
        <v>126</v>
      </c>
      <c r="AV318" t="s">
        <v>155</v>
      </c>
      <c r="AW318" t="s">
        <v>156</v>
      </c>
      <c r="AX318">
        <v>1</v>
      </c>
      <c r="AY318" t="s">
        <v>129</v>
      </c>
      <c r="AZ318">
        <v>47196.12</v>
      </c>
      <c r="BA318">
        <v>3764306</v>
      </c>
      <c r="BB318">
        <v>54919.57</v>
      </c>
      <c r="BC318">
        <v>79.758799999999994</v>
      </c>
      <c r="BD318" t="s">
        <v>130</v>
      </c>
      <c r="BE318" t="s">
        <v>112</v>
      </c>
      <c r="BF318" t="s">
        <v>157</v>
      </c>
      <c r="BG318" t="s">
        <v>133</v>
      </c>
      <c r="BH318" t="s">
        <v>134</v>
      </c>
      <c r="BI318" t="s">
        <v>112</v>
      </c>
      <c r="BJ318" t="s">
        <v>112</v>
      </c>
      <c r="BK318" t="s">
        <v>112</v>
      </c>
      <c r="BL318" t="s">
        <v>169</v>
      </c>
      <c r="BM318" t="s">
        <v>159</v>
      </c>
      <c r="BN318" t="s">
        <v>212</v>
      </c>
      <c r="BO318" t="s">
        <v>161</v>
      </c>
      <c r="BP318">
        <v>1</v>
      </c>
      <c r="BQ318" t="s">
        <v>232</v>
      </c>
      <c r="BR318" s="45">
        <f>ISNUMBER(SEARCH($BR$1,Таблица1[[#This Row],[31_1 Описание и характеристика товара]]))*1</f>
        <v>1</v>
      </c>
      <c r="BT318" t="s">
        <v>150</v>
      </c>
      <c r="BU318">
        <v>33</v>
      </c>
      <c r="BV318">
        <v>0</v>
      </c>
      <c r="BW318">
        <v>0</v>
      </c>
      <c r="BY318">
        <v>0</v>
      </c>
      <c r="CA318" t="s">
        <v>106</v>
      </c>
      <c r="CB318" t="s">
        <v>142</v>
      </c>
      <c r="CC318" t="s">
        <v>112</v>
      </c>
      <c r="CD318" t="s">
        <v>112</v>
      </c>
      <c r="CE318" t="s">
        <v>121</v>
      </c>
      <c r="CF318">
        <v>14983.63</v>
      </c>
      <c r="CG318" t="s">
        <v>144</v>
      </c>
      <c r="CH318">
        <v>4000000</v>
      </c>
      <c r="CI318">
        <v>14722.63</v>
      </c>
      <c r="CJ318">
        <v>0</v>
      </c>
      <c r="CK318" t="s">
        <v>112</v>
      </c>
      <c r="CL318" t="s">
        <v>112</v>
      </c>
      <c r="CM318">
        <v>47196.12</v>
      </c>
      <c r="CN318">
        <v>3764306</v>
      </c>
      <c r="CO318">
        <v>0</v>
      </c>
      <c r="CP318">
        <v>1</v>
      </c>
      <c r="CQ318">
        <v>4111256.68</v>
      </c>
      <c r="CR318">
        <v>54919.57</v>
      </c>
      <c r="CS318" t="s">
        <v>145</v>
      </c>
      <c r="CT318">
        <v>54919.826689000001</v>
      </c>
      <c r="CU318">
        <v>3.7303000000000002</v>
      </c>
      <c r="CV318">
        <v>45</v>
      </c>
      <c r="CW318" t="s">
        <v>171</v>
      </c>
      <c r="CX318" t="s">
        <v>350</v>
      </c>
      <c r="CY318">
        <v>330</v>
      </c>
    </row>
    <row r="319" spans="1:103" x14ac:dyDescent="0.25">
      <c r="A319" t="s">
        <v>106</v>
      </c>
      <c r="B319" s="38">
        <v>45258</v>
      </c>
      <c r="C319" s="43">
        <f>IF(YEAR(Таблица1[[#This Row],[Дата]])=2023,MONTH(Таблица1[[#This Row],[Дата]]),0)</f>
        <v>11</v>
      </c>
      <c r="D319" t="s">
        <v>651</v>
      </c>
      <c r="E319" t="s">
        <v>108</v>
      </c>
      <c r="F319" t="s">
        <v>652</v>
      </c>
      <c r="G319" t="s">
        <v>110</v>
      </c>
      <c r="H319" t="s">
        <v>111</v>
      </c>
      <c r="I319" t="s">
        <v>112</v>
      </c>
      <c r="J319" t="s">
        <v>112</v>
      </c>
      <c r="K319" t="s">
        <v>112</v>
      </c>
      <c r="L319" t="s">
        <v>150</v>
      </c>
      <c r="M319" t="s">
        <v>151</v>
      </c>
      <c r="N319" t="s">
        <v>112</v>
      </c>
      <c r="O319" t="s">
        <v>112</v>
      </c>
      <c r="P319">
        <v>1</v>
      </c>
      <c r="Q319">
        <v>0</v>
      </c>
      <c r="R319">
        <v>1</v>
      </c>
      <c r="S319">
        <v>33</v>
      </c>
      <c r="T319" t="s">
        <v>166</v>
      </c>
      <c r="U319" t="s">
        <v>152</v>
      </c>
      <c r="V319" t="s">
        <v>153</v>
      </c>
      <c r="W319" t="s">
        <v>154</v>
      </c>
      <c r="X319" t="s">
        <v>119</v>
      </c>
      <c r="Y319" t="s">
        <v>112</v>
      </c>
      <c r="Z319" t="s">
        <v>166</v>
      </c>
      <c r="AA319" t="s">
        <v>152</v>
      </c>
      <c r="AB319" t="s">
        <v>153</v>
      </c>
      <c r="AC319" t="s">
        <v>154</v>
      </c>
      <c r="AD319" t="s">
        <v>119</v>
      </c>
      <c r="AE319" t="s">
        <v>112</v>
      </c>
      <c r="AF319" t="s">
        <v>121</v>
      </c>
      <c r="AG319" t="s">
        <v>122</v>
      </c>
      <c r="AH319">
        <v>3902830.18</v>
      </c>
      <c r="AI319" t="s">
        <v>166</v>
      </c>
      <c r="AJ319" t="s">
        <v>152</v>
      </c>
      <c r="AK319" t="s">
        <v>153</v>
      </c>
      <c r="AL319" t="s">
        <v>154</v>
      </c>
      <c r="AM319" t="s">
        <v>119</v>
      </c>
      <c r="AN319" t="s">
        <v>112</v>
      </c>
      <c r="AO319" t="s">
        <v>121</v>
      </c>
      <c r="AP319" t="s">
        <v>122</v>
      </c>
      <c r="AQ319" t="s">
        <v>122</v>
      </c>
      <c r="AR319" t="s">
        <v>124</v>
      </c>
      <c r="AS319" t="s">
        <v>125</v>
      </c>
      <c r="AT319">
        <v>2</v>
      </c>
      <c r="AU319" t="s">
        <v>126</v>
      </c>
      <c r="AV319" t="s">
        <v>155</v>
      </c>
      <c r="AW319" t="s">
        <v>156</v>
      </c>
      <c r="AX319">
        <v>1</v>
      </c>
      <c r="AY319" t="s">
        <v>129</v>
      </c>
      <c r="AZ319">
        <v>44582.91</v>
      </c>
      <c r="BA319">
        <v>3555879</v>
      </c>
      <c r="BB319">
        <v>52135.33</v>
      </c>
      <c r="BC319">
        <v>79.758799999999994</v>
      </c>
      <c r="BD319" t="s">
        <v>130</v>
      </c>
      <c r="BE319" t="s">
        <v>112</v>
      </c>
      <c r="BF319" t="s">
        <v>157</v>
      </c>
      <c r="BG319" t="s">
        <v>133</v>
      </c>
      <c r="BH319" t="s">
        <v>134</v>
      </c>
      <c r="BI319" t="s">
        <v>112</v>
      </c>
      <c r="BJ319" t="s">
        <v>112</v>
      </c>
      <c r="BK319" t="s">
        <v>112</v>
      </c>
      <c r="BL319" t="s">
        <v>169</v>
      </c>
      <c r="BM319" t="s">
        <v>159</v>
      </c>
      <c r="BN319" t="s">
        <v>212</v>
      </c>
      <c r="BO319" t="s">
        <v>161</v>
      </c>
      <c r="BP319">
        <v>1</v>
      </c>
      <c r="BQ319" t="s">
        <v>653</v>
      </c>
      <c r="BR319" s="45">
        <f>ISNUMBER(SEARCH($BR$1,Таблица1[[#This Row],[31_1 Описание и характеристика товара]]))*1</f>
        <v>1</v>
      </c>
      <c r="BT319" t="s">
        <v>150</v>
      </c>
      <c r="BU319">
        <v>33</v>
      </c>
      <c r="BV319">
        <v>0</v>
      </c>
      <c r="BW319">
        <v>0</v>
      </c>
      <c r="BY319">
        <v>0</v>
      </c>
      <c r="CA319" t="s">
        <v>106</v>
      </c>
      <c r="CB319" t="s">
        <v>142</v>
      </c>
      <c r="CC319" t="s">
        <v>112</v>
      </c>
      <c r="CD319" t="s">
        <v>112</v>
      </c>
      <c r="CE319" t="s">
        <v>121</v>
      </c>
      <c r="CF319">
        <v>16695.310000000001</v>
      </c>
      <c r="CG319" t="s">
        <v>144</v>
      </c>
      <c r="CH319">
        <v>4000000</v>
      </c>
      <c r="CI319">
        <v>16587.310000000001</v>
      </c>
      <c r="CJ319">
        <v>0</v>
      </c>
      <c r="CK319" t="s">
        <v>112</v>
      </c>
      <c r="CL319" t="s">
        <v>112</v>
      </c>
      <c r="CM319">
        <v>44582.91</v>
      </c>
      <c r="CN319">
        <v>3555879</v>
      </c>
      <c r="CO319">
        <v>0</v>
      </c>
      <c r="CP319">
        <v>1</v>
      </c>
      <c r="CQ319">
        <v>3902830.18</v>
      </c>
      <c r="CR319">
        <v>52135.33</v>
      </c>
      <c r="CS319" t="s">
        <v>145</v>
      </c>
      <c r="CT319">
        <v>52135.574061000007</v>
      </c>
      <c r="CU319">
        <v>3.1431</v>
      </c>
      <c r="CV319">
        <v>45</v>
      </c>
      <c r="CW319" t="s">
        <v>171</v>
      </c>
      <c r="CX319" t="s">
        <v>350</v>
      </c>
      <c r="CY319">
        <v>13</v>
      </c>
    </row>
    <row r="320" spans="1:103" x14ac:dyDescent="0.25">
      <c r="A320" t="s">
        <v>106</v>
      </c>
      <c r="B320" s="38">
        <v>44938</v>
      </c>
      <c r="C320" s="43">
        <f>IF(YEAR(Таблица1[[#This Row],[Дата]])=2023,MONTH(Таблица1[[#This Row],[Дата]]),0)</f>
        <v>1</v>
      </c>
      <c r="D320" t="s">
        <v>648</v>
      </c>
      <c r="E320" t="s">
        <v>108</v>
      </c>
      <c r="F320" t="s">
        <v>649</v>
      </c>
      <c r="G320" t="s">
        <v>110</v>
      </c>
      <c r="H320" t="s">
        <v>111</v>
      </c>
      <c r="I320" t="s">
        <v>112</v>
      </c>
      <c r="J320" t="s">
        <v>112</v>
      </c>
      <c r="K320" t="s">
        <v>112</v>
      </c>
      <c r="L320" t="s">
        <v>150</v>
      </c>
      <c r="M320" t="s">
        <v>151</v>
      </c>
      <c r="N320" t="s">
        <v>112</v>
      </c>
      <c r="O320" t="s">
        <v>112</v>
      </c>
      <c r="P320">
        <v>1</v>
      </c>
      <c r="Q320">
        <v>0</v>
      </c>
      <c r="R320">
        <v>1</v>
      </c>
      <c r="S320">
        <v>38</v>
      </c>
      <c r="T320" t="s">
        <v>166</v>
      </c>
      <c r="U320" t="s">
        <v>152</v>
      </c>
      <c r="V320" t="s">
        <v>153</v>
      </c>
      <c r="W320" t="s">
        <v>154</v>
      </c>
      <c r="X320" t="s">
        <v>119</v>
      </c>
      <c r="Y320" t="s">
        <v>112</v>
      </c>
      <c r="Z320" t="s">
        <v>166</v>
      </c>
      <c r="AA320" t="s">
        <v>152</v>
      </c>
      <c r="AB320" t="s">
        <v>153</v>
      </c>
      <c r="AC320" t="s">
        <v>154</v>
      </c>
      <c r="AD320" t="s">
        <v>119</v>
      </c>
      <c r="AE320" t="s">
        <v>112</v>
      </c>
      <c r="AF320" t="s">
        <v>121</v>
      </c>
      <c r="AG320" t="s">
        <v>122</v>
      </c>
      <c r="AH320">
        <v>4681165.21</v>
      </c>
      <c r="AI320" t="s">
        <v>166</v>
      </c>
      <c r="AJ320" t="s">
        <v>152</v>
      </c>
      <c r="AK320" t="s">
        <v>153</v>
      </c>
      <c r="AL320" t="s">
        <v>154</v>
      </c>
      <c r="AM320" t="s">
        <v>119</v>
      </c>
      <c r="AN320" t="s">
        <v>112</v>
      </c>
      <c r="AO320" t="s">
        <v>121</v>
      </c>
      <c r="AP320" t="s">
        <v>122</v>
      </c>
      <c r="AQ320" t="s">
        <v>122</v>
      </c>
      <c r="AR320" t="s">
        <v>124</v>
      </c>
      <c r="AS320" t="s">
        <v>125</v>
      </c>
      <c r="AT320">
        <v>2</v>
      </c>
      <c r="AU320" t="s">
        <v>126</v>
      </c>
      <c r="AV320" t="s">
        <v>155</v>
      </c>
      <c r="AW320" t="s">
        <v>156</v>
      </c>
      <c r="AX320">
        <v>1</v>
      </c>
      <c r="AY320" t="s">
        <v>129</v>
      </c>
      <c r="AZ320">
        <v>54341.52</v>
      </c>
      <c r="BA320">
        <v>4334214</v>
      </c>
      <c r="BB320">
        <v>62532.6</v>
      </c>
      <c r="BC320">
        <v>79.758799999999994</v>
      </c>
      <c r="BD320" t="s">
        <v>130</v>
      </c>
      <c r="BE320" t="s">
        <v>112</v>
      </c>
      <c r="BF320" t="s">
        <v>157</v>
      </c>
      <c r="BG320" t="s">
        <v>133</v>
      </c>
      <c r="BH320" t="s">
        <v>134</v>
      </c>
      <c r="BI320" t="s">
        <v>112</v>
      </c>
      <c r="BJ320" t="s">
        <v>112</v>
      </c>
      <c r="BK320" t="s">
        <v>112</v>
      </c>
      <c r="BL320" t="s">
        <v>169</v>
      </c>
      <c r="BM320" t="s">
        <v>159</v>
      </c>
      <c r="BN320" t="s">
        <v>212</v>
      </c>
      <c r="BO320" t="s">
        <v>161</v>
      </c>
      <c r="BP320">
        <v>1</v>
      </c>
      <c r="BQ320" t="s">
        <v>650</v>
      </c>
      <c r="BR320" s="45">
        <f>ISNUMBER(SEARCH($BR$1,Таблица1[[#This Row],[31_1 Описание и характеристика товара]]))*1</f>
        <v>1</v>
      </c>
      <c r="BT320" t="s">
        <v>150</v>
      </c>
      <c r="BU320">
        <v>38</v>
      </c>
      <c r="BV320">
        <v>0</v>
      </c>
      <c r="BW320">
        <v>0</v>
      </c>
      <c r="BY320">
        <v>0</v>
      </c>
      <c r="CA320" t="s">
        <v>106</v>
      </c>
      <c r="CB320" t="s">
        <v>142</v>
      </c>
      <c r="CC320" t="s">
        <v>112</v>
      </c>
      <c r="CD320" t="s">
        <v>112</v>
      </c>
      <c r="CE320" t="s">
        <v>121</v>
      </c>
      <c r="CF320">
        <v>17711.919999999998</v>
      </c>
      <c r="CG320" t="s">
        <v>144</v>
      </c>
      <c r="CH320">
        <v>4000000</v>
      </c>
      <c r="CI320">
        <v>17384.32</v>
      </c>
      <c r="CJ320">
        <v>0</v>
      </c>
      <c r="CK320" t="s">
        <v>112</v>
      </c>
      <c r="CL320" t="s">
        <v>112</v>
      </c>
      <c r="CM320">
        <v>54341.52</v>
      </c>
      <c r="CN320">
        <v>4334214</v>
      </c>
      <c r="CO320">
        <v>0</v>
      </c>
      <c r="CP320">
        <v>1</v>
      </c>
      <c r="CQ320">
        <v>4681165.21</v>
      </c>
      <c r="CR320">
        <v>62532.6</v>
      </c>
      <c r="CS320" t="s">
        <v>145</v>
      </c>
      <c r="CT320">
        <v>62533.137472000002</v>
      </c>
      <c r="CU320">
        <v>3.5971000000000002</v>
      </c>
      <c r="CV320">
        <v>45</v>
      </c>
      <c r="CW320" t="s">
        <v>171</v>
      </c>
      <c r="CX320" t="s">
        <v>463</v>
      </c>
      <c r="CY320">
        <v>219</v>
      </c>
    </row>
    <row r="321" spans="1:103" x14ac:dyDescent="0.25">
      <c r="A321" t="s">
        <v>106</v>
      </c>
      <c r="B321" s="38">
        <v>45133</v>
      </c>
      <c r="C321" s="43">
        <f>IF(YEAR(Таблица1[[#This Row],[Дата]])=2023,MONTH(Таблица1[[#This Row],[Дата]]),0)</f>
        <v>7</v>
      </c>
      <c r="D321" t="s">
        <v>646</v>
      </c>
      <c r="E321" t="s">
        <v>108</v>
      </c>
      <c r="F321" t="s">
        <v>647</v>
      </c>
      <c r="G321" t="s">
        <v>110</v>
      </c>
      <c r="H321" t="s">
        <v>111</v>
      </c>
      <c r="I321" t="s">
        <v>112</v>
      </c>
      <c r="J321" t="s">
        <v>112</v>
      </c>
      <c r="K321" t="s">
        <v>112</v>
      </c>
      <c r="L321" t="s">
        <v>150</v>
      </c>
      <c r="M321" t="s">
        <v>151</v>
      </c>
      <c r="N321" t="s">
        <v>112</v>
      </c>
      <c r="O321" t="s">
        <v>112</v>
      </c>
      <c r="P321">
        <v>1</v>
      </c>
      <c r="Q321">
        <v>0</v>
      </c>
      <c r="R321">
        <v>1</v>
      </c>
      <c r="S321">
        <v>38</v>
      </c>
      <c r="T321" t="s">
        <v>166</v>
      </c>
      <c r="U321" t="s">
        <v>152</v>
      </c>
      <c r="V321" t="s">
        <v>153</v>
      </c>
      <c r="W321" t="s">
        <v>154</v>
      </c>
      <c r="X321" t="s">
        <v>119</v>
      </c>
      <c r="Y321" t="s">
        <v>112</v>
      </c>
      <c r="Z321" t="s">
        <v>166</v>
      </c>
      <c r="AA321" t="s">
        <v>152</v>
      </c>
      <c r="AB321" t="s">
        <v>153</v>
      </c>
      <c r="AC321" t="s">
        <v>154</v>
      </c>
      <c r="AD321" t="s">
        <v>119</v>
      </c>
      <c r="AE321" t="s">
        <v>112</v>
      </c>
      <c r="AF321" t="s">
        <v>121</v>
      </c>
      <c r="AG321" t="s">
        <v>122</v>
      </c>
      <c r="AH321">
        <v>4316086.8499999996</v>
      </c>
      <c r="AI321" t="s">
        <v>166</v>
      </c>
      <c r="AJ321" t="s">
        <v>152</v>
      </c>
      <c r="AK321" t="s">
        <v>153</v>
      </c>
      <c r="AL321" t="s">
        <v>154</v>
      </c>
      <c r="AM321" t="s">
        <v>119</v>
      </c>
      <c r="AN321" t="s">
        <v>112</v>
      </c>
      <c r="AO321" t="s">
        <v>121</v>
      </c>
      <c r="AP321" t="s">
        <v>122</v>
      </c>
      <c r="AQ321" t="s">
        <v>122</v>
      </c>
      <c r="AR321" t="s">
        <v>124</v>
      </c>
      <c r="AS321" t="s">
        <v>125</v>
      </c>
      <c r="AT321">
        <v>2</v>
      </c>
      <c r="AU321" t="s">
        <v>126</v>
      </c>
      <c r="AV321" t="s">
        <v>155</v>
      </c>
      <c r="AW321" t="s">
        <v>156</v>
      </c>
      <c r="AX321">
        <v>1</v>
      </c>
      <c r="AY321" t="s">
        <v>129</v>
      </c>
      <c r="AZ321">
        <v>49764.24</v>
      </c>
      <c r="BA321">
        <v>3969136</v>
      </c>
      <c r="BB321">
        <v>57655.76</v>
      </c>
      <c r="BC321">
        <v>79.758799999999994</v>
      </c>
      <c r="BD321" t="s">
        <v>130</v>
      </c>
      <c r="BE321" t="s">
        <v>112</v>
      </c>
      <c r="BF321" t="s">
        <v>157</v>
      </c>
      <c r="BG321" t="s">
        <v>133</v>
      </c>
      <c r="BH321" t="s">
        <v>167</v>
      </c>
      <c r="BI321" t="s">
        <v>168</v>
      </c>
      <c r="BJ321" t="s">
        <v>112</v>
      </c>
      <c r="BK321" t="s">
        <v>112</v>
      </c>
      <c r="BL321" t="s">
        <v>169</v>
      </c>
      <c r="BM321" t="s">
        <v>159</v>
      </c>
      <c r="BN321" t="s">
        <v>160</v>
      </c>
      <c r="BO321" t="s">
        <v>161</v>
      </c>
      <c r="BP321">
        <v>1</v>
      </c>
      <c r="BQ321" t="s">
        <v>162</v>
      </c>
      <c r="BR321" s="45">
        <f>ISNUMBER(SEARCH($BR$1,Таблица1[[#This Row],[31_1 Описание и характеристика товара]]))*1</f>
        <v>1</v>
      </c>
      <c r="BT321" t="s">
        <v>150</v>
      </c>
      <c r="BU321">
        <v>38</v>
      </c>
      <c r="BV321">
        <v>0</v>
      </c>
      <c r="BW321">
        <v>0</v>
      </c>
      <c r="BY321">
        <v>0</v>
      </c>
      <c r="CA321" t="s">
        <v>106</v>
      </c>
      <c r="CB321" t="s">
        <v>142</v>
      </c>
      <c r="CC321" t="s">
        <v>112</v>
      </c>
      <c r="CD321" t="s">
        <v>112</v>
      </c>
      <c r="CE321" t="s">
        <v>121</v>
      </c>
      <c r="CF321">
        <v>18855.849999999999</v>
      </c>
      <c r="CG321" t="s">
        <v>144</v>
      </c>
      <c r="CH321">
        <v>4000000</v>
      </c>
      <c r="CI321">
        <v>18636.25</v>
      </c>
      <c r="CJ321">
        <v>0</v>
      </c>
      <c r="CK321" t="s">
        <v>112</v>
      </c>
      <c r="CL321" t="s">
        <v>112</v>
      </c>
      <c r="CM321">
        <v>49764.24</v>
      </c>
      <c r="CN321">
        <v>3969136</v>
      </c>
      <c r="CO321">
        <v>0</v>
      </c>
      <c r="CP321">
        <v>1</v>
      </c>
      <c r="CQ321">
        <v>4316086.8499999996</v>
      </c>
      <c r="CR321">
        <v>57655.76</v>
      </c>
      <c r="CS321" t="s">
        <v>145</v>
      </c>
      <c r="CT321">
        <v>57654.966625000001</v>
      </c>
      <c r="CU321">
        <v>3.0937000000000001</v>
      </c>
      <c r="CV321">
        <v>45</v>
      </c>
      <c r="CW321" t="s">
        <v>171</v>
      </c>
      <c r="CX321" t="s">
        <v>350</v>
      </c>
      <c r="CY321">
        <v>117</v>
      </c>
    </row>
    <row r="322" spans="1:103" x14ac:dyDescent="0.25">
      <c r="A322" t="s">
        <v>106</v>
      </c>
      <c r="B322" s="38">
        <v>45242</v>
      </c>
      <c r="C322" s="43">
        <f>IF(YEAR(Таблица1[[#This Row],[Дата]])=2023,MONTH(Таблица1[[#This Row],[Дата]]),0)</f>
        <v>11</v>
      </c>
      <c r="D322" t="s">
        <v>357</v>
      </c>
      <c r="E322" t="s">
        <v>108</v>
      </c>
      <c r="F322" t="s">
        <v>358</v>
      </c>
      <c r="G322" t="s">
        <v>110</v>
      </c>
      <c r="H322" t="s">
        <v>111</v>
      </c>
      <c r="I322" t="s">
        <v>112</v>
      </c>
      <c r="J322" t="s">
        <v>112</v>
      </c>
      <c r="K322" t="s">
        <v>112</v>
      </c>
      <c r="L322" t="s">
        <v>175</v>
      </c>
      <c r="M322" t="s">
        <v>176</v>
      </c>
      <c r="N322" t="s">
        <v>112</v>
      </c>
      <c r="O322" t="s">
        <v>112</v>
      </c>
      <c r="P322">
        <v>1</v>
      </c>
      <c r="Q322">
        <v>0</v>
      </c>
      <c r="R322">
        <v>1</v>
      </c>
      <c r="S322">
        <v>33</v>
      </c>
      <c r="T322" t="s">
        <v>166</v>
      </c>
      <c r="U322" t="s">
        <v>152</v>
      </c>
      <c r="V322" t="s">
        <v>153</v>
      </c>
      <c r="W322" t="s">
        <v>177</v>
      </c>
      <c r="X322" t="s">
        <v>119</v>
      </c>
      <c r="Y322" t="s">
        <v>112</v>
      </c>
      <c r="Z322" t="s">
        <v>166</v>
      </c>
      <c r="AA322" t="s">
        <v>152</v>
      </c>
      <c r="AB322" t="s">
        <v>153</v>
      </c>
      <c r="AC322" t="s">
        <v>177</v>
      </c>
      <c r="AD322" t="s">
        <v>119</v>
      </c>
      <c r="AE322" t="s">
        <v>112</v>
      </c>
      <c r="AF322" t="s">
        <v>121</v>
      </c>
      <c r="AG322" t="s">
        <v>122</v>
      </c>
      <c r="AH322">
        <v>3109166.91</v>
      </c>
      <c r="AI322" t="s">
        <v>166</v>
      </c>
      <c r="AJ322" t="s">
        <v>152</v>
      </c>
      <c r="AK322" t="s">
        <v>153</v>
      </c>
      <c r="AL322" t="s">
        <v>177</v>
      </c>
      <c r="AM322" t="s">
        <v>119</v>
      </c>
      <c r="AN322" t="s">
        <v>112</v>
      </c>
      <c r="AO322" t="s">
        <v>121</v>
      </c>
      <c r="AP322" t="s">
        <v>122</v>
      </c>
      <c r="AQ322" t="s">
        <v>122</v>
      </c>
      <c r="AR322" t="s">
        <v>124</v>
      </c>
      <c r="AS322" t="s">
        <v>125</v>
      </c>
      <c r="AT322">
        <v>2</v>
      </c>
      <c r="AU322" t="s">
        <v>106</v>
      </c>
      <c r="AV322" t="s">
        <v>155</v>
      </c>
      <c r="AW322" t="s">
        <v>156</v>
      </c>
      <c r="AX322">
        <v>1</v>
      </c>
      <c r="AY322" t="s">
        <v>129</v>
      </c>
      <c r="AZ322">
        <v>38492.699999999997</v>
      </c>
      <c r="BA322">
        <v>2861678</v>
      </c>
      <c r="BB322">
        <v>45279.83</v>
      </c>
      <c r="BC322">
        <v>74.343400000000003</v>
      </c>
      <c r="BD322" t="s">
        <v>130</v>
      </c>
      <c r="BE322" t="s">
        <v>112</v>
      </c>
      <c r="BF322" t="s">
        <v>157</v>
      </c>
      <c r="BG322" t="s">
        <v>133</v>
      </c>
      <c r="BH322" t="s">
        <v>134</v>
      </c>
      <c r="BI322" t="s">
        <v>112</v>
      </c>
      <c r="BJ322" t="s">
        <v>178</v>
      </c>
      <c r="BK322" t="s">
        <v>112</v>
      </c>
      <c r="BL322" t="s">
        <v>125</v>
      </c>
      <c r="BM322" t="s">
        <v>179</v>
      </c>
      <c r="BN322" t="s">
        <v>180</v>
      </c>
      <c r="BO322" t="s">
        <v>181</v>
      </c>
      <c r="BP322">
        <v>1</v>
      </c>
      <c r="BQ322" t="s">
        <v>258</v>
      </c>
      <c r="BR322" s="45">
        <f>ISNUMBER(SEARCH($BR$1,Таблица1[[#This Row],[31_1 Описание и характеристика товара]]))*1</f>
        <v>1</v>
      </c>
      <c r="BT322" t="s">
        <v>150</v>
      </c>
      <c r="BU322">
        <v>33</v>
      </c>
      <c r="BV322">
        <v>1</v>
      </c>
      <c r="BW322">
        <v>0</v>
      </c>
      <c r="BY322">
        <v>0</v>
      </c>
      <c r="CA322" t="s">
        <v>106</v>
      </c>
      <c r="CB322" t="s">
        <v>142</v>
      </c>
      <c r="CC322" t="s">
        <v>112</v>
      </c>
      <c r="CD322" t="s">
        <v>112</v>
      </c>
      <c r="CE322" t="s">
        <v>121</v>
      </c>
      <c r="CF322">
        <v>17280.689999999999</v>
      </c>
      <c r="CG322" t="s">
        <v>144</v>
      </c>
      <c r="CH322">
        <v>4000000</v>
      </c>
      <c r="CI322">
        <v>17280.689999999999</v>
      </c>
      <c r="CJ322">
        <v>0</v>
      </c>
      <c r="CK322" t="s">
        <v>112</v>
      </c>
      <c r="CL322" t="s">
        <v>112</v>
      </c>
      <c r="CM322">
        <v>38492.699999999997</v>
      </c>
      <c r="CN322">
        <v>2861678</v>
      </c>
      <c r="CO322">
        <v>0</v>
      </c>
      <c r="CP322">
        <v>1</v>
      </c>
      <c r="CQ322">
        <v>3109166.91</v>
      </c>
      <c r="CR322">
        <v>45279.83</v>
      </c>
      <c r="CS322" t="s">
        <v>145</v>
      </c>
      <c r="CT322">
        <v>45280.592006999992</v>
      </c>
      <c r="CU322">
        <v>2.6202999999999999</v>
      </c>
      <c r="CV322">
        <v>941</v>
      </c>
      <c r="CW322" t="s">
        <v>183</v>
      </c>
      <c r="CX322" t="s">
        <v>147</v>
      </c>
      <c r="CY322">
        <v>138</v>
      </c>
    </row>
    <row r="323" spans="1:103" x14ac:dyDescent="0.25">
      <c r="A323" t="s">
        <v>106</v>
      </c>
      <c r="B323" s="38">
        <v>45067</v>
      </c>
      <c r="C323" s="43">
        <f>IF(YEAR(Таблица1[[#This Row],[Дата]])=2023,MONTH(Таблица1[[#This Row],[Дата]]),0)</f>
        <v>5</v>
      </c>
      <c r="D323" t="s">
        <v>361</v>
      </c>
      <c r="E323" t="s">
        <v>108</v>
      </c>
      <c r="F323" t="s">
        <v>362</v>
      </c>
      <c r="G323" t="s">
        <v>110</v>
      </c>
      <c r="H323" t="s">
        <v>111</v>
      </c>
      <c r="I323" t="s">
        <v>112</v>
      </c>
      <c r="J323" t="s">
        <v>112</v>
      </c>
      <c r="K323" t="s">
        <v>112</v>
      </c>
      <c r="L323" t="s">
        <v>175</v>
      </c>
      <c r="M323" t="s">
        <v>176</v>
      </c>
      <c r="N323" t="s">
        <v>112</v>
      </c>
      <c r="O323" t="s">
        <v>112</v>
      </c>
      <c r="P323">
        <v>1</v>
      </c>
      <c r="Q323">
        <v>0</v>
      </c>
      <c r="R323">
        <v>1</v>
      </c>
      <c r="S323">
        <v>33</v>
      </c>
      <c r="T323" t="s">
        <v>166</v>
      </c>
      <c r="U323" t="s">
        <v>152</v>
      </c>
      <c r="V323" t="s">
        <v>153</v>
      </c>
      <c r="W323" t="s">
        <v>177</v>
      </c>
      <c r="X323" t="s">
        <v>119</v>
      </c>
      <c r="Y323" t="s">
        <v>112</v>
      </c>
      <c r="Z323" t="s">
        <v>166</v>
      </c>
      <c r="AA323" t="s">
        <v>152</v>
      </c>
      <c r="AB323" t="s">
        <v>153</v>
      </c>
      <c r="AC323" t="s">
        <v>177</v>
      </c>
      <c r="AD323" t="s">
        <v>119</v>
      </c>
      <c r="AE323" t="s">
        <v>112</v>
      </c>
      <c r="AF323" t="s">
        <v>121</v>
      </c>
      <c r="AG323" t="s">
        <v>122</v>
      </c>
      <c r="AH323">
        <v>3691146.38</v>
      </c>
      <c r="AI323" t="s">
        <v>166</v>
      </c>
      <c r="AJ323" t="s">
        <v>152</v>
      </c>
      <c r="AK323" t="s">
        <v>153</v>
      </c>
      <c r="AL323" t="s">
        <v>177</v>
      </c>
      <c r="AM323" t="s">
        <v>119</v>
      </c>
      <c r="AN323" t="s">
        <v>112</v>
      </c>
      <c r="AO323" t="s">
        <v>121</v>
      </c>
      <c r="AP323" t="s">
        <v>122</v>
      </c>
      <c r="AQ323" t="s">
        <v>122</v>
      </c>
      <c r="AR323" t="s">
        <v>124</v>
      </c>
      <c r="AS323" t="s">
        <v>125</v>
      </c>
      <c r="AT323">
        <v>2</v>
      </c>
      <c r="AU323" t="s">
        <v>106</v>
      </c>
      <c r="AV323" t="s">
        <v>155</v>
      </c>
      <c r="AW323" t="s">
        <v>156</v>
      </c>
      <c r="AX323">
        <v>1</v>
      </c>
      <c r="AY323" t="s">
        <v>129</v>
      </c>
      <c r="AZ323">
        <v>46320.959999999999</v>
      </c>
      <c r="BA323">
        <v>3443658</v>
      </c>
      <c r="BB323">
        <v>53755.39</v>
      </c>
      <c r="BC323">
        <v>74.343400000000003</v>
      </c>
      <c r="BD323" t="s">
        <v>130</v>
      </c>
      <c r="BE323" t="s">
        <v>112</v>
      </c>
      <c r="BF323" t="s">
        <v>157</v>
      </c>
      <c r="BG323" t="s">
        <v>133</v>
      </c>
      <c r="BH323" t="s">
        <v>134</v>
      </c>
      <c r="BI323" t="s">
        <v>112</v>
      </c>
      <c r="BJ323" t="s">
        <v>178</v>
      </c>
      <c r="BK323" t="s">
        <v>112</v>
      </c>
      <c r="BL323" t="s">
        <v>125</v>
      </c>
      <c r="BM323" t="s">
        <v>179</v>
      </c>
      <c r="BN323" t="s">
        <v>180</v>
      </c>
      <c r="BO323" t="s">
        <v>181</v>
      </c>
      <c r="BP323">
        <v>1</v>
      </c>
      <c r="BQ323" t="s">
        <v>258</v>
      </c>
      <c r="BR323" s="45">
        <f>ISNUMBER(SEARCH($BR$1,Таблица1[[#This Row],[31_1 Описание и характеристика товара]]))*1</f>
        <v>1</v>
      </c>
      <c r="BT323" t="s">
        <v>150</v>
      </c>
      <c r="BU323">
        <v>33</v>
      </c>
      <c r="BV323">
        <v>1</v>
      </c>
      <c r="BW323">
        <v>0</v>
      </c>
      <c r="BY323">
        <v>0</v>
      </c>
      <c r="CA323" t="s">
        <v>106</v>
      </c>
      <c r="CB323" t="s">
        <v>142</v>
      </c>
      <c r="CC323" t="s">
        <v>112</v>
      </c>
      <c r="CD323" t="s">
        <v>112</v>
      </c>
      <c r="CE323" t="s">
        <v>121</v>
      </c>
      <c r="CF323">
        <v>17302.490000000002</v>
      </c>
      <c r="CG323" t="s">
        <v>144</v>
      </c>
      <c r="CH323">
        <v>4000000</v>
      </c>
      <c r="CI323">
        <v>17302.490000000002</v>
      </c>
      <c r="CJ323">
        <v>0</v>
      </c>
      <c r="CK323" t="s">
        <v>112</v>
      </c>
      <c r="CL323" t="s">
        <v>112</v>
      </c>
      <c r="CM323">
        <v>46320.959999999999</v>
      </c>
      <c r="CN323">
        <v>3443658</v>
      </c>
      <c r="CO323">
        <v>0</v>
      </c>
      <c r="CP323">
        <v>1</v>
      </c>
      <c r="CQ323">
        <v>3691146.38</v>
      </c>
      <c r="CR323">
        <v>53755.39</v>
      </c>
      <c r="CS323" t="s">
        <v>145</v>
      </c>
      <c r="CT323">
        <v>53755.375932000003</v>
      </c>
      <c r="CU323">
        <v>3.1067999999999998</v>
      </c>
      <c r="CV323">
        <v>941</v>
      </c>
      <c r="CW323" t="s">
        <v>183</v>
      </c>
      <c r="CX323" t="s">
        <v>190</v>
      </c>
      <c r="CY323">
        <v>298</v>
      </c>
    </row>
    <row r="324" spans="1:103" x14ac:dyDescent="0.25">
      <c r="A324" t="s">
        <v>106</v>
      </c>
      <c r="B324" s="38">
        <v>45076</v>
      </c>
      <c r="C324" s="43">
        <f>IF(YEAR(Таблица1[[#This Row],[Дата]])=2023,MONTH(Таблица1[[#This Row],[Дата]]),0)</f>
        <v>5</v>
      </c>
      <c r="D324" t="s">
        <v>355</v>
      </c>
      <c r="E324" t="s">
        <v>108</v>
      </c>
      <c r="F324" t="s">
        <v>356</v>
      </c>
      <c r="G324" t="s">
        <v>110</v>
      </c>
      <c r="H324" t="s">
        <v>111</v>
      </c>
      <c r="I324" t="s">
        <v>112</v>
      </c>
      <c r="J324" t="s">
        <v>112</v>
      </c>
      <c r="K324" t="s">
        <v>112</v>
      </c>
      <c r="L324" t="s">
        <v>175</v>
      </c>
      <c r="M324" t="s">
        <v>176</v>
      </c>
      <c r="N324" t="s">
        <v>112</v>
      </c>
      <c r="O324" t="s">
        <v>112</v>
      </c>
      <c r="P324">
        <v>1</v>
      </c>
      <c r="Q324">
        <v>0</v>
      </c>
      <c r="R324">
        <v>1</v>
      </c>
      <c r="S324">
        <v>33</v>
      </c>
      <c r="T324" t="s">
        <v>166</v>
      </c>
      <c r="U324" t="s">
        <v>152</v>
      </c>
      <c r="V324" t="s">
        <v>153</v>
      </c>
      <c r="W324" t="s">
        <v>177</v>
      </c>
      <c r="X324" t="s">
        <v>119</v>
      </c>
      <c r="Y324" t="s">
        <v>112</v>
      </c>
      <c r="Z324" t="s">
        <v>166</v>
      </c>
      <c r="AA324" t="s">
        <v>152</v>
      </c>
      <c r="AB324" t="s">
        <v>153</v>
      </c>
      <c r="AC324" t="s">
        <v>177</v>
      </c>
      <c r="AD324" t="s">
        <v>119</v>
      </c>
      <c r="AE324" t="s">
        <v>112</v>
      </c>
      <c r="AF324" t="s">
        <v>121</v>
      </c>
      <c r="AG324" t="s">
        <v>122</v>
      </c>
      <c r="AH324">
        <v>3457785.42</v>
      </c>
      <c r="AI324" t="s">
        <v>166</v>
      </c>
      <c r="AJ324" t="s">
        <v>152</v>
      </c>
      <c r="AK324" t="s">
        <v>153</v>
      </c>
      <c r="AL324" t="s">
        <v>177</v>
      </c>
      <c r="AM324" t="s">
        <v>119</v>
      </c>
      <c r="AN324" t="s">
        <v>112</v>
      </c>
      <c r="AO324" t="s">
        <v>121</v>
      </c>
      <c r="AP324" t="s">
        <v>122</v>
      </c>
      <c r="AQ324" t="s">
        <v>122</v>
      </c>
      <c r="AR324" t="s">
        <v>124</v>
      </c>
      <c r="AS324" t="s">
        <v>125</v>
      </c>
      <c r="AT324">
        <v>2</v>
      </c>
      <c r="AU324" t="s">
        <v>106</v>
      </c>
      <c r="AV324" t="s">
        <v>155</v>
      </c>
      <c r="AW324" t="s">
        <v>156</v>
      </c>
      <c r="AX324">
        <v>1</v>
      </c>
      <c r="AY324" t="s">
        <v>129</v>
      </c>
      <c r="AZ324">
        <v>43182</v>
      </c>
      <c r="BA324">
        <v>3210297</v>
      </c>
      <c r="BB324">
        <v>50356.88</v>
      </c>
      <c r="BC324">
        <v>74.343400000000003</v>
      </c>
      <c r="BD324" t="s">
        <v>130</v>
      </c>
      <c r="BE324" t="s">
        <v>112</v>
      </c>
      <c r="BF324" t="s">
        <v>157</v>
      </c>
      <c r="BG324" t="s">
        <v>133</v>
      </c>
      <c r="BH324" t="s">
        <v>134</v>
      </c>
      <c r="BI324" t="s">
        <v>112</v>
      </c>
      <c r="BJ324" t="s">
        <v>178</v>
      </c>
      <c r="BK324" t="s">
        <v>112</v>
      </c>
      <c r="BL324" t="s">
        <v>125</v>
      </c>
      <c r="BM324" t="s">
        <v>179</v>
      </c>
      <c r="BN324" t="s">
        <v>180</v>
      </c>
      <c r="BO324" t="s">
        <v>181</v>
      </c>
      <c r="BP324">
        <v>1</v>
      </c>
      <c r="BQ324" t="s">
        <v>199</v>
      </c>
      <c r="BR324" s="45">
        <f>ISNUMBER(SEARCH($BR$1,Таблица1[[#This Row],[31_1 Описание и характеристика товара]]))*1</f>
        <v>1</v>
      </c>
      <c r="BT324" t="s">
        <v>150</v>
      </c>
      <c r="BU324">
        <v>33</v>
      </c>
      <c r="BV324">
        <v>1</v>
      </c>
      <c r="BW324">
        <v>0</v>
      </c>
      <c r="BY324">
        <v>0</v>
      </c>
      <c r="CA324" t="s">
        <v>106</v>
      </c>
      <c r="CB324" t="s">
        <v>142</v>
      </c>
      <c r="CC324" t="s">
        <v>112</v>
      </c>
      <c r="CD324" t="s">
        <v>112</v>
      </c>
      <c r="CE324" t="s">
        <v>121</v>
      </c>
      <c r="CF324">
        <v>16619.12</v>
      </c>
      <c r="CG324" t="s">
        <v>144</v>
      </c>
      <c r="CH324">
        <v>4000000</v>
      </c>
      <c r="CI324">
        <v>16597.52</v>
      </c>
      <c r="CJ324">
        <v>0</v>
      </c>
      <c r="CK324" t="s">
        <v>112</v>
      </c>
      <c r="CL324" t="s">
        <v>112</v>
      </c>
      <c r="CM324">
        <v>43182</v>
      </c>
      <c r="CN324">
        <v>3210297</v>
      </c>
      <c r="CO324">
        <v>0</v>
      </c>
      <c r="CP324">
        <v>1</v>
      </c>
      <c r="CQ324">
        <v>3457785.42</v>
      </c>
      <c r="CR324">
        <v>50356.88</v>
      </c>
      <c r="CS324" t="s">
        <v>145</v>
      </c>
      <c r="CT324">
        <v>50356.875679999997</v>
      </c>
      <c r="CU324">
        <v>3.0339999999999998</v>
      </c>
      <c r="CV324">
        <v>941</v>
      </c>
      <c r="CW324" t="s">
        <v>183</v>
      </c>
      <c r="CX324" t="s">
        <v>190</v>
      </c>
      <c r="CY324">
        <v>300</v>
      </c>
    </row>
    <row r="325" spans="1:103" x14ac:dyDescent="0.25">
      <c r="A325" t="s">
        <v>106</v>
      </c>
      <c r="B325" s="38">
        <v>45056</v>
      </c>
      <c r="C325" s="43">
        <f>IF(YEAR(Таблица1[[#This Row],[Дата]])=2023,MONTH(Таблица1[[#This Row],[Дата]]),0)</f>
        <v>5</v>
      </c>
      <c r="D325" t="s">
        <v>203</v>
      </c>
      <c r="E325" t="s">
        <v>108</v>
      </c>
      <c r="F325" t="s">
        <v>204</v>
      </c>
      <c r="G325" t="s">
        <v>110</v>
      </c>
      <c r="H325" t="s">
        <v>111</v>
      </c>
      <c r="I325" t="s">
        <v>112</v>
      </c>
      <c r="J325" t="s">
        <v>112</v>
      </c>
      <c r="K325" t="s">
        <v>112</v>
      </c>
      <c r="L325" t="s">
        <v>150</v>
      </c>
      <c r="M325" t="s">
        <v>151</v>
      </c>
      <c r="N325" t="s">
        <v>112</v>
      </c>
      <c r="O325" t="s">
        <v>112</v>
      </c>
      <c r="P325">
        <v>1</v>
      </c>
      <c r="R325">
        <v>1</v>
      </c>
      <c r="S325">
        <v>33</v>
      </c>
      <c r="T325" t="s">
        <v>112</v>
      </c>
      <c r="U325" t="s">
        <v>152</v>
      </c>
      <c r="V325" t="s">
        <v>153</v>
      </c>
      <c r="W325" t="s">
        <v>154</v>
      </c>
      <c r="X325" t="s">
        <v>119</v>
      </c>
      <c r="Y325" t="s">
        <v>112</v>
      </c>
      <c r="Z325" t="s">
        <v>112</v>
      </c>
      <c r="AA325" t="s">
        <v>152</v>
      </c>
      <c r="AB325" t="s">
        <v>153</v>
      </c>
      <c r="AC325" t="s">
        <v>154</v>
      </c>
      <c r="AD325" t="s">
        <v>119</v>
      </c>
      <c r="AE325" t="s">
        <v>112</v>
      </c>
      <c r="AF325" t="s">
        <v>121</v>
      </c>
      <c r="AG325" t="s">
        <v>122</v>
      </c>
      <c r="AH325">
        <v>4561469.43</v>
      </c>
      <c r="AI325" t="s">
        <v>112</v>
      </c>
      <c r="AJ325" t="s">
        <v>152</v>
      </c>
      <c r="AK325" t="s">
        <v>153</v>
      </c>
      <c r="AL325" t="s">
        <v>154</v>
      </c>
      <c r="AM325" t="s">
        <v>119</v>
      </c>
      <c r="AN325" t="s">
        <v>112</v>
      </c>
      <c r="AO325" t="s">
        <v>121</v>
      </c>
      <c r="AP325" t="s">
        <v>122</v>
      </c>
      <c r="AQ325" t="s">
        <v>122</v>
      </c>
      <c r="AR325" t="s">
        <v>124</v>
      </c>
      <c r="AS325" t="s">
        <v>125</v>
      </c>
      <c r="AT325">
        <v>2</v>
      </c>
      <c r="AU325" t="s">
        <v>126</v>
      </c>
      <c r="AV325" t="s">
        <v>155</v>
      </c>
      <c r="AW325" t="s">
        <v>156</v>
      </c>
      <c r="AY325" t="s">
        <v>129</v>
      </c>
      <c r="AZ325">
        <v>42063.12</v>
      </c>
      <c r="BC325">
        <v>99.048000000000002</v>
      </c>
      <c r="BD325" t="s">
        <v>112</v>
      </c>
      <c r="BE325" t="s">
        <v>112</v>
      </c>
      <c r="BF325" t="s">
        <v>157</v>
      </c>
      <c r="BG325" t="s">
        <v>133</v>
      </c>
      <c r="BH325" t="s">
        <v>134</v>
      </c>
      <c r="BI325" t="s">
        <v>112</v>
      </c>
      <c r="BJ325" t="s">
        <v>112</v>
      </c>
      <c r="BK325" t="s">
        <v>112</v>
      </c>
      <c r="BL325" t="s">
        <v>158</v>
      </c>
      <c r="BM325" t="s">
        <v>159</v>
      </c>
      <c r="BN325" t="s">
        <v>160</v>
      </c>
      <c r="BO325" t="s">
        <v>161</v>
      </c>
      <c r="BQ325" t="s">
        <v>205</v>
      </c>
      <c r="BR325" s="45">
        <f>ISNUMBER(SEARCH($BR$1,Таблица1[[#This Row],[31_1 Описание и характеристика товара]]))*1</f>
        <v>1</v>
      </c>
      <c r="BT325" t="s">
        <v>150</v>
      </c>
      <c r="BU325">
        <v>33</v>
      </c>
      <c r="BV325">
        <v>0</v>
      </c>
      <c r="BW325">
        <v>0</v>
      </c>
      <c r="BY325">
        <v>0</v>
      </c>
      <c r="CA325" t="s">
        <v>106</v>
      </c>
      <c r="CB325" t="s">
        <v>142</v>
      </c>
      <c r="CC325" t="s">
        <v>112</v>
      </c>
      <c r="CD325" t="s">
        <v>112</v>
      </c>
      <c r="CE325" t="s">
        <v>121</v>
      </c>
      <c r="CF325">
        <v>16312.74</v>
      </c>
      <c r="CG325" t="s">
        <v>144</v>
      </c>
      <c r="CH325">
        <v>4000000</v>
      </c>
      <c r="CI325">
        <v>16143.54</v>
      </c>
      <c r="CJ325">
        <v>0</v>
      </c>
      <c r="CK325" t="s">
        <v>112</v>
      </c>
      <c r="CL325" t="s">
        <v>112</v>
      </c>
      <c r="CM325">
        <v>42063.12</v>
      </c>
      <c r="CO325">
        <v>0</v>
      </c>
      <c r="CP325">
        <v>1</v>
      </c>
      <c r="CQ325">
        <v>4561469.43</v>
      </c>
      <c r="CR325">
        <v>50455.61</v>
      </c>
      <c r="CS325" t="s">
        <v>145</v>
      </c>
      <c r="CT325">
        <v>50529.280200000001</v>
      </c>
      <c r="CU325">
        <v>3.13</v>
      </c>
      <c r="CV325">
        <v>45</v>
      </c>
      <c r="CX325" t="s">
        <v>206</v>
      </c>
      <c r="CY325">
        <v>182</v>
      </c>
    </row>
    <row r="326" spans="1:103" x14ac:dyDescent="0.25">
      <c r="A326" t="s">
        <v>106</v>
      </c>
      <c r="B326" s="38">
        <v>44758</v>
      </c>
      <c r="C326" s="43">
        <f>IF(YEAR(Таблица1[[#This Row],[Дата]])=2023,MONTH(Таблица1[[#This Row],[Дата]]),0)</f>
        <v>0</v>
      </c>
      <c r="D326" t="s">
        <v>242</v>
      </c>
      <c r="E326" t="s">
        <v>108</v>
      </c>
      <c r="F326" t="s">
        <v>243</v>
      </c>
      <c r="G326" t="s">
        <v>110</v>
      </c>
      <c r="H326" t="s">
        <v>111</v>
      </c>
      <c r="I326" t="s">
        <v>112</v>
      </c>
      <c r="J326" t="s">
        <v>112</v>
      </c>
      <c r="K326" t="s">
        <v>112</v>
      </c>
      <c r="L326" t="s">
        <v>150</v>
      </c>
      <c r="M326" t="s">
        <v>151</v>
      </c>
      <c r="N326" t="s">
        <v>112</v>
      </c>
      <c r="O326" t="s">
        <v>112</v>
      </c>
      <c r="P326">
        <v>1</v>
      </c>
      <c r="R326">
        <v>1</v>
      </c>
      <c r="S326">
        <v>33</v>
      </c>
      <c r="T326" t="s">
        <v>112</v>
      </c>
      <c r="U326" t="s">
        <v>152</v>
      </c>
      <c r="V326" t="s">
        <v>153</v>
      </c>
      <c r="W326" t="s">
        <v>154</v>
      </c>
      <c r="X326" t="s">
        <v>119</v>
      </c>
      <c r="Y326" t="s">
        <v>112</v>
      </c>
      <c r="Z326" t="s">
        <v>112</v>
      </c>
      <c r="AA326" t="s">
        <v>152</v>
      </c>
      <c r="AB326" t="s">
        <v>153</v>
      </c>
      <c r="AC326" t="s">
        <v>154</v>
      </c>
      <c r="AD326" t="s">
        <v>119</v>
      </c>
      <c r="AE326" t="s">
        <v>112</v>
      </c>
      <c r="AF326" t="s">
        <v>121</v>
      </c>
      <c r="AG326" t="s">
        <v>122</v>
      </c>
      <c r="AH326">
        <v>4887721.66</v>
      </c>
      <c r="AI326" t="s">
        <v>112</v>
      </c>
      <c r="AJ326" t="s">
        <v>152</v>
      </c>
      <c r="AK326" t="s">
        <v>153</v>
      </c>
      <c r="AL326" t="s">
        <v>154</v>
      </c>
      <c r="AM326" t="s">
        <v>119</v>
      </c>
      <c r="AN326" t="s">
        <v>112</v>
      </c>
      <c r="AO326" t="s">
        <v>121</v>
      </c>
      <c r="AP326" t="s">
        <v>122</v>
      </c>
      <c r="AQ326" t="s">
        <v>122</v>
      </c>
      <c r="AR326" t="s">
        <v>124</v>
      </c>
      <c r="AS326" t="s">
        <v>125</v>
      </c>
      <c r="AT326">
        <v>2</v>
      </c>
      <c r="AU326" t="s">
        <v>126</v>
      </c>
      <c r="AV326" t="s">
        <v>155</v>
      </c>
      <c r="AW326" t="s">
        <v>156</v>
      </c>
      <c r="AY326" t="s">
        <v>129</v>
      </c>
      <c r="AZ326">
        <v>45357</v>
      </c>
      <c r="BC326">
        <v>99.048000000000002</v>
      </c>
      <c r="BD326" t="s">
        <v>112</v>
      </c>
      <c r="BE326" t="s">
        <v>112</v>
      </c>
      <c r="BF326" t="s">
        <v>157</v>
      </c>
      <c r="BG326" t="s">
        <v>133</v>
      </c>
      <c r="BH326" t="s">
        <v>134</v>
      </c>
      <c r="BI326" t="s">
        <v>112</v>
      </c>
      <c r="BJ326" t="s">
        <v>112</v>
      </c>
      <c r="BK326" t="s">
        <v>112</v>
      </c>
      <c r="BL326" t="s">
        <v>158</v>
      </c>
      <c r="BM326" t="s">
        <v>159</v>
      </c>
      <c r="BN326" t="s">
        <v>212</v>
      </c>
      <c r="BO326" t="s">
        <v>161</v>
      </c>
      <c r="BQ326" t="s">
        <v>205</v>
      </c>
      <c r="BR326" s="45">
        <f>ISNUMBER(SEARCH($BR$1,Таблица1[[#This Row],[31_1 Описание и характеристика товара]]))*1</f>
        <v>1</v>
      </c>
      <c r="BT326" t="s">
        <v>150</v>
      </c>
      <c r="BU326">
        <v>33</v>
      </c>
      <c r="BV326">
        <v>0</v>
      </c>
      <c r="BW326">
        <v>0</v>
      </c>
      <c r="BY326">
        <v>0</v>
      </c>
      <c r="CA326" t="s">
        <v>106</v>
      </c>
      <c r="CB326" t="s">
        <v>142</v>
      </c>
      <c r="CC326" t="s">
        <v>112</v>
      </c>
      <c r="CD326" t="s">
        <v>112</v>
      </c>
      <c r="CE326" t="s">
        <v>121</v>
      </c>
      <c r="CF326">
        <v>16757.52</v>
      </c>
      <c r="CG326" t="s">
        <v>144</v>
      </c>
      <c r="CH326">
        <v>4000000</v>
      </c>
      <c r="CI326">
        <v>16685.52</v>
      </c>
      <c r="CJ326">
        <v>0</v>
      </c>
      <c r="CK326" t="s">
        <v>112</v>
      </c>
      <c r="CL326" t="s">
        <v>112</v>
      </c>
      <c r="CM326">
        <v>45357</v>
      </c>
      <c r="CO326">
        <v>0</v>
      </c>
      <c r="CP326">
        <v>1</v>
      </c>
      <c r="CQ326">
        <v>4887721.66</v>
      </c>
      <c r="CR326">
        <v>54064.37</v>
      </c>
      <c r="CS326" t="s">
        <v>145</v>
      </c>
      <c r="CT326">
        <v>54061.084800000004</v>
      </c>
      <c r="CU326">
        <v>3.24</v>
      </c>
      <c r="CV326">
        <v>45</v>
      </c>
      <c r="CX326" t="s">
        <v>206</v>
      </c>
      <c r="CY326">
        <v>313</v>
      </c>
    </row>
    <row r="327" spans="1:103" x14ac:dyDescent="0.25">
      <c r="A327" t="s">
        <v>106</v>
      </c>
      <c r="B327" s="38">
        <v>45261</v>
      </c>
      <c r="C327" s="43">
        <f>IF(YEAR(Таблица1[[#This Row],[Дата]])=2023,MONTH(Таблица1[[#This Row],[Дата]]),0)</f>
        <v>12</v>
      </c>
      <c r="D327" t="s">
        <v>449</v>
      </c>
      <c r="E327" t="s">
        <v>108</v>
      </c>
      <c r="F327" t="s">
        <v>450</v>
      </c>
      <c r="G327" t="s">
        <v>110</v>
      </c>
      <c r="H327" t="s">
        <v>111</v>
      </c>
      <c r="I327" t="s">
        <v>112</v>
      </c>
      <c r="J327" t="s">
        <v>112</v>
      </c>
      <c r="K327" t="s">
        <v>112</v>
      </c>
      <c r="L327" t="s">
        <v>150</v>
      </c>
      <c r="M327" t="s">
        <v>151</v>
      </c>
      <c r="N327" t="s">
        <v>112</v>
      </c>
      <c r="O327" t="s">
        <v>112</v>
      </c>
      <c r="P327">
        <v>1</v>
      </c>
      <c r="R327">
        <v>1</v>
      </c>
      <c r="S327">
        <v>33</v>
      </c>
      <c r="T327" t="s">
        <v>112</v>
      </c>
      <c r="U327" t="s">
        <v>152</v>
      </c>
      <c r="V327" t="s">
        <v>153</v>
      </c>
      <c r="W327" t="s">
        <v>154</v>
      </c>
      <c r="X327" t="s">
        <v>119</v>
      </c>
      <c r="Y327" t="s">
        <v>112</v>
      </c>
      <c r="Z327" t="s">
        <v>112</v>
      </c>
      <c r="AA327" t="s">
        <v>152</v>
      </c>
      <c r="AB327" t="s">
        <v>153</v>
      </c>
      <c r="AC327" t="s">
        <v>154</v>
      </c>
      <c r="AD327" t="s">
        <v>119</v>
      </c>
      <c r="AE327" t="s">
        <v>112</v>
      </c>
      <c r="AF327" t="s">
        <v>121</v>
      </c>
      <c r="AG327" t="s">
        <v>122</v>
      </c>
      <c r="AH327">
        <v>4914266.5199999996</v>
      </c>
      <c r="AI327" t="s">
        <v>112</v>
      </c>
      <c r="AJ327" t="s">
        <v>152</v>
      </c>
      <c r="AK327" t="s">
        <v>153</v>
      </c>
      <c r="AL327" t="s">
        <v>154</v>
      </c>
      <c r="AM327" t="s">
        <v>119</v>
      </c>
      <c r="AN327" t="s">
        <v>112</v>
      </c>
      <c r="AO327" t="s">
        <v>121</v>
      </c>
      <c r="AP327" t="s">
        <v>122</v>
      </c>
      <c r="AQ327" t="s">
        <v>122</v>
      </c>
      <c r="AR327" t="s">
        <v>124</v>
      </c>
      <c r="AS327" t="s">
        <v>125</v>
      </c>
      <c r="AT327">
        <v>2</v>
      </c>
      <c r="AU327" t="s">
        <v>126</v>
      </c>
      <c r="AV327" t="s">
        <v>155</v>
      </c>
      <c r="AW327" t="s">
        <v>156</v>
      </c>
      <c r="AY327" t="s">
        <v>129</v>
      </c>
      <c r="AZ327">
        <v>45625</v>
      </c>
      <c r="BC327">
        <v>99.048000000000002</v>
      </c>
      <c r="BD327" t="s">
        <v>112</v>
      </c>
      <c r="BE327" t="s">
        <v>112</v>
      </c>
      <c r="BF327" t="s">
        <v>157</v>
      </c>
      <c r="BG327" t="s">
        <v>133</v>
      </c>
      <c r="BH327" t="s">
        <v>134</v>
      </c>
      <c r="BI327" t="s">
        <v>112</v>
      </c>
      <c r="BJ327" t="s">
        <v>112</v>
      </c>
      <c r="BK327" t="s">
        <v>112</v>
      </c>
      <c r="BL327" t="s">
        <v>158</v>
      </c>
      <c r="BM327" t="s">
        <v>159</v>
      </c>
      <c r="BN327" t="s">
        <v>160</v>
      </c>
      <c r="BO327" t="s">
        <v>161</v>
      </c>
      <c r="BQ327" t="s">
        <v>205</v>
      </c>
      <c r="BR327" s="45">
        <f>ISNUMBER(SEARCH($BR$1,Таблица1[[#This Row],[31_1 Описание и характеристика товара]]))*1</f>
        <v>1</v>
      </c>
      <c r="BT327" t="s">
        <v>150</v>
      </c>
      <c r="BU327">
        <v>33</v>
      </c>
      <c r="BV327">
        <v>0</v>
      </c>
      <c r="BW327">
        <v>0</v>
      </c>
      <c r="BY327">
        <v>0</v>
      </c>
      <c r="CA327" t="s">
        <v>106</v>
      </c>
      <c r="CB327" t="s">
        <v>142</v>
      </c>
      <c r="CC327" t="s">
        <v>112</v>
      </c>
      <c r="CD327" t="s">
        <v>112</v>
      </c>
      <c r="CE327" t="s">
        <v>121</v>
      </c>
      <c r="CF327">
        <v>13393.32</v>
      </c>
      <c r="CG327" t="s">
        <v>144</v>
      </c>
      <c r="CH327">
        <v>4000000</v>
      </c>
      <c r="CI327">
        <v>12906.12</v>
      </c>
      <c r="CJ327">
        <v>0</v>
      </c>
      <c r="CK327" t="s">
        <v>112</v>
      </c>
      <c r="CL327" t="s">
        <v>112</v>
      </c>
      <c r="CM327">
        <v>45625</v>
      </c>
      <c r="CO327">
        <v>0</v>
      </c>
      <c r="CP327">
        <v>1</v>
      </c>
      <c r="CQ327">
        <v>4914266.5199999996</v>
      </c>
      <c r="CR327">
        <v>54357.99</v>
      </c>
      <c r="CS327" t="s">
        <v>145</v>
      </c>
      <c r="CT327">
        <v>54334.765200000002</v>
      </c>
      <c r="CU327">
        <v>4.21</v>
      </c>
      <c r="CV327">
        <v>45</v>
      </c>
      <c r="CX327" t="s">
        <v>233</v>
      </c>
      <c r="CY327">
        <v>313</v>
      </c>
    </row>
    <row r="328" spans="1:103" x14ac:dyDescent="0.25">
      <c r="A328" s="8" t="s">
        <v>106</v>
      </c>
      <c r="B328" s="38">
        <v>45255</v>
      </c>
      <c r="C328" s="43">
        <f>IF(YEAR(Таблица1[[#This Row],[Дата]])=2023,MONTH(Таблица1[[#This Row],[Дата]]),0)</f>
        <v>11</v>
      </c>
      <c r="D328" s="8" t="s">
        <v>2996</v>
      </c>
      <c r="E328" s="8" t="s">
        <v>108</v>
      </c>
      <c r="F328" s="8" t="s">
        <v>2997</v>
      </c>
      <c r="G328" t="s">
        <v>110</v>
      </c>
      <c r="H328" s="8" t="s">
        <v>111</v>
      </c>
      <c r="I328" s="8" t="s">
        <v>112</v>
      </c>
      <c r="J328" s="8" t="s">
        <v>112</v>
      </c>
      <c r="K328" s="8" t="s">
        <v>112</v>
      </c>
      <c r="L328" s="8" t="s">
        <v>2237</v>
      </c>
      <c r="M328" s="8" t="s">
        <v>2238</v>
      </c>
      <c r="N328" s="8" t="s">
        <v>112</v>
      </c>
      <c r="O328" s="8" t="s">
        <v>112</v>
      </c>
      <c r="P328">
        <v>11</v>
      </c>
      <c r="Q328">
        <v>0</v>
      </c>
      <c r="R328">
        <v>29</v>
      </c>
      <c r="S328">
        <v>1029</v>
      </c>
      <c r="T328" s="8" t="s">
        <v>2239</v>
      </c>
      <c r="U328" s="8" t="s">
        <v>2240</v>
      </c>
      <c r="V328" s="8" t="s">
        <v>2241</v>
      </c>
      <c r="W328" s="8" t="s">
        <v>2242</v>
      </c>
      <c r="X328" s="8" t="s">
        <v>2243</v>
      </c>
      <c r="Y328" s="8" t="s">
        <v>2244</v>
      </c>
      <c r="Z328" s="8" t="s">
        <v>2245</v>
      </c>
      <c r="AA328" s="8" t="s">
        <v>2246</v>
      </c>
      <c r="AB328" s="8" t="s">
        <v>2247</v>
      </c>
      <c r="AC328" s="8" t="s">
        <v>2248</v>
      </c>
      <c r="AD328" s="8" t="s">
        <v>2249</v>
      </c>
      <c r="AE328" s="8" t="s">
        <v>2250</v>
      </c>
      <c r="AF328" s="8" t="s">
        <v>2142</v>
      </c>
      <c r="AG328" s="8" t="s">
        <v>2143</v>
      </c>
      <c r="AH328">
        <v>7589697.04</v>
      </c>
      <c r="AI328" s="8" t="s">
        <v>2245</v>
      </c>
      <c r="AJ328" s="8" t="s">
        <v>2246</v>
      </c>
      <c r="AK328" s="8" t="s">
        <v>2247</v>
      </c>
      <c r="AL328" s="8" t="s">
        <v>2248</v>
      </c>
      <c r="AM328" s="8" t="s">
        <v>2249</v>
      </c>
      <c r="AN328" s="8" t="s">
        <v>2250</v>
      </c>
      <c r="AO328" s="8" t="s">
        <v>2142</v>
      </c>
      <c r="AP328" s="8" t="s">
        <v>2143</v>
      </c>
      <c r="AQ328" s="8" t="s">
        <v>2143</v>
      </c>
      <c r="AR328" s="8" t="s">
        <v>124</v>
      </c>
      <c r="AS328" s="8" t="s">
        <v>125</v>
      </c>
      <c r="AT328">
        <v>1</v>
      </c>
      <c r="AU328" s="8" t="s">
        <v>106</v>
      </c>
      <c r="AV328" s="8" t="s">
        <v>2251</v>
      </c>
      <c r="AW328" s="8" t="s">
        <v>2252</v>
      </c>
      <c r="AX328">
        <v>0</v>
      </c>
      <c r="AY328" s="8" t="s">
        <v>2253</v>
      </c>
      <c r="AZ328">
        <v>738132.94</v>
      </c>
      <c r="BA328">
        <v>7292023</v>
      </c>
      <c r="BB328">
        <v>109989.72</v>
      </c>
      <c r="BC328">
        <v>98.790099999999896</v>
      </c>
      <c r="BD328" s="8" t="s">
        <v>130</v>
      </c>
      <c r="BE328" s="8" t="s">
        <v>112</v>
      </c>
      <c r="BF328" s="8" t="s">
        <v>2998</v>
      </c>
      <c r="BG328" s="8" t="s">
        <v>133</v>
      </c>
      <c r="BH328" s="8" t="s">
        <v>167</v>
      </c>
      <c r="BI328" s="8" t="s">
        <v>2255</v>
      </c>
      <c r="BJ328" s="8" t="s">
        <v>112</v>
      </c>
      <c r="BK328" s="8" t="s">
        <v>2256</v>
      </c>
      <c r="BL328" s="8" t="s">
        <v>169</v>
      </c>
      <c r="BM328" s="8" t="s">
        <v>159</v>
      </c>
      <c r="BN328" s="8" t="s">
        <v>160</v>
      </c>
      <c r="BO328" s="8" t="s">
        <v>161</v>
      </c>
      <c r="BP328">
        <v>1</v>
      </c>
      <c r="BQ328" s="8" t="s">
        <v>2257</v>
      </c>
      <c r="BR328" s="45">
        <f>ISNUMBER(SEARCH($BR$1,Таблица1[[#This Row],[31_1 Описание и характеристика товара]]))*1</f>
        <v>0</v>
      </c>
      <c r="BT328" s="8" t="s">
        <v>2258</v>
      </c>
      <c r="BU328">
        <v>230</v>
      </c>
      <c r="BV328">
        <v>1</v>
      </c>
      <c r="BW328">
        <v>230</v>
      </c>
      <c r="BX328" t="s">
        <v>2147</v>
      </c>
      <c r="BY328">
        <v>0</v>
      </c>
      <c r="CA328" s="8" t="s">
        <v>106</v>
      </c>
      <c r="CB328" s="8" t="s">
        <v>2148</v>
      </c>
      <c r="CC328" s="8" t="s">
        <v>112</v>
      </c>
      <c r="CD328" s="8" t="s">
        <v>112</v>
      </c>
      <c r="CE328" s="8" t="s">
        <v>2142</v>
      </c>
      <c r="CF328">
        <v>6440</v>
      </c>
      <c r="CG328" t="s">
        <v>144</v>
      </c>
      <c r="CH328">
        <v>4000000</v>
      </c>
      <c r="CI328">
        <v>6440</v>
      </c>
      <c r="CJ328">
        <v>0</v>
      </c>
      <c r="CK328" s="8" t="s">
        <v>112</v>
      </c>
      <c r="CL328" s="8" t="s">
        <v>112</v>
      </c>
      <c r="CM328">
        <v>306427.8</v>
      </c>
      <c r="CN328">
        <v>3027203</v>
      </c>
      <c r="CO328">
        <v>0</v>
      </c>
      <c r="CP328">
        <v>1</v>
      </c>
      <c r="CQ328">
        <v>3184923.87</v>
      </c>
      <c r="CR328">
        <v>46155.839999999902</v>
      </c>
      <c r="CS328" s="8" t="s">
        <v>145</v>
      </c>
      <c r="CT328">
        <v>7.1670999999999996</v>
      </c>
      <c r="CX328" t="s">
        <v>2259</v>
      </c>
      <c r="CY328">
        <v>201</v>
      </c>
    </row>
    <row r="329" spans="1:103" x14ac:dyDescent="0.25">
      <c r="A329" t="s">
        <v>106</v>
      </c>
      <c r="B329" s="38">
        <v>45144</v>
      </c>
      <c r="C329" s="43">
        <f>IF(YEAR(Таблица1[[#This Row],[Дата]])=2023,MONTH(Таблица1[[#This Row],[Дата]]),0)</f>
        <v>8</v>
      </c>
      <c r="D329" t="s">
        <v>2016</v>
      </c>
      <c r="E329" t="s">
        <v>108</v>
      </c>
      <c r="F329" t="s">
        <v>2017</v>
      </c>
      <c r="G329" t="s">
        <v>110</v>
      </c>
      <c r="H329" t="s">
        <v>111</v>
      </c>
      <c r="I329" t="s">
        <v>112</v>
      </c>
      <c r="J329" t="s">
        <v>112</v>
      </c>
      <c r="K329" t="s">
        <v>112</v>
      </c>
      <c r="L329" t="s">
        <v>150</v>
      </c>
      <c r="M329" t="s">
        <v>151</v>
      </c>
      <c r="N329" t="s">
        <v>112</v>
      </c>
      <c r="O329" t="s">
        <v>112</v>
      </c>
      <c r="P329">
        <v>1</v>
      </c>
      <c r="R329">
        <v>1</v>
      </c>
      <c r="S329">
        <v>33</v>
      </c>
      <c r="T329" t="s">
        <v>112</v>
      </c>
      <c r="U329" t="s">
        <v>152</v>
      </c>
      <c r="V329" t="s">
        <v>153</v>
      </c>
      <c r="W329" t="s">
        <v>154</v>
      </c>
      <c r="X329" t="s">
        <v>119</v>
      </c>
      <c r="Y329" t="s">
        <v>112</v>
      </c>
      <c r="Z329" t="s">
        <v>112</v>
      </c>
      <c r="AA329" t="s">
        <v>152</v>
      </c>
      <c r="AB329" t="s">
        <v>153</v>
      </c>
      <c r="AC329" t="s">
        <v>154</v>
      </c>
      <c r="AD329" t="s">
        <v>119</v>
      </c>
      <c r="AE329" t="s">
        <v>112</v>
      </c>
      <c r="AF329" t="s">
        <v>121</v>
      </c>
      <c r="AG329" t="s">
        <v>122</v>
      </c>
      <c r="AH329">
        <v>5404682.8200000003</v>
      </c>
      <c r="AI329" t="s">
        <v>112</v>
      </c>
      <c r="AJ329" t="s">
        <v>152</v>
      </c>
      <c r="AK329" t="s">
        <v>153</v>
      </c>
      <c r="AL329" t="s">
        <v>154</v>
      </c>
      <c r="AM329" t="s">
        <v>119</v>
      </c>
      <c r="AN329" t="s">
        <v>112</v>
      </c>
      <c r="AO329" t="s">
        <v>121</v>
      </c>
      <c r="AP329" t="s">
        <v>122</v>
      </c>
      <c r="AQ329" t="s">
        <v>122</v>
      </c>
      <c r="AR329" t="s">
        <v>124</v>
      </c>
      <c r="AS329" t="s">
        <v>125</v>
      </c>
      <c r="AT329">
        <v>2</v>
      </c>
      <c r="AU329" t="s">
        <v>126</v>
      </c>
      <c r="AV329" t="s">
        <v>155</v>
      </c>
      <c r="AW329" t="s">
        <v>156</v>
      </c>
      <c r="AY329" t="s">
        <v>129</v>
      </c>
      <c r="AZ329">
        <v>48154.879999999997</v>
      </c>
      <c r="BC329">
        <v>103.3699</v>
      </c>
      <c r="BD329" t="s">
        <v>112</v>
      </c>
      <c r="BE329" t="s">
        <v>112</v>
      </c>
      <c r="BF329" t="s">
        <v>157</v>
      </c>
      <c r="BG329" t="s">
        <v>133</v>
      </c>
      <c r="BH329" t="s">
        <v>167</v>
      </c>
      <c r="BI329" t="s">
        <v>112</v>
      </c>
      <c r="BJ329" t="s">
        <v>112</v>
      </c>
      <c r="BK329" t="s">
        <v>112</v>
      </c>
      <c r="BL329" t="s">
        <v>169</v>
      </c>
      <c r="BM329" t="s">
        <v>159</v>
      </c>
      <c r="BN329" t="s">
        <v>160</v>
      </c>
      <c r="BO329" t="s">
        <v>161</v>
      </c>
      <c r="BQ329" t="s">
        <v>162</v>
      </c>
      <c r="BR329" s="45">
        <f>ISNUMBER(SEARCH($BR$1,Таблица1[[#This Row],[31_1 Описание и характеристика товара]]))*1</f>
        <v>1</v>
      </c>
      <c r="BT329" t="s">
        <v>150</v>
      </c>
      <c r="BU329">
        <v>33</v>
      </c>
      <c r="CA329" t="s">
        <v>106</v>
      </c>
      <c r="CB329" t="s">
        <v>142</v>
      </c>
      <c r="CC329" t="s">
        <v>112</v>
      </c>
      <c r="CD329" t="s">
        <v>112</v>
      </c>
      <c r="CE329" t="s">
        <v>121</v>
      </c>
      <c r="CF329">
        <v>16523</v>
      </c>
      <c r="CG329" t="s">
        <v>144</v>
      </c>
      <c r="CH329">
        <v>4000000</v>
      </c>
      <c r="CI329">
        <v>16415</v>
      </c>
      <c r="CK329" t="s">
        <v>112</v>
      </c>
      <c r="CL329" t="s">
        <v>112</v>
      </c>
      <c r="CM329">
        <v>48154.879999999997</v>
      </c>
      <c r="CO329">
        <v>0</v>
      </c>
      <c r="CP329">
        <v>1</v>
      </c>
      <c r="CQ329">
        <v>5404682.8200000003</v>
      </c>
      <c r="CR329">
        <v>55939.14</v>
      </c>
      <c r="CS329" t="s">
        <v>145</v>
      </c>
      <c r="CT329">
        <v>55975.15</v>
      </c>
      <c r="CU329">
        <v>3.41</v>
      </c>
      <c r="CV329">
        <v>45</v>
      </c>
      <c r="CX329" t="s">
        <v>163</v>
      </c>
      <c r="CY329">
        <v>205</v>
      </c>
    </row>
    <row r="330" spans="1:103" x14ac:dyDescent="0.25">
      <c r="A330" t="s">
        <v>106</v>
      </c>
      <c r="B330" s="38">
        <v>45100</v>
      </c>
      <c r="C330" s="43">
        <f>IF(YEAR(Таблица1[[#This Row],[Дата]])=2023,MONTH(Таблица1[[#This Row],[Дата]]),0)</f>
        <v>6</v>
      </c>
      <c r="D330" t="s">
        <v>2037</v>
      </c>
      <c r="E330" t="s">
        <v>108</v>
      </c>
      <c r="F330" t="s">
        <v>2038</v>
      </c>
      <c r="G330" t="s">
        <v>110</v>
      </c>
      <c r="H330" t="s">
        <v>111</v>
      </c>
      <c r="I330" t="s">
        <v>112</v>
      </c>
      <c r="J330" t="s">
        <v>112</v>
      </c>
      <c r="K330" t="s">
        <v>112</v>
      </c>
      <c r="L330" t="s">
        <v>150</v>
      </c>
      <c r="M330" t="s">
        <v>151</v>
      </c>
      <c r="N330" t="s">
        <v>112</v>
      </c>
      <c r="O330" t="s">
        <v>112</v>
      </c>
      <c r="P330">
        <v>1</v>
      </c>
      <c r="R330">
        <v>1</v>
      </c>
      <c r="S330">
        <v>33</v>
      </c>
      <c r="T330" t="s">
        <v>112</v>
      </c>
      <c r="U330" t="s">
        <v>152</v>
      </c>
      <c r="V330" t="s">
        <v>153</v>
      </c>
      <c r="W330" t="s">
        <v>154</v>
      </c>
      <c r="X330" t="s">
        <v>119</v>
      </c>
      <c r="Y330" t="s">
        <v>112</v>
      </c>
      <c r="Z330" t="s">
        <v>112</v>
      </c>
      <c r="AA330" t="s">
        <v>152</v>
      </c>
      <c r="AB330" t="s">
        <v>153</v>
      </c>
      <c r="AC330" t="s">
        <v>154</v>
      </c>
      <c r="AD330" t="s">
        <v>119</v>
      </c>
      <c r="AE330" t="s">
        <v>112</v>
      </c>
      <c r="AF330" t="s">
        <v>121</v>
      </c>
      <c r="AG330" t="s">
        <v>122</v>
      </c>
      <c r="AH330">
        <v>4854457.25</v>
      </c>
      <c r="AI330" t="s">
        <v>112</v>
      </c>
      <c r="AJ330" t="s">
        <v>152</v>
      </c>
      <c r="AK330" t="s">
        <v>153</v>
      </c>
      <c r="AL330" t="s">
        <v>154</v>
      </c>
      <c r="AM330" t="s">
        <v>119</v>
      </c>
      <c r="AN330" t="s">
        <v>112</v>
      </c>
      <c r="AO330" t="s">
        <v>121</v>
      </c>
      <c r="AP330" t="s">
        <v>122</v>
      </c>
      <c r="AQ330" t="s">
        <v>122</v>
      </c>
      <c r="AR330" t="s">
        <v>124</v>
      </c>
      <c r="AS330" t="s">
        <v>125</v>
      </c>
      <c r="AT330">
        <v>2</v>
      </c>
      <c r="AU330" t="s">
        <v>126</v>
      </c>
      <c r="AV330" t="s">
        <v>155</v>
      </c>
      <c r="AW330" t="s">
        <v>156</v>
      </c>
      <c r="AY330" t="s">
        <v>129</v>
      </c>
      <c r="AZ330">
        <v>42312</v>
      </c>
      <c r="BC330">
        <v>103.3699</v>
      </c>
      <c r="BD330" t="s">
        <v>112</v>
      </c>
      <c r="BE330" t="s">
        <v>112</v>
      </c>
      <c r="BF330" t="s">
        <v>157</v>
      </c>
      <c r="BG330" t="s">
        <v>133</v>
      </c>
      <c r="BH330" t="s">
        <v>134</v>
      </c>
      <c r="BI330" t="s">
        <v>112</v>
      </c>
      <c r="BJ330" t="s">
        <v>112</v>
      </c>
      <c r="BK330" t="s">
        <v>112</v>
      </c>
      <c r="BL330" t="s">
        <v>169</v>
      </c>
      <c r="BM330" t="s">
        <v>159</v>
      </c>
      <c r="BN330" t="s">
        <v>212</v>
      </c>
      <c r="BO330" t="s">
        <v>161</v>
      </c>
      <c r="BQ330" t="s">
        <v>205</v>
      </c>
      <c r="BR330" s="45">
        <f>ISNUMBER(SEARCH($BR$1,Таблица1[[#This Row],[31_1 Описание и характеристика товара]]))*1</f>
        <v>1</v>
      </c>
      <c r="BT330" t="s">
        <v>150</v>
      </c>
      <c r="BU330">
        <v>33</v>
      </c>
      <c r="BV330">
        <v>0</v>
      </c>
      <c r="BW330">
        <v>0</v>
      </c>
      <c r="BY330">
        <v>0</v>
      </c>
      <c r="CA330" t="s">
        <v>106</v>
      </c>
      <c r="CB330" t="s">
        <v>142</v>
      </c>
      <c r="CC330" t="s">
        <v>112</v>
      </c>
      <c r="CD330" t="s">
        <v>112</v>
      </c>
      <c r="CE330" t="s">
        <v>121</v>
      </c>
      <c r="CF330">
        <v>16705.259999999998</v>
      </c>
      <c r="CG330" t="s">
        <v>144</v>
      </c>
      <c r="CH330">
        <v>4000000</v>
      </c>
      <c r="CI330">
        <v>16705.259999999998</v>
      </c>
      <c r="CJ330">
        <v>0</v>
      </c>
      <c r="CK330" t="s">
        <v>112</v>
      </c>
      <c r="CL330" t="s">
        <v>112</v>
      </c>
      <c r="CM330">
        <v>42312</v>
      </c>
      <c r="CO330">
        <v>0</v>
      </c>
      <c r="CP330">
        <v>1</v>
      </c>
      <c r="CQ330">
        <v>4854457.25</v>
      </c>
      <c r="CR330">
        <v>50244.23</v>
      </c>
      <c r="CS330" t="s">
        <v>145</v>
      </c>
      <c r="CT330">
        <v>50282.832599999994</v>
      </c>
      <c r="CU330">
        <v>3.01</v>
      </c>
      <c r="CV330">
        <v>45</v>
      </c>
      <c r="CX330" t="s">
        <v>233</v>
      </c>
      <c r="CY330">
        <v>205</v>
      </c>
    </row>
    <row r="331" spans="1:103" x14ac:dyDescent="0.25">
      <c r="A331" t="s">
        <v>106</v>
      </c>
      <c r="B331" s="38">
        <v>45006</v>
      </c>
      <c r="C331" s="43">
        <f>IF(YEAR(Таблица1[[#This Row],[Дата]])=2023,MONTH(Таблица1[[#This Row],[Дата]]),0)</f>
        <v>3</v>
      </c>
      <c r="D331" t="s">
        <v>2035</v>
      </c>
      <c r="E331" t="s">
        <v>108</v>
      </c>
      <c r="F331" t="s">
        <v>2036</v>
      </c>
      <c r="G331" t="s">
        <v>110</v>
      </c>
      <c r="H331" t="s">
        <v>111</v>
      </c>
      <c r="I331" t="s">
        <v>112</v>
      </c>
      <c r="J331" t="s">
        <v>112</v>
      </c>
      <c r="K331" t="s">
        <v>112</v>
      </c>
      <c r="L331" t="s">
        <v>150</v>
      </c>
      <c r="M331" t="s">
        <v>151</v>
      </c>
      <c r="N331" t="s">
        <v>112</v>
      </c>
      <c r="O331" t="s">
        <v>112</v>
      </c>
      <c r="P331">
        <v>1</v>
      </c>
      <c r="R331">
        <v>1</v>
      </c>
      <c r="S331">
        <v>33</v>
      </c>
      <c r="T331" t="s">
        <v>112</v>
      </c>
      <c r="U331" t="s">
        <v>152</v>
      </c>
      <c r="V331" t="s">
        <v>153</v>
      </c>
      <c r="W331" t="s">
        <v>154</v>
      </c>
      <c r="X331" t="s">
        <v>119</v>
      </c>
      <c r="Y331" t="s">
        <v>112</v>
      </c>
      <c r="Z331" t="s">
        <v>112</v>
      </c>
      <c r="AA331" t="s">
        <v>152</v>
      </c>
      <c r="AB331" t="s">
        <v>153</v>
      </c>
      <c r="AC331" t="s">
        <v>154</v>
      </c>
      <c r="AD331" t="s">
        <v>119</v>
      </c>
      <c r="AE331" t="s">
        <v>112</v>
      </c>
      <c r="AF331" t="s">
        <v>121</v>
      </c>
      <c r="AG331" t="s">
        <v>122</v>
      </c>
      <c r="AH331">
        <v>5334169.04</v>
      </c>
      <c r="AI331" t="s">
        <v>112</v>
      </c>
      <c r="AJ331" t="s">
        <v>152</v>
      </c>
      <c r="AK331" t="s">
        <v>153</v>
      </c>
      <c r="AL331" t="s">
        <v>154</v>
      </c>
      <c r="AM331" t="s">
        <v>119</v>
      </c>
      <c r="AN331" t="s">
        <v>112</v>
      </c>
      <c r="AO331" t="s">
        <v>121</v>
      </c>
      <c r="AP331" t="s">
        <v>122</v>
      </c>
      <c r="AQ331" t="s">
        <v>122</v>
      </c>
      <c r="AR331" t="s">
        <v>124</v>
      </c>
      <c r="AS331" t="s">
        <v>125</v>
      </c>
      <c r="AT331">
        <v>2</v>
      </c>
      <c r="AU331" t="s">
        <v>126</v>
      </c>
      <c r="AV331" t="s">
        <v>155</v>
      </c>
      <c r="AW331" t="s">
        <v>156</v>
      </c>
      <c r="AY331" t="s">
        <v>129</v>
      </c>
      <c r="AZ331">
        <v>47472.73</v>
      </c>
      <c r="BC331">
        <v>103.3699</v>
      </c>
      <c r="BD331" t="s">
        <v>112</v>
      </c>
      <c r="BE331" t="s">
        <v>112</v>
      </c>
      <c r="BF331" t="s">
        <v>157</v>
      </c>
      <c r="BG331" t="s">
        <v>133</v>
      </c>
      <c r="BH331" t="s">
        <v>134</v>
      </c>
      <c r="BI331" t="s">
        <v>112</v>
      </c>
      <c r="BJ331" t="s">
        <v>112</v>
      </c>
      <c r="BK331" t="s">
        <v>112</v>
      </c>
      <c r="BL331" t="s">
        <v>169</v>
      </c>
      <c r="BM331" t="s">
        <v>159</v>
      </c>
      <c r="BN331" t="s">
        <v>212</v>
      </c>
      <c r="BO331" t="s">
        <v>161</v>
      </c>
      <c r="BQ331" t="s">
        <v>232</v>
      </c>
      <c r="BR331" s="45">
        <f>ISNUMBER(SEARCH($BR$1,Таблица1[[#This Row],[31_1 Описание и характеристика товара]]))*1</f>
        <v>1</v>
      </c>
      <c r="BT331" t="s">
        <v>150</v>
      </c>
      <c r="BU331">
        <v>33</v>
      </c>
      <c r="BV331">
        <v>0</v>
      </c>
      <c r="BW331">
        <v>0</v>
      </c>
      <c r="BY331">
        <v>0</v>
      </c>
      <c r="CA331" t="s">
        <v>106</v>
      </c>
      <c r="CB331" t="s">
        <v>142</v>
      </c>
      <c r="CC331" t="s">
        <v>112</v>
      </c>
      <c r="CD331" t="s">
        <v>112</v>
      </c>
      <c r="CE331" t="s">
        <v>121</v>
      </c>
      <c r="CF331">
        <v>16474.330000000002</v>
      </c>
      <c r="CG331" t="s">
        <v>144</v>
      </c>
      <c r="CH331">
        <v>4000000</v>
      </c>
      <c r="CI331">
        <v>16348.33</v>
      </c>
      <c r="CJ331">
        <v>0</v>
      </c>
      <c r="CK331" t="s">
        <v>112</v>
      </c>
      <c r="CL331" t="s">
        <v>112</v>
      </c>
      <c r="CM331">
        <v>47472.73</v>
      </c>
      <c r="CO331">
        <v>0</v>
      </c>
      <c r="CP331">
        <v>1</v>
      </c>
      <c r="CQ331">
        <v>5334169.04</v>
      </c>
      <c r="CR331">
        <v>55209.31</v>
      </c>
      <c r="CS331" t="s">
        <v>145</v>
      </c>
      <c r="CT331">
        <v>55257.3554</v>
      </c>
      <c r="CU331">
        <v>3.38</v>
      </c>
      <c r="CV331">
        <v>45</v>
      </c>
      <c r="CX331" t="s">
        <v>1140</v>
      </c>
      <c r="CY331">
        <v>150</v>
      </c>
    </row>
    <row r="332" spans="1:103" x14ac:dyDescent="0.25">
      <c r="A332" t="s">
        <v>106</v>
      </c>
      <c r="B332" s="38">
        <v>44986</v>
      </c>
      <c r="C332" s="43">
        <f>IF(YEAR(Таблица1[[#This Row],[Дата]])=2023,MONTH(Таблица1[[#This Row],[Дата]]),0)</f>
        <v>3</v>
      </c>
      <c r="D332" t="s">
        <v>2014</v>
      </c>
      <c r="E332" t="s">
        <v>108</v>
      </c>
      <c r="F332" t="s">
        <v>2015</v>
      </c>
      <c r="G332" t="s">
        <v>110</v>
      </c>
      <c r="H332" t="s">
        <v>111</v>
      </c>
      <c r="I332" t="s">
        <v>112</v>
      </c>
      <c r="J332" t="s">
        <v>112</v>
      </c>
      <c r="K332" t="s">
        <v>112</v>
      </c>
      <c r="L332" t="s">
        <v>150</v>
      </c>
      <c r="M332" t="s">
        <v>151</v>
      </c>
      <c r="N332" t="s">
        <v>112</v>
      </c>
      <c r="O332" t="s">
        <v>112</v>
      </c>
      <c r="P332">
        <v>1</v>
      </c>
      <c r="R332">
        <v>1</v>
      </c>
      <c r="S332">
        <v>33</v>
      </c>
      <c r="T332" t="s">
        <v>112</v>
      </c>
      <c r="U332" t="s">
        <v>152</v>
      </c>
      <c r="V332" t="s">
        <v>153</v>
      </c>
      <c r="W332" t="s">
        <v>154</v>
      </c>
      <c r="X332" t="s">
        <v>119</v>
      </c>
      <c r="Y332" t="s">
        <v>112</v>
      </c>
      <c r="Z332" t="s">
        <v>112</v>
      </c>
      <c r="AA332" t="s">
        <v>152</v>
      </c>
      <c r="AB332" t="s">
        <v>153</v>
      </c>
      <c r="AC332" t="s">
        <v>154</v>
      </c>
      <c r="AD332" t="s">
        <v>119</v>
      </c>
      <c r="AE332" t="s">
        <v>112</v>
      </c>
      <c r="AF332" t="s">
        <v>121</v>
      </c>
      <c r="AG332" t="s">
        <v>122</v>
      </c>
      <c r="AH332">
        <v>5538579.9199999999</v>
      </c>
      <c r="AI332" t="s">
        <v>112</v>
      </c>
      <c r="AJ332" t="s">
        <v>152</v>
      </c>
      <c r="AK332" t="s">
        <v>153</v>
      </c>
      <c r="AL332" t="s">
        <v>154</v>
      </c>
      <c r="AM332" t="s">
        <v>119</v>
      </c>
      <c r="AN332" t="s">
        <v>112</v>
      </c>
      <c r="AO332" t="s">
        <v>121</v>
      </c>
      <c r="AP332" t="s">
        <v>122</v>
      </c>
      <c r="AQ332" t="s">
        <v>122</v>
      </c>
      <c r="AR332" t="s">
        <v>124</v>
      </c>
      <c r="AS332" t="s">
        <v>125</v>
      </c>
      <c r="AT332">
        <v>2</v>
      </c>
      <c r="AU332" t="s">
        <v>126</v>
      </c>
      <c r="AV332" t="s">
        <v>155</v>
      </c>
      <c r="AW332" t="s">
        <v>156</v>
      </c>
      <c r="AY332" t="s">
        <v>129</v>
      </c>
      <c r="AZ332">
        <v>49450.2</v>
      </c>
      <c r="BC332">
        <v>103.3699</v>
      </c>
      <c r="BD332" t="s">
        <v>112</v>
      </c>
      <c r="BE332" t="s">
        <v>112</v>
      </c>
      <c r="BF332" t="s">
        <v>157</v>
      </c>
      <c r="BG332" t="s">
        <v>133</v>
      </c>
      <c r="BH332" t="s">
        <v>134</v>
      </c>
      <c r="BI332" t="s">
        <v>112</v>
      </c>
      <c r="BJ332" t="s">
        <v>112</v>
      </c>
      <c r="BK332" t="s">
        <v>112</v>
      </c>
      <c r="BL332" t="s">
        <v>169</v>
      </c>
      <c r="BM332" t="s">
        <v>159</v>
      </c>
      <c r="BN332" t="s">
        <v>212</v>
      </c>
      <c r="BO332" t="s">
        <v>161</v>
      </c>
      <c r="BQ332" t="s">
        <v>1967</v>
      </c>
      <c r="BR332" s="45">
        <f>ISNUMBER(SEARCH($BR$1,Таблица1[[#This Row],[31_1 Описание и характеристика товара]]))*1</f>
        <v>1</v>
      </c>
      <c r="BT332" t="s">
        <v>150</v>
      </c>
      <c r="BU332">
        <v>33</v>
      </c>
      <c r="BV332">
        <v>0</v>
      </c>
      <c r="BW332">
        <v>0</v>
      </c>
      <c r="BY332">
        <v>0</v>
      </c>
      <c r="CA332" t="s">
        <v>106</v>
      </c>
      <c r="CB332" t="s">
        <v>142</v>
      </c>
      <c r="CC332" t="s">
        <v>112</v>
      </c>
      <c r="CD332" t="s">
        <v>112</v>
      </c>
      <c r="CE332" t="s">
        <v>121</v>
      </c>
      <c r="CF332">
        <v>14909.7</v>
      </c>
      <c r="CG332" t="s">
        <v>144</v>
      </c>
      <c r="CH332">
        <v>4000000</v>
      </c>
      <c r="CI332">
        <v>14675.7</v>
      </c>
      <c r="CJ332">
        <v>0</v>
      </c>
      <c r="CK332" t="s">
        <v>112</v>
      </c>
      <c r="CL332" t="s">
        <v>112</v>
      </c>
      <c r="CM332">
        <v>49450.2</v>
      </c>
      <c r="CO332">
        <v>0</v>
      </c>
      <c r="CP332">
        <v>1</v>
      </c>
      <c r="CQ332">
        <v>5538579.9199999999</v>
      </c>
      <c r="CR332">
        <v>57324.99</v>
      </c>
      <c r="CS332" t="s">
        <v>145</v>
      </c>
      <c r="CT332">
        <v>57381.987000000008</v>
      </c>
      <c r="CU332">
        <v>3.91</v>
      </c>
      <c r="CV332">
        <v>45</v>
      </c>
      <c r="CX332" t="s">
        <v>729</v>
      </c>
      <c r="CY332">
        <v>221</v>
      </c>
    </row>
    <row r="333" spans="1:103" x14ac:dyDescent="0.25">
      <c r="A333" t="s">
        <v>106</v>
      </c>
      <c r="B333" s="38">
        <v>45063</v>
      </c>
      <c r="C333" s="43">
        <f>IF(YEAR(Таблица1[[#This Row],[Дата]])=2023,MONTH(Таблица1[[#This Row],[Дата]]),0)</f>
        <v>5</v>
      </c>
      <c r="D333" t="s">
        <v>2006</v>
      </c>
      <c r="E333" t="s">
        <v>108</v>
      </c>
      <c r="F333" t="s">
        <v>2007</v>
      </c>
      <c r="G333" t="s">
        <v>110</v>
      </c>
      <c r="H333" t="s">
        <v>111</v>
      </c>
      <c r="I333" t="s">
        <v>112</v>
      </c>
      <c r="J333" t="s">
        <v>112</v>
      </c>
      <c r="K333" t="s">
        <v>112</v>
      </c>
      <c r="L333" t="s">
        <v>150</v>
      </c>
      <c r="M333" t="s">
        <v>151</v>
      </c>
      <c r="N333" t="s">
        <v>112</v>
      </c>
      <c r="O333" t="s">
        <v>112</v>
      </c>
      <c r="P333">
        <v>1</v>
      </c>
      <c r="R333">
        <v>1</v>
      </c>
      <c r="S333">
        <v>33</v>
      </c>
      <c r="T333" t="s">
        <v>112</v>
      </c>
      <c r="U333" t="s">
        <v>152</v>
      </c>
      <c r="V333" t="s">
        <v>153</v>
      </c>
      <c r="W333" t="s">
        <v>154</v>
      </c>
      <c r="X333" t="s">
        <v>119</v>
      </c>
      <c r="Y333" t="s">
        <v>112</v>
      </c>
      <c r="Z333" t="s">
        <v>112</v>
      </c>
      <c r="AA333" t="s">
        <v>152</v>
      </c>
      <c r="AB333" t="s">
        <v>153</v>
      </c>
      <c r="AC333" t="s">
        <v>154</v>
      </c>
      <c r="AD333" t="s">
        <v>119</v>
      </c>
      <c r="AE333" t="s">
        <v>112</v>
      </c>
      <c r="AF333" t="s">
        <v>121</v>
      </c>
      <c r="AG333" t="s">
        <v>122</v>
      </c>
      <c r="AH333">
        <v>4425848.43</v>
      </c>
      <c r="AI333" t="s">
        <v>112</v>
      </c>
      <c r="AJ333" t="s">
        <v>152</v>
      </c>
      <c r="AK333" t="s">
        <v>153</v>
      </c>
      <c r="AL333" t="s">
        <v>154</v>
      </c>
      <c r="AM333" t="s">
        <v>119</v>
      </c>
      <c r="AN333" t="s">
        <v>112</v>
      </c>
      <c r="AO333" t="s">
        <v>121</v>
      </c>
      <c r="AP333" t="s">
        <v>122</v>
      </c>
      <c r="AQ333" t="s">
        <v>122</v>
      </c>
      <c r="AR333" t="s">
        <v>124</v>
      </c>
      <c r="AS333" t="s">
        <v>125</v>
      </c>
      <c r="AT333">
        <v>2</v>
      </c>
      <c r="AU333" t="s">
        <v>126</v>
      </c>
      <c r="AV333" t="s">
        <v>155</v>
      </c>
      <c r="AW333" t="s">
        <v>156</v>
      </c>
      <c r="AY333" t="s">
        <v>129</v>
      </c>
      <c r="AZ333">
        <v>38165.64</v>
      </c>
      <c r="BC333">
        <v>103.3699</v>
      </c>
      <c r="BD333" t="s">
        <v>112</v>
      </c>
      <c r="BE333" t="s">
        <v>112</v>
      </c>
      <c r="BF333" t="s">
        <v>157</v>
      </c>
      <c r="BG333" t="s">
        <v>133</v>
      </c>
      <c r="BH333" t="s">
        <v>134</v>
      </c>
      <c r="BI333" t="s">
        <v>112</v>
      </c>
      <c r="BJ333" t="s">
        <v>112</v>
      </c>
      <c r="BK333" t="s">
        <v>112</v>
      </c>
      <c r="BL333" t="s">
        <v>169</v>
      </c>
      <c r="BM333" t="s">
        <v>159</v>
      </c>
      <c r="BN333" t="s">
        <v>212</v>
      </c>
      <c r="BO333" t="s">
        <v>161</v>
      </c>
      <c r="BQ333" t="s">
        <v>162</v>
      </c>
      <c r="BR333" s="45">
        <f>ISNUMBER(SEARCH($BR$1,Таблица1[[#This Row],[31_1 Описание и характеристика товара]]))*1</f>
        <v>1</v>
      </c>
      <c r="BT333" t="s">
        <v>150</v>
      </c>
      <c r="BU333">
        <v>33</v>
      </c>
      <c r="BV333">
        <v>0</v>
      </c>
      <c r="BW333">
        <v>0</v>
      </c>
      <c r="BY333">
        <v>0</v>
      </c>
      <c r="CA333" t="s">
        <v>106</v>
      </c>
      <c r="CB333" t="s">
        <v>142</v>
      </c>
      <c r="CC333" t="s">
        <v>112</v>
      </c>
      <c r="CD333" t="s">
        <v>112</v>
      </c>
      <c r="CE333" t="s">
        <v>121</v>
      </c>
      <c r="CF333">
        <v>16381.87</v>
      </c>
      <c r="CG333" t="s">
        <v>144</v>
      </c>
      <c r="CH333">
        <v>4000000</v>
      </c>
      <c r="CI333">
        <v>16259.47</v>
      </c>
      <c r="CJ333">
        <v>0</v>
      </c>
      <c r="CK333" t="s">
        <v>112</v>
      </c>
      <c r="CL333" t="s">
        <v>112</v>
      </c>
      <c r="CM333">
        <v>38165.64</v>
      </c>
      <c r="CO333">
        <v>0</v>
      </c>
      <c r="CP333">
        <v>1</v>
      </c>
      <c r="CQ333">
        <v>4425848.43</v>
      </c>
      <c r="CR333">
        <v>45808.08</v>
      </c>
      <c r="CS333" t="s">
        <v>145</v>
      </c>
      <c r="CT333">
        <v>45851.705399999999</v>
      </c>
      <c r="CU333">
        <v>2.82</v>
      </c>
      <c r="CV333">
        <v>45</v>
      </c>
      <c r="CX333" t="s">
        <v>1140</v>
      </c>
      <c r="CY333">
        <v>118</v>
      </c>
    </row>
    <row r="334" spans="1:103" x14ac:dyDescent="0.25">
      <c r="A334" t="s">
        <v>106</v>
      </c>
      <c r="B334" s="38">
        <v>45009</v>
      </c>
      <c r="C334" s="43">
        <f>IF(YEAR(Таблица1[[#This Row],[Дата]])=2023,MONTH(Таблица1[[#This Row],[Дата]]),0)</f>
        <v>3</v>
      </c>
      <c r="D334" t="s">
        <v>2033</v>
      </c>
      <c r="E334" t="s">
        <v>108</v>
      </c>
      <c r="F334" t="s">
        <v>2034</v>
      </c>
      <c r="G334" t="s">
        <v>110</v>
      </c>
      <c r="H334" t="s">
        <v>111</v>
      </c>
      <c r="I334" t="s">
        <v>112</v>
      </c>
      <c r="J334" t="s">
        <v>112</v>
      </c>
      <c r="K334" t="s">
        <v>112</v>
      </c>
      <c r="L334" t="s">
        <v>150</v>
      </c>
      <c r="M334" t="s">
        <v>151</v>
      </c>
      <c r="N334" t="s">
        <v>112</v>
      </c>
      <c r="O334" t="s">
        <v>112</v>
      </c>
      <c r="P334">
        <v>1</v>
      </c>
      <c r="R334">
        <v>1</v>
      </c>
      <c r="S334">
        <v>33</v>
      </c>
      <c r="T334" t="s">
        <v>112</v>
      </c>
      <c r="U334" t="s">
        <v>152</v>
      </c>
      <c r="V334" t="s">
        <v>153</v>
      </c>
      <c r="W334" t="s">
        <v>154</v>
      </c>
      <c r="X334" t="s">
        <v>119</v>
      </c>
      <c r="Y334" t="s">
        <v>112</v>
      </c>
      <c r="Z334" t="s">
        <v>112</v>
      </c>
      <c r="AA334" t="s">
        <v>152</v>
      </c>
      <c r="AB334" t="s">
        <v>153</v>
      </c>
      <c r="AC334" t="s">
        <v>154</v>
      </c>
      <c r="AD334" t="s">
        <v>119</v>
      </c>
      <c r="AE334" t="s">
        <v>112</v>
      </c>
      <c r="AF334" t="s">
        <v>121</v>
      </c>
      <c r="AG334" t="s">
        <v>122</v>
      </c>
      <c r="AH334">
        <v>5499919.5800000001</v>
      </c>
      <c r="AI334" t="s">
        <v>112</v>
      </c>
      <c r="AJ334" t="s">
        <v>152</v>
      </c>
      <c r="AK334" t="s">
        <v>153</v>
      </c>
      <c r="AL334" t="s">
        <v>154</v>
      </c>
      <c r="AM334" t="s">
        <v>119</v>
      </c>
      <c r="AN334" t="s">
        <v>112</v>
      </c>
      <c r="AO334" t="s">
        <v>121</v>
      </c>
      <c r="AP334" t="s">
        <v>122</v>
      </c>
      <c r="AQ334" t="s">
        <v>122</v>
      </c>
      <c r="AR334" t="s">
        <v>124</v>
      </c>
      <c r="AS334" t="s">
        <v>125</v>
      </c>
      <c r="AT334">
        <v>2</v>
      </c>
      <c r="AU334" t="s">
        <v>126</v>
      </c>
      <c r="AV334" t="s">
        <v>155</v>
      </c>
      <c r="AW334" t="s">
        <v>156</v>
      </c>
      <c r="AY334" t="s">
        <v>129</v>
      </c>
      <c r="AZ334">
        <v>48556.2</v>
      </c>
      <c r="BC334">
        <v>103.3699</v>
      </c>
      <c r="BD334" t="s">
        <v>112</v>
      </c>
      <c r="BE334" t="s">
        <v>112</v>
      </c>
      <c r="BF334" t="s">
        <v>157</v>
      </c>
      <c r="BG334" t="s">
        <v>133</v>
      </c>
      <c r="BH334" t="s">
        <v>134</v>
      </c>
      <c r="BI334" t="s">
        <v>112</v>
      </c>
      <c r="BJ334" t="s">
        <v>112</v>
      </c>
      <c r="BK334" t="s">
        <v>112</v>
      </c>
      <c r="BL334" t="s">
        <v>169</v>
      </c>
      <c r="BM334" t="s">
        <v>159</v>
      </c>
      <c r="BN334" t="s">
        <v>212</v>
      </c>
      <c r="BO334" t="s">
        <v>161</v>
      </c>
      <c r="BQ334" t="s">
        <v>205</v>
      </c>
      <c r="BR334" s="45">
        <f>ISNUMBER(SEARCH($BR$1,Таблица1[[#This Row],[31_1 Описание и характеристика товара]]))*1</f>
        <v>1</v>
      </c>
      <c r="BT334" t="s">
        <v>150</v>
      </c>
      <c r="BU334">
        <v>33</v>
      </c>
      <c r="BV334">
        <v>0</v>
      </c>
      <c r="BW334">
        <v>0</v>
      </c>
      <c r="BY334">
        <v>0</v>
      </c>
      <c r="CA334" t="s">
        <v>106</v>
      </c>
      <c r="CB334" t="s">
        <v>142</v>
      </c>
      <c r="CC334" t="s">
        <v>112</v>
      </c>
      <c r="CD334" t="s">
        <v>112</v>
      </c>
      <c r="CE334" t="s">
        <v>121</v>
      </c>
      <c r="CF334">
        <v>16211.58</v>
      </c>
      <c r="CG334" t="s">
        <v>144</v>
      </c>
      <c r="CH334">
        <v>4000000</v>
      </c>
      <c r="CI334">
        <v>16139.58</v>
      </c>
      <c r="CJ334">
        <v>0</v>
      </c>
      <c r="CK334" t="s">
        <v>112</v>
      </c>
      <c r="CL334" t="s">
        <v>112</v>
      </c>
      <c r="CM334">
        <v>48556.2</v>
      </c>
      <c r="CO334">
        <v>0</v>
      </c>
      <c r="CP334">
        <v>1</v>
      </c>
      <c r="CQ334">
        <v>5499919.5800000001</v>
      </c>
      <c r="CR334">
        <v>56924.85</v>
      </c>
      <c r="CS334" t="s">
        <v>145</v>
      </c>
      <c r="CT334">
        <v>56972.717399999994</v>
      </c>
      <c r="CU334">
        <v>3.53</v>
      </c>
      <c r="CV334">
        <v>45</v>
      </c>
      <c r="CX334" t="s">
        <v>233</v>
      </c>
      <c r="CY334">
        <v>300</v>
      </c>
    </row>
    <row r="335" spans="1:103" x14ac:dyDescent="0.25">
      <c r="A335" t="s">
        <v>106</v>
      </c>
      <c r="B335" s="38">
        <v>45119</v>
      </c>
      <c r="C335" s="43">
        <f>IF(YEAR(Таблица1[[#This Row],[Дата]])=2023,MONTH(Таблица1[[#This Row],[Дата]]),0)</f>
        <v>7</v>
      </c>
      <c r="D335" t="s">
        <v>2039</v>
      </c>
      <c r="E335" t="s">
        <v>108</v>
      </c>
      <c r="F335" t="s">
        <v>2040</v>
      </c>
      <c r="G335" t="s">
        <v>110</v>
      </c>
      <c r="H335" t="s">
        <v>111</v>
      </c>
      <c r="I335" t="s">
        <v>112</v>
      </c>
      <c r="J335" t="s">
        <v>112</v>
      </c>
      <c r="K335" t="s">
        <v>112</v>
      </c>
      <c r="L335" t="s">
        <v>150</v>
      </c>
      <c r="M335" t="s">
        <v>151</v>
      </c>
      <c r="N335" t="s">
        <v>112</v>
      </c>
      <c r="O335" t="s">
        <v>112</v>
      </c>
      <c r="P335">
        <v>1</v>
      </c>
      <c r="R335">
        <v>1</v>
      </c>
      <c r="S335">
        <v>33</v>
      </c>
      <c r="T335" t="s">
        <v>112</v>
      </c>
      <c r="U335" t="s">
        <v>152</v>
      </c>
      <c r="V335" t="s">
        <v>153</v>
      </c>
      <c r="W335" t="s">
        <v>154</v>
      </c>
      <c r="X335" t="s">
        <v>119</v>
      </c>
      <c r="Y335" t="s">
        <v>112</v>
      </c>
      <c r="Z335" t="s">
        <v>112</v>
      </c>
      <c r="AA335" t="s">
        <v>152</v>
      </c>
      <c r="AB335" t="s">
        <v>153</v>
      </c>
      <c r="AC335" t="s">
        <v>154</v>
      </c>
      <c r="AD335" t="s">
        <v>119</v>
      </c>
      <c r="AE335" t="s">
        <v>112</v>
      </c>
      <c r="AF335" t="s">
        <v>121</v>
      </c>
      <c r="AG335" t="s">
        <v>122</v>
      </c>
      <c r="AH335">
        <v>4420373.96</v>
      </c>
      <c r="AI335" t="s">
        <v>112</v>
      </c>
      <c r="AJ335" t="s">
        <v>152</v>
      </c>
      <c r="AK335" t="s">
        <v>153</v>
      </c>
      <c r="AL335" t="s">
        <v>154</v>
      </c>
      <c r="AM335" t="s">
        <v>119</v>
      </c>
      <c r="AN335" t="s">
        <v>112</v>
      </c>
      <c r="AO335" t="s">
        <v>121</v>
      </c>
      <c r="AP335" t="s">
        <v>122</v>
      </c>
      <c r="AQ335" t="s">
        <v>122</v>
      </c>
      <c r="AR335" t="s">
        <v>124</v>
      </c>
      <c r="AS335" t="s">
        <v>125</v>
      </c>
      <c r="AT335">
        <v>2</v>
      </c>
      <c r="AU335" t="s">
        <v>126</v>
      </c>
      <c r="AV335" t="s">
        <v>155</v>
      </c>
      <c r="AW335" t="s">
        <v>156</v>
      </c>
      <c r="AY335" t="s">
        <v>129</v>
      </c>
      <c r="AZ335">
        <v>38632.68</v>
      </c>
      <c r="BC335">
        <v>103.3699</v>
      </c>
      <c r="BD335" t="s">
        <v>112</v>
      </c>
      <c r="BE335" t="s">
        <v>112</v>
      </c>
      <c r="BF335" t="s">
        <v>157</v>
      </c>
      <c r="BG335" t="s">
        <v>133</v>
      </c>
      <c r="BH335" t="s">
        <v>134</v>
      </c>
      <c r="BI335" t="s">
        <v>112</v>
      </c>
      <c r="BJ335" t="s">
        <v>112</v>
      </c>
      <c r="BK335" t="s">
        <v>112</v>
      </c>
      <c r="BL335" t="s">
        <v>169</v>
      </c>
      <c r="BM335" t="s">
        <v>159</v>
      </c>
      <c r="BN335" t="s">
        <v>212</v>
      </c>
      <c r="BO335" t="s">
        <v>161</v>
      </c>
      <c r="BQ335" t="s">
        <v>616</v>
      </c>
      <c r="BR335" s="45">
        <f>ISNUMBER(SEARCH($BR$1,Таблица1[[#This Row],[31_1 Описание и характеристика товара]]))*1</f>
        <v>1</v>
      </c>
      <c r="BT335" t="s">
        <v>150</v>
      </c>
      <c r="BU335">
        <v>33</v>
      </c>
      <c r="BV335">
        <v>0</v>
      </c>
      <c r="BW335">
        <v>0</v>
      </c>
      <c r="BY335">
        <v>0</v>
      </c>
      <c r="CA335" t="s">
        <v>106</v>
      </c>
      <c r="CB335" t="s">
        <v>142</v>
      </c>
      <c r="CC335" t="s">
        <v>112</v>
      </c>
      <c r="CD335" t="s">
        <v>112</v>
      </c>
      <c r="CE335" t="s">
        <v>121</v>
      </c>
      <c r="CF335">
        <v>16584.560000000001</v>
      </c>
      <c r="CG335" t="s">
        <v>144</v>
      </c>
      <c r="CH335">
        <v>4000000</v>
      </c>
      <c r="CI335">
        <v>16411.759999999998</v>
      </c>
      <c r="CJ335">
        <v>0</v>
      </c>
      <c r="CK335" t="s">
        <v>112</v>
      </c>
      <c r="CL335" t="s">
        <v>112</v>
      </c>
      <c r="CM335">
        <v>38632.68</v>
      </c>
      <c r="CO335">
        <v>0</v>
      </c>
      <c r="CP335">
        <v>1</v>
      </c>
      <c r="CQ335">
        <v>4420373.96</v>
      </c>
      <c r="CR335">
        <v>45751.42</v>
      </c>
      <c r="CS335" t="s">
        <v>145</v>
      </c>
      <c r="CT335">
        <v>45788.810399999995</v>
      </c>
      <c r="CU335">
        <v>2.79</v>
      </c>
      <c r="CV335">
        <v>45</v>
      </c>
      <c r="CX335" t="s">
        <v>163</v>
      </c>
      <c r="CY335">
        <v>150</v>
      </c>
    </row>
    <row r="336" spans="1:103" x14ac:dyDescent="0.25">
      <c r="A336" t="s">
        <v>106</v>
      </c>
      <c r="B336" s="38">
        <v>45097</v>
      </c>
      <c r="C336" s="43">
        <f>IF(YEAR(Таблица1[[#This Row],[Дата]])=2023,MONTH(Таблица1[[#This Row],[Дата]]),0)</f>
        <v>6</v>
      </c>
      <c r="D336" t="s">
        <v>2041</v>
      </c>
      <c r="E336" t="s">
        <v>108</v>
      </c>
      <c r="F336" t="s">
        <v>2042</v>
      </c>
      <c r="G336" t="s">
        <v>110</v>
      </c>
      <c r="H336" t="s">
        <v>111</v>
      </c>
      <c r="I336" t="s">
        <v>112</v>
      </c>
      <c r="J336" t="s">
        <v>112</v>
      </c>
      <c r="K336" t="s">
        <v>112</v>
      </c>
      <c r="L336" t="s">
        <v>150</v>
      </c>
      <c r="M336" t="s">
        <v>151</v>
      </c>
      <c r="N336" t="s">
        <v>112</v>
      </c>
      <c r="O336" t="s">
        <v>112</v>
      </c>
      <c r="P336">
        <v>1</v>
      </c>
      <c r="R336">
        <v>1</v>
      </c>
      <c r="S336">
        <v>33</v>
      </c>
      <c r="T336" t="s">
        <v>112</v>
      </c>
      <c r="U336" t="s">
        <v>152</v>
      </c>
      <c r="V336" t="s">
        <v>153</v>
      </c>
      <c r="W336" t="s">
        <v>154</v>
      </c>
      <c r="X336" t="s">
        <v>119</v>
      </c>
      <c r="Y336" t="s">
        <v>112</v>
      </c>
      <c r="Z336" t="s">
        <v>112</v>
      </c>
      <c r="AA336" t="s">
        <v>152</v>
      </c>
      <c r="AB336" t="s">
        <v>153</v>
      </c>
      <c r="AC336" t="s">
        <v>154</v>
      </c>
      <c r="AD336" t="s">
        <v>119</v>
      </c>
      <c r="AE336" t="s">
        <v>112</v>
      </c>
      <c r="AF336" t="s">
        <v>121</v>
      </c>
      <c r="AG336" t="s">
        <v>122</v>
      </c>
      <c r="AH336">
        <v>5270603.79</v>
      </c>
      <c r="AI336" t="s">
        <v>112</v>
      </c>
      <c r="AJ336" t="s">
        <v>152</v>
      </c>
      <c r="AK336" t="s">
        <v>153</v>
      </c>
      <c r="AL336" t="s">
        <v>154</v>
      </c>
      <c r="AM336" t="s">
        <v>119</v>
      </c>
      <c r="AN336" t="s">
        <v>112</v>
      </c>
      <c r="AO336" t="s">
        <v>121</v>
      </c>
      <c r="AP336" t="s">
        <v>122</v>
      </c>
      <c r="AQ336" t="s">
        <v>122</v>
      </c>
      <c r="AR336" t="s">
        <v>124</v>
      </c>
      <c r="AS336" t="s">
        <v>125</v>
      </c>
      <c r="AT336">
        <v>2</v>
      </c>
      <c r="AU336" t="s">
        <v>126</v>
      </c>
      <c r="AV336" t="s">
        <v>155</v>
      </c>
      <c r="AW336" t="s">
        <v>156</v>
      </c>
      <c r="AY336" t="s">
        <v>129</v>
      </c>
      <c r="AZ336">
        <v>46337.8</v>
      </c>
      <c r="BC336">
        <v>103.3699</v>
      </c>
      <c r="BD336" t="s">
        <v>112</v>
      </c>
      <c r="BE336" t="s">
        <v>112</v>
      </c>
      <c r="BF336" t="s">
        <v>157</v>
      </c>
      <c r="BG336" t="s">
        <v>133</v>
      </c>
      <c r="BH336" t="s">
        <v>134</v>
      </c>
      <c r="BI336" t="s">
        <v>112</v>
      </c>
      <c r="BJ336" t="s">
        <v>112</v>
      </c>
      <c r="BK336" t="s">
        <v>112</v>
      </c>
      <c r="BL336" t="s">
        <v>169</v>
      </c>
      <c r="BM336" t="s">
        <v>159</v>
      </c>
      <c r="BN336" t="s">
        <v>212</v>
      </c>
      <c r="BO336" t="s">
        <v>161</v>
      </c>
      <c r="BQ336" t="s">
        <v>466</v>
      </c>
      <c r="BR336" s="45">
        <f>ISNUMBER(SEARCH($BR$1,Таблица1[[#This Row],[31_1 Описание и характеристика товара]]))*1</f>
        <v>1</v>
      </c>
      <c r="BT336" t="s">
        <v>150</v>
      </c>
      <c r="BU336">
        <v>33</v>
      </c>
      <c r="BV336">
        <v>0</v>
      </c>
      <c r="BW336">
        <v>0</v>
      </c>
      <c r="BY336">
        <v>0</v>
      </c>
      <c r="CA336" t="s">
        <v>106</v>
      </c>
      <c r="CB336" t="s">
        <v>142</v>
      </c>
      <c r="CC336" t="s">
        <v>112</v>
      </c>
      <c r="CD336" t="s">
        <v>112</v>
      </c>
      <c r="CE336" t="s">
        <v>121</v>
      </c>
      <c r="CF336">
        <v>16660.98</v>
      </c>
      <c r="CG336" t="s">
        <v>144</v>
      </c>
      <c r="CH336">
        <v>4000000</v>
      </c>
      <c r="CI336">
        <v>16570.98</v>
      </c>
      <c r="CJ336">
        <v>0</v>
      </c>
      <c r="CK336" t="s">
        <v>112</v>
      </c>
      <c r="CL336" t="s">
        <v>112</v>
      </c>
      <c r="CM336">
        <v>46337.8</v>
      </c>
      <c r="CO336">
        <v>0</v>
      </c>
      <c r="CP336">
        <v>1</v>
      </c>
      <c r="CQ336">
        <v>5270603.79</v>
      </c>
      <c r="CR336">
        <v>54551.4</v>
      </c>
      <c r="CS336" t="s">
        <v>145</v>
      </c>
      <c r="CT336">
        <v>54518.5242</v>
      </c>
      <c r="CU336">
        <v>3.29</v>
      </c>
      <c r="CV336">
        <v>45</v>
      </c>
      <c r="CX336" t="s">
        <v>729</v>
      </c>
      <c r="CY336">
        <v>579</v>
      </c>
    </row>
    <row r="337" spans="1:103" x14ac:dyDescent="0.25">
      <c r="A337" t="s">
        <v>106</v>
      </c>
      <c r="B337" s="38">
        <v>44649</v>
      </c>
      <c r="C337" s="43">
        <f>IF(YEAR(Таблица1[[#This Row],[Дата]])=2023,MONTH(Таблица1[[#This Row],[Дата]]),0)</f>
        <v>0</v>
      </c>
      <c r="D337" t="s">
        <v>1768</v>
      </c>
      <c r="E337" t="s">
        <v>108</v>
      </c>
      <c r="F337" t="s">
        <v>1769</v>
      </c>
      <c r="G337" t="s">
        <v>110</v>
      </c>
      <c r="H337" t="s">
        <v>111</v>
      </c>
      <c r="I337" t="s">
        <v>112</v>
      </c>
      <c r="J337" t="s">
        <v>112</v>
      </c>
      <c r="K337" t="s">
        <v>112</v>
      </c>
      <c r="L337" t="s">
        <v>150</v>
      </c>
      <c r="M337" t="s">
        <v>151</v>
      </c>
      <c r="N337" t="s">
        <v>112</v>
      </c>
      <c r="O337" t="s">
        <v>112</v>
      </c>
      <c r="R337">
        <v>1</v>
      </c>
      <c r="S337">
        <v>33</v>
      </c>
      <c r="T337" t="s">
        <v>166</v>
      </c>
      <c r="U337" t="s">
        <v>152</v>
      </c>
      <c r="V337" t="s">
        <v>153</v>
      </c>
      <c r="W337" t="s">
        <v>154</v>
      </c>
      <c r="X337" t="s">
        <v>119</v>
      </c>
      <c r="Y337" t="s">
        <v>112</v>
      </c>
      <c r="Z337" t="s">
        <v>166</v>
      </c>
      <c r="AA337" t="s">
        <v>152</v>
      </c>
      <c r="AB337" t="s">
        <v>153</v>
      </c>
      <c r="AC337" t="s">
        <v>154</v>
      </c>
      <c r="AD337" t="s">
        <v>119</v>
      </c>
      <c r="AE337" t="s">
        <v>112</v>
      </c>
      <c r="AF337" t="s">
        <v>121</v>
      </c>
      <c r="AG337" t="s">
        <v>122</v>
      </c>
      <c r="AH337">
        <v>4496668.8499999996</v>
      </c>
      <c r="AI337" t="s">
        <v>166</v>
      </c>
      <c r="AJ337" t="s">
        <v>152</v>
      </c>
      <c r="AK337" t="s">
        <v>153</v>
      </c>
      <c r="AL337" t="s">
        <v>154</v>
      </c>
      <c r="AM337" t="s">
        <v>119</v>
      </c>
      <c r="AN337" t="s">
        <v>112</v>
      </c>
      <c r="AO337" t="s">
        <v>121</v>
      </c>
      <c r="AP337" t="s">
        <v>122</v>
      </c>
      <c r="AQ337" t="s">
        <v>122</v>
      </c>
      <c r="AR337" t="s">
        <v>124</v>
      </c>
      <c r="AS337" t="s">
        <v>125</v>
      </c>
      <c r="AU337" t="s">
        <v>126</v>
      </c>
      <c r="AV337" t="s">
        <v>155</v>
      </c>
      <c r="AW337" t="s">
        <v>156</v>
      </c>
      <c r="AY337" t="s">
        <v>129</v>
      </c>
      <c r="AZ337">
        <v>40180.800000000003</v>
      </c>
      <c r="BC337">
        <v>101.4802</v>
      </c>
      <c r="BD337" t="s">
        <v>112</v>
      </c>
      <c r="BE337" t="s">
        <v>112</v>
      </c>
      <c r="BF337" t="s">
        <v>112</v>
      </c>
      <c r="BG337" t="s">
        <v>133</v>
      </c>
      <c r="BH337" t="s">
        <v>134</v>
      </c>
      <c r="BI337" t="s">
        <v>112</v>
      </c>
      <c r="BJ337" t="s">
        <v>112</v>
      </c>
      <c r="BK337" t="s">
        <v>112</v>
      </c>
      <c r="BL337" t="s">
        <v>112</v>
      </c>
      <c r="BM337" t="s">
        <v>112</v>
      </c>
      <c r="BN337" t="s">
        <v>112</v>
      </c>
      <c r="BO337" t="s">
        <v>161</v>
      </c>
      <c r="BQ337" t="s">
        <v>232</v>
      </c>
      <c r="BR337" s="45">
        <f>ISNUMBER(SEARCH($BR$1,Таблица1[[#This Row],[31_1 Описание и характеристика товара]]))*1</f>
        <v>1</v>
      </c>
      <c r="BT337" t="s">
        <v>150</v>
      </c>
      <c r="BU337">
        <v>33</v>
      </c>
      <c r="BV337">
        <v>0</v>
      </c>
      <c r="BW337">
        <v>0</v>
      </c>
      <c r="CA337" t="s">
        <v>106</v>
      </c>
      <c r="CB337" t="s">
        <v>142</v>
      </c>
      <c r="CC337" t="s">
        <v>112</v>
      </c>
      <c r="CD337" t="s">
        <v>112</v>
      </c>
      <c r="CE337" t="s">
        <v>121</v>
      </c>
      <c r="CF337">
        <v>16546.71</v>
      </c>
      <c r="CG337" t="s">
        <v>144</v>
      </c>
      <c r="CH337">
        <v>4000000</v>
      </c>
      <c r="CI337">
        <v>16420.11</v>
      </c>
      <c r="CJ337">
        <v>0</v>
      </c>
      <c r="CK337" t="s">
        <v>112</v>
      </c>
      <c r="CL337" t="s">
        <v>112</v>
      </c>
      <c r="CM337">
        <v>40180.800000000003</v>
      </c>
      <c r="CO337">
        <v>0</v>
      </c>
      <c r="CP337">
        <v>1</v>
      </c>
      <c r="CQ337">
        <v>4496668.8499999996</v>
      </c>
      <c r="CR337">
        <v>48141.78</v>
      </c>
      <c r="CS337" t="s">
        <v>145</v>
      </c>
      <c r="CT337">
        <v>48110.922300000006</v>
      </c>
      <c r="CU337">
        <v>2.93</v>
      </c>
      <c r="CY337">
        <v>586</v>
      </c>
    </row>
    <row r="338" spans="1:103" x14ac:dyDescent="0.25">
      <c r="A338" t="s">
        <v>106</v>
      </c>
      <c r="B338" s="38">
        <v>44823</v>
      </c>
      <c r="C338" s="43">
        <f>IF(YEAR(Таблица1[[#This Row],[Дата]])=2023,MONTH(Таблица1[[#This Row],[Дата]]),0)</f>
        <v>0</v>
      </c>
      <c r="D338" t="s">
        <v>1541</v>
      </c>
      <c r="E338" t="s">
        <v>108</v>
      </c>
      <c r="F338" t="s">
        <v>1542</v>
      </c>
      <c r="G338" t="s">
        <v>110</v>
      </c>
      <c r="H338" t="s">
        <v>111</v>
      </c>
      <c r="I338" t="s">
        <v>112</v>
      </c>
      <c r="J338" t="s">
        <v>112</v>
      </c>
      <c r="K338" t="s">
        <v>112</v>
      </c>
      <c r="L338" t="s">
        <v>150</v>
      </c>
      <c r="M338" t="s">
        <v>1060</v>
      </c>
      <c r="N338" t="s">
        <v>112</v>
      </c>
      <c r="O338" t="s">
        <v>112</v>
      </c>
      <c r="P338">
        <v>1</v>
      </c>
      <c r="Q338">
        <v>0</v>
      </c>
      <c r="R338">
        <v>1</v>
      </c>
      <c r="S338">
        <v>33</v>
      </c>
      <c r="T338" t="s">
        <v>166</v>
      </c>
      <c r="U338" t="s">
        <v>152</v>
      </c>
      <c r="V338" t="s">
        <v>153</v>
      </c>
      <c r="W338" t="s">
        <v>154</v>
      </c>
      <c r="X338" t="s">
        <v>119</v>
      </c>
      <c r="Y338" t="s">
        <v>112</v>
      </c>
      <c r="Z338" t="s">
        <v>166</v>
      </c>
      <c r="AA338" t="s">
        <v>152</v>
      </c>
      <c r="AB338" t="s">
        <v>153</v>
      </c>
      <c r="AC338" t="s">
        <v>154</v>
      </c>
      <c r="AD338" t="s">
        <v>119</v>
      </c>
      <c r="AE338" t="s">
        <v>112</v>
      </c>
      <c r="AF338" t="s">
        <v>121</v>
      </c>
      <c r="AG338" t="s">
        <v>122</v>
      </c>
      <c r="AH338">
        <v>5012173.42</v>
      </c>
      <c r="AI338" t="s">
        <v>166</v>
      </c>
      <c r="AJ338" t="s">
        <v>152</v>
      </c>
      <c r="AK338" t="s">
        <v>153</v>
      </c>
      <c r="AL338" t="s">
        <v>154</v>
      </c>
      <c r="AM338" t="s">
        <v>119</v>
      </c>
      <c r="AN338" t="s">
        <v>112</v>
      </c>
      <c r="AO338" t="s">
        <v>121</v>
      </c>
      <c r="AP338" t="s">
        <v>122</v>
      </c>
      <c r="AQ338" t="s">
        <v>122</v>
      </c>
      <c r="AR338" t="s">
        <v>124</v>
      </c>
      <c r="AS338" t="s">
        <v>125</v>
      </c>
      <c r="AT338">
        <v>2</v>
      </c>
      <c r="AU338" t="s">
        <v>126</v>
      </c>
      <c r="AV338" t="s">
        <v>155</v>
      </c>
      <c r="AW338" t="s">
        <v>156</v>
      </c>
      <c r="AX338">
        <v>1</v>
      </c>
      <c r="AY338" t="s">
        <v>129</v>
      </c>
      <c r="AZ338">
        <v>45089.54</v>
      </c>
      <c r="BA338">
        <v>4591603</v>
      </c>
      <c r="BB338">
        <v>55167.040000000001</v>
      </c>
      <c r="BC338">
        <v>101.833</v>
      </c>
      <c r="BD338" t="s">
        <v>130</v>
      </c>
      <c r="BE338" t="s">
        <v>112</v>
      </c>
      <c r="BF338" t="s">
        <v>157</v>
      </c>
      <c r="BG338" t="s">
        <v>133</v>
      </c>
      <c r="BH338" t="s">
        <v>134</v>
      </c>
      <c r="BI338" t="s">
        <v>112</v>
      </c>
      <c r="BJ338" t="s">
        <v>112</v>
      </c>
      <c r="BK338" t="s">
        <v>112</v>
      </c>
      <c r="BL338" t="s">
        <v>169</v>
      </c>
      <c r="BM338" t="s">
        <v>159</v>
      </c>
      <c r="BN338" t="s">
        <v>722</v>
      </c>
      <c r="BO338" t="s">
        <v>161</v>
      </c>
      <c r="BP338">
        <v>1</v>
      </c>
      <c r="BQ338" t="s">
        <v>466</v>
      </c>
      <c r="BR338" s="45">
        <f>ISNUMBER(SEARCH($BR$1,Таблица1[[#This Row],[31_1 Описание и характеристика товара]]))*1</f>
        <v>1</v>
      </c>
      <c r="BT338" t="s">
        <v>150</v>
      </c>
      <c r="BU338">
        <v>33</v>
      </c>
      <c r="BV338">
        <v>0</v>
      </c>
      <c r="BW338">
        <v>0</v>
      </c>
      <c r="BY338">
        <v>0</v>
      </c>
      <c r="CA338" t="s">
        <v>106</v>
      </c>
      <c r="CB338" t="s">
        <v>142</v>
      </c>
      <c r="CC338" t="s">
        <v>112</v>
      </c>
      <c r="CD338" t="s">
        <v>112</v>
      </c>
      <c r="CE338" t="s">
        <v>121</v>
      </c>
      <c r="CF338">
        <v>16818</v>
      </c>
      <c r="CG338" t="s">
        <v>144</v>
      </c>
      <c r="CH338">
        <v>4000000</v>
      </c>
      <c r="CI338">
        <v>16818</v>
      </c>
      <c r="CJ338">
        <v>0</v>
      </c>
      <c r="CK338" t="s">
        <v>112</v>
      </c>
      <c r="CL338" t="s">
        <v>112</v>
      </c>
      <c r="CM338">
        <v>45089.54</v>
      </c>
      <c r="CN338">
        <v>4591603</v>
      </c>
      <c r="CO338">
        <v>0</v>
      </c>
      <c r="CP338">
        <v>1</v>
      </c>
      <c r="CQ338">
        <v>5012173.42</v>
      </c>
      <c r="CR338">
        <v>55167.040000000001</v>
      </c>
      <c r="CS338" t="s">
        <v>145</v>
      </c>
      <c r="CT338">
        <v>55163.039999999994</v>
      </c>
      <c r="CU338">
        <v>3.28</v>
      </c>
      <c r="CV338">
        <v>45</v>
      </c>
      <c r="CW338" t="s">
        <v>171</v>
      </c>
      <c r="CX338" t="s">
        <v>369</v>
      </c>
      <c r="CY338">
        <v>303</v>
      </c>
    </row>
    <row r="339" spans="1:103" x14ac:dyDescent="0.25">
      <c r="A339" t="s">
        <v>106</v>
      </c>
      <c r="B339" s="38">
        <v>44693</v>
      </c>
      <c r="C339" s="43">
        <f>IF(YEAR(Таблица1[[#This Row],[Дата]])=2023,MONTH(Таблица1[[#This Row],[Дата]]),0)</f>
        <v>0</v>
      </c>
      <c r="D339" t="s">
        <v>1535</v>
      </c>
      <c r="E339" t="s">
        <v>108</v>
      </c>
      <c r="F339" t="s">
        <v>1536</v>
      </c>
      <c r="G339" t="s">
        <v>110</v>
      </c>
      <c r="H339" t="s">
        <v>111</v>
      </c>
      <c r="I339" t="s">
        <v>112</v>
      </c>
      <c r="J339" t="s">
        <v>112</v>
      </c>
      <c r="K339" t="s">
        <v>112</v>
      </c>
      <c r="L339" t="s">
        <v>150</v>
      </c>
      <c r="M339" t="s">
        <v>1060</v>
      </c>
      <c r="N339" t="s">
        <v>112</v>
      </c>
      <c r="O339" t="s">
        <v>112</v>
      </c>
      <c r="P339">
        <v>1</v>
      </c>
      <c r="Q339">
        <v>0</v>
      </c>
      <c r="R339">
        <v>1</v>
      </c>
      <c r="S339">
        <v>33</v>
      </c>
      <c r="T339" t="s">
        <v>166</v>
      </c>
      <c r="U339" t="s">
        <v>152</v>
      </c>
      <c r="V339" t="s">
        <v>153</v>
      </c>
      <c r="W339" t="s">
        <v>154</v>
      </c>
      <c r="X339" t="s">
        <v>119</v>
      </c>
      <c r="Y339" t="s">
        <v>112</v>
      </c>
      <c r="Z339" t="s">
        <v>166</v>
      </c>
      <c r="AA339" t="s">
        <v>152</v>
      </c>
      <c r="AB339" t="s">
        <v>153</v>
      </c>
      <c r="AC339" t="s">
        <v>154</v>
      </c>
      <c r="AD339" t="s">
        <v>119</v>
      </c>
      <c r="AE339" t="s">
        <v>112</v>
      </c>
      <c r="AF339" t="s">
        <v>121</v>
      </c>
      <c r="AG339" t="s">
        <v>122</v>
      </c>
      <c r="AH339">
        <v>4767453.4400000004</v>
      </c>
      <c r="AI339" t="s">
        <v>166</v>
      </c>
      <c r="AJ339" t="s">
        <v>152</v>
      </c>
      <c r="AK339" t="s">
        <v>153</v>
      </c>
      <c r="AL339" t="s">
        <v>154</v>
      </c>
      <c r="AM339" t="s">
        <v>119</v>
      </c>
      <c r="AN339" t="s">
        <v>112</v>
      </c>
      <c r="AO339" t="s">
        <v>121</v>
      </c>
      <c r="AP339" t="s">
        <v>122</v>
      </c>
      <c r="AQ339" t="s">
        <v>122</v>
      </c>
      <c r="AR339" t="s">
        <v>124</v>
      </c>
      <c r="AS339" t="s">
        <v>125</v>
      </c>
      <c r="AT339">
        <v>2</v>
      </c>
      <c r="AU339" t="s">
        <v>126</v>
      </c>
      <c r="AV339" t="s">
        <v>155</v>
      </c>
      <c r="AW339" t="s">
        <v>156</v>
      </c>
      <c r="AX339">
        <v>1</v>
      </c>
      <c r="AY339" t="s">
        <v>129</v>
      </c>
      <c r="AZ339">
        <v>42166.39</v>
      </c>
      <c r="BA339">
        <v>4293930</v>
      </c>
      <c r="BB339">
        <v>52473.5</v>
      </c>
      <c r="BC339">
        <v>101.833</v>
      </c>
      <c r="BD339" t="s">
        <v>130</v>
      </c>
      <c r="BE339" t="s">
        <v>112</v>
      </c>
      <c r="BF339" t="s">
        <v>157</v>
      </c>
      <c r="BG339" t="s">
        <v>133</v>
      </c>
      <c r="BH339" t="s">
        <v>134</v>
      </c>
      <c r="BI339" t="s">
        <v>112</v>
      </c>
      <c r="BJ339" t="s">
        <v>112</v>
      </c>
      <c r="BK339" t="s">
        <v>112</v>
      </c>
      <c r="BL339" t="s">
        <v>169</v>
      </c>
      <c r="BM339" t="s">
        <v>159</v>
      </c>
      <c r="BN339" t="s">
        <v>722</v>
      </c>
      <c r="BO339" t="s">
        <v>161</v>
      </c>
      <c r="BP339">
        <v>1</v>
      </c>
      <c r="BQ339" t="s">
        <v>162</v>
      </c>
      <c r="BR339" s="45">
        <f>ISNUMBER(SEARCH($BR$1,Таблица1[[#This Row],[31_1 Описание и характеристика товара]]))*1</f>
        <v>1</v>
      </c>
      <c r="BT339" t="s">
        <v>150</v>
      </c>
      <c r="BU339">
        <v>33</v>
      </c>
      <c r="BV339">
        <v>0</v>
      </c>
      <c r="BW339">
        <v>0</v>
      </c>
      <c r="BY339">
        <v>0</v>
      </c>
      <c r="CA339" t="s">
        <v>106</v>
      </c>
      <c r="CB339" t="s">
        <v>142</v>
      </c>
      <c r="CC339" t="s">
        <v>112</v>
      </c>
      <c r="CD339" t="s">
        <v>112</v>
      </c>
      <c r="CE339" t="s">
        <v>121</v>
      </c>
      <c r="CF339">
        <v>15846.68</v>
      </c>
      <c r="CG339" t="s">
        <v>144</v>
      </c>
      <c r="CH339">
        <v>4000000</v>
      </c>
      <c r="CI339">
        <v>15774.68</v>
      </c>
      <c r="CJ339">
        <v>0</v>
      </c>
      <c r="CK339" t="s">
        <v>112</v>
      </c>
      <c r="CL339" t="s">
        <v>112</v>
      </c>
      <c r="CM339">
        <v>42166.39</v>
      </c>
      <c r="CN339">
        <v>4293930</v>
      </c>
      <c r="CO339">
        <v>0</v>
      </c>
      <c r="CP339">
        <v>1</v>
      </c>
      <c r="CQ339">
        <v>4767453.4400000004</v>
      </c>
      <c r="CR339">
        <v>52473.5</v>
      </c>
      <c r="CS339" t="s">
        <v>145</v>
      </c>
      <c r="CT339">
        <v>52529.684400000006</v>
      </c>
      <c r="CU339">
        <v>3.33</v>
      </c>
      <c r="CV339">
        <v>45</v>
      </c>
      <c r="CW339" t="s">
        <v>171</v>
      </c>
      <c r="CX339" t="s">
        <v>372</v>
      </c>
      <c r="CY339">
        <v>582</v>
      </c>
    </row>
    <row r="340" spans="1:103" x14ac:dyDescent="0.25">
      <c r="A340" t="s">
        <v>106</v>
      </c>
      <c r="B340" s="38">
        <v>44826</v>
      </c>
      <c r="C340" s="43">
        <f>IF(YEAR(Таблица1[[#This Row],[Дата]])=2023,MONTH(Таблица1[[#This Row],[Дата]]),0)</f>
        <v>0</v>
      </c>
      <c r="D340" t="s">
        <v>1549</v>
      </c>
      <c r="E340" t="s">
        <v>108</v>
      </c>
      <c r="F340" t="s">
        <v>1550</v>
      </c>
      <c r="G340" t="s">
        <v>110</v>
      </c>
      <c r="H340" t="s">
        <v>111</v>
      </c>
      <c r="I340" t="s">
        <v>112</v>
      </c>
      <c r="J340" t="s">
        <v>112</v>
      </c>
      <c r="K340" t="s">
        <v>112</v>
      </c>
      <c r="L340" t="s">
        <v>150</v>
      </c>
      <c r="M340" t="s">
        <v>1060</v>
      </c>
      <c r="N340" t="s">
        <v>112</v>
      </c>
      <c r="O340" t="s">
        <v>112</v>
      </c>
      <c r="P340">
        <v>1</v>
      </c>
      <c r="Q340">
        <v>0</v>
      </c>
      <c r="R340">
        <v>1</v>
      </c>
      <c r="S340">
        <v>33</v>
      </c>
      <c r="T340" t="s">
        <v>166</v>
      </c>
      <c r="U340" t="s">
        <v>152</v>
      </c>
      <c r="V340" t="s">
        <v>153</v>
      </c>
      <c r="W340" t="s">
        <v>154</v>
      </c>
      <c r="X340" t="s">
        <v>119</v>
      </c>
      <c r="Y340" t="s">
        <v>112</v>
      </c>
      <c r="Z340" t="s">
        <v>166</v>
      </c>
      <c r="AA340" t="s">
        <v>152</v>
      </c>
      <c r="AB340" t="s">
        <v>153</v>
      </c>
      <c r="AC340" t="s">
        <v>154</v>
      </c>
      <c r="AD340" t="s">
        <v>119</v>
      </c>
      <c r="AE340" t="s">
        <v>112</v>
      </c>
      <c r="AF340" t="s">
        <v>121</v>
      </c>
      <c r="AG340" t="s">
        <v>122</v>
      </c>
      <c r="AH340">
        <v>4885256.91</v>
      </c>
      <c r="AI340" t="s">
        <v>166</v>
      </c>
      <c r="AJ340" t="s">
        <v>152</v>
      </c>
      <c r="AK340" t="s">
        <v>153</v>
      </c>
      <c r="AL340" t="s">
        <v>154</v>
      </c>
      <c r="AM340" t="s">
        <v>119</v>
      </c>
      <c r="AN340" t="s">
        <v>112</v>
      </c>
      <c r="AO340" t="s">
        <v>121</v>
      </c>
      <c r="AP340" t="s">
        <v>122</v>
      </c>
      <c r="AQ340" t="s">
        <v>122</v>
      </c>
      <c r="AR340" t="s">
        <v>124</v>
      </c>
      <c r="AS340" t="s">
        <v>125</v>
      </c>
      <c r="AT340">
        <v>2</v>
      </c>
      <c r="AU340" t="s">
        <v>126</v>
      </c>
      <c r="AV340" t="s">
        <v>155</v>
      </c>
      <c r="AW340" t="s">
        <v>156</v>
      </c>
      <c r="AX340">
        <v>1</v>
      </c>
      <c r="AY340" t="s">
        <v>129</v>
      </c>
      <c r="AZ340">
        <v>43843.22</v>
      </c>
      <c r="BA340">
        <v>4464687</v>
      </c>
      <c r="BB340">
        <v>53770.11</v>
      </c>
      <c r="BC340">
        <v>101.833</v>
      </c>
      <c r="BD340" t="s">
        <v>130</v>
      </c>
      <c r="BE340" t="s">
        <v>112</v>
      </c>
      <c r="BF340" t="s">
        <v>157</v>
      </c>
      <c r="BG340" t="s">
        <v>133</v>
      </c>
      <c r="BH340" t="s">
        <v>134</v>
      </c>
      <c r="BI340" t="s">
        <v>112</v>
      </c>
      <c r="BJ340" t="s">
        <v>112</v>
      </c>
      <c r="BK340" t="s">
        <v>112</v>
      </c>
      <c r="BL340" t="s">
        <v>169</v>
      </c>
      <c r="BM340" t="s">
        <v>159</v>
      </c>
      <c r="BN340" t="s">
        <v>722</v>
      </c>
      <c r="BO340" t="s">
        <v>161</v>
      </c>
      <c r="BP340">
        <v>1</v>
      </c>
      <c r="BQ340" t="s">
        <v>1551</v>
      </c>
      <c r="BR340" s="45">
        <f>ISNUMBER(SEARCH($BR$1,Таблица1[[#This Row],[31_1 Описание и характеристика товара]]))*1</f>
        <v>1</v>
      </c>
      <c r="BT340" t="s">
        <v>150</v>
      </c>
      <c r="BU340">
        <v>33</v>
      </c>
      <c r="BV340">
        <v>0</v>
      </c>
      <c r="BW340">
        <v>0</v>
      </c>
      <c r="BY340">
        <v>0</v>
      </c>
      <c r="CA340" t="s">
        <v>106</v>
      </c>
      <c r="CB340" t="s">
        <v>142</v>
      </c>
      <c r="CC340" t="s">
        <v>112</v>
      </c>
      <c r="CD340" t="s">
        <v>112</v>
      </c>
      <c r="CE340" t="s">
        <v>121</v>
      </c>
      <c r="CF340">
        <v>16847.38</v>
      </c>
      <c r="CG340" t="s">
        <v>144</v>
      </c>
      <c r="CH340">
        <v>4000000</v>
      </c>
      <c r="CI340">
        <v>16847.38</v>
      </c>
      <c r="CJ340">
        <v>0</v>
      </c>
      <c r="CK340" t="s">
        <v>112</v>
      </c>
      <c r="CL340" t="s">
        <v>112</v>
      </c>
      <c r="CM340">
        <v>43843.22</v>
      </c>
      <c r="CN340">
        <v>4464687</v>
      </c>
      <c r="CO340">
        <v>0</v>
      </c>
      <c r="CP340">
        <v>1</v>
      </c>
      <c r="CQ340">
        <v>4885256.91</v>
      </c>
      <c r="CR340">
        <v>53770.11</v>
      </c>
      <c r="CS340" t="s">
        <v>145</v>
      </c>
      <c r="CT340">
        <v>53743.142200000002</v>
      </c>
      <c r="CU340">
        <v>3.19</v>
      </c>
      <c r="CV340">
        <v>45</v>
      </c>
      <c r="CW340" t="s">
        <v>171</v>
      </c>
      <c r="CX340" t="s">
        <v>172</v>
      </c>
      <c r="CY340">
        <v>178</v>
      </c>
    </row>
    <row r="341" spans="1:103" x14ac:dyDescent="0.25">
      <c r="A341" t="s">
        <v>106</v>
      </c>
      <c r="B341" s="38">
        <v>45151</v>
      </c>
      <c r="C341" s="43">
        <f>IF(YEAR(Таблица1[[#This Row],[Дата]])=2023,MONTH(Таблица1[[#This Row],[Дата]]),0)</f>
        <v>8</v>
      </c>
      <c r="D341" t="s">
        <v>1354</v>
      </c>
      <c r="E341" t="s">
        <v>108</v>
      </c>
      <c r="F341" t="s">
        <v>1355</v>
      </c>
      <c r="G341" t="s">
        <v>110</v>
      </c>
      <c r="H341" t="s">
        <v>111</v>
      </c>
      <c r="I341" t="s">
        <v>112</v>
      </c>
      <c r="J341" t="s">
        <v>112</v>
      </c>
      <c r="K341" t="s">
        <v>112</v>
      </c>
      <c r="L341" t="s">
        <v>150</v>
      </c>
      <c r="M341" t="s">
        <v>1020</v>
      </c>
      <c r="N341" t="s">
        <v>112</v>
      </c>
      <c r="O341" t="s">
        <v>112</v>
      </c>
      <c r="P341">
        <v>1</v>
      </c>
      <c r="Q341">
        <v>0</v>
      </c>
      <c r="R341">
        <v>1</v>
      </c>
      <c r="S341">
        <v>33</v>
      </c>
      <c r="T341" t="s">
        <v>166</v>
      </c>
      <c r="U341" t="s">
        <v>152</v>
      </c>
      <c r="V341" t="s">
        <v>153</v>
      </c>
      <c r="W341" t="s">
        <v>154</v>
      </c>
      <c r="X341" t="s">
        <v>119</v>
      </c>
      <c r="Y341" t="s">
        <v>112</v>
      </c>
      <c r="Z341" t="s">
        <v>166</v>
      </c>
      <c r="AA341" t="s">
        <v>152</v>
      </c>
      <c r="AB341" t="s">
        <v>153</v>
      </c>
      <c r="AC341" t="s">
        <v>154</v>
      </c>
      <c r="AD341" t="s">
        <v>119</v>
      </c>
      <c r="AE341" t="s">
        <v>112</v>
      </c>
      <c r="AF341" t="s">
        <v>121</v>
      </c>
      <c r="AG341" t="s">
        <v>122</v>
      </c>
      <c r="AH341">
        <v>4317701.0999999996</v>
      </c>
      <c r="AI341" t="s">
        <v>166</v>
      </c>
      <c r="AJ341" t="s">
        <v>152</v>
      </c>
      <c r="AK341" t="s">
        <v>153</v>
      </c>
      <c r="AL341" t="s">
        <v>154</v>
      </c>
      <c r="AM341" t="s">
        <v>119</v>
      </c>
      <c r="AN341" t="s">
        <v>112</v>
      </c>
      <c r="AO341" t="s">
        <v>121</v>
      </c>
      <c r="AP341" t="s">
        <v>122</v>
      </c>
      <c r="AQ341" t="s">
        <v>122</v>
      </c>
      <c r="AR341" t="s">
        <v>124</v>
      </c>
      <c r="AS341" t="s">
        <v>125</v>
      </c>
      <c r="AT341">
        <v>2</v>
      </c>
      <c r="AU341" t="s">
        <v>126</v>
      </c>
      <c r="AV341" t="s">
        <v>155</v>
      </c>
      <c r="AW341" t="s">
        <v>156</v>
      </c>
      <c r="AX341">
        <v>1</v>
      </c>
      <c r="AY341" t="s">
        <v>129</v>
      </c>
      <c r="AZ341">
        <v>42763.56</v>
      </c>
      <c r="BA341">
        <v>3937433</v>
      </c>
      <c r="BB341">
        <v>51258.66</v>
      </c>
      <c r="BC341">
        <v>92.0745</v>
      </c>
      <c r="BD341" t="s">
        <v>130</v>
      </c>
      <c r="BE341" t="s">
        <v>112</v>
      </c>
      <c r="BF341" t="s">
        <v>157</v>
      </c>
      <c r="BG341" t="s">
        <v>133</v>
      </c>
      <c r="BH341" t="s">
        <v>134</v>
      </c>
      <c r="BI341" t="s">
        <v>112</v>
      </c>
      <c r="BJ341" t="s">
        <v>112</v>
      </c>
      <c r="BK341" t="s">
        <v>112</v>
      </c>
      <c r="BL341" t="s">
        <v>169</v>
      </c>
      <c r="BM341" t="s">
        <v>159</v>
      </c>
      <c r="BN341" t="s">
        <v>722</v>
      </c>
      <c r="BO341" t="s">
        <v>161</v>
      </c>
      <c r="BP341">
        <v>1</v>
      </c>
      <c r="BQ341" t="s">
        <v>1356</v>
      </c>
      <c r="BR341" s="45">
        <f>ISNUMBER(SEARCH($BR$1,Таблица1[[#This Row],[31_1 Описание и характеристика товара]]))*1</f>
        <v>1</v>
      </c>
      <c r="BT341" t="s">
        <v>150</v>
      </c>
      <c r="BU341">
        <v>33</v>
      </c>
      <c r="BV341">
        <v>0</v>
      </c>
      <c r="BW341">
        <v>0</v>
      </c>
      <c r="BY341">
        <v>0</v>
      </c>
      <c r="CA341" t="s">
        <v>106</v>
      </c>
      <c r="CB341" t="s">
        <v>142</v>
      </c>
      <c r="CC341" t="s">
        <v>112</v>
      </c>
      <c r="CD341" t="s">
        <v>112</v>
      </c>
      <c r="CE341" t="s">
        <v>121</v>
      </c>
      <c r="CF341">
        <v>17238.04</v>
      </c>
      <c r="CG341" t="s">
        <v>144</v>
      </c>
      <c r="CH341">
        <v>4000000</v>
      </c>
      <c r="CI341">
        <v>17238.04</v>
      </c>
      <c r="CJ341">
        <v>0</v>
      </c>
      <c r="CK341" t="s">
        <v>112</v>
      </c>
      <c r="CL341" t="s">
        <v>112</v>
      </c>
      <c r="CM341">
        <v>42763.56</v>
      </c>
      <c r="CN341">
        <v>3937433</v>
      </c>
      <c r="CO341">
        <v>0</v>
      </c>
      <c r="CP341">
        <v>1</v>
      </c>
      <c r="CQ341">
        <v>4317701.0999999996</v>
      </c>
      <c r="CR341">
        <v>51258.66</v>
      </c>
      <c r="CS341" t="s">
        <v>145</v>
      </c>
      <c r="CT341">
        <v>51196.978800000004</v>
      </c>
      <c r="CU341">
        <v>2.97</v>
      </c>
      <c r="CV341">
        <v>45</v>
      </c>
      <c r="CW341" t="s">
        <v>171</v>
      </c>
      <c r="CX341" t="s">
        <v>350</v>
      </c>
      <c r="CY341">
        <v>77</v>
      </c>
    </row>
    <row r="342" spans="1:103" x14ac:dyDescent="0.25">
      <c r="A342" t="s">
        <v>106</v>
      </c>
      <c r="B342" s="38">
        <v>44951</v>
      </c>
      <c r="C342" s="43">
        <f>IF(YEAR(Таблица1[[#This Row],[Дата]])=2023,MONTH(Таблица1[[#This Row],[Дата]]),0)</f>
        <v>1</v>
      </c>
      <c r="D342" t="s">
        <v>1362</v>
      </c>
      <c r="E342" t="s">
        <v>108</v>
      </c>
      <c r="F342" t="s">
        <v>1363</v>
      </c>
      <c r="G342" t="s">
        <v>110</v>
      </c>
      <c r="H342" t="s">
        <v>111</v>
      </c>
      <c r="I342" t="s">
        <v>112</v>
      </c>
      <c r="J342" t="s">
        <v>112</v>
      </c>
      <c r="K342" t="s">
        <v>112</v>
      </c>
      <c r="L342" t="s">
        <v>150</v>
      </c>
      <c r="M342" t="s">
        <v>1020</v>
      </c>
      <c r="N342" t="s">
        <v>112</v>
      </c>
      <c r="O342" t="s">
        <v>112</v>
      </c>
      <c r="P342">
        <v>1</v>
      </c>
      <c r="Q342">
        <v>0</v>
      </c>
      <c r="R342">
        <v>1</v>
      </c>
      <c r="S342">
        <v>33</v>
      </c>
      <c r="T342" t="s">
        <v>166</v>
      </c>
      <c r="U342" t="s">
        <v>152</v>
      </c>
      <c r="V342" t="s">
        <v>153</v>
      </c>
      <c r="W342" t="s">
        <v>154</v>
      </c>
      <c r="X342" t="s">
        <v>119</v>
      </c>
      <c r="Y342" t="s">
        <v>112</v>
      </c>
      <c r="Z342" t="s">
        <v>166</v>
      </c>
      <c r="AA342" t="s">
        <v>152</v>
      </c>
      <c r="AB342" t="s">
        <v>153</v>
      </c>
      <c r="AC342" t="s">
        <v>154</v>
      </c>
      <c r="AD342" t="s">
        <v>119</v>
      </c>
      <c r="AE342" t="s">
        <v>112</v>
      </c>
      <c r="AF342" t="s">
        <v>121</v>
      </c>
      <c r="AG342" t="s">
        <v>122</v>
      </c>
      <c r="AH342">
        <v>4378054.09</v>
      </c>
      <c r="AI342" t="s">
        <v>166</v>
      </c>
      <c r="AJ342" t="s">
        <v>152</v>
      </c>
      <c r="AK342" t="s">
        <v>153</v>
      </c>
      <c r="AL342" t="s">
        <v>154</v>
      </c>
      <c r="AM342" t="s">
        <v>119</v>
      </c>
      <c r="AN342" t="s">
        <v>112</v>
      </c>
      <c r="AO342" t="s">
        <v>121</v>
      </c>
      <c r="AP342" t="s">
        <v>122</v>
      </c>
      <c r="AQ342" t="s">
        <v>122</v>
      </c>
      <c r="AR342" t="s">
        <v>124</v>
      </c>
      <c r="AS342" t="s">
        <v>125</v>
      </c>
      <c r="AT342">
        <v>2</v>
      </c>
      <c r="AU342" t="s">
        <v>126</v>
      </c>
      <c r="AV342" t="s">
        <v>155</v>
      </c>
      <c r="AW342" t="s">
        <v>156</v>
      </c>
      <c r="AX342">
        <v>1</v>
      </c>
      <c r="AY342" t="s">
        <v>129</v>
      </c>
      <c r="AZ342">
        <v>43419.040000000001</v>
      </c>
      <c r="BA342">
        <v>3997786</v>
      </c>
      <c r="BB342">
        <v>51975.15</v>
      </c>
      <c r="BC342">
        <v>92.0745</v>
      </c>
      <c r="BD342" t="s">
        <v>130</v>
      </c>
      <c r="BE342" t="s">
        <v>112</v>
      </c>
      <c r="BF342" t="s">
        <v>157</v>
      </c>
      <c r="BG342" t="s">
        <v>133</v>
      </c>
      <c r="BH342" t="s">
        <v>134</v>
      </c>
      <c r="BI342" t="s">
        <v>112</v>
      </c>
      <c r="BJ342" t="s">
        <v>112</v>
      </c>
      <c r="BK342" t="s">
        <v>112</v>
      </c>
      <c r="BL342" t="s">
        <v>169</v>
      </c>
      <c r="BM342" t="s">
        <v>159</v>
      </c>
      <c r="BN342" t="s">
        <v>722</v>
      </c>
      <c r="BO342" t="s">
        <v>161</v>
      </c>
      <c r="BP342">
        <v>1</v>
      </c>
      <c r="BQ342" t="s">
        <v>863</v>
      </c>
      <c r="BR342" s="45">
        <f>ISNUMBER(SEARCH($BR$1,Таблица1[[#This Row],[31_1 Описание и характеристика товара]]))*1</f>
        <v>1</v>
      </c>
      <c r="BT342" t="s">
        <v>150</v>
      </c>
      <c r="BU342">
        <v>33</v>
      </c>
      <c r="BV342">
        <v>0</v>
      </c>
      <c r="BW342">
        <v>0</v>
      </c>
      <c r="BY342">
        <v>0</v>
      </c>
      <c r="CA342" t="s">
        <v>106</v>
      </c>
      <c r="CB342" t="s">
        <v>142</v>
      </c>
      <c r="CC342" t="s">
        <v>112</v>
      </c>
      <c r="CD342" t="s">
        <v>112</v>
      </c>
      <c r="CE342" t="s">
        <v>121</v>
      </c>
      <c r="CF342">
        <v>16903.810000000001</v>
      </c>
      <c r="CG342" t="s">
        <v>144</v>
      </c>
      <c r="CH342">
        <v>4000000</v>
      </c>
      <c r="CI342">
        <v>16903.810000000001</v>
      </c>
      <c r="CJ342">
        <v>0</v>
      </c>
      <c r="CK342" t="s">
        <v>112</v>
      </c>
      <c r="CL342" t="s">
        <v>112</v>
      </c>
      <c r="CM342">
        <v>43419.040000000001</v>
      </c>
      <c r="CN342">
        <v>3997786</v>
      </c>
      <c r="CO342">
        <v>0</v>
      </c>
      <c r="CP342">
        <v>1</v>
      </c>
      <c r="CQ342">
        <v>4378054.09</v>
      </c>
      <c r="CR342">
        <v>51975.15</v>
      </c>
      <c r="CS342" t="s">
        <v>145</v>
      </c>
      <c r="CT342">
        <v>51894.6967</v>
      </c>
      <c r="CU342">
        <v>3.07</v>
      </c>
      <c r="CV342">
        <v>45</v>
      </c>
      <c r="CW342" t="s">
        <v>171</v>
      </c>
      <c r="CX342" t="s">
        <v>463</v>
      </c>
      <c r="CY342">
        <v>152</v>
      </c>
    </row>
    <row r="343" spans="1:103" x14ac:dyDescent="0.25">
      <c r="A343" t="s">
        <v>106</v>
      </c>
      <c r="B343" s="38">
        <v>45128</v>
      </c>
      <c r="C343" s="43">
        <f>IF(YEAR(Таблица1[[#This Row],[Дата]])=2023,MONTH(Таблица1[[#This Row],[Дата]]),0)</f>
        <v>7</v>
      </c>
      <c r="D343" t="s">
        <v>1359</v>
      </c>
      <c r="E343" t="s">
        <v>108</v>
      </c>
      <c r="F343" t="s">
        <v>1360</v>
      </c>
      <c r="G343" t="s">
        <v>110</v>
      </c>
      <c r="H343" t="s">
        <v>111</v>
      </c>
      <c r="I343" t="s">
        <v>112</v>
      </c>
      <c r="J343" t="s">
        <v>112</v>
      </c>
      <c r="K343" t="s">
        <v>112</v>
      </c>
      <c r="L343" t="s">
        <v>150</v>
      </c>
      <c r="M343" t="s">
        <v>1020</v>
      </c>
      <c r="N343" t="s">
        <v>112</v>
      </c>
      <c r="O343" t="s">
        <v>112</v>
      </c>
      <c r="P343">
        <v>1</v>
      </c>
      <c r="Q343">
        <v>0</v>
      </c>
      <c r="R343">
        <v>1</v>
      </c>
      <c r="S343">
        <v>33</v>
      </c>
      <c r="T343" t="s">
        <v>166</v>
      </c>
      <c r="U343" t="s">
        <v>152</v>
      </c>
      <c r="V343" t="s">
        <v>153</v>
      </c>
      <c r="W343" t="s">
        <v>154</v>
      </c>
      <c r="X343" t="s">
        <v>119</v>
      </c>
      <c r="Y343" t="s">
        <v>112</v>
      </c>
      <c r="Z343" t="s">
        <v>166</v>
      </c>
      <c r="AA343" t="s">
        <v>152</v>
      </c>
      <c r="AB343" t="s">
        <v>153</v>
      </c>
      <c r="AC343" t="s">
        <v>154</v>
      </c>
      <c r="AD343" t="s">
        <v>119</v>
      </c>
      <c r="AE343" t="s">
        <v>112</v>
      </c>
      <c r="AF343" t="s">
        <v>121</v>
      </c>
      <c r="AG343" t="s">
        <v>122</v>
      </c>
      <c r="AH343">
        <v>4523270.3099999996</v>
      </c>
      <c r="AI343" t="s">
        <v>166</v>
      </c>
      <c r="AJ343" t="s">
        <v>152</v>
      </c>
      <c r="AK343" t="s">
        <v>153</v>
      </c>
      <c r="AL343" t="s">
        <v>154</v>
      </c>
      <c r="AM343" t="s">
        <v>119</v>
      </c>
      <c r="AN343" t="s">
        <v>112</v>
      </c>
      <c r="AO343" t="s">
        <v>121</v>
      </c>
      <c r="AP343" t="s">
        <v>122</v>
      </c>
      <c r="AQ343" t="s">
        <v>122</v>
      </c>
      <c r="AR343" t="s">
        <v>124</v>
      </c>
      <c r="AS343" t="s">
        <v>125</v>
      </c>
      <c r="AT343">
        <v>2</v>
      </c>
      <c r="AU343" t="s">
        <v>126</v>
      </c>
      <c r="AV343" t="s">
        <v>155</v>
      </c>
      <c r="AW343" t="s">
        <v>156</v>
      </c>
      <c r="AX343">
        <v>1</v>
      </c>
      <c r="AY343" t="s">
        <v>129</v>
      </c>
      <c r="AZ343">
        <v>44996.2</v>
      </c>
      <c r="BA343">
        <v>4143003</v>
      </c>
      <c r="BB343">
        <v>53699.12</v>
      </c>
      <c r="BC343">
        <v>92.0745</v>
      </c>
      <c r="BD343" t="s">
        <v>130</v>
      </c>
      <c r="BE343" t="s">
        <v>112</v>
      </c>
      <c r="BF343" t="s">
        <v>157</v>
      </c>
      <c r="BG343" t="s">
        <v>133</v>
      </c>
      <c r="BH343" t="s">
        <v>134</v>
      </c>
      <c r="BI343" t="s">
        <v>112</v>
      </c>
      <c r="BJ343" t="s">
        <v>112</v>
      </c>
      <c r="BK343" t="s">
        <v>112</v>
      </c>
      <c r="BL343" t="s">
        <v>169</v>
      </c>
      <c r="BM343" t="s">
        <v>159</v>
      </c>
      <c r="BN343" t="s">
        <v>722</v>
      </c>
      <c r="BO343" t="s">
        <v>161</v>
      </c>
      <c r="BP343">
        <v>1</v>
      </c>
      <c r="BQ343" t="s">
        <v>1361</v>
      </c>
      <c r="BR343" s="45">
        <f>ISNUMBER(SEARCH($BR$1,Таблица1[[#This Row],[31_1 Описание и характеристика товара]]))*1</f>
        <v>1</v>
      </c>
      <c r="BT343" t="s">
        <v>150</v>
      </c>
      <c r="BU343">
        <v>33</v>
      </c>
      <c r="BV343">
        <v>0</v>
      </c>
      <c r="BW343">
        <v>0</v>
      </c>
      <c r="BY343">
        <v>0</v>
      </c>
      <c r="CA343" t="s">
        <v>106</v>
      </c>
      <c r="CB343" t="s">
        <v>142</v>
      </c>
      <c r="CC343" t="s">
        <v>112</v>
      </c>
      <c r="CD343" t="s">
        <v>112</v>
      </c>
      <c r="CE343" t="s">
        <v>121</v>
      </c>
      <c r="CF343">
        <v>17143.68</v>
      </c>
      <c r="CG343" t="s">
        <v>144</v>
      </c>
      <c r="CH343">
        <v>4000000</v>
      </c>
      <c r="CI343">
        <v>17143.68</v>
      </c>
      <c r="CJ343">
        <v>0</v>
      </c>
      <c r="CK343" t="s">
        <v>112</v>
      </c>
      <c r="CL343" t="s">
        <v>112</v>
      </c>
      <c r="CM343">
        <v>44996.2</v>
      </c>
      <c r="CN343">
        <v>4143003</v>
      </c>
      <c r="CO343">
        <v>0</v>
      </c>
      <c r="CP343">
        <v>1</v>
      </c>
      <c r="CQ343">
        <v>4523270.3099999996</v>
      </c>
      <c r="CR343">
        <v>53699.12</v>
      </c>
      <c r="CS343" t="s">
        <v>145</v>
      </c>
      <c r="CT343">
        <v>53659.718399999998</v>
      </c>
      <c r="CU343">
        <v>3.13</v>
      </c>
      <c r="CV343">
        <v>45</v>
      </c>
      <c r="CW343" t="s">
        <v>171</v>
      </c>
      <c r="CX343" t="s">
        <v>350</v>
      </c>
      <c r="CY343">
        <v>177</v>
      </c>
    </row>
    <row r="344" spans="1:103" x14ac:dyDescent="0.25">
      <c r="A344" t="s">
        <v>106</v>
      </c>
      <c r="B344" s="38">
        <v>45237</v>
      </c>
      <c r="C344" s="43">
        <f>IF(YEAR(Таблица1[[#This Row],[Дата]])=2023,MONTH(Таблица1[[#This Row],[Дата]]),0)</f>
        <v>11</v>
      </c>
      <c r="D344" t="s">
        <v>1357</v>
      </c>
      <c r="E344" t="s">
        <v>108</v>
      </c>
      <c r="F344" t="s">
        <v>1358</v>
      </c>
      <c r="G344" t="s">
        <v>110</v>
      </c>
      <c r="H344" t="s">
        <v>111</v>
      </c>
      <c r="I344" t="s">
        <v>112</v>
      </c>
      <c r="J344" t="s">
        <v>112</v>
      </c>
      <c r="K344" t="s">
        <v>112</v>
      </c>
      <c r="L344" t="s">
        <v>150</v>
      </c>
      <c r="M344" t="s">
        <v>1020</v>
      </c>
      <c r="N344" t="s">
        <v>112</v>
      </c>
      <c r="O344" t="s">
        <v>112</v>
      </c>
      <c r="P344">
        <v>1</v>
      </c>
      <c r="Q344">
        <v>0</v>
      </c>
      <c r="R344">
        <v>1</v>
      </c>
      <c r="S344">
        <v>33</v>
      </c>
      <c r="T344" t="s">
        <v>166</v>
      </c>
      <c r="U344" t="s">
        <v>152</v>
      </c>
      <c r="V344" t="s">
        <v>153</v>
      </c>
      <c r="W344" t="s">
        <v>154</v>
      </c>
      <c r="X344" t="s">
        <v>119</v>
      </c>
      <c r="Y344" t="s">
        <v>112</v>
      </c>
      <c r="Z344" t="s">
        <v>166</v>
      </c>
      <c r="AA344" t="s">
        <v>152</v>
      </c>
      <c r="AB344" t="s">
        <v>153</v>
      </c>
      <c r="AC344" t="s">
        <v>154</v>
      </c>
      <c r="AD344" t="s">
        <v>119</v>
      </c>
      <c r="AE344" t="s">
        <v>112</v>
      </c>
      <c r="AF344" t="s">
        <v>121</v>
      </c>
      <c r="AG344" t="s">
        <v>122</v>
      </c>
      <c r="AH344">
        <v>4560356.07</v>
      </c>
      <c r="AI344" t="s">
        <v>166</v>
      </c>
      <c r="AJ344" t="s">
        <v>152</v>
      </c>
      <c r="AK344" t="s">
        <v>153</v>
      </c>
      <c r="AL344" t="s">
        <v>154</v>
      </c>
      <c r="AM344" t="s">
        <v>119</v>
      </c>
      <c r="AN344" t="s">
        <v>112</v>
      </c>
      <c r="AO344" t="s">
        <v>121</v>
      </c>
      <c r="AP344" t="s">
        <v>122</v>
      </c>
      <c r="AQ344" t="s">
        <v>122</v>
      </c>
      <c r="AR344" t="s">
        <v>124</v>
      </c>
      <c r="AS344" t="s">
        <v>125</v>
      </c>
      <c r="AT344">
        <v>2</v>
      </c>
      <c r="AU344" t="s">
        <v>126</v>
      </c>
      <c r="AV344" t="s">
        <v>155</v>
      </c>
      <c r="AW344" t="s">
        <v>156</v>
      </c>
      <c r="AX344">
        <v>1</v>
      </c>
      <c r="AY344" t="s">
        <v>129</v>
      </c>
      <c r="AZ344">
        <v>45398.98</v>
      </c>
      <c r="BA344">
        <v>4180088</v>
      </c>
      <c r="BB344">
        <v>54139.39</v>
      </c>
      <c r="BC344">
        <v>92.0745</v>
      </c>
      <c r="BD344" t="s">
        <v>130</v>
      </c>
      <c r="BE344" t="s">
        <v>112</v>
      </c>
      <c r="BF344" t="s">
        <v>157</v>
      </c>
      <c r="BG344" t="s">
        <v>133</v>
      </c>
      <c r="BH344" t="s">
        <v>134</v>
      </c>
      <c r="BI344" t="s">
        <v>112</v>
      </c>
      <c r="BJ344" t="s">
        <v>112</v>
      </c>
      <c r="BK344" t="s">
        <v>112</v>
      </c>
      <c r="BL344" t="s">
        <v>169</v>
      </c>
      <c r="BM344" t="s">
        <v>159</v>
      </c>
      <c r="BN344" t="s">
        <v>722</v>
      </c>
      <c r="BO344" t="s">
        <v>161</v>
      </c>
      <c r="BP344">
        <v>1</v>
      </c>
      <c r="BQ344" t="s">
        <v>205</v>
      </c>
      <c r="BR344" s="45">
        <f>ISNUMBER(SEARCH($BR$1,Таблица1[[#This Row],[31_1 Описание и характеристика товара]]))*1</f>
        <v>1</v>
      </c>
      <c r="BT344" t="s">
        <v>150</v>
      </c>
      <c r="BU344">
        <v>33</v>
      </c>
      <c r="BV344">
        <v>0</v>
      </c>
      <c r="BW344">
        <v>0</v>
      </c>
      <c r="BY344">
        <v>0</v>
      </c>
      <c r="CA344" t="s">
        <v>106</v>
      </c>
      <c r="CB344" t="s">
        <v>142</v>
      </c>
      <c r="CC344" t="s">
        <v>112</v>
      </c>
      <c r="CD344" t="s">
        <v>112</v>
      </c>
      <c r="CE344" t="s">
        <v>121</v>
      </c>
      <c r="CF344">
        <v>17229.78</v>
      </c>
      <c r="CG344" t="s">
        <v>144</v>
      </c>
      <c r="CH344">
        <v>4000000</v>
      </c>
      <c r="CI344">
        <v>17229.78</v>
      </c>
      <c r="CJ344">
        <v>0</v>
      </c>
      <c r="CK344" t="s">
        <v>112</v>
      </c>
      <c r="CL344" t="s">
        <v>112</v>
      </c>
      <c r="CM344">
        <v>45398.98</v>
      </c>
      <c r="CN344">
        <v>4180088</v>
      </c>
      <c r="CO344">
        <v>0</v>
      </c>
      <c r="CP344">
        <v>1</v>
      </c>
      <c r="CQ344">
        <v>4560356.07</v>
      </c>
      <c r="CR344">
        <v>54139.39</v>
      </c>
      <c r="CS344" t="s">
        <v>145</v>
      </c>
      <c r="CT344">
        <v>54101.5092</v>
      </c>
      <c r="CU344">
        <v>3.14</v>
      </c>
      <c r="CV344">
        <v>45</v>
      </c>
      <c r="CW344" t="s">
        <v>171</v>
      </c>
      <c r="CX344" t="s">
        <v>369</v>
      </c>
      <c r="CY344">
        <v>77</v>
      </c>
    </row>
    <row r="345" spans="1:103" x14ac:dyDescent="0.25">
      <c r="A345" t="s">
        <v>106</v>
      </c>
      <c r="B345" s="38">
        <v>45290</v>
      </c>
      <c r="C345" s="43">
        <f>IF(YEAR(Таблица1[[#This Row],[Дата]])=2023,MONTH(Таблица1[[#This Row],[Дата]]),0)</f>
        <v>12</v>
      </c>
      <c r="D345" t="s">
        <v>981</v>
      </c>
      <c r="E345" t="s">
        <v>108</v>
      </c>
      <c r="F345" t="s">
        <v>982</v>
      </c>
      <c r="G345" t="s">
        <v>110</v>
      </c>
      <c r="H345" t="s">
        <v>111</v>
      </c>
      <c r="I345" t="s">
        <v>112</v>
      </c>
      <c r="J345" t="s">
        <v>112</v>
      </c>
      <c r="K345" t="s">
        <v>112</v>
      </c>
      <c r="L345" t="s">
        <v>150</v>
      </c>
      <c r="M345" t="s">
        <v>151</v>
      </c>
      <c r="N345" t="s">
        <v>112</v>
      </c>
      <c r="O345" t="s">
        <v>112</v>
      </c>
      <c r="P345">
        <v>1</v>
      </c>
      <c r="Q345">
        <v>0</v>
      </c>
      <c r="R345">
        <v>1</v>
      </c>
      <c r="S345">
        <v>33</v>
      </c>
      <c r="T345" t="s">
        <v>166</v>
      </c>
      <c r="U345" t="s">
        <v>152</v>
      </c>
      <c r="V345" t="s">
        <v>153</v>
      </c>
      <c r="W345" t="s">
        <v>154</v>
      </c>
      <c r="X345" t="s">
        <v>119</v>
      </c>
      <c r="Y345" t="s">
        <v>112</v>
      </c>
      <c r="Z345" t="s">
        <v>166</v>
      </c>
      <c r="AA345" t="s">
        <v>152</v>
      </c>
      <c r="AB345" t="s">
        <v>153</v>
      </c>
      <c r="AC345" t="s">
        <v>154</v>
      </c>
      <c r="AD345" t="s">
        <v>119</v>
      </c>
      <c r="AE345" t="s">
        <v>112</v>
      </c>
      <c r="AF345" t="s">
        <v>121</v>
      </c>
      <c r="AG345" t="s">
        <v>122</v>
      </c>
      <c r="AH345">
        <v>3550305.45</v>
      </c>
      <c r="AI345" t="s">
        <v>166</v>
      </c>
      <c r="AJ345" t="s">
        <v>152</v>
      </c>
      <c r="AK345" t="s">
        <v>153</v>
      </c>
      <c r="AL345" t="s">
        <v>154</v>
      </c>
      <c r="AM345" t="s">
        <v>119</v>
      </c>
      <c r="AN345" t="s">
        <v>112</v>
      </c>
      <c r="AO345" t="s">
        <v>121</v>
      </c>
      <c r="AP345" t="s">
        <v>122</v>
      </c>
      <c r="AQ345" t="s">
        <v>122</v>
      </c>
      <c r="AR345" t="s">
        <v>124</v>
      </c>
      <c r="AS345" t="s">
        <v>125</v>
      </c>
      <c r="AT345">
        <v>2</v>
      </c>
      <c r="AU345" t="s">
        <v>126</v>
      </c>
      <c r="AV345" t="s">
        <v>155</v>
      </c>
      <c r="AW345" t="s">
        <v>156</v>
      </c>
      <c r="AX345">
        <v>1</v>
      </c>
      <c r="AY345" t="s">
        <v>129</v>
      </c>
      <c r="AZ345">
        <v>38750.04</v>
      </c>
      <c r="BA345">
        <v>3191980</v>
      </c>
      <c r="BB345">
        <v>45963.29</v>
      </c>
      <c r="BC345">
        <v>82.373599999999996</v>
      </c>
      <c r="BD345" t="s">
        <v>130</v>
      </c>
      <c r="BE345" t="s">
        <v>112</v>
      </c>
      <c r="BF345" t="s">
        <v>157</v>
      </c>
      <c r="BG345" t="s">
        <v>133</v>
      </c>
      <c r="BH345" t="s">
        <v>134</v>
      </c>
      <c r="BI345" t="s">
        <v>112</v>
      </c>
      <c r="BJ345" t="s">
        <v>112</v>
      </c>
      <c r="BK345" t="s">
        <v>112</v>
      </c>
      <c r="BL345" t="s">
        <v>169</v>
      </c>
      <c r="BM345" t="s">
        <v>159</v>
      </c>
      <c r="BN345" t="s">
        <v>212</v>
      </c>
      <c r="BO345" t="s">
        <v>161</v>
      </c>
      <c r="BP345">
        <v>1</v>
      </c>
      <c r="BQ345" t="s">
        <v>213</v>
      </c>
      <c r="BR345" s="45">
        <f>ISNUMBER(SEARCH($BR$1,Таблица1[[#This Row],[31_1 Описание и характеристика товара]]))*1</f>
        <v>1</v>
      </c>
      <c r="BT345" t="s">
        <v>150</v>
      </c>
      <c r="BU345">
        <v>33</v>
      </c>
      <c r="BV345">
        <v>0</v>
      </c>
      <c r="BW345">
        <v>0</v>
      </c>
      <c r="BY345">
        <v>0</v>
      </c>
      <c r="CA345" t="s">
        <v>106</v>
      </c>
      <c r="CB345" t="s">
        <v>142</v>
      </c>
      <c r="CC345" t="s">
        <v>112</v>
      </c>
      <c r="CD345" t="s">
        <v>112</v>
      </c>
      <c r="CE345" t="s">
        <v>121</v>
      </c>
      <c r="CF345">
        <v>16051.73</v>
      </c>
      <c r="CG345" t="s">
        <v>144</v>
      </c>
      <c r="CH345">
        <v>4000000</v>
      </c>
      <c r="CI345">
        <v>15792.53</v>
      </c>
      <c r="CJ345">
        <v>0</v>
      </c>
      <c r="CK345" t="s">
        <v>112</v>
      </c>
      <c r="CL345" t="s">
        <v>112</v>
      </c>
      <c r="CM345">
        <v>38750.04</v>
      </c>
      <c r="CN345">
        <v>3191980</v>
      </c>
      <c r="CO345">
        <v>0</v>
      </c>
      <c r="CP345">
        <v>1</v>
      </c>
      <c r="CQ345">
        <v>3550305.45</v>
      </c>
      <c r="CR345">
        <v>45963.29</v>
      </c>
      <c r="CS345" t="s">
        <v>145</v>
      </c>
      <c r="CT345">
        <v>45962.579312000002</v>
      </c>
      <c r="CU345">
        <v>2.9104000000000001</v>
      </c>
      <c r="CV345">
        <v>45</v>
      </c>
      <c r="CW345" t="s">
        <v>171</v>
      </c>
      <c r="CX345" t="s">
        <v>463</v>
      </c>
      <c r="CY345">
        <v>15</v>
      </c>
    </row>
    <row r="346" spans="1:103" x14ac:dyDescent="0.25">
      <c r="A346" t="s">
        <v>106</v>
      </c>
      <c r="B346" s="38">
        <v>45008</v>
      </c>
      <c r="C346" s="43">
        <f>IF(YEAR(Таблица1[[#This Row],[Дата]])=2023,MONTH(Таблица1[[#This Row],[Дата]]),0)</f>
        <v>3</v>
      </c>
      <c r="D346" t="s">
        <v>978</v>
      </c>
      <c r="E346" t="s">
        <v>108</v>
      </c>
      <c r="F346" t="s">
        <v>979</v>
      </c>
      <c r="G346" t="s">
        <v>110</v>
      </c>
      <c r="H346" t="s">
        <v>111</v>
      </c>
      <c r="I346" t="s">
        <v>112</v>
      </c>
      <c r="J346" t="s">
        <v>112</v>
      </c>
      <c r="K346" t="s">
        <v>112</v>
      </c>
      <c r="L346" t="s">
        <v>150</v>
      </c>
      <c r="M346" t="s">
        <v>151</v>
      </c>
      <c r="N346" t="s">
        <v>112</v>
      </c>
      <c r="O346" t="s">
        <v>112</v>
      </c>
      <c r="P346">
        <v>1</v>
      </c>
      <c r="Q346">
        <v>0</v>
      </c>
      <c r="R346">
        <v>1</v>
      </c>
      <c r="S346">
        <v>33</v>
      </c>
      <c r="T346" t="s">
        <v>166</v>
      </c>
      <c r="U346" t="s">
        <v>152</v>
      </c>
      <c r="V346" t="s">
        <v>153</v>
      </c>
      <c r="W346" t="s">
        <v>154</v>
      </c>
      <c r="X346" t="s">
        <v>119</v>
      </c>
      <c r="Y346" t="s">
        <v>112</v>
      </c>
      <c r="Z346" t="s">
        <v>166</v>
      </c>
      <c r="AA346" t="s">
        <v>152</v>
      </c>
      <c r="AB346" t="s">
        <v>153</v>
      </c>
      <c r="AC346" t="s">
        <v>154</v>
      </c>
      <c r="AD346" t="s">
        <v>119</v>
      </c>
      <c r="AE346" t="s">
        <v>112</v>
      </c>
      <c r="AF346" t="s">
        <v>121</v>
      </c>
      <c r="AG346" t="s">
        <v>122</v>
      </c>
      <c r="AH346">
        <v>3558259.45</v>
      </c>
      <c r="AI346" t="s">
        <v>166</v>
      </c>
      <c r="AJ346" t="s">
        <v>152</v>
      </c>
      <c r="AK346" t="s">
        <v>153</v>
      </c>
      <c r="AL346" t="s">
        <v>154</v>
      </c>
      <c r="AM346" t="s">
        <v>119</v>
      </c>
      <c r="AN346" t="s">
        <v>112</v>
      </c>
      <c r="AO346" t="s">
        <v>121</v>
      </c>
      <c r="AP346" t="s">
        <v>122</v>
      </c>
      <c r="AQ346" t="s">
        <v>122</v>
      </c>
      <c r="AR346" t="s">
        <v>124</v>
      </c>
      <c r="AS346" t="s">
        <v>125</v>
      </c>
      <c r="AT346">
        <v>2</v>
      </c>
      <c r="AU346" t="s">
        <v>126</v>
      </c>
      <c r="AV346" t="s">
        <v>155</v>
      </c>
      <c r="AW346" t="s">
        <v>156</v>
      </c>
      <c r="AX346">
        <v>1</v>
      </c>
      <c r="AY346" t="s">
        <v>129</v>
      </c>
      <c r="AZ346">
        <v>38846.6</v>
      </c>
      <c r="BA346">
        <v>3199934</v>
      </c>
      <c r="BB346">
        <v>46066.26</v>
      </c>
      <c r="BC346">
        <v>82.373599999999996</v>
      </c>
      <c r="BD346" t="s">
        <v>130</v>
      </c>
      <c r="BE346" t="s">
        <v>112</v>
      </c>
      <c r="BF346" t="s">
        <v>157</v>
      </c>
      <c r="BG346" t="s">
        <v>133</v>
      </c>
      <c r="BH346" t="s">
        <v>134</v>
      </c>
      <c r="BI346" t="s">
        <v>112</v>
      </c>
      <c r="BJ346" t="s">
        <v>112</v>
      </c>
      <c r="BK346" t="s">
        <v>112</v>
      </c>
      <c r="BL346" t="s">
        <v>169</v>
      </c>
      <c r="BM346" t="s">
        <v>159</v>
      </c>
      <c r="BN346" t="s">
        <v>212</v>
      </c>
      <c r="BO346" t="s">
        <v>161</v>
      </c>
      <c r="BP346">
        <v>1</v>
      </c>
      <c r="BQ346" t="s">
        <v>980</v>
      </c>
      <c r="BR346" s="45">
        <f>ISNUMBER(SEARCH($BR$1,Таблица1[[#This Row],[31_1 Описание и характеристика товара]]))*1</f>
        <v>1</v>
      </c>
      <c r="BT346" t="s">
        <v>150</v>
      </c>
      <c r="BU346">
        <v>33</v>
      </c>
      <c r="BV346">
        <v>0</v>
      </c>
      <c r="BW346">
        <v>0</v>
      </c>
      <c r="BY346">
        <v>0</v>
      </c>
      <c r="CA346" t="s">
        <v>106</v>
      </c>
      <c r="CB346" t="s">
        <v>142</v>
      </c>
      <c r="CC346" t="s">
        <v>112</v>
      </c>
      <c r="CD346" t="s">
        <v>112</v>
      </c>
      <c r="CE346" t="s">
        <v>121</v>
      </c>
      <c r="CF346">
        <v>17146.54</v>
      </c>
      <c r="CG346" t="s">
        <v>144</v>
      </c>
      <c r="CH346">
        <v>4000000</v>
      </c>
      <c r="CI346">
        <v>17103.34</v>
      </c>
      <c r="CJ346">
        <v>0</v>
      </c>
      <c r="CK346" t="s">
        <v>112</v>
      </c>
      <c r="CL346" t="s">
        <v>112</v>
      </c>
      <c r="CM346">
        <v>38846.6</v>
      </c>
      <c r="CN346">
        <v>3199934</v>
      </c>
      <c r="CO346">
        <v>0</v>
      </c>
      <c r="CP346">
        <v>1</v>
      </c>
      <c r="CQ346">
        <v>3558259.45</v>
      </c>
      <c r="CR346">
        <v>46066.26</v>
      </c>
      <c r="CS346" t="s">
        <v>145</v>
      </c>
      <c r="CT346">
        <v>46066.135955999998</v>
      </c>
      <c r="CU346">
        <v>2.6934</v>
      </c>
      <c r="CV346">
        <v>45</v>
      </c>
      <c r="CW346" t="s">
        <v>171</v>
      </c>
      <c r="CX346" t="s">
        <v>372</v>
      </c>
      <c r="CY346">
        <v>166</v>
      </c>
    </row>
    <row r="347" spans="1:103" x14ac:dyDescent="0.25">
      <c r="A347" t="s">
        <v>106</v>
      </c>
      <c r="B347" s="38">
        <v>45014</v>
      </c>
      <c r="C347" s="43">
        <f>IF(YEAR(Таблица1[[#This Row],[Дата]])=2023,MONTH(Таблица1[[#This Row],[Дата]]),0)</f>
        <v>3</v>
      </c>
      <c r="D347" t="s">
        <v>983</v>
      </c>
      <c r="E347" t="s">
        <v>108</v>
      </c>
      <c r="F347" t="s">
        <v>984</v>
      </c>
      <c r="G347" t="s">
        <v>110</v>
      </c>
      <c r="H347" t="s">
        <v>111</v>
      </c>
      <c r="I347" t="s">
        <v>112</v>
      </c>
      <c r="J347" t="s">
        <v>112</v>
      </c>
      <c r="K347" t="s">
        <v>112</v>
      </c>
      <c r="L347" t="s">
        <v>150</v>
      </c>
      <c r="M347" t="s">
        <v>151</v>
      </c>
      <c r="N347" t="s">
        <v>112</v>
      </c>
      <c r="O347" t="s">
        <v>112</v>
      </c>
      <c r="P347">
        <v>1</v>
      </c>
      <c r="Q347">
        <v>0</v>
      </c>
      <c r="R347">
        <v>1</v>
      </c>
      <c r="S347">
        <v>33</v>
      </c>
      <c r="T347" t="s">
        <v>166</v>
      </c>
      <c r="U347" t="s">
        <v>152</v>
      </c>
      <c r="V347" t="s">
        <v>153</v>
      </c>
      <c r="W347" t="s">
        <v>154</v>
      </c>
      <c r="X347" t="s">
        <v>119</v>
      </c>
      <c r="Y347" t="s">
        <v>112</v>
      </c>
      <c r="Z347" t="s">
        <v>166</v>
      </c>
      <c r="AA347" t="s">
        <v>152</v>
      </c>
      <c r="AB347" t="s">
        <v>153</v>
      </c>
      <c r="AC347" t="s">
        <v>154</v>
      </c>
      <c r="AD347" t="s">
        <v>119</v>
      </c>
      <c r="AE347" t="s">
        <v>112</v>
      </c>
      <c r="AF347" t="s">
        <v>121</v>
      </c>
      <c r="AG347" t="s">
        <v>122</v>
      </c>
      <c r="AH347">
        <v>3834484.49</v>
      </c>
      <c r="AI347" t="s">
        <v>166</v>
      </c>
      <c r="AJ347" t="s">
        <v>152</v>
      </c>
      <c r="AK347" t="s">
        <v>153</v>
      </c>
      <c r="AL347" t="s">
        <v>154</v>
      </c>
      <c r="AM347" t="s">
        <v>119</v>
      </c>
      <c r="AN347" t="s">
        <v>112</v>
      </c>
      <c r="AO347" t="s">
        <v>121</v>
      </c>
      <c r="AP347" t="s">
        <v>122</v>
      </c>
      <c r="AQ347" t="s">
        <v>122</v>
      </c>
      <c r="AR347" t="s">
        <v>124</v>
      </c>
      <c r="AS347" t="s">
        <v>125</v>
      </c>
      <c r="AT347">
        <v>2</v>
      </c>
      <c r="AU347" t="s">
        <v>126</v>
      </c>
      <c r="AV347" t="s">
        <v>155</v>
      </c>
      <c r="AW347" t="s">
        <v>156</v>
      </c>
      <c r="AX347">
        <v>1</v>
      </c>
      <c r="AY347" t="s">
        <v>129</v>
      </c>
      <c r="AZ347">
        <v>42199.92</v>
      </c>
      <c r="BA347">
        <v>3476159</v>
      </c>
      <c r="BB347">
        <v>49642.35</v>
      </c>
      <c r="BC347">
        <v>82.373599999999996</v>
      </c>
      <c r="BD347" t="s">
        <v>130</v>
      </c>
      <c r="BE347" t="s">
        <v>112</v>
      </c>
      <c r="BF347" t="s">
        <v>157</v>
      </c>
      <c r="BG347" t="s">
        <v>133</v>
      </c>
      <c r="BH347" t="s">
        <v>134</v>
      </c>
      <c r="BI347" t="s">
        <v>112</v>
      </c>
      <c r="BJ347" t="s">
        <v>112</v>
      </c>
      <c r="BK347" t="s">
        <v>112</v>
      </c>
      <c r="BL347" t="s">
        <v>169</v>
      </c>
      <c r="BM347" t="s">
        <v>159</v>
      </c>
      <c r="BN347" t="s">
        <v>212</v>
      </c>
      <c r="BO347" t="s">
        <v>161</v>
      </c>
      <c r="BP347">
        <v>1</v>
      </c>
      <c r="BQ347" t="s">
        <v>232</v>
      </c>
      <c r="BR347" s="45">
        <f>ISNUMBER(SEARCH($BR$1,Таблица1[[#This Row],[31_1 Описание и характеристика товара]]))*1</f>
        <v>1</v>
      </c>
      <c r="BT347" t="s">
        <v>150</v>
      </c>
      <c r="BU347">
        <v>33</v>
      </c>
      <c r="BV347">
        <v>0</v>
      </c>
      <c r="BW347">
        <v>0</v>
      </c>
      <c r="BY347">
        <v>0</v>
      </c>
      <c r="CA347" t="s">
        <v>106</v>
      </c>
      <c r="CB347" t="s">
        <v>142</v>
      </c>
      <c r="CC347" t="s">
        <v>112</v>
      </c>
      <c r="CD347" t="s">
        <v>112</v>
      </c>
      <c r="CE347" t="s">
        <v>121</v>
      </c>
      <c r="CF347">
        <v>17202.48</v>
      </c>
      <c r="CG347" t="s">
        <v>144</v>
      </c>
      <c r="CH347">
        <v>4000000</v>
      </c>
      <c r="CI347">
        <v>17202.48</v>
      </c>
      <c r="CJ347">
        <v>0</v>
      </c>
      <c r="CK347" t="s">
        <v>112</v>
      </c>
      <c r="CL347" t="s">
        <v>112</v>
      </c>
      <c r="CM347">
        <v>42199.92</v>
      </c>
      <c r="CN347">
        <v>3476159</v>
      </c>
      <c r="CO347">
        <v>0</v>
      </c>
      <c r="CP347">
        <v>1</v>
      </c>
      <c r="CQ347">
        <v>3834484.49</v>
      </c>
      <c r="CR347">
        <v>49642.35</v>
      </c>
      <c r="CS347" t="s">
        <v>145</v>
      </c>
      <c r="CT347">
        <v>49642.916784000001</v>
      </c>
      <c r="CU347">
        <v>2.8858000000000001</v>
      </c>
      <c r="CV347">
        <v>45</v>
      </c>
      <c r="CW347" t="s">
        <v>171</v>
      </c>
      <c r="CX347" t="s">
        <v>350</v>
      </c>
      <c r="CY347">
        <v>275</v>
      </c>
    </row>
    <row r="348" spans="1:103" x14ac:dyDescent="0.25">
      <c r="A348" t="s">
        <v>106</v>
      </c>
      <c r="B348" s="38">
        <v>44962</v>
      </c>
      <c r="C348" s="43">
        <f>IF(YEAR(Таблица1[[#This Row],[Дата]])=2023,MONTH(Таблица1[[#This Row],[Дата]]),0)</f>
        <v>2</v>
      </c>
      <c r="D348" t="s">
        <v>976</v>
      </c>
      <c r="E348" t="s">
        <v>108</v>
      </c>
      <c r="F348" t="s">
        <v>977</v>
      </c>
      <c r="G348" t="s">
        <v>110</v>
      </c>
      <c r="H348" t="s">
        <v>111</v>
      </c>
      <c r="I348" t="s">
        <v>112</v>
      </c>
      <c r="J348" t="s">
        <v>112</v>
      </c>
      <c r="K348" t="s">
        <v>112</v>
      </c>
      <c r="L348" t="s">
        <v>150</v>
      </c>
      <c r="M348" t="s">
        <v>151</v>
      </c>
      <c r="N348" t="s">
        <v>112</v>
      </c>
      <c r="O348" t="s">
        <v>112</v>
      </c>
      <c r="P348">
        <v>1</v>
      </c>
      <c r="Q348">
        <v>0</v>
      </c>
      <c r="R348">
        <v>1</v>
      </c>
      <c r="S348">
        <v>33</v>
      </c>
      <c r="T348" t="s">
        <v>166</v>
      </c>
      <c r="U348" t="s">
        <v>152</v>
      </c>
      <c r="V348" t="s">
        <v>153</v>
      </c>
      <c r="W348" t="s">
        <v>154</v>
      </c>
      <c r="X348" t="s">
        <v>119</v>
      </c>
      <c r="Y348" t="s">
        <v>112</v>
      </c>
      <c r="Z348" t="s">
        <v>166</v>
      </c>
      <c r="AA348" t="s">
        <v>152</v>
      </c>
      <c r="AB348" t="s">
        <v>153</v>
      </c>
      <c r="AC348" t="s">
        <v>154</v>
      </c>
      <c r="AD348" t="s">
        <v>119</v>
      </c>
      <c r="AE348" t="s">
        <v>112</v>
      </c>
      <c r="AF348" t="s">
        <v>121</v>
      </c>
      <c r="AG348" t="s">
        <v>122</v>
      </c>
      <c r="AH348">
        <v>3411669.86</v>
      </c>
      <c r="AI348" t="s">
        <v>166</v>
      </c>
      <c r="AJ348" t="s">
        <v>152</v>
      </c>
      <c r="AK348" t="s">
        <v>153</v>
      </c>
      <c r="AL348" t="s">
        <v>154</v>
      </c>
      <c r="AM348" t="s">
        <v>119</v>
      </c>
      <c r="AN348" t="s">
        <v>112</v>
      </c>
      <c r="AO348" t="s">
        <v>121</v>
      </c>
      <c r="AP348" t="s">
        <v>122</v>
      </c>
      <c r="AQ348" t="s">
        <v>122</v>
      </c>
      <c r="AR348" t="s">
        <v>124</v>
      </c>
      <c r="AS348" t="s">
        <v>125</v>
      </c>
      <c r="AT348">
        <v>2</v>
      </c>
      <c r="AU348" t="s">
        <v>126</v>
      </c>
      <c r="AV348" t="s">
        <v>155</v>
      </c>
      <c r="AW348" t="s">
        <v>156</v>
      </c>
      <c r="AX348">
        <v>1</v>
      </c>
      <c r="AY348" t="s">
        <v>129</v>
      </c>
      <c r="AZ348">
        <v>36367.03</v>
      </c>
      <c r="BA348">
        <v>2995683</v>
      </c>
      <c r="BB348">
        <v>44168.47</v>
      </c>
      <c r="BC348">
        <v>82.373599999999996</v>
      </c>
      <c r="BD348" t="s">
        <v>130</v>
      </c>
      <c r="BE348" t="s">
        <v>112</v>
      </c>
      <c r="BF348" t="s">
        <v>157</v>
      </c>
      <c r="BG348" t="s">
        <v>133</v>
      </c>
      <c r="BH348" t="s">
        <v>134</v>
      </c>
      <c r="BI348" t="s">
        <v>112</v>
      </c>
      <c r="BJ348" t="s">
        <v>112</v>
      </c>
      <c r="BK348" t="s">
        <v>112</v>
      </c>
      <c r="BL348" t="s">
        <v>169</v>
      </c>
      <c r="BM348" t="s">
        <v>159</v>
      </c>
      <c r="BN348" t="s">
        <v>212</v>
      </c>
      <c r="BO348" t="s">
        <v>161</v>
      </c>
      <c r="BP348">
        <v>1</v>
      </c>
      <c r="BQ348" t="s">
        <v>466</v>
      </c>
      <c r="BR348" s="45">
        <f>ISNUMBER(SEARCH($BR$1,Таблица1[[#This Row],[31_1 Описание и характеристика товара]]))*1</f>
        <v>1</v>
      </c>
      <c r="BT348" t="s">
        <v>150</v>
      </c>
      <c r="BU348">
        <v>33</v>
      </c>
      <c r="BV348">
        <v>0</v>
      </c>
      <c r="BW348">
        <v>0</v>
      </c>
      <c r="BY348">
        <v>0</v>
      </c>
      <c r="CA348" t="s">
        <v>106</v>
      </c>
      <c r="CB348" t="s">
        <v>142</v>
      </c>
      <c r="CC348" t="s">
        <v>112</v>
      </c>
      <c r="CD348" t="s">
        <v>112</v>
      </c>
      <c r="CE348" t="s">
        <v>121</v>
      </c>
      <c r="CF348">
        <v>16373.38</v>
      </c>
      <c r="CG348" t="s">
        <v>144</v>
      </c>
      <c r="CH348">
        <v>4000000</v>
      </c>
      <c r="CI348">
        <v>16308.58</v>
      </c>
      <c r="CJ348">
        <v>0</v>
      </c>
      <c r="CK348" t="s">
        <v>112</v>
      </c>
      <c r="CL348" t="s">
        <v>112</v>
      </c>
      <c r="CM348">
        <v>36367.03</v>
      </c>
      <c r="CN348">
        <v>2995683</v>
      </c>
      <c r="CO348">
        <v>0</v>
      </c>
      <c r="CP348">
        <v>1</v>
      </c>
      <c r="CQ348">
        <v>3411669.86</v>
      </c>
      <c r="CR348">
        <v>44168.47</v>
      </c>
      <c r="CS348" t="s">
        <v>145</v>
      </c>
      <c r="CT348">
        <v>44168.527214000002</v>
      </c>
      <c r="CU348">
        <v>2.7082999999999999</v>
      </c>
      <c r="CV348">
        <v>45</v>
      </c>
      <c r="CW348" t="s">
        <v>171</v>
      </c>
      <c r="CX348" t="s">
        <v>369</v>
      </c>
      <c r="CY348">
        <v>177</v>
      </c>
    </row>
    <row r="349" spans="1:103" x14ac:dyDescent="0.25">
      <c r="A349" t="s">
        <v>106</v>
      </c>
      <c r="B349" s="38">
        <v>45195</v>
      </c>
      <c r="C349" s="43">
        <f>IF(YEAR(Таблица1[[#This Row],[Дата]])=2023,MONTH(Таблица1[[#This Row],[Дата]]),0)</f>
        <v>9</v>
      </c>
      <c r="D349" t="s">
        <v>637</v>
      </c>
      <c r="E349" t="s">
        <v>108</v>
      </c>
      <c r="F349" t="s">
        <v>638</v>
      </c>
      <c r="G349" t="s">
        <v>110</v>
      </c>
      <c r="H349" t="s">
        <v>111</v>
      </c>
      <c r="I349" t="s">
        <v>112</v>
      </c>
      <c r="J349" t="s">
        <v>112</v>
      </c>
      <c r="K349" t="s">
        <v>112</v>
      </c>
      <c r="L349" t="s">
        <v>150</v>
      </c>
      <c r="M349" t="s">
        <v>151</v>
      </c>
      <c r="N349" t="s">
        <v>112</v>
      </c>
      <c r="O349" t="s">
        <v>112</v>
      </c>
      <c r="P349">
        <v>1</v>
      </c>
      <c r="Q349">
        <v>0</v>
      </c>
      <c r="R349">
        <v>1</v>
      </c>
      <c r="S349">
        <v>33</v>
      </c>
      <c r="T349" t="s">
        <v>166</v>
      </c>
      <c r="U349" t="s">
        <v>152</v>
      </c>
      <c r="V349" t="s">
        <v>153</v>
      </c>
      <c r="W349" t="s">
        <v>154</v>
      </c>
      <c r="X349" t="s">
        <v>119</v>
      </c>
      <c r="Y349" t="s">
        <v>112</v>
      </c>
      <c r="Z349" t="s">
        <v>166</v>
      </c>
      <c r="AA349" t="s">
        <v>152</v>
      </c>
      <c r="AB349" t="s">
        <v>153</v>
      </c>
      <c r="AC349" t="s">
        <v>154</v>
      </c>
      <c r="AD349" t="s">
        <v>119</v>
      </c>
      <c r="AE349" t="s">
        <v>112</v>
      </c>
      <c r="AF349" t="s">
        <v>121</v>
      </c>
      <c r="AG349" t="s">
        <v>122</v>
      </c>
      <c r="AH349">
        <v>3732741.59</v>
      </c>
      <c r="AI349" t="s">
        <v>166</v>
      </c>
      <c r="AJ349" t="s">
        <v>152</v>
      </c>
      <c r="AK349" t="s">
        <v>153</v>
      </c>
      <c r="AL349" t="s">
        <v>154</v>
      </c>
      <c r="AM349" t="s">
        <v>119</v>
      </c>
      <c r="AN349" t="s">
        <v>112</v>
      </c>
      <c r="AO349" t="s">
        <v>121</v>
      </c>
      <c r="AP349" t="s">
        <v>122</v>
      </c>
      <c r="AQ349" t="s">
        <v>122</v>
      </c>
      <c r="AR349" t="s">
        <v>124</v>
      </c>
      <c r="AS349" t="s">
        <v>125</v>
      </c>
      <c r="AT349">
        <v>2</v>
      </c>
      <c r="AU349" t="s">
        <v>126</v>
      </c>
      <c r="AV349" t="s">
        <v>155</v>
      </c>
      <c r="AW349" t="s">
        <v>156</v>
      </c>
      <c r="AX349">
        <v>1</v>
      </c>
      <c r="AY349" t="s">
        <v>129</v>
      </c>
      <c r="AZ349">
        <v>42820.480000000003</v>
      </c>
      <c r="BA349">
        <v>3388513</v>
      </c>
      <c r="BB349">
        <v>50413.02</v>
      </c>
      <c r="BC349">
        <v>79.132999999999996</v>
      </c>
      <c r="BD349" t="s">
        <v>130</v>
      </c>
      <c r="BE349" t="s">
        <v>112</v>
      </c>
      <c r="BF349" t="s">
        <v>157</v>
      </c>
      <c r="BG349" t="s">
        <v>133</v>
      </c>
      <c r="BH349" t="s">
        <v>134</v>
      </c>
      <c r="BI349" t="s">
        <v>112</v>
      </c>
      <c r="BJ349" t="s">
        <v>112</v>
      </c>
      <c r="BK349" t="s">
        <v>112</v>
      </c>
      <c r="BL349" t="s">
        <v>169</v>
      </c>
      <c r="BM349" t="s">
        <v>159</v>
      </c>
      <c r="BN349" t="s">
        <v>212</v>
      </c>
      <c r="BO349" t="s">
        <v>161</v>
      </c>
      <c r="BP349">
        <v>1</v>
      </c>
      <c r="BQ349" t="s">
        <v>205</v>
      </c>
      <c r="BR349" s="45">
        <f>ISNUMBER(SEARCH($BR$1,Таблица1[[#This Row],[31_1 Описание и характеристика товара]]))*1</f>
        <v>1</v>
      </c>
      <c r="BT349" t="s">
        <v>150</v>
      </c>
      <c r="BU349">
        <v>33</v>
      </c>
      <c r="BV349">
        <v>0</v>
      </c>
      <c r="BW349">
        <v>0</v>
      </c>
      <c r="BY349">
        <v>0</v>
      </c>
      <c r="CA349" t="s">
        <v>106</v>
      </c>
      <c r="CB349" t="s">
        <v>142</v>
      </c>
      <c r="CC349" t="s">
        <v>112</v>
      </c>
      <c r="CD349" t="s">
        <v>112</v>
      </c>
      <c r="CE349" t="s">
        <v>121</v>
      </c>
      <c r="CF349">
        <v>16500.169999999998</v>
      </c>
      <c r="CG349" t="s">
        <v>144</v>
      </c>
      <c r="CH349">
        <v>4000000</v>
      </c>
      <c r="CI349">
        <v>16374.19</v>
      </c>
      <c r="CJ349">
        <v>0</v>
      </c>
      <c r="CK349" t="s">
        <v>112</v>
      </c>
      <c r="CL349" t="s">
        <v>112</v>
      </c>
      <c r="CM349">
        <v>42820.480000000003</v>
      </c>
      <c r="CN349">
        <v>3388513</v>
      </c>
      <c r="CO349">
        <v>0</v>
      </c>
      <c r="CP349">
        <v>1</v>
      </c>
      <c r="CQ349">
        <v>3732741.59</v>
      </c>
      <c r="CR349">
        <v>50413.02</v>
      </c>
      <c r="CS349" t="s">
        <v>145</v>
      </c>
      <c r="CT349">
        <v>50412.856172000007</v>
      </c>
      <c r="CU349">
        <v>3.0788000000000002</v>
      </c>
      <c r="CV349">
        <v>45</v>
      </c>
      <c r="CW349" t="s">
        <v>171</v>
      </c>
      <c r="CX349" t="s">
        <v>463</v>
      </c>
      <c r="CY349">
        <v>570</v>
      </c>
    </row>
    <row r="350" spans="1:103" x14ac:dyDescent="0.25">
      <c r="A350" t="s">
        <v>106</v>
      </c>
      <c r="B350" s="38">
        <v>44932</v>
      </c>
      <c r="C350" s="43">
        <f>IF(YEAR(Таблица1[[#This Row],[Дата]])=2023,MONTH(Таблица1[[#This Row],[Дата]]),0)</f>
        <v>1</v>
      </c>
      <c r="D350" t="s">
        <v>642</v>
      </c>
      <c r="E350" t="s">
        <v>108</v>
      </c>
      <c r="F350" t="s">
        <v>643</v>
      </c>
      <c r="G350" t="s">
        <v>110</v>
      </c>
      <c r="H350" t="s">
        <v>111</v>
      </c>
      <c r="I350" t="s">
        <v>112</v>
      </c>
      <c r="J350" t="s">
        <v>112</v>
      </c>
      <c r="K350" t="s">
        <v>112</v>
      </c>
      <c r="L350" t="s">
        <v>150</v>
      </c>
      <c r="M350" t="s">
        <v>151</v>
      </c>
      <c r="N350" t="s">
        <v>112</v>
      </c>
      <c r="O350" t="s">
        <v>112</v>
      </c>
      <c r="P350">
        <v>1</v>
      </c>
      <c r="Q350">
        <v>0</v>
      </c>
      <c r="R350">
        <v>1</v>
      </c>
      <c r="S350">
        <v>33</v>
      </c>
      <c r="T350" t="s">
        <v>166</v>
      </c>
      <c r="U350" t="s">
        <v>152</v>
      </c>
      <c r="V350" t="s">
        <v>153</v>
      </c>
      <c r="W350" t="s">
        <v>154</v>
      </c>
      <c r="X350" t="s">
        <v>119</v>
      </c>
      <c r="Y350" t="s">
        <v>112</v>
      </c>
      <c r="Z350" t="s">
        <v>166</v>
      </c>
      <c r="AA350" t="s">
        <v>152</v>
      </c>
      <c r="AB350" t="s">
        <v>153</v>
      </c>
      <c r="AC350" t="s">
        <v>154</v>
      </c>
      <c r="AD350" t="s">
        <v>119</v>
      </c>
      <c r="AE350" t="s">
        <v>112</v>
      </c>
      <c r="AF350" t="s">
        <v>121</v>
      </c>
      <c r="AG350" t="s">
        <v>122</v>
      </c>
      <c r="AH350">
        <v>3610211.27</v>
      </c>
      <c r="AI350" t="s">
        <v>166</v>
      </c>
      <c r="AJ350" t="s">
        <v>152</v>
      </c>
      <c r="AK350" t="s">
        <v>153</v>
      </c>
      <c r="AL350" t="s">
        <v>154</v>
      </c>
      <c r="AM350" t="s">
        <v>119</v>
      </c>
      <c r="AN350" t="s">
        <v>112</v>
      </c>
      <c r="AO350" t="s">
        <v>121</v>
      </c>
      <c r="AP350" t="s">
        <v>122</v>
      </c>
      <c r="AQ350" t="s">
        <v>122</v>
      </c>
      <c r="AR350" t="s">
        <v>124</v>
      </c>
      <c r="AS350" t="s">
        <v>125</v>
      </c>
      <c r="AT350">
        <v>2</v>
      </c>
      <c r="AU350" t="s">
        <v>126</v>
      </c>
      <c r="AV350" t="s">
        <v>155</v>
      </c>
      <c r="AW350" t="s">
        <v>156</v>
      </c>
      <c r="AX350">
        <v>1</v>
      </c>
      <c r="AY350" t="s">
        <v>129</v>
      </c>
      <c r="AZ350">
        <v>40772.07</v>
      </c>
      <c r="BA350">
        <v>3226416</v>
      </c>
      <c r="BB350">
        <v>48758.17</v>
      </c>
      <c r="BC350">
        <v>79.132999999999996</v>
      </c>
      <c r="BD350" t="s">
        <v>130</v>
      </c>
      <c r="BE350" t="s">
        <v>112</v>
      </c>
      <c r="BF350" t="s">
        <v>157</v>
      </c>
      <c r="BG350" t="s">
        <v>133</v>
      </c>
      <c r="BH350" t="s">
        <v>134</v>
      </c>
      <c r="BI350" t="s">
        <v>112</v>
      </c>
      <c r="BJ350" t="s">
        <v>112</v>
      </c>
      <c r="BK350" t="s">
        <v>112</v>
      </c>
      <c r="BL350" t="s">
        <v>169</v>
      </c>
      <c r="BM350" t="s">
        <v>159</v>
      </c>
      <c r="BN350" t="s">
        <v>212</v>
      </c>
      <c r="BO350" t="s">
        <v>161</v>
      </c>
      <c r="BP350">
        <v>1</v>
      </c>
      <c r="BQ350" t="s">
        <v>232</v>
      </c>
      <c r="BR350" s="45">
        <f>ISNUMBER(SEARCH($BR$1,Таблица1[[#This Row],[31_1 Описание и характеристика товара]]))*1</f>
        <v>1</v>
      </c>
      <c r="BT350" t="s">
        <v>150</v>
      </c>
      <c r="BU350">
        <v>33</v>
      </c>
      <c r="BV350">
        <v>0</v>
      </c>
      <c r="BW350">
        <v>0</v>
      </c>
      <c r="BY350">
        <v>0</v>
      </c>
      <c r="CA350" t="s">
        <v>106</v>
      </c>
      <c r="CB350" t="s">
        <v>142</v>
      </c>
      <c r="CC350" t="s">
        <v>112</v>
      </c>
      <c r="CD350" t="s">
        <v>112</v>
      </c>
      <c r="CE350" t="s">
        <v>121</v>
      </c>
      <c r="CF350">
        <v>16388.310000000001</v>
      </c>
      <c r="CG350" t="s">
        <v>144</v>
      </c>
      <c r="CH350">
        <v>4000000</v>
      </c>
      <c r="CI350">
        <v>16264.11</v>
      </c>
      <c r="CJ350">
        <v>0</v>
      </c>
      <c r="CK350" t="s">
        <v>112</v>
      </c>
      <c r="CL350" t="s">
        <v>112</v>
      </c>
      <c r="CM350">
        <v>40772.07</v>
      </c>
      <c r="CN350">
        <v>3226416</v>
      </c>
      <c r="CO350">
        <v>0</v>
      </c>
      <c r="CP350">
        <v>1</v>
      </c>
      <c r="CQ350">
        <v>3610211.27</v>
      </c>
      <c r="CR350">
        <v>48758.17</v>
      </c>
      <c r="CS350" t="s">
        <v>145</v>
      </c>
      <c r="CT350">
        <v>48758.175369000004</v>
      </c>
      <c r="CU350">
        <v>2.9979</v>
      </c>
      <c r="CV350">
        <v>45</v>
      </c>
      <c r="CW350" t="s">
        <v>171</v>
      </c>
      <c r="CX350" t="s">
        <v>372</v>
      </c>
      <c r="CY350">
        <v>189</v>
      </c>
    </row>
    <row r="351" spans="1:103" x14ac:dyDescent="0.25">
      <c r="A351" t="s">
        <v>106</v>
      </c>
      <c r="B351" s="38">
        <v>45265</v>
      </c>
      <c r="C351" s="43">
        <f>IF(YEAR(Таблица1[[#This Row],[Дата]])=2023,MONTH(Таблица1[[#This Row],[Дата]]),0)</f>
        <v>12</v>
      </c>
      <c r="D351" t="s">
        <v>639</v>
      </c>
      <c r="E351" t="s">
        <v>108</v>
      </c>
      <c r="F351" t="s">
        <v>640</v>
      </c>
      <c r="G351" t="s">
        <v>110</v>
      </c>
      <c r="H351" t="s">
        <v>111</v>
      </c>
      <c r="I351" t="s">
        <v>112</v>
      </c>
      <c r="J351" t="s">
        <v>112</v>
      </c>
      <c r="K351" t="s">
        <v>112</v>
      </c>
      <c r="L351" t="s">
        <v>150</v>
      </c>
      <c r="M351" t="s">
        <v>151</v>
      </c>
      <c r="N351" t="s">
        <v>112</v>
      </c>
      <c r="O351" t="s">
        <v>112</v>
      </c>
      <c r="P351">
        <v>1</v>
      </c>
      <c r="Q351">
        <v>0</v>
      </c>
      <c r="R351">
        <v>1</v>
      </c>
      <c r="S351">
        <v>33</v>
      </c>
      <c r="T351" t="s">
        <v>166</v>
      </c>
      <c r="U351" t="s">
        <v>152</v>
      </c>
      <c r="V351" t="s">
        <v>153</v>
      </c>
      <c r="W351" t="s">
        <v>154</v>
      </c>
      <c r="X351" t="s">
        <v>119</v>
      </c>
      <c r="Y351" t="s">
        <v>112</v>
      </c>
      <c r="Z351" t="s">
        <v>166</v>
      </c>
      <c r="AA351" t="s">
        <v>152</v>
      </c>
      <c r="AB351" t="s">
        <v>153</v>
      </c>
      <c r="AC351" t="s">
        <v>154</v>
      </c>
      <c r="AD351" t="s">
        <v>119</v>
      </c>
      <c r="AE351" t="s">
        <v>112</v>
      </c>
      <c r="AF351" t="s">
        <v>121</v>
      </c>
      <c r="AG351" t="s">
        <v>122</v>
      </c>
      <c r="AH351">
        <v>3795638.08</v>
      </c>
      <c r="AI351" t="s">
        <v>166</v>
      </c>
      <c r="AJ351" t="s">
        <v>152</v>
      </c>
      <c r="AK351" t="s">
        <v>153</v>
      </c>
      <c r="AL351" t="s">
        <v>154</v>
      </c>
      <c r="AM351" t="s">
        <v>119</v>
      </c>
      <c r="AN351" t="s">
        <v>112</v>
      </c>
      <c r="AO351" t="s">
        <v>121</v>
      </c>
      <c r="AP351" t="s">
        <v>122</v>
      </c>
      <c r="AQ351" t="s">
        <v>122</v>
      </c>
      <c r="AR351" t="s">
        <v>124</v>
      </c>
      <c r="AS351" t="s">
        <v>125</v>
      </c>
      <c r="AT351">
        <v>2</v>
      </c>
      <c r="AU351" t="s">
        <v>126</v>
      </c>
      <c r="AV351" t="s">
        <v>155</v>
      </c>
      <c r="AW351" t="s">
        <v>156</v>
      </c>
      <c r="AX351">
        <v>1</v>
      </c>
      <c r="AY351" t="s">
        <v>129</v>
      </c>
      <c r="AZ351">
        <v>42915.3</v>
      </c>
      <c r="BA351">
        <v>3396016</v>
      </c>
      <c r="BB351">
        <v>51262.48</v>
      </c>
      <c r="BC351">
        <v>79.132999999999996</v>
      </c>
      <c r="BD351" t="s">
        <v>130</v>
      </c>
      <c r="BE351" t="s">
        <v>112</v>
      </c>
      <c r="BF351" t="s">
        <v>157</v>
      </c>
      <c r="BG351" t="s">
        <v>133</v>
      </c>
      <c r="BH351" t="s">
        <v>134</v>
      </c>
      <c r="BI351" t="s">
        <v>112</v>
      </c>
      <c r="BJ351" t="s">
        <v>112</v>
      </c>
      <c r="BK351" t="s">
        <v>112</v>
      </c>
      <c r="BL351" t="s">
        <v>169</v>
      </c>
      <c r="BM351" t="s">
        <v>159</v>
      </c>
      <c r="BN351" t="s">
        <v>212</v>
      </c>
      <c r="BO351" t="s">
        <v>161</v>
      </c>
      <c r="BP351">
        <v>1</v>
      </c>
      <c r="BQ351" t="s">
        <v>641</v>
      </c>
      <c r="BR351" s="45">
        <f>ISNUMBER(SEARCH($BR$1,Таблица1[[#This Row],[31_1 Описание и характеристика товара]]))*1</f>
        <v>1</v>
      </c>
      <c r="BT351" t="s">
        <v>150</v>
      </c>
      <c r="BU351">
        <v>33</v>
      </c>
      <c r="BV351">
        <v>0</v>
      </c>
      <c r="BW351">
        <v>0</v>
      </c>
      <c r="BY351">
        <v>0</v>
      </c>
      <c r="CA351" t="s">
        <v>106</v>
      </c>
      <c r="CB351" t="s">
        <v>142</v>
      </c>
      <c r="CC351" t="s">
        <v>112</v>
      </c>
      <c r="CD351" t="s">
        <v>112</v>
      </c>
      <c r="CE351" t="s">
        <v>121</v>
      </c>
      <c r="CF351">
        <v>16946.009999999998</v>
      </c>
      <c r="CG351" t="s">
        <v>144</v>
      </c>
      <c r="CH351">
        <v>4000000</v>
      </c>
      <c r="CI351">
        <v>16841.61</v>
      </c>
      <c r="CJ351">
        <v>0</v>
      </c>
      <c r="CK351" t="s">
        <v>112</v>
      </c>
      <c r="CL351" t="s">
        <v>112</v>
      </c>
      <c r="CM351">
        <v>42915.3</v>
      </c>
      <c r="CN351">
        <v>3396016</v>
      </c>
      <c r="CO351">
        <v>0</v>
      </c>
      <c r="CP351">
        <v>1</v>
      </c>
      <c r="CQ351">
        <v>3795638.08</v>
      </c>
      <c r="CR351">
        <v>51262.48</v>
      </c>
      <c r="CS351" t="s">
        <v>145</v>
      </c>
      <c r="CT351">
        <v>51262.492518000006</v>
      </c>
      <c r="CU351">
        <v>3.0438000000000001</v>
      </c>
      <c r="CV351">
        <v>45</v>
      </c>
      <c r="CW351" t="s">
        <v>171</v>
      </c>
      <c r="CX351" t="s">
        <v>350</v>
      </c>
      <c r="CY351">
        <v>80</v>
      </c>
    </row>
    <row r="352" spans="1:103" x14ac:dyDescent="0.25">
      <c r="A352" t="s">
        <v>106</v>
      </c>
      <c r="B352" s="38">
        <v>45140</v>
      </c>
      <c r="C352" s="43">
        <f>IF(YEAR(Таблица1[[#This Row],[Дата]])=2023,MONTH(Таблица1[[#This Row],[Дата]]),0)</f>
        <v>8</v>
      </c>
      <c r="D352" t="s">
        <v>359</v>
      </c>
      <c r="E352" t="s">
        <v>108</v>
      </c>
      <c r="F352" t="s">
        <v>360</v>
      </c>
      <c r="G352" t="s">
        <v>110</v>
      </c>
      <c r="H352" t="s">
        <v>111</v>
      </c>
      <c r="I352" t="s">
        <v>112</v>
      </c>
      <c r="J352" t="s">
        <v>112</v>
      </c>
      <c r="K352" t="s">
        <v>112</v>
      </c>
      <c r="L352" t="s">
        <v>175</v>
      </c>
      <c r="M352" t="s">
        <v>176</v>
      </c>
      <c r="N352" t="s">
        <v>112</v>
      </c>
      <c r="O352" t="s">
        <v>112</v>
      </c>
      <c r="P352">
        <v>1</v>
      </c>
      <c r="Q352">
        <v>0</v>
      </c>
      <c r="R352">
        <v>1</v>
      </c>
      <c r="S352">
        <v>33</v>
      </c>
      <c r="T352" t="s">
        <v>166</v>
      </c>
      <c r="U352" t="s">
        <v>152</v>
      </c>
      <c r="V352" t="s">
        <v>153</v>
      </c>
      <c r="W352" t="s">
        <v>177</v>
      </c>
      <c r="X352" t="s">
        <v>119</v>
      </c>
      <c r="Y352" t="s">
        <v>112</v>
      </c>
      <c r="Z352" t="s">
        <v>166</v>
      </c>
      <c r="AA352" t="s">
        <v>152</v>
      </c>
      <c r="AB352" t="s">
        <v>153</v>
      </c>
      <c r="AC352" t="s">
        <v>177</v>
      </c>
      <c r="AD352" t="s">
        <v>119</v>
      </c>
      <c r="AE352" t="s">
        <v>112</v>
      </c>
      <c r="AF352" t="s">
        <v>121</v>
      </c>
      <c r="AG352" t="s">
        <v>122</v>
      </c>
      <c r="AH352">
        <v>3447219.73</v>
      </c>
      <c r="AI352" t="s">
        <v>166</v>
      </c>
      <c r="AJ352" t="s">
        <v>152</v>
      </c>
      <c r="AK352" t="s">
        <v>153</v>
      </c>
      <c r="AL352" t="s">
        <v>177</v>
      </c>
      <c r="AM352" t="s">
        <v>119</v>
      </c>
      <c r="AN352" t="s">
        <v>112</v>
      </c>
      <c r="AO352" t="s">
        <v>121</v>
      </c>
      <c r="AP352" t="s">
        <v>122</v>
      </c>
      <c r="AQ352" t="s">
        <v>122</v>
      </c>
      <c r="AR352" t="s">
        <v>124</v>
      </c>
      <c r="AS352" t="s">
        <v>125</v>
      </c>
      <c r="AT352">
        <v>2</v>
      </c>
      <c r="AU352" t="s">
        <v>106</v>
      </c>
      <c r="AV352" t="s">
        <v>155</v>
      </c>
      <c r="AW352" t="s">
        <v>156</v>
      </c>
      <c r="AX352">
        <v>1</v>
      </c>
      <c r="AY352" t="s">
        <v>129</v>
      </c>
      <c r="AZ352">
        <v>43039.88</v>
      </c>
      <c r="BA352">
        <v>3199731</v>
      </c>
      <c r="BB352">
        <v>50203.01</v>
      </c>
      <c r="BC352">
        <v>74.343400000000003</v>
      </c>
      <c r="BD352" t="s">
        <v>130</v>
      </c>
      <c r="BE352" t="s">
        <v>112</v>
      </c>
      <c r="BF352" t="s">
        <v>157</v>
      </c>
      <c r="BG352" t="s">
        <v>133</v>
      </c>
      <c r="BH352" t="s">
        <v>134</v>
      </c>
      <c r="BI352" t="s">
        <v>112</v>
      </c>
      <c r="BJ352" t="s">
        <v>178</v>
      </c>
      <c r="BK352" t="s">
        <v>112</v>
      </c>
      <c r="BL352" t="s">
        <v>125</v>
      </c>
      <c r="BM352" t="s">
        <v>179</v>
      </c>
      <c r="BN352" t="s">
        <v>180</v>
      </c>
      <c r="BO352" t="s">
        <v>181</v>
      </c>
      <c r="BP352">
        <v>1</v>
      </c>
      <c r="BQ352" t="s">
        <v>258</v>
      </c>
      <c r="BR352" s="45">
        <f>ISNUMBER(SEARCH($BR$1,Таблица1[[#This Row],[31_1 Описание и характеристика товара]]))*1</f>
        <v>1</v>
      </c>
      <c r="BT352" t="s">
        <v>150</v>
      </c>
      <c r="BU352">
        <v>33</v>
      </c>
      <c r="BV352">
        <v>1</v>
      </c>
      <c r="BW352">
        <v>0</v>
      </c>
      <c r="BY352">
        <v>0</v>
      </c>
      <c r="CA352" t="s">
        <v>106</v>
      </c>
      <c r="CB352" t="s">
        <v>142</v>
      </c>
      <c r="CC352" t="s">
        <v>112</v>
      </c>
      <c r="CD352" t="s">
        <v>112</v>
      </c>
      <c r="CE352" t="s">
        <v>121</v>
      </c>
      <c r="CF352">
        <v>16147.22</v>
      </c>
      <c r="CG352" t="s">
        <v>144</v>
      </c>
      <c r="CH352">
        <v>4000000</v>
      </c>
      <c r="CI352">
        <v>16041.62</v>
      </c>
      <c r="CJ352">
        <v>0</v>
      </c>
      <c r="CK352" t="s">
        <v>112</v>
      </c>
      <c r="CL352" t="s">
        <v>112</v>
      </c>
      <c r="CM352">
        <v>43039.88</v>
      </c>
      <c r="CN352">
        <v>3199731</v>
      </c>
      <c r="CO352">
        <v>0</v>
      </c>
      <c r="CP352">
        <v>1</v>
      </c>
      <c r="CQ352">
        <v>3447219.73</v>
      </c>
      <c r="CR352">
        <v>50203.01</v>
      </c>
      <c r="CS352" t="s">
        <v>145</v>
      </c>
      <c r="CT352">
        <v>50202.249790000002</v>
      </c>
      <c r="CU352">
        <v>3.1295000000000002</v>
      </c>
      <c r="CV352">
        <v>941</v>
      </c>
      <c r="CW352" t="s">
        <v>183</v>
      </c>
      <c r="CX352" t="s">
        <v>147</v>
      </c>
      <c r="CY352">
        <v>553</v>
      </c>
    </row>
    <row r="353" spans="1:103" x14ac:dyDescent="0.25">
      <c r="A353" t="s">
        <v>106</v>
      </c>
      <c r="B353" s="38">
        <v>44613</v>
      </c>
      <c r="C353" s="43">
        <f>IF(YEAR(Таблица1[[#This Row],[Дата]])=2023,MONTH(Таблица1[[#This Row],[Дата]]),0)</f>
        <v>0</v>
      </c>
      <c r="D353" t="s">
        <v>290</v>
      </c>
      <c r="E353" t="s">
        <v>108</v>
      </c>
      <c r="F353" t="s">
        <v>291</v>
      </c>
      <c r="G353" t="s">
        <v>110</v>
      </c>
      <c r="H353" t="s">
        <v>111</v>
      </c>
      <c r="I353" t="s">
        <v>112</v>
      </c>
      <c r="J353" t="s">
        <v>112</v>
      </c>
      <c r="K353" t="s">
        <v>112</v>
      </c>
      <c r="L353" t="s">
        <v>175</v>
      </c>
      <c r="M353" t="s">
        <v>176</v>
      </c>
      <c r="N353" t="s">
        <v>112</v>
      </c>
      <c r="O353" t="s">
        <v>112</v>
      </c>
      <c r="P353">
        <v>1</v>
      </c>
      <c r="Q353">
        <v>0</v>
      </c>
      <c r="R353">
        <v>1</v>
      </c>
      <c r="S353">
        <v>33</v>
      </c>
      <c r="T353" t="s">
        <v>166</v>
      </c>
      <c r="U353" t="s">
        <v>152</v>
      </c>
      <c r="V353" t="s">
        <v>153</v>
      </c>
      <c r="W353" t="s">
        <v>177</v>
      </c>
      <c r="X353" t="s">
        <v>119</v>
      </c>
      <c r="Y353" t="s">
        <v>112</v>
      </c>
      <c r="Z353" t="s">
        <v>166</v>
      </c>
      <c r="AA353" t="s">
        <v>152</v>
      </c>
      <c r="AB353" t="s">
        <v>153</v>
      </c>
      <c r="AC353" t="s">
        <v>177</v>
      </c>
      <c r="AD353" t="s">
        <v>119</v>
      </c>
      <c r="AE353" t="s">
        <v>112</v>
      </c>
      <c r="AF353" t="s">
        <v>121</v>
      </c>
      <c r="AG353" t="s">
        <v>122</v>
      </c>
      <c r="AH353">
        <v>3068744.92</v>
      </c>
      <c r="AI353" t="s">
        <v>166</v>
      </c>
      <c r="AJ353" t="s">
        <v>152</v>
      </c>
      <c r="AK353" t="s">
        <v>153</v>
      </c>
      <c r="AL353" t="s">
        <v>177</v>
      </c>
      <c r="AM353" t="s">
        <v>119</v>
      </c>
      <c r="AN353" t="s">
        <v>112</v>
      </c>
      <c r="AO353" t="s">
        <v>121</v>
      </c>
      <c r="AP353" t="s">
        <v>122</v>
      </c>
      <c r="AQ353" t="s">
        <v>122</v>
      </c>
      <c r="AR353" t="s">
        <v>124</v>
      </c>
      <c r="AS353" t="s">
        <v>125</v>
      </c>
      <c r="AT353">
        <v>2</v>
      </c>
      <c r="AU353" t="s">
        <v>106</v>
      </c>
      <c r="AV353" t="s">
        <v>155</v>
      </c>
      <c r="AW353" t="s">
        <v>156</v>
      </c>
      <c r="AX353">
        <v>1</v>
      </c>
      <c r="AY353" t="s">
        <v>129</v>
      </c>
      <c r="AZ353">
        <v>37948.980000000003</v>
      </c>
      <c r="BA353">
        <v>2821256</v>
      </c>
      <c r="BB353">
        <v>44691.15</v>
      </c>
      <c r="BC353">
        <v>74.343400000000003</v>
      </c>
      <c r="BD353" t="s">
        <v>130</v>
      </c>
      <c r="BE353" t="s">
        <v>112</v>
      </c>
      <c r="BF353" t="s">
        <v>157</v>
      </c>
      <c r="BG353" t="s">
        <v>133</v>
      </c>
      <c r="BH353" t="s">
        <v>134</v>
      </c>
      <c r="BI353" t="s">
        <v>112</v>
      </c>
      <c r="BJ353" t="s">
        <v>178</v>
      </c>
      <c r="BK353" t="s">
        <v>112</v>
      </c>
      <c r="BL353" t="s">
        <v>125</v>
      </c>
      <c r="BM353" t="s">
        <v>179</v>
      </c>
      <c r="BN353" t="s">
        <v>180</v>
      </c>
      <c r="BO353" t="s">
        <v>181</v>
      </c>
      <c r="BP353">
        <v>1</v>
      </c>
      <c r="BQ353" t="s">
        <v>274</v>
      </c>
      <c r="BR353" s="45">
        <f>ISNUMBER(SEARCH($BR$1,Таблица1[[#This Row],[31_1 Описание и характеристика товара]]))*1</f>
        <v>1</v>
      </c>
      <c r="BT353" t="s">
        <v>150</v>
      </c>
      <c r="BU353">
        <v>33</v>
      </c>
      <c r="BV353">
        <v>1</v>
      </c>
      <c r="BW353">
        <v>0</v>
      </c>
      <c r="BY353">
        <v>0</v>
      </c>
      <c r="CA353" t="s">
        <v>106</v>
      </c>
      <c r="CB353" t="s">
        <v>142</v>
      </c>
      <c r="CC353" t="s">
        <v>112</v>
      </c>
      <c r="CD353" t="s">
        <v>112</v>
      </c>
      <c r="CE353" t="s">
        <v>121</v>
      </c>
      <c r="CF353">
        <v>14665.91</v>
      </c>
      <c r="CG353" t="s">
        <v>144</v>
      </c>
      <c r="CH353">
        <v>4000000</v>
      </c>
      <c r="CI353">
        <v>14265.71</v>
      </c>
      <c r="CJ353">
        <v>0</v>
      </c>
      <c r="CK353" t="s">
        <v>112</v>
      </c>
      <c r="CL353" t="s">
        <v>112</v>
      </c>
      <c r="CM353">
        <v>37948.980000000003</v>
      </c>
      <c r="CN353">
        <v>2821256</v>
      </c>
      <c r="CO353">
        <v>0</v>
      </c>
      <c r="CP353">
        <v>1</v>
      </c>
      <c r="CQ353">
        <v>3068744.92</v>
      </c>
      <c r="CR353">
        <v>44691.15</v>
      </c>
      <c r="CS353" t="s">
        <v>145</v>
      </c>
      <c r="CT353">
        <v>44691.616287999997</v>
      </c>
      <c r="CU353">
        <v>3.1328</v>
      </c>
      <c r="CV353">
        <v>941</v>
      </c>
      <c r="CW353" t="s">
        <v>183</v>
      </c>
      <c r="CX353" t="s">
        <v>147</v>
      </c>
      <c r="CY353">
        <v>343</v>
      </c>
    </row>
    <row r="354" spans="1:103" x14ac:dyDescent="0.25">
      <c r="A354" t="s">
        <v>106</v>
      </c>
      <c r="B354" s="38">
        <v>45101</v>
      </c>
      <c r="C354" s="43">
        <f>IF(YEAR(Таблица1[[#This Row],[Дата]])=2023,MONTH(Таблица1[[#This Row],[Дата]]),0)</f>
        <v>6</v>
      </c>
      <c r="D354" t="s">
        <v>353</v>
      </c>
      <c r="E354" t="s">
        <v>108</v>
      </c>
      <c r="F354" t="s">
        <v>354</v>
      </c>
      <c r="G354" t="s">
        <v>110</v>
      </c>
      <c r="H354" t="s">
        <v>111</v>
      </c>
      <c r="I354" t="s">
        <v>112</v>
      </c>
      <c r="J354" t="s">
        <v>112</v>
      </c>
      <c r="K354" t="s">
        <v>112</v>
      </c>
      <c r="L354" t="s">
        <v>175</v>
      </c>
      <c r="M354" t="s">
        <v>176</v>
      </c>
      <c r="N354" t="s">
        <v>112</v>
      </c>
      <c r="O354" t="s">
        <v>112</v>
      </c>
      <c r="P354">
        <v>1</v>
      </c>
      <c r="Q354">
        <v>0</v>
      </c>
      <c r="R354">
        <v>1</v>
      </c>
      <c r="S354">
        <v>33</v>
      </c>
      <c r="T354" t="s">
        <v>166</v>
      </c>
      <c r="U354" t="s">
        <v>152</v>
      </c>
      <c r="V354" t="s">
        <v>153</v>
      </c>
      <c r="W354" t="s">
        <v>177</v>
      </c>
      <c r="X354" t="s">
        <v>119</v>
      </c>
      <c r="Y354" t="s">
        <v>112</v>
      </c>
      <c r="Z354" t="s">
        <v>166</v>
      </c>
      <c r="AA354" t="s">
        <v>152</v>
      </c>
      <c r="AB354" t="s">
        <v>153</v>
      </c>
      <c r="AC354" t="s">
        <v>177</v>
      </c>
      <c r="AD354" t="s">
        <v>119</v>
      </c>
      <c r="AE354" t="s">
        <v>112</v>
      </c>
      <c r="AF354" t="s">
        <v>121</v>
      </c>
      <c r="AG354" t="s">
        <v>122</v>
      </c>
      <c r="AH354">
        <v>3372543.28</v>
      </c>
      <c r="AI354" t="s">
        <v>166</v>
      </c>
      <c r="AJ354" t="s">
        <v>152</v>
      </c>
      <c r="AK354" t="s">
        <v>153</v>
      </c>
      <c r="AL354" t="s">
        <v>177</v>
      </c>
      <c r="AM354" t="s">
        <v>119</v>
      </c>
      <c r="AN354" t="s">
        <v>112</v>
      </c>
      <c r="AO354" t="s">
        <v>121</v>
      </c>
      <c r="AP354" t="s">
        <v>122</v>
      </c>
      <c r="AQ354" t="s">
        <v>122</v>
      </c>
      <c r="AR354" t="s">
        <v>124</v>
      </c>
      <c r="AS354" t="s">
        <v>125</v>
      </c>
      <c r="AT354">
        <v>2</v>
      </c>
      <c r="AU354" t="s">
        <v>106</v>
      </c>
      <c r="AV354" t="s">
        <v>155</v>
      </c>
      <c r="AW354" t="s">
        <v>156</v>
      </c>
      <c r="AX354">
        <v>1</v>
      </c>
      <c r="AY354" t="s">
        <v>129</v>
      </c>
      <c r="AZ354">
        <v>42035.4</v>
      </c>
      <c r="BA354">
        <v>3125055</v>
      </c>
      <c r="BB354">
        <v>49115.47</v>
      </c>
      <c r="BC354">
        <v>74.343400000000003</v>
      </c>
      <c r="BD354" t="s">
        <v>130</v>
      </c>
      <c r="BE354" t="s">
        <v>112</v>
      </c>
      <c r="BF354" t="s">
        <v>157</v>
      </c>
      <c r="BG354" t="s">
        <v>133</v>
      </c>
      <c r="BH354" t="s">
        <v>134</v>
      </c>
      <c r="BI354" t="s">
        <v>112</v>
      </c>
      <c r="BJ354" t="s">
        <v>178</v>
      </c>
      <c r="BK354" t="s">
        <v>112</v>
      </c>
      <c r="BL354" t="s">
        <v>125</v>
      </c>
      <c r="BM354" t="s">
        <v>179</v>
      </c>
      <c r="BN354" t="s">
        <v>180</v>
      </c>
      <c r="BO354" t="s">
        <v>181</v>
      </c>
      <c r="BP354">
        <v>1</v>
      </c>
      <c r="BQ354" t="s">
        <v>199</v>
      </c>
      <c r="BR354" s="45">
        <f>ISNUMBER(SEARCH($BR$1,Таблица1[[#This Row],[31_1 Описание и характеристика товара]]))*1</f>
        <v>1</v>
      </c>
      <c r="BT354" t="s">
        <v>150</v>
      </c>
      <c r="BU354">
        <v>33</v>
      </c>
      <c r="BV354">
        <v>1</v>
      </c>
      <c r="BW354">
        <v>0</v>
      </c>
      <c r="BY354">
        <v>0</v>
      </c>
      <c r="CA354" t="s">
        <v>106</v>
      </c>
      <c r="CB354" t="s">
        <v>142</v>
      </c>
      <c r="CC354" t="s">
        <v>112</v>
      </c>
      <c r="CD354" t="s">
        <v>112</v>
      </c>
      <c r="CE354" t="s">
        <v>121</v>
      </c>
      <c r="CF354">
        <v>16705.259999999998</v>
      </c>
      <c r="CG354" t="s">
        <v>144</v>
      </c>
      <c r="CH354">
        <v>4000000</v>
      </c>
      <c r="CI354">
        <v>16705.259999999998</v>
      </c>
      <c r="CJ354">
        <v>0</v>
      </c>
      <c r="CK354" t="s">
        <v>112</v>
      </c>
      <c r="CL354" t="s">
        <v>112</v>
      </c>
      <c r="CM354">
        <v>42035.4</v>
      </c>
      <c r="CN354">
        <v>3125055</v>
      </c>
      <c r="CO354">
        <v>0</v>
      </c>
      <c r="CP354">
        <v>1</v>
      </c>
      <c r="CQ354">
        <v>3372543.28</v>
      </c>
      <c r="CR354">
        <v>49115.47</v>
      </c>
      <c r="CS354" t="s">
        <v>145</v>
      </c>
      <c r="CT354">
        <v>49115.134925999999</v>
      </c>
      <c r="CU354">
        <v>2.9401000000000002</v>
      </c>
      <c r="CV354">
        <v>941</v>
      </c>
      <c r="CW354" t="s">
        <v>183</v>
      </c>
      <c r="CX354" t="s">
        <v>147</v>
      </c>
      <c r="CY354">
        <v>302</v>
      </c>
    </row>
    <row r="355" spans="1:103" x14ac:dyDescent="0.25">
      <c r="A355" t="s">
        <v>106</v>
      </c>
      <c r="B355" s="38">
        <v>45282</v>
      </c>
      <c r="C355" s="43">
        <f>IF(YEAR(Таблица1[[#This Row],[Дата]])=2023,MONTH(Таблица1[[#This Row],[Дата]]),0)</f>
        <v>12</v>
      </c>
      <c r="D355" t="s">
        <v>351</v>
      </c>
      <c r="E355" t="s">
        <v>108</v>
      </c>
      <c r="F355" t="s">
        <v>352</v>
      </c>
      <c r="G355" t="s">
        <v>110</v>
      </c>
      <c r="H355" t="s">
        <v>111</v>
      </c>
      <c r="I355" t="s">
        <v>112</v>
      </c>
      <c r="J355" t="s">
        <v>112</v>
      </c>
      <c r="K355" t="s">
        <v>112</v>
      </c>
      <c r="L355" t="s">
        <v>175</v>
      </c>
      <c r="M355" t="s">
        <v>176</v>
      </c>
      <c r="N355" t="s">
        <v>112</v>
      </c>
      <c r="O355" t="s">
        <v>112</v>
      </c>
      <c r="P355">
        <v>1</v>
      </c>
      <c r="Q355">
        <v>0</v>
      </c>
      <c r="R355">
        <v>1</v>
      </c>
      <c r="S355">
        <v>33</v>
      </c>
      <c r="T355" t="s">
        <v>166</v>
      </c>
      <c r="U355" t="s">
        <v>152</v>
      </c>
      <c r="V355" t="s">
        <v>153</v>
      </c>
      <c r="W355" t="s">
        <v>177</v>
      </c>
      <c r="X355" t="s">
        <v>119</v>
      </c>
      <c r="Y355" t="s">
        <v>112</v>
      </c>
      <c r="Z355" t="s">
        <v>166</v>
      </c>
      <c r="AA355" t="s">
        <v>152</v>
      </c>
      <c r="AB355" t="s">
        <v>153</v>
      </c>
      <c r="AC355" t="s">
        <v>177</v>
      </c>
      <c r="AD355" t="s">
        <v>119</v>
      </c>
      <c r="AE355" t="s">
        <v>112</v>
      </c>
      <c r="AF355" t="s">
        <v>121</v>
      </c>
      <c r="AG355" t="s">
        <v>122</v>
      </c>
      <c r="AH355">
        <v>3059408.88</v>
      </c>
      <c r="AI355" t="s">
        <v>166</v>
      </c>
      <c r="AJ355" t="s">
        <v>152</v>
      </c>
      <c r="AK355" t="s">
        <v>153</v>
      </c>
      <c r="AL355" t="s">
        <v>177</v>
      </c>
      <c r="AM355" t="s">
        <v>119</v>
      </c>
      <c r="AN355" t="s">
        <v>112</v>
      </c>
      <c r="AO355" t="s">
        <v>121</v>
      </c>
      <c r="AP355" t="s">
        <v>122</v>
      </c>
      <c r="AQ355" t="s">
        <v>122</v>
      </c>
      <c r="AR355" t="s">
        <v>124</v>
      </c>
      <c r="AS355" t="s">
        <v>125</v>
      </c>
      <c r="AT355">
        <v>2</v>
      </c>
      <c r="AU355" t="s">
        <v>106</v>
      </c>
      <c r="AV355" t="s">
        <v>155</v>
      </c>
      <c r="AW355" t="s">
        <v>156</v>
      </c>
      <c r="AX355">
        <v>1</v>
      </c>
      <c r="AY355" t="s">
        <v>129</v>
      </c>
      <c r="AZ355">
        <v>37823.4</v>
      </c>
      <c r="BA355">
        <v>2811920</v>
      </c>
      <c r="BB355">
        <v>44555.19</v>
      </c>
      <c r="BC355">
        <v>74.343400000000003</v>
      </c>
      <c r="BD355" t="s">
        <v>130</v>
      </c>
      <c r="BE355" t="s">
        <v>112</v>
      </c>
      <c r="BF355" t="s">
        <v>157</v>
      </c>
      <c r="BG355" t="s">
        <v>133</v>
      </c>
      <c r="BH355" t="s">
        <v>134</v>
      </c>
      <c r="BI355" t="s">
        <v>112</v>
      </c>
      <c r="BJ355" t="s">
        <v>178</v>
      </c>
      <c r="BK355" t="s">
        <v>112</v>
      </c>
      <c r="BL355" t="s">
        <v>125</v>
      </c>
      <c r="BM355" t="s">
        <v>179</v>
      </c>
      <c r="BN355" t="s">
        <v>180</v>
      </c>
      <c r="BO355" t="s">
        <v>181</v>
      </c>
      <c r="BP355">
        <v>1</v>
      </c>
      <c r="BQ355" t="s">
        <v>274</v>
      </c>
      <c r="BR355" s="45">
        <f>ISNUMBER(SEARCH($BR$1,Таблица1[[#This Row],[31_1 Описание и характеристика товара]]))*1</f>
        <v>1</v>
      </c>
      <c r="BT355" t="s">
        <v>150</v>
      </c>
      <c r="BU355">
        <v>33</v>
      </c>
      <c r="BV355">
        <v>1</v>
      </c>
      <c r="BW355">
        <v>0</v>
      </c>
      <c r="BY355">
        <v>0</v>
      </c>
      <c r="CA355" t="s">
        <v>106</v>
      </c>
      <c r="CB355" t="s">
        <v>142</v>
      </c>
      <c r="CC355" t="s">
        <v>112</v>
      </c>
      <c r="CD355" t="s">
        <v>112</v>
      </c>
      <c r="CE355" t="s">
        <v>121</v>
      </c>
      <c r="CF355">
        <v>16086.24</v>
      </c>
      <c r="CG355" t="s">
        <v>144</v>
      </c>
      <c r="CH355">
        <v>4000000</v>
      </c>
      <c r="CI355">
        <v>15848.64</v>
      </c>
      <c r="CJ355">
        <v>0</v>
      </c>
      <c r="CK355" t="s">
        <v>112</v>
      </c>
      <c r="CL355" t="s">
        <v>112</v>
      </c>
      <c r="CM355">
        <v>37823.4</v>
      </c>
      <c r="CN355">
        <v>2811920</v>
      </c>
      <c r="CO355">
        <v>0</v>
      </c>
      <c r="CP355">
        <v>1</v>
      </c>
      <c r="CQ355">
        <v>3059408.88</v>
      </c>
      <c r="CR355">
        <v>44555.19</v>
      </c>
      <c r="CS355" t="s">
        <v>145</v>
      </c>
      <c r="CT355">
        <v>44555.281631999998</v>
      </c>
      <c r="CU355">
        <v>2.8113000000000001</v>
      </c>
      <c r="CV355">
        <v>941</v>
      </c>
      <c r="CW355" t="s">
        <v>183</v>
      </c>
      <c r="CX355" t="s">
        <v>147</v>
      </c>
      <c r="CY355">
        <v>211</v>
      </c>
    </row>
    <row r="356" spans="1:103" x14ac:dyDescent="0.25">
      <c r="A356" t="s">
        <v>106</v>
      </c>
      <c r="B356" s="38">
        <v>44905</v>
      </c>
      <c r="C356" s="43">
        <f>IF(YEAR(Таблица1[[#This Row],[Дата]])=2023,MONTH(Таблица1[[#This Row],[Дата]]),0)</f>
        <v>0</v>
      </c>
      <c r="D356" t="s">
        <v>288</v>
      </c>
      <c r="E356" t="s">
        <v>108</v>
      </c>
      <c r="F356" t="s">
        <v>289</v>
      </c>
      <c r="G356" t="s">
        <v>110</v>
      </c>
      <c r="H356" t="s">
        <v>111</v>
      </c>
      <c r="I356" t="s">
        <v>112</v>
      </c>
      <c r="J356" t="s">
        <v>112</v>
      </c>
      <c r="K356" t="s">
        <v>112</v>
      </c>
      <c r="L356" t="s">
        <v>175</v>
      </c>
      <c r="M356" t="s">
        <v>176</v>
      </c>
      <c r="N356" t="s">
        <v>112</v>
      </c>
      <c r="O356" t="s">
        <v>112</v>
      </c>
      <c r="P356">
        <v>1</v>
      </c>
      <c r="Q356">
        <v>0</v>
      </c>
      <c r="R356">
        <v>1</v>
      </c>
      <c r="S356">
        <v>33</v>
      </c>
      <c r="T356" t="s">
        <v>166</v>
      </c>
      <c r="U356" t="s">
        <v>152</v>
      </c>
      <c r="V356" t="s">
        <v>153</v>
      </c>
      <c r="W356" t="s">
        <v>177</v>
      </c>
      <c r="X356" t="s">
        <v>119</v>
      </c>
      <c r="Y356" t="s">
        <v>112</v>
      </c>
      <c r="Z356" t="s">
        <v>166</v>
      </c>
      <c r="AA356" t="s">
        <v>152</v>
      </c>
      <c r="AB356" t="s">
        <v>153</v>
      </c>
      <c r="AC356" t="s">
        <v>177</v>
      </c>
      <c r="AD356" t="s">
        <v>119</v>
      </c>
      <c r="AE356" t="s">
        <v>112</v>
      </c>
      <c r="AF356" t="s">
        <v>121</v>
      </c>
      <c r="AG356" t="s">
        <v>122</v>
      </c>
      <c r="AH356">
        <v>3466621.88</v>
      </c>
      <c r="AI356" t="s">
        <v>166</v>
      </c>
      <c r="AJ356" t="s">
        <v>152</v>
      </c>
      <c r="AK356" t="s">
        <v>153</v>
      </c>
      <c r="AL356" t="s">
        <v>177</v>
      </c>
      <c r="AM356" t="s">
        <v>119</v>
      </c>
      <c r="AN356" t="s">
        <v>112</v>
      </c>
      <c r="AO356" t="s">
        <v>121</v>
      </c>
      <c r="AP356" t="s">
        <v>122</v>
      </c>
      <c r="AQ356" t="s">
        <v>122</v>
      </c>
      <c r="AR356" t="s">
        <v>124</v>
      </c>
      <c r="AS356" t="s">
        <v>125</v>
      </c>
      <c r="AT356">
        <v>2</v>
      </c>
      <c r="AU356" t="s">
        <v>106</v>
      </c>
      <c r="AV356" t="s">
        <v>155</v>
      </c>
      <c r="AW356" t="s">
        <v>156</v>
      </c>
      <c r="AX356">
        <v>1</v>
      </c>
      <c r="AY356" t="s">
        <v>129</v>
      </c>
      <c r="AZ356">
        <v>43300.86</v>
      </c>
      <c r="BA356">
        <v>3219133</v>
      </c>
      <c r="BB356">
        <v>50485.57</v>
      </c>
      <c r="BC356">
        <v>74.343400000000003</v>
      </c>
      <c r="BD356" t="s">
        <v>130</v>
      </c>
      <c r="BE356" t="s">
        <v>112</v>
      </c>
      <c r="BF356" t="s">
        <v>157</v>
      </c>
      <c r="BG356" t="s">
        <v>133</v>
      </c>
      <c r="BH356" t="s">
        <v>134</v>
      </c>
      <c r="BI356" t="s">
        <v>112</v>
      </c>
      <c r="BJ356" t="s">
        <v>178</v>
      </c>
      <c r="BK356" t="s">
        <v>112</v>
      </c>
      <c r="BL356" t="s">
        <v>125</v>
      </c>
      <c r="BM356" t="s">
        <v>179</v>
      </c>
      <c r="BN356" t="s">
        <v>180</v>
      </c>
      <c r="BO356" t="s">
        <v>181</v>
      </c>
      <c r="BP356">
        <v>1</v>
      </c>
      <c r="BQ356" t="s">
        <v>199</v>
      </c>
      <c r="BR356" s="45">
        <f>ISNUMBER(SEARCH($BR$1,Таблица1[[#This Row],[31_1 Описание и характеристика товара]]))*1</f>
        <v>1</v>
      </c>
      <c r="BT356" t="s">
        <v>150</v>
      </c>
      <c r="BU356">
        <v>33</v>
      </c>
      <c r="BV356">
        <v>1</v>
      </c>
      <c r="BW356">
        <v>0</v>
      </c>
      <c r="BY356">
        <v>0</v>
      </c>
      <c r="CA356" t="s">
        <v>106</v>
      </c>
      <c r="CB356" t="s">
        <v>142</v>
      </c>
      <c r="CC356" t="s">
        <v>112</v>
      </c>
      <c r="CD356" t="s">
        <v>112</v>
      </c>
      <c r="CE356" t="s">
        <v>121</v>
      </c>
      <c r="CF356">
        <v>16178.48</v>
      </c>
      <c r="CG356" t="s">
        <v>144</v>
      </c>
      <c r="CH356">
        <v>4000000</v>
      </c>
      <c r="CI356">
        <v>16088.47</v>
      </c>
      <c r="CJ356">
        <v>0</v>
      </c>
      <c r="CK356" t="s">
        <v>112</v>
      </c>
      <c r="CL356" t="s">
        <v>112</v>
      </c>
      <c r="CM356">
        <v>43300.86</v>
      </c>
      <c r="CN356">
        <v>3219133</v>
      </c>
      <c r="CO356">
        <v>0</v>
      </c>
      <c r="CP356">
        <v>1</v>
      </c>
      <c r="CQ356">
        <v>3466621.88</v>
      </c>
      <c r="CR356">
        <v>50485.57</v>
      </c>
      <c r="CS356" t="s">
        <v>145</v>
      </c>
      <c r="CT356">
        <v>50485.618859999995</v>
      </c>
      <c r="CU356">
        <v>3.1379999999999999</v>
      </c>
      <c r="CV356">
        <v>941</v>
      </c>
      <c r="CW356" t="s">
        <v>183</v>
      </c>
      <c r="CX356" t="s">
        <v>147</v>
      </c>
      <c r="CY356">
        <v>229</v>
      </c>
    </row>
    <row r="357" spans="1:103" x14ac:dyDescent="0.25">
      <c r="A357" t="s">
        <v>106</v>
      </c>
      <c r="B357" s="38">
        <v>44603</v>
      </c>
      <c r="C357" s="43">
        <f>IF(YEAR(Таблица1[[#This Row],[Дата]])=2023,MONTH(Таблица1[[#This Row],[Дата]]),0)</f>
        <v>0</v>
      </c>
      <c r="D357" t="s">
        <v>564</v>
      </c>
      <c r="E357" t="s">
        <v>108</v>
      </c>
      <c r="F357" t="s">
        <v>565</v>
      </c>
      <c r="G357" t="s">
        <v>110</v>
      </c>
      <c r="H357" t="s">
        <v>111</v>
      </c>
      <c r="I357" t="s">
        <v>112</v>
      </c>
      <c r="J357" t="s">
        <v>112</v>
      </c>
      <c r="K357" t="s">
        <v>112</v>
      </c>
      <c r="L357" t="s">
        <v>150</v>
      </c>
      <c r="M357" t="s">
        <v>151</v>
      </c>
      <c r="N357" t="s">
        <v>112</v>
      </c>
      <c r="O357" t="s">
        <v>112</v>
      </c>
      <c r="P357">
        <v>1</v>
      </c>
      <c r="R357">
        <v>1</v>
      </c>
      <c r="S357">
        <v>33</v>
      </c>
      <c r="T357" t="s">
        <v>112</v>
      </c>
      <c r="U357" t="s">
        <v>152</v>
      </c>
      <c r="V357" t="s">
        <v>153</v>
      </c>
      <c r="W357" t="s">
        <v>154</v>
      </c>
      <c r="X357" t="s">
        <v>119</v>
      </c>
      <c r="Y357" t="s">
        <v>112</v>
      </c>
      <c r="Z357" t="s">
        <v>112</v>
      </c>
      <c r="AA357" t="s">
        <v>152</v>
      </c>
      <c r="AB357" t="s">
        <v>153</v>
      </c>
      <c r="AC357" t="s">
        <v>154</v>
      </c>
      <c r="AD357" t="s">
        <v>119</v>
      </c>
      <c r="AE357" t="s">
        <v>112</v>
      </c>
      <c r="AF357" t="s">
        <v>121</v>
      </c>
      <c r="AG357" t="s">
        <v>122</v>
      </c>
      <c r="AH357">
        <v>5004319.67</v>
      </c>
      <c r="AI357" t="s">
        <v>112</v>
      </c>
      <c r="AJ357" t="s">
        <v>152</v>
      </c>
      <c r="AK357" t="s">
        <v>153</v>
      </c>
      <c r="AL357" t="s">
        <v>154</v>
      </c>
      <c r="AM357" t="s">
        <v>119</v>
      </c>
      <c r="AN357" t="s">
        <v>112</v>
      </c>
      <c r="AO357" t="s">
        <v>121</v>
      </c>
      <c r="AP357" t="s">
        <v>122</v>
      </c>
      <c r="AQ357" t="s">
        <v>122</v>
      </c>
      <c r="AR357" t="s">
        <v>124</v>
      </c>
      <c r="AS357" t="s">
        <v>125</v>
      </c>
      <c r="AT357">
        <v>2</v>
      </c>
      <c r="AU357" t="s">
        <v>126</v>
      </c>
      <c r="AV357" t="s">
        <v>155</v>
      </c>
      <c r="AW357" t="s">
        <v>156</v>
      </c>
      <c r="AY357" t="s">
        <v>129</v>
      </c>
      <c r="AZ357">
        <v>46775.9</v>
      </c>
      <c r="BC357">
        <v>98.576400000000007</v>
      </c>
      <c r="BD357" t="s">
        <v>112</v>
      </c>
      <c r="BE357" t="s">
        <v>112</v>
      </c>
      <c r="BF357" t="s">
        <v>157</v>
      </c>
      <c r="BG357" t="s">
        <v>133</v>
      </c>
      <c r="BH357" t="s">
        <v>134</v>
      </c>
      <c r="BI357" t="s">
        <v>112</v>
      </c>
      <c r="BJ357" t="s">
        <v>112</v>
      </c>
      <c r="BK357" t="s">
        <v>112</v>
      </c>
      <c r="BL357" t="s">
        <v>158</v>
      </c>
      <c r="BM357" t="s">
        <v>159</v>
      </c>
      <c r="BN357" t="s">
        <v>212</v>
      </c>
      <c r="BO357" t="s">
        <v>161</v>
      </c>
      <c r="BQ357" t="s">
        <v>232</v>
      </c>
      <c r="BR357" s="45">
        <f>ISNUMBER(SEARCH($BR$1,Таблица1[[#This Row],[31_1 Описание и характеристика товара]]))*1</f>
        <v>1</v>
      </c>
      <c r="BT357" t="s">
        <v>150</v>
      </c>
      <c r="BU357">
        <v>33</v>
      </c>
      <c r="BV357">
        <v>0</v>
      </c>
      <c r="BW357">
        <v>0</v>
      </c>
      <c r="BY357">
        <v>0</v>
      </c>
      <c r="CA357" t="s">
        <v>106</v>
      </c>
      <c r="CB357" t="s">
        <v>142</v>
      </c>
      <c r="CC357" t="s">
        <v>112</v>
      </c>
      <c r="CD357" t="s">
        <v>112</v>
      </c>
      <c r="CE357" t="s">
        <v>121</v>
      </c>
      <c r="CF357">
        <v>15209.07</v>
      </c>
      <c r="CG357" t="s">
        <v>144</v>
      </c>
      <c r="CH357">
        <v>4000000</v>
      </c>
      <c r="CI357">
        <v>15036.87</v>
      </c>
      <c r="CJ357">
        <v>0</v>
      </c>
      <c r="CK357" t="s">
        <v>112</v>
      </c>
      <c r="CL357" t="s">
        <v>112</v>
      </c>
      <c r="CM357">
        <v>46775.9</v>
      </c>
      <c r="CO357">
        <v>0</v>
      </c>
      <c r="CP357">
        <v>1</v>
      </c>
      <c r="CQ357">
        <v>5004319.67</v>
      </c>
      <c r="CR357">
        <v>55549.85</v>
      </c>
      <c r="CS357" t="s">
        <v>145</v>
      </c>
      <c r="CT357">
        <v>55486.050300000003</v>
      </c>
      <c r="CU357">
        <v>3.69</v>
      </c>
      <c r="CV357">
        <v>45</v>
      </c>
      <c r="CX357" t="s">
        <v>233</v>
      </c>
      <c r="CY357">
        <v>586</v>
      </c>
    </row>
    <row r="358" spans="1:103" x14ac:dyDescent="0.25">
      <c r="A358" s="8" t="s">
        <v>106</v>
      </c>
      <c r="B358" s="38">
        <v>45236</v>
      </c>
      <c r="C358" s="43">
        <f>IF(YEAR(Таблица1[[#This Row],[Дата]])=2023,MONTH(Таблица1[[#This Row],[Дата]]),0)</f>
        <v>11</v>
      </c>
      <c r="D358" s="8" t="s">
        <v>3018</v>
      </c>
      <c r="E358" s="8" t="s">
        <v>108</v>
      </c>
      <c r="F358" s="8" t="s">
        <v>3019</v>
      </c>
      <c r="G358" t="s">
        <v>110</v>
      </c>
      <c r="H358" s="8" t="s">
        <v>111</v>
      </c>
      <c r="I358" s="8" t="s">
        <v>112</v>
      </c>
      <c r="J358" s="8" t="s">
        <v>112</v>
      </c>
      <c r="K358" s="8" t="s">
        <v>112</v>
      </c>
      <c r="L358" s="8" t="s">
        <v>2389</v>
      </c>
      <c r="M358" s="8" t="s">
        <v>2390</v>
      </c>
      <c r="N358" s="8" t="s">
        <v>112</v>
      </c>
      <c r="O358" s="8" t="s">
        <v>112</v>
      </c>
      <c r="P358">
        <v>2</v>
      </c>
      <c r="Q358">
        <v>0</v>
      </c>
      <c r="R358">
        <v>2</v>
      </c>
      <c r="S358">
        <v>30</v>
      </c>
      <c r="T358" s="8" t="s">
        <v>2391</v>
      </c>
      <c r="U358" s="8" t="s">
        <v>2392</v>
      </c>
      <c r="V358" s="8" t="s">
        <v>2393</v>
      </c>
      <c r="W358" s="8" t="s">
        <v>2394</v>
      </c>
      <c r="X358" s="8" t="s">
        <v>119</v>
      </c>
      <c r="Y358" s="8" t="s">
        <v>2395</v>
      </c>
      <c r="Z358" s="8" t="s">
        <v>2391</v>
      </c>
      <c r="AA358" s="8" t="s">
        <v>2392</v>
      </c>
      <c r="AB358" s="8" t="s">
        <v>2393</v>
      </c>
      <c r="AC358" s="8" t="s">
        <v>2394</v>
      </c>
      <c r="AD358" s="8" t="s">
        <v>119</v>
      </c>
      <c r="AE358" s="8" t="s">
        <v>2395</v>
      </c>
      <c r="AF358" s="8" t="s">
        <v>2396</v>
      </c>
      <c r="AG358" s="8" t="s">
        <v>2397</v>
      </c>
      <c r="AH358">
        <v>5805072.3600000003</v>
      </c>
      <c r="AI358" s="8" t="s">
        <v>2391</v>
      </c>
      <c r="AJ358" s="8" t="s">
        <v>2392</v>
      </c>
      <c r="AK358" s="8" t="s">
        <v>2393</v>
      </c>
      <c r="AL358" s="8" t="s">
        <v>2394</v>
      </c>
      <c r="AM358" s="8" t="s">
        <v>119</v>
      </c>
      <c r="AN358" s="8" t="s">
        <v>2395</v>
      </c>
      <c r="AO358" s="8" t="s">
        <v>2398</v>
      </c>
      <c r="AP358" s="8" t="s">
        <v>2399</v>
      </c>
      <c r="AQ358" s="8" t="s">
        <v>2186</v>
      </c>
      <c r="AR358" s="8" t="s">
        <v>124</v>
      </c>
      <c r="AS358" s="8" t="s">
        <v>125</v>
      </c>
      <c r="AT358">
        <v>2</v>
      </c>
      <c r="AU358" s="8" t="s">
        <v>126</v>
      </c>
      <c r="AV358" s="8" t="s">
        <v>2400</v>
      </c>
      <c r="AW358" s="8" t="s">
        <v>2401</v>
      </c>
      <c r="AX358">
        <v>1</v>
      </c>
      <c r="AY358" s="8" t="s">
        <v>129</v>
      </c>
      <c r="AZ358">
        <v>82202</v>
      </c>
      <c r="BA358">
        <v>5805072</v>
      </c>
      <c r="BB358">
        <v>87495.1</v>
      </c>
      <c r="BC358">
        <v>70.619600000000005</v>
      </c>
      <c r="BD358" s="8" t="s">
        <v>130</v>
      </c>
      <c r="BE358" s="8" t="s">
        <v>112</v>
      </c>
      <c r="BF358" s="8" t="s">
        <v>2402</v>
      </c>
      <c r="BG358" s="8" t="s">
        <v>133</v>
      </c>
      <c r="BH358" s="8" t="s">
        <v>134</v>
      </c>
      <c r="BI358" s="8" t="s">
        <v>112</v>
      </c>
      <c r="BJ358" s="8" t="s">
        <v>2403</v>
      </c>
      <c r="BK358" s="8" t="s">
        <v>112</v>
      </c>
      <c r="BL358" s="8" t="s">
        <v>2404</v>
      </c>
      <c r="BM358" s="8" t="s">
        <v>2405</v>
      </c>
      <c r="BN358" s="8" t="s">
        <v>2406</v>
      </c>
      <c r="BO358" s="8" t="s">
        <v>2407</v>
      </c>
      <c r="BP358">
        <v>1</v>
      </c>
      <c r="BQ358" s="8" t="s">
        <v>3020</v>
      </c>
      <c r="BR358" s="45">
        <f>ISNUMBER(SEARCH($BR$1,Таблица1[[#This Row],[31_1 Описание и характеристика товара]]))*1</f>
        <v>0</v>
      </c>
      <c r="BT358" s="8" t="s">
        <v>2409</v>
      </c>
      <c r="BU358">
        <v>28</v>
      </c>
      <c r="BV358">
        <v>0</v>
      </c>
      <c r="BW358">
        <v>280</v>
      </c>
      <c r="BX358" t="s">
        <v>2147</v>
      </c>
      <c r="BY358">
        <v>0</v>
      </c>
      <c r="CA358" s="8" t="s">
        <v>106</v>
      </c>
      <c r="CB358" s="8" t="s">
        <v>2148</v>
      </c>
      <c r="CC358" s="8" t="s">
        <v>112</v>
      </c>
      <c r="CD358" s="8" t="s">
        <v>112</v>
      </c>
      <c r="CE358" s="8" t="s">
        <v>2185</v>
      </c>
      <c r="CF358">
        <v>9380</v>
      </c>
      <c r="CG358" t="s">
        <v>144</v>
      </c>
      <c r="CH358">
        <v>4000000</v>
      </c>
      <c r="CI358">
        <v>8680</v>
      </c>
      <c r="CJ358">
        <v>0</v>
      </c>
      <c r="CK358" s="8" t="s">
        <v>112</v>
      </c>
      <c r="CL358" s="8" t="s">
        <v>112</v>
      </c>
      <c r="CM358">
        <v>80620</v>
      </c>
      <c r="CN358">
        <v>5693352</v>
      </c>
      <c r="CO358">
        <v>0</v>
      </c>
      <c r="CP358">
        <v>1</v>
      </c>
      <c r="CQ358">
        <v>5693352.1500000004</v>
      </c>
      <c r="CR358">
        <v>85811.23</v>
      </c>
      <c r="CS358" s="8" t="s">
        <v>145</v>
      </c>
      <c r="CT358">
        <v>9.8861000000000008</v>
      </c>
      <c r="CU358">
        <v>538</v>
      </c>
      <c r="CV358">
        <v>4</v>
      </c>
      <c r="CX358" t="s">
        <v>2411</v>
      </c>
      <c r="CY358">
        <v>140</v>
      </c>
    </row>
    <row r="359" spans="1:103" x14ac:dyDescent="0.25">
      <c r="A359" s="8" t="s">
        <v>106</v>
      </c>
      <c r="B359" s="38">
        <v>45044</v>
      </c>
      <c r="C359" s="43">
        <f>IF(YEAR(Таблица1[[#This Row],[Дата]])=2023,MONTH(Таблица1[[#This Row],[Дата]]),0)</f>
        <v>4</v>
      </c>
      <c r="D359" s="8" t="s">
        <v>3051</v>
      </c>
      <c r="E359" s="8" t="s">
        <v>108</v>
      </c>
      <c r="F359" s="8" t="s">
        <v>3052</v>
      </c>
      <c r="G359" t="s">
        <v>110</v>
      </c>
      <c r="H359" s="8" t="s">
        <v>111</v>
      </c>
      <c r="I359" s="8" t="s">
        <v>112</v>
      </c>
      <c r="J359" s="8" t="s">
        <v>112</v>
      </c>
      <c r="K359" s="8" t="s">
        <v>112</v>
      </c>
      <c r="L359" s="8" t="s">
        <v>2237</v>
      </c>
      <c r="M359" s="8" t="s">
        <v>3053</v>
      </c>
      <c r="N359" s="8" t="s">
        <v>112</v>
      </c>
      <c r="O359" s="8" t="s">
        <v>112</v>
      </c>
      <c r="P359">
        <v>2</v>
      </c>
      <c r="Q359">
        <v>0</v>
      </c>
      <c r="R359">
        <v>2</v>
      </c>
      <c r="S359">
        <v>546</v>
      </c>
      <c r="T359" s="8" t="s">
        <v>2239</v>
      </c>
      <c r="U359" s="8" t="s">
        <v>2240</v>
      </c>
      <c r="V359" s="8" t="s">
        <v>2241</v>
      </c>
      <c r="W359" s="8" t="s">
        <v>2242</v>
      </c>
      <c r="X359" s="8" t="s">
        <v>2243</v>
      </c>
      <c r="Y359" s="8" t="s">
        <v>2244</v>
      </c>
      <c r="Z359" s="8" t="s">
        <v>2245</v>
      </c>
      <c r="AA359" s="8" t="s">
        <v>2246</v>
      </c>
      <c r="AB359" s="8" t="s">
        <v>2247</v>
      </c>
      <c r="AC359" s="8" t="s">
        <v>2248</v>
      </c>
      <c r="AD359" s="8" t="s">
        <v>2249</v>
      </c>
      <c r="AE359" s="8" t="s">
        <v>2250</v>
      </c>
      <c r="AF359" s="8" t="s">
        <v>2142</v>
      </c>
      <c r="AG359" s="8" t="s">
        <v>2143</v>
      </c>
      <c r="AH359">
        <v>7721421.3799999896</v>
      </c>
      <c r="AI359" s="8" t="s">
        <v>2245</v>
      </c>
      <c r="AJ359" s="8" t="s">
        <v>2246</v>
      </c>
      <c r="AK359" s="8" t="s">
        <v>2247</v>
      </c>
      <c r="AL359" s="8" t="s">
        <v>2248</v>
      </c>
      <c r="AM359" s="8" t="s">
        <v>2249</v>
      </c>
      <c r="AN359" s="8" t="s">
        <v>2250</v>
      </c>
      <c r="AO359" s="8" t="s">
        <v>2142</v>
      </c>
      <c r="AP359" s="8" t="s">
        <v>2143</v>
      </c>
      <c r="AQ359" s="8" t="s">
        <v>2143</v>
      </c>
      <c r="AR359" s="8" t="s">
        <v>124</v>
      </c>
      <c r="AS359" s="8" t="s">
        <v>125</v>
      </c>
      <c r="AT359">
        <v>1</v>
      </c>
      <c r="AU359" s="8" t="s">
        <v>106</v>
      </c>
      <c r="AV359" s="8" t="s">
        <v>2251</v>
      </c>
      <c r="AW359" s="8" t="s">
        <v>2252</v>
      </c>
      <c r="AX359">
        <v>0</v>
      </c>
      <c r="AY359" s="8" t="s">
        <v>2253</v>
      </c>
      <c r="AZ359">
        <v>782680</v>
      </c>
      <c r="BA359">
        <v>7435178</v>
      </c>
      <c r="BB359">
        <v>116378.65</v>
      </c>
      <c r="BC359">
        <v>94.996399999999895</v>
      </c>
      <c r="BD359" s="8" t="s">
        <v>130</v>
      </c>
      <c r="BE359" s="8" t="s">
        <v>112</v>
      </c>
      <c r="BF359" s="8" t="s">
        <v>2998</v>
      </c>
      <c r="BG359" s="8" t="s">
        <v>133</v>
      </c>
      <c r="BH359" s="8" t="s">
        <v>167</v>
      </c>
      <c r="BI359" s="8" t="s">
        <v>2255</v>
      </c>
      <c r="BJ359" s="8" t="s">
        <v>112</v>
      </c>
      <c r="BK359" s="8" t="s">
        <v>2256</v>
      </c>
      <c r="BL359" s="8" t="s">
        <v>169</v>
      </c>
      <c r="BM359" s="8" t="s">
        <v>159</v>
      </c>
      <c r="BN359" s="8" t="s">
        <v>160</v>
      </c>
      <c r="BO359" s="8" t="s">
        <v>161</v>
      </c>
      <c r="BP359">
        <v>1</v>
      </c>
      <c r="BQ359" s="8" t="s">
        <v>2257</v>
      </c>
      <c r="BR359" s="45">
        <f>ISNUMBER(SEARCH($BR$1,Таблица1[[#This Row],[31_1 Описание и характеристика товара]]))*1</f>
        <v>0</v>
      </c>
      <c r="BT359" s="8" t="s">
        <v>2258</v>
      </c>
      <c r="BU359">
        <v>538</v>
      </c>
      <c r="BV359">
        <v>1</v>
      </c>
      <c r="BW359">
        <v>538</v>
      </c>
      <c r="BX359" t="s">
        <v>2147</v>
      </c>
      <c r="BY359">
        <v>0</v>
      </c>
      <c r="CA359" s="8" t="s">
        <v>106</v>
      </c>
      <c r="CB359" s="8" t="s">
        <v>2148</v>
      </c>
      <c r="CC359" s="8" t="s">
        <v>112</v>
      </c>
      <c r="CD359" s="8" t="s">
        <v>112</v>
      </c>
      <c r="CE359" s="8" t="s">
        <v>2142</v>
      </c>
      <c r="CF359">
        <v>15359.4</v>
      </c>
      <c r="CG359" t="s">
        <v>144</v>
      </c>
      <c r="CH359">
        <v>4000000</v>
      </c>
      <c r="CI359">
        <v>15359.4</v>
      </c>
      <c r="CJ359">
        <v>0</v>
      </c>
      <c r="CK359" s="8" t="s">
        <v>112</v>
      </c>
      <c r="CL359" s="8" t="s">
        <v>112</v>
      </c>
      <c r="CM359">
        <v>782072</v>
      </c>
      <c r="CN359">
        <v>7429402</v>
      </c>
      <c r="CO359">
        <v>0</v>
      </c>
      <c r="CP359">
        <v>1</v>
      </c>
      <c r="CQ359">
        <v>7715199.0199999902</v>
      </c>
      <c r="CR359">
        <v>116284.87</v>
      </c>
      <c r="CS359" s="8" t="s">
        <v>145</v>
      </c>
      <c r="CT359">
        <v>7.5709</v>
      </c>
      <c r="CX359" t="s">
        <v>2259</v>
      </c>
      <c r="CY359">
        <v>128</v>
      </c>
    </row>
    <row r="360" spans="1:103" x14ac:dyDescent="0.25">
      <c r="A360" s="8" t="s">
        <v>106</v>
      </c>
      <c r="B360" s="38">
        <v>45109</v>
      </c>
      <c r="C360" s="43">
        <f>IF(YEAR(Таблица1[[#This Row],[Дата]])=2023,MONTH(Таблица1[[#This Row],[Дата]]),0)</f>
        <v>7</v>
      </c>
      <c r="D360" s="8" t="s">
        <v>3048</v>
      </c>
      <c r="E360" s="8" t="s">
        <v>108</v>
      </c>
      <c r="F360" s="8" t="s">
        <v>3049</v>
      </c>
      <c r="G360" t="s">
        <v>110</v>
      </c>
      <c r="H360" s="8" t="s">
        <v>111</v>
      </c>
      <c r="I360" s="8" t="s">
        <v>112</v>
      </c>
      <c r="J360" s="8" t="s">
        <v>112</v>
      </c>
      <c r="K360" s="8" t="s">
        <v>112</v>
      </c>
      <c r="L360" s="8" t="s">
        <v>2161</v>
      </c>
      <c r="M360" s="8" t="s">
        <v>2162</v>
      </c>
      <c r="N360" s="8" t="s">
        <v>112</v>
      </c>
      <c r="O360" s="8" t="s">
        <v>112</v>
      </c>
      <c r="P360">
        <v>3</v>
      </c>
      <c r="Q360">
        <v>0</v>
      </c>
      <c r="R360">
        <v>5</v>
      </c>
      <c r="S360">
        <v>188</v>
      </c>
      <c r="T360" s="8" t="s">
        <v>2136</v>
      </c>
      <c r="U360" s="8" t="s">
        <v>2137</v>
      </c>
      <c r="V360" s="8" t="s">
        <v>2141</v>
      </c>
      <c r="W360" s="8" t="s">
        <v>2139</v>
      </c>
      <c r="X360" s="8" t="s">
        <v>119</v>
      </c>
      <c r="Y360" s="8" t="s">
        <v>2140</v>
      </c>
      <c r="Z360" s="8" t="s">
        <v>2136</v>
      </c>
      <c r="AA360" s="8" t="s">
        <v>2137</v>
      </c>
      <c r="AB360" s="8" t="s">
        <v>2141</v>
      </c>
      <c r="AC360" s="8" t="s">
        <v>2139</v>
      </c>
      <c r="AD360" s="8" t="s">
        <v>119</v>
      </c>
      <c r="AE360" s="8" t="s">
        <v>2140</v>
      </c>
      <c r="AF360" s="8" t="s">
        <v>2163</v>
      </c>
      <c r="AG360" s="8" t="s">
        <v>2164</v>
      </c>
      <c r="AH360">
        <v>10909403.3699999</v>
      </c>
      <c r="AI360" s="8" t="s">
        <v>2136</v>
      </c>
      <c r="AJ360" s="8" t="s">
        <v>2137</v>
      </c>
      <c r="AK360" s="8" t="s">
        <v>2141</v>
      </c>
      <c r="AL360" s="8" t="s">
        <v>2139</v>
      </c>
      <c r="AM360" s="8" t="s">
        <v>119</v>
      </c>
      <c r="AN360" s="8" t="s">
        <v>2140</v>
      </c>
      <c r="AO360" s="8" t="s">
        <v>2163</v>
      </c>
      <c r="AP360" s="8" t="s">
        <v>2164</v>
      </c>
      <c r="AQ360" s="8" t="s">
        <v>2164</v>
      </c>
      <c r="AR360" s="8" t="s">
        <v>124</v>
      </c>
      <c r="AS360" s="8" t="s">
        <v>125</v>
      </c>
      <c r="AT360">
        <v>2</v>
      </c>
      <c r="AU360" s="8" t="s">
        <v>126</v>
      </c>
      <c r="AV360" s="8" t="s">
        <v>127</v>
      </c>
      <c r="AW360" s="8" t="s">
        <v>2165</v>
      </c>
      <c r="AX360">
        <v>1</v>
      </c>
      <c r="AY360" s="8" t="s">
        <v>129</v>
      </c>
      <c r="AZ360">
        <v>149081.24</v>
      </c>
      <c r="BA360">
        <v>10528058</v>
      </c>
      <c r="BB360">
        <v>164428.5</v>
      </c>
      <c r="BC360">
        <v>70.619600000000005</v>
      </c>
      <c r="BD360" s="8" t="s">
        <v>130</v>
      </c>
      <c r="BE360" s="8" t="s">
        <v>131</v>
      </c>
      <c r="BF360" s="8" t="s">
        <v>2166</v>
      </c>
      <c r="BG360" s="8" t="s">
        <v>133</v>
      </c>
      <c r="BH360" s="8" t="s">
        <v>134</v>
      </c>
      <c r="BI360" s="8" t="s">
        <v>112</v>
      </c>
      <c r="BJ360" s="8" t="s">
        <v>112</v>
      </c>
      <c r="BK360" s="8" t="s">
        <v>112</v>
      </c>
      <c r="BL360" s="8" t="s">
        <v>2655</v>
      </c>
      <c r="BM360" s="8" t="s">
        <v>2656</v>
      </c>
      <c r="BN360" s="8" t="s">
        <v>2496</v>
      </c>
      <c r="BO360" s="8" t="s">
        <v>2497</v>
      </c>
      <c r="BP360">
        <v>1</v>
      </c>
      <c r="BQ360" s="8" t="s">
        <v>3050</v>
      </c>
      <c r="BR360" s="45">
        <f>ISNUMBER(SEARCH($BR$1,Таблица1[[#This Row],[31_1 Описание и характеристика товара]]))*1</f>
        <v>0</v>
      </c>
      <c r="BT360" s="8" t="s">
        <v>2161</v>
      </c>
      <c r="BU360">
        <v>85</v>
      </c>
      <c r="BV360">
        <v>0</v>
      </c>
      <c r="BW360">
        <v>304</v>
      </c>
      <c r="BX360" t="s">
        <v>2147</v>
      </c>
      <c r="BY360">
        <v>0</v>
      </c>
      <c r="CA360" s="8" t="s">
        <v>106</v>
      </c>
      <c r="CB360" s="8" t="s">
        <v>2148</v>
      </c>
      <c r="CC360" s="8" t="s">
        <v>112</v>
      </c>
      <c r="CD360" s="8" t="s">
        <v>112</v>
      </c>
      <c r="CE360" s="8" t="s">
        <v>2163</v>
      </c>
      <c r="CF360">
        <v>14612.4</v>
      </c>
      <c r="CG360" t="s">
        <v>144</v>
      </c>
      <c r="CH360">
        <v>4000000</v>
      </c>
      <c r="CI360">
        <v>14538</v>
      </c>
      <c r="CJ360">
        <v>0</v>
      </c>
      <c r="CK360" s="8" t="s">
        <v>112</v>
      </c>
      <c r="CL360" s="8" t="s">
        <v>112</v>
      </c>
      <c r="CM360">
        <v>133553.579999999</v>
      </c>
      <c r="CN360">
        <v>9431500</v>
      </c>
      <c r="CO360">
        <v>0</v>
      </c>
      <c r="CP360">
        <v>1</v>
      </c>
      <c r="CQ360">
        <v>9792927.27999999</v>
      </c>
      <c r="CR360">
        <v>147600.769999999</v>
      </c>
      <c r="CS360" s="8" t="s">
        <v>145</v>
      </c>
      <c r="CT360">
        <v>10.152799999999999</v>
      </c>
      <c r="CU360">
        <v>1053</v>
      </c>
      <c r="CV360" t="s">
        <v>2149</v>
      </c>
      <c r="CX360" t="s">
        <v>2150</v>
      </c>
      <c r="CY360">
        <v>370</v>
      </c>
    </row>
    <row r="361" spans="1:103" x14ac:dyDescent="0.25">
      <c r="A361" s="8" t="s">
        <v>106</v>
      </c>
      <c r="B361" s="38">
        <v>44948</v>
      </c>
      <c r="C361" s="43">
        <f>IF(YEAR(Таблица1[[#This Row],[Дата]])=2023,MONTH(Таблица1[[#This Row],[Дата]]),0)</f>
        <v>1</v>
      </c>
      <c r="D361" s="8" t="s">
        <v>3015</v>
      </c>
      <c r="E361" s="8" t="s">
        <v>108</v>
      </c>
      <c r="F361" s="8" t="s">
        <v>3016</v>
      </c>
      <c r="G361" t="s">
        <v>110</v>
      </c>
      <c r="H361" s="8" t="s">
        <v>111</v>
      </c>
      <c r="I361" s="8" t="s">
        <v>112</v>
      </c>
      <c r="J361" s="8" t="s">
        <v>112</v>
      </c>
      <c r="K361" s="8" t="s">
        <v>112</v>
      </c>
      <c r="L361" s="8" t="s">
        <v>2161</v>
      </c>
      <c r="M361" s="8" t="s">
        <v>2162</v>
      </c>
      <c r="N361" s="8" t="s">
        <v>112</v>
      </c>
      <c r="O361" s="8" t="s">
        <v>112</v>
      </c>
      <c r="P361">
        <v>2</v>
      </c>
      <c r="Q361">
        <v>0</v>
      </c>
      <c r="R361">
        <v>3</v>
      </c>
      <c r="S361">
        <v>93</v>
      </c>
      <c r="T361" s="8" t="s">
        <v>2136</v>
      </c>
      <c r="U361" s="8" t="s">
        <v>2137</v>
      </c>
      <c r="V361" s="8" t="s">
        <v>2141</v>
      </c>
      <c r="W361" s="8" t="s">
        <v>2139</v>
      </c>
      <c r="X361" s="8" t="s">
        <v>119</v>
      </c>
      <c r="Y361" s="8" t="s">
        <v>2140</v>
      </c>
      <c r="Z361" s="8" t="s">
        <v>2136</v>
      </c>
      <c r="AA361" s="8" t="s">
        <v>2137</v>
      </c>
      <c r="AB361" s="8" t="s">
        <v>2141</v>
      </c>
      <c r="AC361" s="8" t="s">
        <v>2139</v>
      </c>
      <c r="AD361" s="8" t="s">
        <v>119</v>
      </c>
      <c r="AE361" s="8" t="s">
        <v>2140</v>
      </c>
      <c r="AF361" s="8" t="s">
        <v>2163</v>
      </c>
      <c r="AG361" s="8" t="s">
        <v>2164</v>
      </c>
      <c r="AH361">
        <v>10817225.720000001</v>
      </c>
      <c r="AI361" s="8" t="s">
        <v>2136</v>
      </c>
      <c r="AJ361" s="8" t="s">
        <v>2137</v>
      </c>
      <c r="AK361" s="8" t="s">
        <v>2141</v>
      </c>
      <c r="AL361" s="8" t="s">
        <v>2139</v>
      </c>
      <c r="AM361" s="8" t="s">
        <v>119</v>
      </c>
      <c r="AN361" s="8" t="s">
        <v>2140</v>
      </c>
      <c r="AO361" s="8" t="s">
        <v>2163</v>
      </c>
      <c r="AP361" s="8" t="s">
        <v>2164</v>
      </c>
      <c r="AQ361" s="8" t="s">
        <v>2164</v>
      </c>
      <c r="AR361" s="8" t="s">
        <v>124</v>
      </c>
      <c r="AS361" s="8" t="s">
        <v>125</v>
      </c>
      <c r="AT361">
        <v>2</v>
      </c>
      <c r="AU361" s="8" t="s">
        <v>126</v>
      </c>
      <c r="AV361" s="8" t="s">
        <v>127</v>
      </c>
      <c r="AW361" s="8" t="s">
        <v>2165</v>
      </c>
      <c r="AX361">
        <v>1</v>
      </c>
      <c r="AY361" s="8" t="s">
        <v>129</v>
      </c>
      <c r="AZ361">
        <v>147875.97</v>
      </c>
      <c r="BA361">
        <v>10442942</v>
      </c>
      <c r="BB361">
        <v>163039.18</v>
      </c>
      <c r="BC361">
        <v>70.619600000000005</v>
      </c>
      <c r="BD361" s="8" t="s">
        <v>130</v>
      </c>
      <c r="BE361" s="8" t="s">
        <v>131</v>
      </c>
      <c r="BF361" s="8" t="s">
        <v>2166</v>
      </c>
      <c r="BG361" s="8" t="s">
        <v>133</v>
      </c>
      <c r="BH361" s="8" t="s">
        <v>134</v>
      </c>
      <c r="BI361" s="8" t="s">
        <v>112</v>
      </c>
      <c r="BJ361" s="8" t="s">
        <v>112</v>
      </c>
      <c r="BK361" s="8" t="s">
        <v>112</v>
      </c>
      <c r="BL361" s="8" t="s">
        <v>2655</v>
      </c>
      <c r="BM361" s="8" t="s">
        <v>2656</v>
      </c>
      <c r="BN361" s="8" t="s">
        <v>2496</v>
      </c>
      <c r="BO361" s="8" t="s">
        <v>2497</v>
      </c>
      <c r="BP361">
        <v>1</v>
      </c>
      <c r="BQ361" s="8" t="s">
        <v>3017</v>
      </c>
      <c r="BR361" s="45">
        <f>ISNUMBER(SEARCH($BR$1,Таблица1[[#This Row],[31_1 Описание и характеристика товара]]))*1</f>
        <v>0</v>
      </c>
      <c r="BT361" s="8" t="s">
        <v>2161</v>
      </c>
      <c r="BU361">
        <v>64</v>
      </c>
      <c r="BV361">
        <v>0</v>
      </c>
      <c r="BW361">
        <v>264</v>
      </c>
      <c r="BX361" t="s">
        <v>2147</v>
      </c>
      <c r="BY361">
        <v>0</v>
      </c>
      <c r="CA361" s="8" t="s">
        <v>106</v>
      </c>
      <c r="CB361" s="8" t="s">
        <v>2148</v>
      </c>
      <c r="CC361" s="8" t="s">
        <v>112</v>
      </c>
      <c r="CD361" s="8" t="s">
        <v>112</v>
      </c>
      <c r="CE361" s="8" t="s">
        <v>2163</v>
      </c>
      <c r="CF361">
        <v>14034.4</v>
      </c>
      <c r="CG361" t="s">
        <v>144</v>
      </c>
      <c r="CH361">
        <v>4000000</v>
      </c>
      <c r="CI361">
        <v>13900</v>
      </c>
      <c r="CJ361">
        <v>0</v>
      </c>
      <c r="CK361" s="8" t="s">
        <v>112</v>
      </c>
      <c r="CL361" s="8" t="s">
        <v>112</v>
      </c>
      <c r="CM361">
        <v>143150.20000000001</v>
      </c>
      <c r="CN361">
        <v>10109210</v>
      </c>
      <c r="CO361">
        <v>0</v>
      </c>
      <c r="CP361">
        <v>1</v>
      </c>
      <c r="CQ361">
        <v>10469123.359999901</v>
      </c>
      <c r="CR361">
        <v>157792.519999999</v>
      </c>
      <c r="CS361" s="8" t="s">
        <v>145</v>
      </c>
      <c r="CT361">
        <v>11.352</v>
      </c>
      <c r="CU361">
        <v>1053</v>
      </c>
      <c r="CV361" t="s">
        <v>2149</v>
      </c>
      <c r="CX361" t="s">
        <v>2150</v>
      </c>
      <c r="CY361">
        <v>0</v>
      </c>
    </row>
    <row r="362" spans="1:103" x14ac:dyDescent="0.25">
      <c r="A362" t="s">
        <v>106</v>
      </c>
      <c r="B362" s="38">
        <v>45258</v>
      </c>
      <c r="C362" s="43">
        <f>IF(YEAR(Таблица1[[#This Row],[Дата]])=2023,MONTH(Таблица1[[#This Row],[Дата]]),0)</f>
        <v>11</v>
      </c>
      <c r="D362" t="s">
        <v>1479</v>
      </c>
      <c r="E362" t="s">
        <v>108</v>
      </c>
      <c r="F362" t="s">
        <v>1480</v>
      </c>
      <c r="G362" t="s">
        <v>110</v>
      </c>
      <c r="H362" t="s">
        <v>111</v>
      </c>
      <c r="I362" t="s">
        <v>112</v>
      </c>
      <c r="J362" t="s">
        <v>112</v>
      </c>
      <c r="K362" t="s">
        <v>112</v>
      </c>
      <c r="L362" t="s">
        <v>150</v>
      </c>
      <c r="M362" t="s">
        <v>151</v>
      </c>
      <c r="N362" t="s">
        <v>112</v>
      </c>
      <c r="O362" t="s">
        <v>112</v>
      </c>
      <c r="P362">
        <v>1</v>
      </c>
      <c r="R362">
        <v>1</v>
      </c>
      <c r="S362">
        <v>33</v>
      </c>
      <c r="T362" t="s">
        <v>112</v>
      </c>
      <c r="U362" t="s">
        <v>152</v>
      </c>
      <c r="V362" t="s">
        <v>153</v>
      </c>
      <c r="W362" t="s">
        <v>154</v>
      </c>
      <c r="X362" t="s">
        <v>119</v>
      </c>
      <c r="Y362" t="s">
        <v>112</v>
      </c>
      <c r="Z362" t="s">
        <v>112</v>
      </c>
      <c r="AA362" t="s">
        <v>152</v>
      </c>
      <c r="AB362" t="s">
        <v>153</v>
      </c>
      <c r="AC362" t="s">
        <v>154</v>
      </c>
      <c r="AD362" t="s">
        <v>119</v>
      </c>
      <c r="AE362" t="s">
        <v>112</v>
      </c>
      <c r="AF362" t="s">
        <v>121</v>
      </c>
      <c r="AG362" t="s">
        <v>122</v>
      </c>
      <c r="AH362">
        <v>4664261.8899999997</v>
      </c>
      <c r="AI362" t="s">
        <v>112</v>
      </c>
      <c r="AJ362" t="s">
        <v>152</v>
      </c>
      <c r="AK362" t="s">
        <v>153</v>
      </c>
      <c r="AL362" t="s">
        <v>154</v>
      </c>
      <c r="AM362" t="s">
        <v>119</v>
      </c>
      <c r="AN362" t="s">
        <v>112</v>
      </c>
      <c r="AO362" t="s">
        <v>121</v>
      </c>
      <c r="AP362" t="s">
        <v>122</v>
      </c>
      <c r="AQ362" t="s">
        <v>122</v>
      </c>
      <c r="AR362" t="s">
        <v>124</v>
      </c>
      <c r="AS362" t="s">
        <v>125</v>
      </c>
      <c r="AT362">
        <v>2</v>
      </c>
      <c r="AU362" t="s">
        <v>126</v>
      </c>
      <c r="AV362" t="s">
        <v>155</v>
      </c>
      <c r="AW362" t="s">
        <v>156</v>
      </c>
      <c r="AY362" t="s">
        <v>129</v>
      </c>
      <c r="AZ362">
        <v>43679.86</v>
      </c>
      <c r="BC362">
        <v>96.769199999999998</v>
      </c>
      <c r="BD362" t="s">
        <v>112</v>
      </c>
      <c r="BE362" t="s">
        <v>112</v>
      </c>
      <c r="BF362" t="s">
        <v>157</v>
      </c>
      <c r="BG362" t="s">
        <v>133</v>
      </c>
      <c r="BH362" t="s">
        <v>134</v>
      </c>
      <c r="BI362" t="s">
        <v>112</v>
      </c>
      <c r="BJ362" t="s">
        <v>112</v>
      </c>
      <c r="BK362" t="s">
        <v>112</v>
      </c>
      <c r="BL362" t="s">
        <v>158</v>
      </c>
      <c r="BM362" t="s">
        <v>159</v>
      </c>
      <c r="BN362" t="s">
        <v>212</v>
      </c>
      <c r="BO362" t="s">
        <v>161</v>
      </c>
      <c r="BQ362" t="s">
        <v>466</v>
      </c>
      <c r="BR362" s="45">
        <f>ISNUMBER(SEARCH($BR$1,Таблица1[[#This Row],[31_1 Описание и характеристика товара]]))*1</f>
        <v>1</v>
      </c>
      <c r="BT362" t="s">
        <v>150</v>
      </c>
      <c r="BU362">
        <v>33</v>
      </c>
      <c r="BV362">
        <v>0</v>
      </c>
      <c r="BW362">
        <v>0</v>
      </c>
      <c r="BY362">
        <v>0</v>
      </c>
      <c r="CA362" t="s">
        <v>106</v>
      </c>
      <c r="CB362" t="s">
        <v>142</v>
      </c>
      <c r="CC362" t="s">
        <v>112</v>
      </c>
      <c r="CD362" t="s">
        <v>112</v>
      </c>
      <c r="CE362" t="s">
        <v>121</v>
      </c>
      <c r="CF362">
        <v>16197.41</v>
      </c>
      <c r="CG362" t="s">
        <v>144</v>
      </c>
      <c r="CH362">
        <v>4000000</v>
      </c>
      <c r="CI362">
        <v>16122.41</v>
      </c>
      <c r="CJ362">
        <v>0</v>
      </c>
      <c r="CK362" t="s">
        <v>112</v>
      </c>
      <c r="CL362" t="s">
        <v>112</v>
      </c>
      <c r="CM362">
        <v>43679.86</v>
      </c>
      <c r="CO362">
        <v>0</v>
      </c>
      <c r="CP362">
        <v>1</v>
      </c>
      <c r="CQ362">
        <v>4664261.8899999997</v>
      </c>
      <c r="CR362">
        <v>52334.7</v>
      </c>
      <c r="CS362" t="s">
        <v>145</v>
      </c>
      <c r="CT362">
        <v>52397.832499999997</v>
      </c>
      <c r="CU362">
        <v>3.25</v>
      </c>
      <c r="CV362">
        <v>45</v>
      </c>
      <c r="CX362" t="s">
        <v>729</v>
      </c>
      <c r="CY362">
        <v>559</v>
      </c>
    </row>
    <row r="363" spans="1:103" x14ac:dyDescent="0.25">
      <c r="A363" t="s">
        <v>106</v>
      </c>
      <c r="B363" s="38">
        <v>45119</v>
      </c>
      <c r="C363" s="43">
        <f>IF(YEAR(Таблица1[[#This Row],[Дата]])=2023,MONTH(Таблица1[[#This Row],[Дата]]),0)</f>
        <v>7</v>
      </c>
      <c r="D363" t="s">
        <v>1373</v>
      </c>
      <c r="E363" t="s">
        <v>108</v>
      </c>
      <c r="F363" t="s">
        <v>1374</v>
      </c>
      <c r="G363" t="s">
        <v>110</v>
      </c>
      <c r="H363" t="s">
        <v>111</v>
      </c>
      <c r="I363" t="s">
        <v>112</v>
      </c>
      <c r="J363" t="s">
        <v>112</v>
      </c>
      <c r="K363" t="s">
        <v>112</v>
      </c>
      <c r="L363" t="s">
        <v>150</v>
      </c>
      <c r="M363" t="s">
        <v>151</v>
      </c>
      <c r="N363" t="s">
        <v>112</v>
      </c>
      <c r="O363" t="s">
        <v>112</v>
      </c>
      <c r="P363">
        <v>1</v>
      </c>
      <c r="R363">
        <v>1</v>
      </c>
      <c r="S363">
        <v>33</v>
      </c>
      <c r="T363" t="s">
        <v>112</v>
      </c>
      <c r="U363" t="s">
        <v>152</v>
      </c>
      <c r="V363" t="s">
        <v>153</v>
      </c>
      <c r="W363" t="s">
        <v>154</v>
      </c>
      <c r="X363" t="s">
        <v>119</v>
      </c>
      <c r="Y363" t="s">
        <v>112</v>
      </c>
      <c r="Z363" t="s">
        <v>112</v>
      </c>
      <c r="AA363" t="s">
        <v>152</v>
      </c>
      <c r="AB363" t="s">
        <v>153</v>
      </c>
      <c r="AC363" t="s">
        <v>154</v>
      </c>
      <c r="AD363" t="s">
        <v>119</v>
      </c>
      <c r="AE363" t="s">
        <v>112</v>
      </c>
      <c r="AF363" t="s">
        <v>121</v>
      </c>
      <c r="AG363" t="s">
        <v>122</v>
      </c>
      <c r="AH363">
        <v>4228570.18</v>
      </c>
      <c r="AI363" t="s">
        <v>112</v>
      </c>
      <c r="AJ363" t="s">
        <v>152</v>
      </c>
      <c r="AK363" t="s">
        <v>153</v>
      </c>
      <c r="AL363" t="s">
        <v>154</v>
      </c>
      <c r="AM363" t="s">
        <v>119</v>
      </c>
      <c r="AN363" t="s">
        <v>112</v>
      </c>
      <c r="AO363" t="s">
        <v>121</v>
      </c>
      <c r="AP363" t="s">
        <v>122</v>
      </c>
      <c r="AQ363" t="s">
        <v>122</v>
      </c>
      <c r="AR363" t="s">
        <v>124</v>
      </c>
      <c r="AS363" t="s">
        <v>125</v>
      </c>
      <c r="AT363">
        <v>2</v>
      </c>
      <c r="AU363" t="s">
        <v>126</v>
      </c>
      <c r="AV363" t="s">
        <v>155</v>
      </c>
      <c r="AW363" t="s">
        <v>156</v>
      </c>
      <c r="AY363" t="s">
        <v>129</v>
      </c>
      <c r="AZ363">
        <v>39177.480000000003</v>
      </c>
      <c r="BC363">
        <v>96.769199999999998</v>
      </c>
      <c r="BD363" t="s">
        <v>112</v>
      </c>
      <c r="BE363" t="s">
        <v>112</v>
      </c>
      <c r="BF363" t="s">
        <v>157</v>
      </c>
      <c r="BG363" t="s">
        <v>133</v>
      </c>
      <c r="BH363" t="s">
        <v>167</v>
      </c>
      <c r="BI363" t="s">
        <v>112</v>
      </c>
      <c r="BJ363" t="s">
        <v>112</v>
      </c>
      <c r="BK363" t="s">
        <v>112</v>
      </c>
      <c r="BL363" t="s">
        <v>158</v>
      </c>
      <c r="BM363" t="s">
        <v>159</v>
      </c>
      <c r="BN363" t="s">
        <v>160</v>
      </c>
      <c r="BO363" t="s">
        <v>161</v>
      </c>
      <c r="BQ363" t="s">
        <v>232</v>
      </c>
      <c r="BR363" s="45">
        <f>ISNUMBER(SEARCH($BR$1,Таблица1[[#This Row],[31_1 Описание и характеристика товара]]))*1</f>
        <v>1</v>
      </c>
      <c r="BT363" t="s">
        <v>150</v>
      </c>
      <c r="BU363">
        <v>33</v>
      </c>
      <c r="BV363">
        <v>0</v>
      </c>
      <c r="BW363">
        <v>0</v>
      </c>
      <c r="BY363">
        <v>0</v>
      </c>
      <c r="CA363" t="s">
        <v>106</v>
      </c>
      <c r="CB363" t="s">
        <v>142</v>
      </c>
      <c r="CC363" t="s">
        <v>112</v>
      </c>
      <c r="CD363" t="s">
        <v>112</v>
      </c>
      <c r="CE363" t="s">
        <v>121</v>
      </c>
      <c r="CF363">
        <v>16501.78</v>
      </c>
      <c r="CG363" t="s">
        <v>144</v>
      </c>
      <c r="CH363">
        <v>4000000</v>
      </c>
      <c r="CI363">
        <v>16375.78</v>
      </c>
      <c r="CJ363">
        <v>0</v>
      </c>
      <c r="CK363" t="s">
        <v>112</v>
      </c>
      <c r="CL363" t="s">
        <v>112</v>
      </c>
      <c r="CM363">
        <v>39177.480000000003</v>
      </c>
      <c r="CO363">
        <v>0</v>
      </c>
      <c r="CP363">
        <v>1</v>
      </c>
      <c r="CQ363">
        <v>4228570.18</v>
      </c>
      <c r="CR363">
        <v>47446.080000000002</v>
      </c>
      <c r="CS363" t="s">
        <v>145</v>
      </c>
      <c r="CT363">
        <v>47489.762000000002</v>
      </c>
      <c r="CU363">
        <v>2.9</v>
      </c>
      <c r="CV363">
        <v>45</v>
      </c>
      <c r="CX363" t="s">
        <v>1140</v>
      </c>
      <c r="CY363">
        <v>18</v>
      </c>
    </row>
    <row r="364" spans="1:103" x14ac:dyDescent="0.25">
      <c r="A364" t="s">
        <v>106</v>
      </c>
      <c r="B364" s="38">
        <v>45205</v>
      </c>
      <c r="C364" s="43">
        <f>IF(YEAR(Таблица1[[#This Row],[Дата]])=2023,MONTH(Таблица1[[#This Row],[Дата]]),0)</f>
        <v>10</v>
      </c>
      <c r="D364" t="s">
        <v>1459</v>
      </c>
      <c r="E364" t="s">
        <v>108</v>
      </c>
      <c r="F364" t="s">
        <v>1460</v>
      </c>
      <c r="G364" t="s">
        <v>110</v>
      </c>
      <c r="H364" t="s">
        <v>111</v>
      </c>
      <c r="I364" t="s">
        <v>112</v>
      </c>
      <c r="J364" t="s">
        <v>112</v>
      </c>
      <c r="K364" t="s">
        <v>112</v>
      </c>
      <c r="L364" t="s">
        <v>150</v>
      </c>
      <c r="M364" t="s">
        <v>151</v>
      </c>
      <c r="N364" t="s">
        <v>112</v>
      </c>
      <c r="O364" t="s">
        <v>112</v>
      </c>
      <c r="P364">
        <v>1</v>
      </c>
      <c r="R364">
        <v>1</v>
      </c>
      <c r="S364">
        <v>33</v>
      </c>
      <c r="T364" t="s">
        <v>112</v>
      </c>
      <c r="U364" t="s">
        <v>152</v>
      </c>
      <c r="V364" t="s">
        <v>153</v>
      </c>
      <c r="W364" t="s">
        <v>154</v>
      </c>
      <c r="X364" t="s">
        <v>119</v>
      </c>
      <c r="Y364" t="s">
        <v>112</v>
      </c>
      <c r="Z364" t="s">
        <v>112</v>
      </c>
      <c r="AA364" t="s">
        <v>152</v>
      </c>
      <c r="AB364" t="s">
        <v>153</v>
      </c>
      <c r="AC364" t="s">
        <v>154</v>
      </c>
      <c r="AD364" t="s">
        <v>119</v>
      </c>
      <c r="AE364" t="s">
        <v>112</v>
      </c>
      <c r="AF364" t="s">
        <v>121</v>
      </c>
      <c r="AG364" t="s">
        <v>122</v>
      </c>
      <c r="AH364">
        <v>4299351.05</v>
      </c>
      <c r="AI364" t="s">
        <v>112</v>
      </c>
      <c r="AJ364" t="s">
        <v>152</v>
      </c>
      <c r="AK364" t="s">
        <v>153</v>
      </c>
      <c r="AL364" t="s">
        <v>154</v>
      </c>
      <c r="AM364" t="s">
        <v>119</v>
      </c>
      <c r="AN364" t="s">
        <v>112</v>
      </c>
      <c r="AO364" t="s">
        <v>121</v>
      </c>
      <c r="AP364" t="s">
        <v>122</v>
      </c>
      <c r="AQ364" t="s">
        <v>122</v>
      </c>
      <c r="AR364" t="s">
        <v>124</v>
      </c>
      <c r="AS364" t="s">
        <v>125</v>
      </c>
      <c r="AT364">
        <v>2</v>
      </c>
      <c r="AU364" t="s">
        <v>126</v>
      </c>
      <c r="AV364" t="s">
        <v>155</v>
      </c>
      <c r="AW364" t="s">
        <v>156</v>
      </c>
      <c r="AY364" t="s">
        <v>129</v>
      </c>
      <c r="AZ364">
        <v>40438.92</v>
      </c>
      <c r="BC364">
        <v>96.769199999999998</v>
      </c>
      <c r="BD364" t="s">
        <v>112</v>
      </c>
      <c r="BE364" t="s">
        <v>112</v>
      </c>
      <c r="BF364" t="s">
        <v>157</v>
      </c>
      <c r="BG364" t="s">
        <v>133</v>
      </c>
      <c r="BH364" t="s">
        <v>134</v>
      </c>
      <c r="BI364" t="s">
        <v>112</v>
      </c>
      <c r="BJ364" t="s">
        <v>112</v>
      </c>
      <c r="BK364" t="s">
        <v>112</v>
      </c>
      <c r="BL364" t="s">
        <v>158</v>
      </c>
      <c r="BM364" t="s">
        <v>159</v>
      </c>
      <c r="BN364" t="s">
        <v>212</v>
      </c>
      <c r="BO364" t="s">
        <v>161</v>
      </c>
      <c r="BQ364" t="s">
        <v>205</v>
      </c>
      <c r="BR364" s="45">
        <f>ISNUMBER(SEARCH($BR$1,Таблица1[[#This Row],[31_1 Описание и характеристика товара]]))*1</f>
        <v>1</v>
      </c>
      <c r="BT364" t="s">
        <v>150</v>
      </c>
      <c r="BU364">
        <v>33</v>
      </c>
      <c r="BV364">
        <v>0</v>
      </c>
      <c r="BW364">
        <v>0</v>
      </c>
      <c r="BY364">
        <v>0</v>
      </c>
      <c r="CA364" t="s">
        <v>106</v>
      </c>
      <c r="CB364" t="s">
        <v>142</v>
      </c>
      <c r="CC364" t="s">
        <v>112</v>
      </c>
      <c r="CD364" t="s">
        <v>112</v>
      </c>
      <c r="CE364" t="s">
        <v>121</v>
      </c>
      <c r="CF364">
        <v>16819.68</v>
      </c>
      <c r="CG364" t="s">
        <v>144</v>
      </c>
      <c r="CH364">
        <v>4000000</v>
      </c>
      <c r="CI364">
        <v>16798.080000000002</v>
      </c>
      <c r="CJ364">
        <v>0</v>
      </c>
      <c r="CK364" t="s">
        <v>112</v>
      </c>
      <c r="CL364" t="s">
        <v>112</v>
      </c>
      <c r="CM364">
        <v>40438.92</v>
      </c>
      <c r="CO364">
        <v>0</v>
      </c>
      <c r="CP364">
        <v>1</v>
      </c>
      <c r="CQ364">
        <v>4299351.05</v>
      </c>
      <c r="CR364">
        <v>48240.27</v>
      </c>
      <c r="CS364" t="s">
        <v>145</v>
      </c>
      <c r="CT364">
        <v>48210.489600000008</v>
      </c>
      <c r="CU364">
        <v>2.87</v>
      </c>
      <c r="CV364">
        <v>45</v>
      </c>
      <c r="CX364" t="s">
        <v>233</v>
      </c>
      <c r="CY364">
        <v>557</v>
      </c>
    </row>
    <row r="365" spans="1:103" x14ac:dyDescent="0.25">
      <c r="A365" t="s">
        <v>106</v>
      </c>
      <c r="B365" s="38">
        <v>45123</v>
      </c>
      <c r="C365" s="43">
        <f>IF(YEAR(Таблица1[[#This Row],[Дата]])=2023,MONTH(Таблица1[[#This Row],[Дата]]),0)</f>
        <v>7</v>
      </c>
      <c r="D365" t="s">
        <v>2093</v>
      </c>
      <c r="E365" t="s">
        <v>108</v>
      </c>
      <c r="F365" t="s">
        <v>2094</v>
      </c>
      <c r="G365" t="s">
        <v>110</v>
      </c>
      <c r="H365" t="s">
        <v>111</v>
      </c>
      <c r="I365" t="s">
        <v>112</v>
      </c>
      <c r="J365" t="s">
        <v>112</v>
      </c>
      <c r="K365" t="s">
        <v>112</v>
      </c>
      <c r="L365" t="s">
        <v>150</v>
      </c>
      <c r="M365" t="s">
        <v>151</v>
      </c>
      <c r="N365" t="s">
        <v>112</v>
      </c>
      <c r="O365" t="s">
        <v>112</v>
      </c>
      <c r="P365">
        <v>1</v>
      </c>
      <c r="R365">
        <v>1</v>
      </c>
      <c r="S365">
        <v>33</v>
      </c>
      <c r="T365" t="s">
        <v>112</v>
      </c>
      <c r="U365" t="s">
        <v>152</v>
      </c>
      <c r="V365" t="s">
        <v>153</v>
      </c>
      <c r="W365" t="s">
        <v>154</v>
      </c>
      <c r="X365" t="s">
        <v>119</v>
      </c>
      <c r="Y365" t="s">
        <v>112</v>
      </c>
      <c r="Z365" t="s">
        <v>112</v>
      </c>
      <c r="AA365" t="s">
        <v>152</v>
      </c>
      <c r="AB365" t="s">
        <v>153</v>
      </c>
      <c r="AC365" t="s">
        <v>154</v>
      </c>
      <c r="AD365" t="s">
        <v>119</v>
      </c>
      <c r="AE365" t="s">
        <v>112</v>
      </c>
      <c r="AF365" t="s">
        <v>121</v>
      </c>
      <c r="AG365" t="s">
        <v>122</v>
      </c>
      <c r="AH365">
        <v>4947874</v>
      </c>
      <c r="AI365" t="s">
        <v>112</v>
      </c>
      <c r="AJ365" t="s">
        <v>152</v>
      </c>
      <c r="AK365" t="s">
        <v>153</v>
      </c>
      <c r="AL365" t="s">
        <v>154</v>
      </c>
      <c r="AM365" t="s">
        <v>119</v>
      </c>
      <c r="AN365" t="s">
        <v>112</v>
      </c>
      <c r="AO365" t="s">
        <v>121</v>
      </c>
      <c r="AP365" t="s">
        <v>122</v>
      </c>
      <c r="AQ365" t="s">
        <v>122</v>
      </c>
      <c r="AR365" t="s">
        <v>124</v>
      </c>
      <c r="AS365" t="s">
        <v>125</v>
      </c>
      <c r="AT365">
        <v>2</v>
      </c>
      <c r="AU365" t="s">
        <v>126</v>
      </c>
      <c r="AV365" t="s">
        <v>155</v>
      </c>
      <c r="AW365" t="s">
        <v>156</v>
      </c>
      <c r="AY365" t="s">
        <v>129</v>
      </c>
      <c r="AZ365">
        <v>43692.91</v>
      </c>
      <c r="BC365">
        <v>102.6255</v>
      </c>
      <c r="BD365" t="s">
        <v>112</v>
      </c>
      <c r="BE365" t="s">
        <v>112</v>
      </c>
      <c r="BF365" t="s">
        <v>157</v>
      </c>
      <c r="BG365" t="s">
        <v>133</v>
      </c>
      <c r="BH365" t="s">
        <v>134</v>
      </c>
      <c r="BI365" t="s">
        <v>112</v>
      </c>
      <c r="BJ365" t="s">
        <v>112</v>
      </c>
      <c r="BK365" t="s">
        <v>112</v>
      </c>
      <c r="BL365" t="s">
        <v>158</v>
      </c>
      <c r="BM365" t="s">
        <v>159</v>
      </c>
      <c r="BN365" t="s">
        <v>212</v>
      </c>
      <c r="BO365" t="s">
        <v>161</v>
      </c>
      <c r="BQ365" t="s">
        <v>205</v>
      </c>
      <c r="BR365" s="45">
        <f>ISNUMBER(SEARCH($BR$1,Таблица1[[#This Row],[31_1 Описание и характеристика товара]]))*1</f>
        <v>1</v>
      </c>
      <c r="BT365" t="s">
        <v>150</v>
      </c>
      <c r="BU365">
        <v>33</v>
      </c>
      <c r="BV365">
        <v>0</v>
      </c>
      <c r="BW365">
        <v>0</v>
      </c>
      <c r="BY365">
        <v>0</v>
      </c>
      <c r="CA365" t="s">
        <v>106</v>
      </c>
      <c r="CB365" t="s">
        <v>142</v>
      </c>
      <c r="CC365" t="s">
        <v>112</v>
      </c>
      <c r="CD365" t="s">
        <v>112</v>
      </c>
      <c r="CE365" t="s">
        <v>121</v>
      </c>
      <c r="CF365">
        <v>16364.43</v>
      </c>
      <c r="CG365" t="s">
        <v>144</v>
      </c>
      <c r="CH365">
        <v>4000000</v>
      </c>
      <c r="CI365">
        <v>16278.03</v>
      </c>
      <c r="CJ365">
        <v>0</v>
      </c>
      <c r="CK365" t="s">
        <v>112</v>
      </c>
      <c r="CL365" t="s">
        <v>112</v>
      </c>
      <c r="CM365">
        <v>43692.91</v>
      </c>
      <c r="CO365">
        <v>0</v>
      </c>
      <c r="CP365">
        <v>1</v>
      </c>
      <c r="CQ365">
        <v>4947874</v>
      </c>
      <c r="CR365">
        <v>50847.87</v>
      </c>
      <c r="CS365" t="s">
        <v>145</v>
      </c>
      <c r="CT365">
        <v>50787.453600000001</v>
      </c>
      <c r="CU365">
        <v>3.12</v>
      </c>
      <c r="CV365">
        <v>45</v>
      </c>
      <c r="CX365" t="s">
        <v>729</v>
      </c>
      <c r="CY365">
        <v>166</v>
      </c>
    </row>
    <row r="366" spans="1:103" x14ac:dyDescent="0.25">
      <c r="A366" t="s">
        <v>106</v>
      </c>
      <c r="B366" s="38">
        <v>45108</v>
      </c>
      <c r="C366" s="43">
        <f>IF(YEAR(Таблица1[[#This Row],[Дата]])=2023,MONTH(Таблица1[[#This Row],[Дата]]),0)</f>
        <v>7</v>
      </c>
      <c r="D366" t="s">
        <v>2093</v>
      </c>
      <c r="E366" t="s">
        <v>108</v>
      </c>
      <c r="F366" t="s">
        <v>2094</v>
      </c>
      <c r="G366" t="s">
        <v>110</v>
      </c>
      <c r="H366" t="s">
        <v>111</v>
      </c>
      <c r="I366" t="s">
        <v>112</v>
      </c>
      <c r="J366" t="s">
        <v>112</v>
      </c>
      <c r="K366" t="s">
        <v>112</v>
      </c>
      <c r="L366" t="s">
        <v>150</v>
      </c>
      <c r="M366" t="s">
        <v>151</v>
      </c>
      <c r="N366" t="s">
        <v>112</v>
      </c>
      <c r="O366" t="s">
        <v>112</v>
      </c>
      <c r="P366">
        <v>1</v>
      </c>
      <c r="R366">
        <v>1</v>
      </c>
      <c r="S366">
        <v>33</v>
      </c>
      <c r="T366" t="s">
        <v>112</v>
      </c>
      <c r="U366" t="s">
        <v>152</v>
      </c>
      <c r="V366" t="s">
        <v>153</v>
      </c>
      <c r="W366" t="s">
        <v>154</v>
      </c>
      <c r="X366" t="s">
        <v>119</v>
      </c>
      <c r="Y366" t="s">
        <v>112</v>
      </c>
      <c r="Z366" t="s">
        <v>112</v>
      </c>
      <c r="AA366" t="s">
        <v>152</v>
      </c>
      <c r="AB366" t="s">
        <v>153</v>
      </c>
      <c r="AC366" t="s">
        <v>154</v>
      </c>
      <c r="AD366" t="s">
        <v>119</v>
      </c>
      <c r="AE366" t="s">
        <v>112</v>
      </c>
      <c r="AF366" t="s">
        <v>121</v>
      </c>
      <c r="AG366" t="s">
        <v>122</v>
      </c>
      <c r="AH366">
        <v>4947874</v>
      </c>
      <c r="AI366" t="s">
        <v>112</v>
      </c>
      <c r="AJ366" t="s">
        <v>152</v>
      </c>
      <c r="AK366" t="s">
        <v>153</v>
      </c>
      <c r="AL366" t="s">
        <v>154</v>
      </c>
      <c r="AM366" t="s">
        <v>119</v>
      </c>
      <c r="AN366" t="s">
        <v>112</v>
      </c>
      <c r="AO366" t="s">
        <v>121</v>
      </c>
      <c r="AP366" t="s">
        <v>122</v>
      </c>
      <c r="AQ366" t="s">
        <v>122</v>
      </c>
      <c r="AR366" t="s">
        <v>124</v>
      </c>
      <c r="AS366" t="s">
        <v>125</v>
      </c>
      <c r="AT366">
        <v>2</v>
      </c>
      <c r="AU366" t="s">
        <v>126</v>
      </c>
      <c r="AV366" t="s">
        <v>155</v>
      </c>
      <c r="AW366" t="s">
        <v>156</v>
      </c>
      <c r="AY366" t="s">
        <v>129</v>
      </c>
      <c r="AZ366">
        <v>43692.91</v>
      </c>
      <c r="BC366">
        <v>102.6255</v>
      </c>
      <c r="BD366" t="s">
        <v>112</v>
      </c>
      <c r="BE366" t="s">
        <v>112</v>
      </c>
      <c r="BF366" t="s">
        <v>157</v>
      </c>
      <c r="BG366" t="s">
        <v>133</v>
      </c>
      <c r="BH366" t="s">
        <v>134</v>
      </c>
      <c r="BI366" t="s">
        <v>112</v>
      </c>
      <c r="BJ366" t="s">
        <v>112</v>
      </c>
      <c r="BK366" t="s">
        <v>112</v>
      </c>
      <c r="BL366" t="s">
        <v>158</v>
      </c>
      <c r="BM366" t="s">
        <v>159</v>
      </c>
      <c r="BN366" t="s">
        <v>212</v>
      </c>
      <c r="BO366" t="s">
        <v>161</v>
      </c>
      <c r="BQ366" t="s">
        <v>205</v>
      </c>
      <c r="BR366" s="45">
        <f>ISNUMBER(SEARCH($BR$1,Таблица1[[#This Row],[31_1 Описание и характеристика товара]]))*1</f>
        <v>1</v>
      </c>
      <c r="BT366" t="s">
        <v>150</v>
      </c>
      <c r="BU366">
        <v>33</v>
      </c>
      <c r="BV366">
        <v>0</v>
      </c>
      <c r="BW366">
        <v>0</v>
      </c>
      <c r="BY366">
        <v>0</v>
      </c>
      <c r="CA366" t="s">
        <v>106</v>
      </c>
      <c r="CB366" t="s">
        <v>142</v>
      </c>
      <c r="CC366" t="s">
        <v>112</v>
      </c>
      <c r="CD366" t="s">
        <v>112</v>
      </c>
      <c r="CE366" t="s">
        <v>121</v>
      </c>
      <c r="CF366">
        <v>16364.43</v>
      </c>
      <c r="CG366" t="s">
        <v>144</v>
      </c>
      <c r="CH366">
        <v>4000000</v>
      </c>
      <c r="CI366">
        <v>16278.03</v>
      </c>
      <c r="CJ366">
        <v>0</v>
      </c>
      <c r="CK366" t="s">
        <v>112</v>
      </c>
      <c r="CL366" t="s">
        <v>112</v>
      </c>
      <c r="CM366">
        <v>43692.91</v>
      </c>
      <c r="CO366">
        <v>0</v>
      </c>
      <c r="CP366">
        <v>1</v>
      </c>
      <c r="CQ366">
        <v>4947874</v>
      </c>
      <c r="CR366">
        <v>50847.87</v>
      </c>
      <c r="CS366" t="s">
        <v>145</v>
      </c>
      <c r="CT366">
        <v>50787.453600000001</v>
      </c>
      <c r="CU366">
        <v>3.12</v>
      </c>
      <c r="CV366">
        <v>45</v>
      </c>
      <c r="CX366" t="s">
        <v>729</v>
      </c>
      <c r="CY366">
        <v>166</v>
      </c>
    </row>
    <row r="367" spans="1:103" x14ac:dyDescent="0.25">
      <c r="A367" t="s">
        <v>106</v>
      </c>
      <c r="B367" s="38">
        <v>45230</v>
      </c>
      <c r="C367" s="43">
        <f>IF(YEAR(Таблица1[[#This Row],[Дата]])=2023,MONTH(Таблица1[[#This Row],[Дата]]),0)</f>
        <v>10</v>
      </c>
      <c r="D367" t="s">
        <v>2002</v>
      </c>
      <c r="E367" t="s">
        <v>108</v>
      </c>
      <c r="F367" t="s">
        <v>2003</v>
      </c>
      <c r="G367" t="s">
        <v>110</v>
      </c>
      <c r="H367" t="s">
        <v>111</v>
      </c>
      <c r="I367" t="s">
        <v>112</v>
      </c>
      <c r="J367" t="s">
        <v>112</v>
      </c>
      <c r="K367" t="s">
        <v>112</v>
      </c>
      <c r="L367" t="s">
        <v>150</v>
      </c>
      <c r="M367" t="s">
        <v>151</v>
      </c>
      <c r="N367" t="s">
        <v>112</v>
      </c>
      <c r="O367" t="s">
        <v>112</v>
      </c>
      <c r="P367">
        <v>1</v>
      </c>
      <c r="R367">
        <v>1</v>
      </c>
      <c r="S367">
        <v>33</v>
      </c>
      <c r="T367" t="s">
        <v>112</v>
      </c>
      <c r="U367" t="s">
        <v>152</v>
      </c>
      <c r="V367" t="s">
        <v>153</v>
      </c>
      <c r="W367" t="s">
        <v>154</v>
      </c>
      <c r="X367" t="s">
        <v>119</v>
      </c>
      <c r="Y367" t="s">
        <v>112</v>
      </c>
      <c r="Z367" t="s">
        <v>112</v>
      </c>
      <c r="AA367" t="s">
        <v>152</v>
      </c>
      <c r="AB367" t="s">
        <v>153</v>
      </c>
      <c r="AC367" t="s">
        <v>154</v>
      </c>
      <c r="AD367" t="s">
        <v>119</v>
      </c>
      <c r="AE367" t="s">
        <v>112</v>
      </c>
      <c r="AF367" t="s">
        <v>121</v>
      </c>
      <c r="AG367" t="s">
        <v>122</v>
      </c>
      <c r="AH367">
        <v>5097241.58</v>
      </c>
      <c r="AI367" t="s">
        <v>112</v>
      </c>
      <c r="AJ367" t="s">
        <v>152</v>
      </c>
      <c r="AK367" t="s">
        <v>153</v>
      </c>
      <c r="AL367" t="s">
        <v>154</v>
      </c>
      <c r="AM367" t="s">
        <v>119</v>
      </c>
      <c r="AN367" t="s">
        <v>112</v>
      </c>
      <c r="AO367" t="s">
        <v>121</v>
      </c>
      <c r="AP367" t="s">
        <v>122</v>
      </c>
      <c r="AQ367" t="s">
        <v>122</v>
      </c>
      <c r="AR367" t="s">
        <v>124</v>
      </c>
      <c r="AS367" t="s">
        <v>125</v>
      </c>
      <c r="AT367">
        <v>2</v>
      </c>
      <c r="AU367" t="s">
        <v>126</v>
      </c>
      <c r="AV367" t="s">
        <v>155</v>
      </c>
      <c r="AW367" t="s">
        <v>156</v>
      </c>
      <c r="AY367" t="s">
        <v>129</v>
      </c>
      <c r="AZ367">
        <v>45395.72</v>
      </c>
      <c r="BC367">
        <v>102.9211</v>
      </c>
      <c r="BD367" t="s">
        <v>112</v>
      </c>
      <c r="BE367" t="s">
        <v>112</v>
      </c>
      <c r="BF367" t="s">
        <v>157</v>
      </c>
      <c r="BG367" t="s">
        <v>133</v>
      </c>
      <c r="BH367" t="s">
        <v>134</v>
      </c>
      <c r="BI367" t="s">
        <v>112</v>
      </c>
      <c r="BJ367" t="s">
        <v>112</v>
      </c>
      <c r="BK367" t="s">
        <v>112</v>
      </c>
      <c r="BL367" t="s">
        <v>169</v>
      </c>
      <c r="BM367" t="s">
        <v>159</v>
      </c>
      <c r="BN367" t="s">
        <v>212</v>
      </c>
      <c r="BO367" t="s">
        <v>161</v>
      </c>
      <c r="BQ367" t="s">
        <v>232</v>
      </c>
      <c r="BR367" s="45">
        <f>ISNUMBER(SEARCH($BR$1,Таблица1[[#This Row],[31_1 Описание и характеристика товара]]))*1</f>
        <v>1</v>
      </c>
      <c r="BT367" t="s">
        <v>150</v>
      </c>
      <c r="BU367">
        <v>33</v>
      </c>
      <c r="BV367">
        <v>0</v>
      </c>
      <c r="BW367">
        <v>0</v>
      </c>
      <c r="BY367">
        <v>0</v>
      </c>
      <c r="CA367" t="s">
        <v>106</v>
      </c>
      <c r="CB367" t="s">
        <v>142</v>
      </c>
      <c r="CC367" t="s">
        <v>112</v>
      </c>
      <c r="CD367" t="s">
        <v>112</v>
      </c>
      <c r="CE367" t="s">
        <v>121</v>
      </c>
      <c r="CF367">
        <v>16080.12</v>
      </c>
      <c r="CG367" t="s">
        <v>144</v>
      </c>
      <c r="CH367">
        <v>4000000</v>
      </c>
      <c r="CI367">
        <v>16062.12</v>
      </c>
      <c r="CJ367">
        <v>0</v>
      </c>
      <c r="CK367" t="s">
        <v>112</v>
      </c>
      <c r="CL367" t="s">
        <v>112</v>
      </c>
      <c r="CM367">
        <v>45395.72</v>
      </c>
      <c r="CO367">
        <v>0</v>
      </c>
      <c r="CP367">
        <v>1</v>
      </c>
      <c r="CQ367">
        <v>5097241.58</v>
      </c>
      <c r="CR367">
        <v>52972.88</v>
      </c>
      <c r="CS367" t="s">
        <v>145</v>
      </c>
      <c r="CT367">
        <v>53004.995999999999</v>
      </c>
      <c r="CU367">
        <v>3.3</v>
      </c>
      <c r="CV367">
        <v>45</v>
      </c>
      <c r="CX367" t="s">
        <v>206</v>
      </c>
      <c r="CY367">
        <v>42</v>
      </c>
    </row>
    <row r="368" spans="1:103" x14ac:dyDescent="0.25">
      <c r="A368" t="s">
        <v>106</v>
      </c>
      <c r="B368" s="38">
        <v>45124</v>
      </c>
      <c r="C368" s="43">
        <f>IF(YEAR(Таблица1[[#This Row],[Дата]])=2023,MONTH(Таблица1[[#This Row],[Дата]]),0)</f>
        <v>7</v>
      </c>
      <c r="D368" t="s">
        <v>2004</v>
      </c>
      <c r="E368" t="s">
        <v>108</v>
      </c>
      <c r="F368" t="s">
        <v>2005</v>
      </c>
      <c r="G368" t="s">
        <v>110</v>
      </c>
      <c r="H368" t="s">
        <v>111</v>
      </c>
      <c r="I368" t="s">
        <v>112</v>
      </c>
      <c r="J368" t="s">
        <v>112</v>
      </c>
      <c r="K368" t="s">
        <v>112</v>
      </c>
      <c r="L368" t="s">
        <v>150</v>
      </c>
      <c r="M368" t="s">
        <v>151</v>
      </c>
      <c r="N368" t="s">
        <v>112</v>
      </c>
      <c r="O368" t="s">
        <v>112</v>
      </c>
      <c r="P368">
        <v>1</v>
      </c>
      <c r="R368">
        <v>1</v>
      </c>
      <c r="S368">
        <v>33</v>
      </c>
      <c r="T368" t="s">
        <v>112</v>
      </c>
      <c r="U368" t="s">
        <v>152</v>
      </c>
      <c r="V368" t="s">
        <v>153</v>
      </c>
      <c r="W368" t="s">
        <v>154</v>
      </c>
      <c r="X368" t="s">
        <v>119</v>
      </c>
      <c r="Y368" t="s">
        <v>112</v>
      </c>
      <c r="Z368" t="s">
        <v>112</v>
      </c>
      <c r="AA368" t="s">
        <v>152</v>
      </c>
      <c r="AB368" t="s">
        <v>153</v>
      </c>
      <c r="AC368" t="s">
        <v>154</v>
      </c>
      <c r="AD368" t="s">
        <v>119</v>
      </c>
      <c r="AE368" t="s">
        <v>112</v>
      </c>
      <c r="AF368" t="s">
        <v>121</v>
      </c>
      <c r="AG368" t="s">
        <v>122</v>
      </c>
      <c r="AH368">
        <v>5118945.58</v>
      </c>
      <c r="AI368" t="s">
        <v>112</v>
      </c>
      <c r="AJ368" t="s">
        <v>152</v>
      </c>
      <c r="AK368" t="s">
        <v>153</v>
      </c>
      <c r="AL368" t="s">
        <v>154</v>
      </c>
      <c r="AM368" t="s">
        <v>119</v>
      </c>
      <c r="AN368" t="s">
        <v>112</v>
      </c>
      <c r="AO368" t="s">
        <v>121</v>
      </c>
      <c r="AP368" t="s">
        <v>122</v>
      </c>
      <c r="AQ368" t="s">
        <v>122</v>
      </c>
      <c r="AR368" t="s">
        <v>124</v>
      </c>
      <c r="AS368" t="s">
        <v>125</v>
      </c>
      <c r="AT368">
        <v>2</v>
      </c>
      <c r="AU368" t="s">
        <v>126</v>
      </c>
      <c r="AV368" t="s">
        <v>155</v>
      </c>
      <c r="AW368" t="s">
        <v>156</v>
      </c>
      <c r="AY368" t="s">
        <v>129</v>
      </c>
      <c r="AZ368">
        <v>45606.6</v>
      </c>
      <c r="BC368">
        <v>102.9211</v>
      </c>
      <c r="BD368" t="s">
        <v>112</v>
      </c>
      <c r="BE368" t="s">
        <v>112</v>
      </c>
      <c r="BF368" t="s">
        <v>157</v>
      </c>
      <c r="BG368" t="s">
        <v>133</v>
      </c>
      <c r="BH368" t="s">
        <v>134</v>
      </c>
      <c r="BI368" t="s">
        <v>112</v>
      </c>
      <c r="BJ368" t="s">
        <v>112</v>
      </c>
      <c r="BK368" t="s">
        <v>112</v>
      </c>
      <c r="BL368" t="s">
        <v>169</v>
      </c>
      <c r="BM368" t="s">
        <v>159</v>
      </c>
      <c r="BN368" t="s">
        <v>212</v>
      </c>
      <c r="BO368" t="s">
        <v>161</v>
      </c>
      <c r="BQ368" t="s">
        <v>232</v>
      </c>
      <c r="BR368" s="45">
        <f>ISNUMBER(SEARCH($BR$1,Таблица1[[#This Row],[31_1 Описание и характеристика товара]]))*1</f>
        <v>1</v>
      </c>
      <c r="BT368" t="s">
        <v>150</v>
      </c>
      <c r="BU368">
        <v>33</v>
      </c>
      <c r="BV368">
        <v>0</v>
      </c>
      <c r="BW368">
        <v>0</v>
      </c>
      <c r="BY368">
        <v>0</v>
      </c>
      <c r="CA368" t="s">
        <v>106</v>
      </c>
      <c r="CB368" t="s">
        <v>142</v>
      </c>
      <c r="CC368" t="s">
        <v>112</v>
      </c>
      <c r="CD368" t="s">
        <v>112</v>
      </c>
      <c r="CE368" t="s">
        <v>121</v>
      </c>
      <c r="CF368">
        <v>17092.62</v>
      </c>
      <c r="CG368" t="s">
        <v>144</v>
      </c>
      <c r="CH368">
        <v>4000000</v>
      </c>
      <c r="CI368">
        <v>17092.62</v>
      </c>
      <c r="CJ368">
        <v>0</v>
      </c>
      <c r="CK368" t="s">
        <v>112</v>
      </c>
      <c r="CL368" t="s">
        <v>112</v>
      </c>
      <c r="CM368">
        <v>45606.6</v>
      </c>
      <c r="CO368">
        <v>0</v>
      </c>
      <c r="CP368">
        <v>1</v>
      </c>
      <c r="CQ368">
        <v>5118945.58</v>
      </c>
      <c r="CR368">
        <v>53198.44</v>
      </c>
      <c r="CS368" t="s">
        <v>145</v>
      </c>
      <c r="CT368">
        <v>53158.048199999997</v>
      </c>
      <c r="CU368">
        <v>3.11</v>
      </c>
      <c r="CV368">
        <v>45</v>
      </c>
      <c r="CX368" t="s">
        <v>1140</v>
      </c>
      <c r="CY368">
        <v>205</v>
      </c>
    </row>
    <row r="369" spans="1:103" x14ac:dyDescent="0.25">
      <c r="A369" t="s">
        <v>106</v>
      </c>
      <c r="B369" s="38">
        <v>44953</v>
      </c>
      <c r="C369" s="43">
        <f>IF(YEAR(Таблица1[[#This Row],[Дата]])=2023,MONTH(Таблица1[[#This Row],[Дата]]),0)</f>
        <v>1</v>
      </c>
      <c r="D369" t="s">
        <v>2000</v>
      </c>
      <c r="E369" t="s">
        <v>108</v>
      </c>
      <c r="F369" t="s">
        <v>2001</v>
      </c>
      <c r="G369" t="s">
        <v>110</v>
      </c>
      <c r="H369" t="s">
        <v>111</v>
      </c>
      <c r="I369" t="s">
        <v>112</v>
      </c>
      <c r="J369" t="s">
        <v>112</v>
      </c>
      <c r="K369" t="s">
        <v>112</v>
      </c>
      <c r="L369" t="s">
        <v>150</v>
      </c>
      <c r="M369" t="s">
        <v>151</v>
      </c>
      <c r="N369" t="s">
        <v>112</v>
      </c>
      <c r="O369" t="s">
        <v>112</v>
      </c>
      <c r="P369">
        <v>1</v>
      </c>
      <c r="R369">
        <v>1</v>
      </c>
      <c r="S369">
        <v>33</v>
      </c>
      <c r="T369" t="s">
        <v>112</v>
      </c>
      <c r="U369" t="s">
        <v>152</v>
      </c>
      <c r="V369" t="s">
        <v>153</v>
      </c>
      <c r="W369" t="s">
        <v>154</v>
      </c>
      <c r="X369" t="s">
        <v>119</v>
      </c>
      <c r="Y369" t="s">
        <v>112</v>
      </c>
      <c r="Z369" t="s">
        <v>112</v>
      </c>
      <c r="AA369" t="s">
        <v>152</v>
      </c>
      <c r="AB369" t="s">
        <v>153</v>
      </c>
      <c r="AC369" t="s">
        <v>154</v>
      </c>
      <c r="AD369" t="s">
        <v>119</v>
      </c>
      <c r="AE369" t="s">
        <v>112</v>
      </c>
      <c r="AF369" t="s">
        <v>121</v>
      </c>
      <c r="AG369" t="s">
        <v>122</v>
      </c>
      <c r="AH369">
        <v>5813337.7800000003</v>
      </c>
      <c r="AI369" t="s">
        <v>112</v>
      </c>
      <c r="AJ369" t="s">
        <v>152</v>
      </c>
      <c r="AK369" t="s">
        <v>153</v>
      </c>
      <c r="AL369" t="s">
        <v>154</v>
      </c>
      <c r="AM369" t="s">
        <v>119</v>
      </c>
      <c r="AN369" t="s">
        <v>112</v>
      </c>
      <c r="AO369" t="s">
        <v>121</v>
      </c>
      <c r="AP369" t="s">
        <v>122</v>
      </c>
      <c r="AQ369" t="s">
        <v>122</v>
      </c>
      <c r="AR369" t="s">
        <v>124</v>
      </c>
      <c r="AS369" t="s">
        <v>125</v>
      </c>
      <c r="AT369">
        <v>2</v>
      </c>
      <c r="AU369" t="s">
        <v>126</v>
      </c>
      <c r="AV369" t="s">
        <v>155</v>
      </c>
      <c r="AW369" t="s">
        <v>156</v>
      </c>
      <c r="AY369" t="s">
        <v>129</v>
      </c>
      <c r="AZ369">
        <v>51833.440000000002</v>
      </c>
      <c r="BC369">
        <v>102.9211</v>
      </c>
      <c r="BD369" t="s">
        <v>112</v>
      </c>
      <c r="BE369" t="s">
        <v>112</v>
      </c>
      <c r="BF369" t="s">
        <v>157</v>
      </c>
      <c r="BG369" t="s">
        <v>133</v>
      </c>
      <c r="BH369" t="s">
        <v>134</v>
      </c>
      <c r="BI369" t="s">
        <v>112</v>
      </c>
      <c r="BJ369" t="s">
        <v>112</v>
      </c>
      <c r="BK369" t="s">
        <v>112</v>
      </c>
      <c r="BL369" t="s">
        <v>169</v>
      </c>
      <c r="BM369" t="s">
        <v>159</v>
      </c>
      <c r="BN369" t="s">
        <v>212</v>
      </c>
      <c r="BO369" t="s">
        <v>161</v>
      </c>
      <c r="BQ369" t="s">
        <v>1426</v>
      </c>
      <c r="BR369" s="45">
        <f>ISNUMBER(SEARCH($BR$1,Таблица1[[#This Row],[31_1 Описание и характеристика товара]]))*1</f>
        <v>1</v>
      </c>
      <c r="BT369" t="s">
        <v>150</v>
      </c>
      <c r="BU369">
        <v>33</v>
      </c>
      <c r="BV369">
        <v>0</v>
      </c>
      <c r="BW369">
        <v>0</v>
      </c>
      <c r="BY369">
        <v>0</v>
      </c>
      <c r="CA369" t="s">
        <v>106</v>
      </c>
      <c r="CB369" t="s">
        <v>142</v>
      </c>
      <c r="CC369" t="s">
        <v>112</v>
      </c>
      <c r="CD369" t="s">
        <v>112</v>
      </c>
      <c r="CE369" t="s">
        <v>121</v>
      </c>
      <c r="CF369">
        <v>16160.64</v>
      </c>
      <c r="CG369" t="s">
        <v>144</v>
      </c>
      <c r="CH369">
        <v>4000000</v>
      </c>
      <c r="CI369">
        <v>16160.64</v>
      </c>
      <c r="CJ369">
        <v>0</v>
      </c>
      <c r="CK369" t="s">
        <v>112</v>
      </c>
      <c r="CL369" t="s">
        <v>112</v>
      </c>
      <c r="CM369">
        <v>51833.440000000002</v>
      </c>
      <c r="CO369">
        <v>0</v>
      </c>
      <c r="CP369">
        <v>1</v>
      </c>
      <c r="CQ369">
        <v>5813337.7800000003</v>
      </c>
      <c r="CR369">
        <v>60414.89</v>
      </c>
      <c r="CS369" t="s">
        <v>145</v>
      </c>
      <c r="CT369">
        <v>60440.793600000005</v>
      </c>
      <c r="CU369">
        <v>3.74</v>
      </c>
      <c r="CV369">
        <v>45</v>
      </c>
      <c r="CX369" t="s">
        <v>233</v>
      </c>
      <c r="CY369">
        <v>155</v>
      </c>
    </row>
    <row r="370" spans="1:103" x14ac:dyDescent="0.25">
      <c r="A370" t="s">
        <v>106</v>
      </c>
      <c r="B370" s="38">
        <v>45177</v>
      </c>
      <c r="C370" s="43">
        <f>IF(YEAR(Таблица1[[#This Row],[Дата]])=2023,MONTH(Таблица1[[#This Row],[Дата]]),0)</f>
        <v>9</v>
      </c>
      <c r="D370" t="s">
        <v>1525</v>
      </c>
      <c r="E370" t="s">
        <v>108</v>
      </c>
      <c r="F370" t="s">
        <v>1526</v>
      </c>
      <c r="G370" t="s">
        <v>110</v>
      </c>
      <c r="H370" t="s">
        <v>111</v>
      </c>
      <c r="I370" t="s">
        <v>112</v>
      </c>
      <c r="J370" t="s">
        <v>112</v>
      </c>
      <c r="K370" t="s">
        <v>112</v>
      </c>
      <c r="L370" t="s">
        <v>150</v>
      </c>
      <c r="M370" t="s">
        <v>1060</v>
      </c>
      <c r="N370" t="s">
        <v>112</v>
      </c>
      <c r="O370" t="s">
        <v>112</v>
      </c>
      <c r="P370">
        <v>1</v>
      </c>
      <c r="Q370">
        <v>0</v>
      </c>
      <c r="R370">
        <v>1</v>
      </c>
      <c r="S370">
        <v>33</v>
      </c>
      <c r="T370" t="s">
        <v>166</v>
      </c>
      <c r="U370" t="s">
        <v>152</v>
      </c>
      <c r="V370" t="s">
        <v>153</v>
      </c>
      <c r="W370" t="s">
        <v>154</v>
      </c>
      <c r="X370" t="s">
        <v>119</v>
      </c>
      <c r="Y370" t="s">
        <v>112</v>
      </c>
      <c r="Z370" t="s">
        <v>166</v>
      </c>
      <c r="AA370" t="s">
        <v>152</v>
      </c>
      <c r="AB370" t="s">
        <v>153</v>
      </c>
      <c r="AC370" t="s">
        <v>154</v>
      </c>
      <c r="AD370" t="s">
        <v>119</v>
      </c>
      <c r="AE370" t="s">
        <v>112</v>
      </c>
      <c r="AF370" t="s">
        <v>121</v>
      </c>
      <c r="AG370" t="s">
        <v>122</v>
      </c>
      <c r="AH370">
        <v>4669426.67</v>
      </c>
      <c r="AI370" t="s">
        <v>166</v>
      </c>
      <c r="AJ370" t="s">
        <v>152</v>
      </c>
      <c r="AK370" t="s">
        <v>153</v>
      </c>
      <c r="AL370" t="s">
        <v>154</v>
      </c>
      <c r="AM370" t="s">
        <v>119</v>
      </c>
      <c r="AN370" t="s">
        <v>112</v>
      </c>
      <c r="AO370" t="s">
        <v>121</v>
      </c>
      <c r="AP370" t="s">
        <v>122</v>
      </c>
      <c r="AQ370" t="s">
        <v>122</v>
      </c>
      <c r="AR370" t="s">
        <v>124</v>
      </c>
      <c r="AS370" t="s">
        <v>125</v>
      </c>
      <c r="AT370">
        <v>2</v>
      </c>
      <c r="AU370" t="s">
        <v>126</v>
      </c>
      <c r="AV370" t="s">
        <v>155</v>
      </c>
      <c r="AW370" t="s">
        <v>156</v>
      </c>
      <c r="AX370">
        <v>1</v>
      </c>
      <c r="AY370" t="s">
        <v>129</v>
      </c>
      <c r="AZ370">
        <v>40930.239999999998</v>
      </c>
      <c r="BA370">
        <v>4193062</v>
      </c>
      <c r="BB370">
        <v>51197.27</v>
      </c>
      <c r="BC370">
        <v>102.44410000000001</v>
      </c>
      <c r="BD370" t="s">
        <v>130</v>
      </c>
      <c r="BE370" t="s">
        <v>112</v>
      </c>
      <c r="BF370" t="s">
        <v>157</v>
      </c>
      <c r="BG370" t="s">
        <v>133</v>
      </c>
      <c r="BH370" t="s">
        <v>134</v>
      </c>
      <c r="BI370" t="s">
        <v>112</v>
      </c>
      <c r="BJ370" t="s">
        <v>112</v>
      </c>
      <c r="BK370" t="s">
        <v>112</v>
      </c>
      <c r="BL370" t="s">
        <v>169</v>
      </c>
      <c r="BM370" t="s">
        <v>159</v>
      </c>
      <c r="BN370" t="s">
        <v>722</v>
      </c>
      <c r="BO370" t="s">
        <v>161</v>
      </c>
      <c r="BP370">
        <v>1</v>
      </c>
      <c r="BQ370" t="s">
        <v>1527</v>
      </c>
      <c r="BR370" s="45">
        <f>ISNUMBER(SEARCH($BR$1,Таблица1[[#This Row],[31_1 Описание и характеристика товара]]))*1</f>
        <v>1</v>
      </c>
      <c r="BT370" t="s">
        <v>150</v>
      </c>
      <c r="BU370">
        <v>33</v>
      </c>
      <c r="BV370">
        <v>0</v>
      </c>
      <c r="BW370">
        <v>0</v>
      </c>
      <c r="BY370">
        <v>0</v>
      </c>
      <c r="CA370" t="s">
        <v>106</v>
      </c>
      <c r="CB370" t="s">
        <v>142</v>
      </c>
      <c r="CC370" t="s">
        <v>112</v>
      </c>
      <c r="CD370" t="s">
        <v>112</v>
      </c>
      <c r="CE370" t="s">
        <v>121</v>
      </c>
      <c r="CF370">
        <v>16681.939999999999</v>
      </c>
      <c r="CG370" t="s">
        <v>144</v>
      </c>
      <c r="CH370">
        <v>4000000</v>
      </c>
      <c r="CI370">
        <v>16577.54</v>
      </c>
      <c r="CJ370">
        <v>0</v>
      </c>
      <c r="CK370" t="s">
        <v>112</v>
      </c>
      <c r="CL370" t="s">
        <v>112</v>
      </c>
      <c r="CM370">
        <v>40930.239999999998</v>
      </c>
      <c r="CN370">
        <v>4193062</v>
      </c>
      <c r="CO370">
        <v>0</v>
      </c>
      <c r="CP370">
        <v>1</v>
      </c>
      <c r="CQ370">
        <v>4669426.67</v>
      </c>
      <c r="CR370">
        <v>51197.27</v>
      </c>
      <c r="CS370" t="s">
        <v>145</v>
      </c>
      <c r="CT370">
        <v>51224.598599999998</v>
      </c>
      <c r="CU370">
        <v>3.09</v>
      </c>
      <c r="CV370">
        <v>45</v>
      </c>
      <c r="CW370" t="s">
        <v>171</v>
      </c>
      <c r="CX370" t="s">
        <v>350</v>
      </c>
      <c r="CY370">
        <v>340</v>
      </c>
    </row>
    <row r="371" spans="1:103" x14ac:dyDescent="0.25">
      <c r="A371" t="s">
        <v>106</v>
      </c>
      <c r="B371" s="38">
        <v>45211</v>
      </c>
      <c r="C371" s="43">
        <f>IF(YEAR(Таблица1[[#This Row],[Дата]])=2023,MONTH(Таблица1[[#This Row],[Дата]]),0)</f>
        <v>10</v>
      </c>
      <c r="D371" t="s">
        <v>1528</v>
      </c>
      <c r="E371" t="s">
        <v>108</v>
      </c>
      <c r="F371" t="s">
        <v>1529</v>
      </c>
      <c r="G371" t="s">
        <v>110</v>
      </c>
      <c r="H371" t="s">
        <v>111</v>
      </c>
      <c r="I371" t="s">
        <v>112</v>
      </c>
      <c r="J371" t="s">
        <v>112</v>
      </c>
      <c r="K371" t="s">
        <v>112</v>
      </c>
      <c r="L371" t="s">
        <v>150</v>
      </c>
      <c r="M371" t="s">
        <v>1060</v>
      </c>
      <c r="N371" t="s">
        <v>112</v>
      </c>
      <c r="O371" t="s">
        <v>112</v>
      </c>
      <c r="P371">
        <v>1</v>
      </c>
      <c r="Q371">
        <v>0</v>
      </c>
      <c r="R371">
        <v>1</v>
      </c>
      <c r="S371">
        <v>33</v>
      </c>
      <c r="T371" t="s">
        <v>166</v>
      </c>
      <c r="U371" t="s">
        <v>152</v>
      </c>
      <c r="V371" t="s">
        <v>153</v>
      </c>
      <c r="W371" t="s">
        <v>154</v>
      </c>
      <c r="X371" t="s">
        <v>119</v>
      </c>
      <c r="Y371" t="s">
        <v>112</v>
      </c>
      <c r="Z371" t="s">
        <v>166</v>
      </c>
      <c r="AA371" t="s">
        <v>152</v>
      </c>
      <c r="AB371" t="s">
        <v>153</v>
      </c>
      <c r="AC371" t="s">
        <v>154</v>
      </c>
      <c r="AD371" t="s">
        <v>119</v>
      </c>
      <c r="AE371" t="s">
        <v>112</v>
      </c>
      <c r="AF371" t="s">
        <v>121</v>
      </c>
      <c r="AG371" t="s">
        <v>122</v>
      </c>
      <c r="AH371">
        <v>4707310.49</v>
      </c>
      <c r="AI371" t="s">
        <v>166</v>
      </c>
      <c r="AJ371" t="s">
        <v>152</v>
      </c>
      <c r="AK371" t="s">
        <v>153</v>
      </c>
      <c r="AL371" t="s">
        <v>154</v>
      </c>
      <c r="AM371" t="s">
        <v>119</v>
      </c>
      <c r="AN371" t="s">
        <v>112</v>
      </c>
      <c r="AO371" t="s">
        <v>121</v>
      </c>
      <c r="AP371" t="s">
        <v>122</v>
      </c>
      <c r="AQ371" t="s">
        <v>122</v>
      </c>
      <c r="AR371" t="s">
        <v>124</v>
      </c>
      <c r="AS371" t="s">
        <v>125</v>
      </c>
      <c r="AT371">
        <v>2</v>
      </c>
      <c r="AU371" t="s">
        <v>126</v>
      </c>
      <c r="AV371" t="s">
        <v>155</v>
      </c>
      <c r="AW371" t="s">
        <v>156</v>
      </c>
      <c r="AX371">
        <v>1</v>
      </c>
      <c r="AY371" t="s">
        <v>129</v>
      </c>
      <c r="AZ371">
        <v>41820.04</v>
      </c>
      <c r="BA371">
        <v>4284216</v>
      </c>
      <c r="BB371">
        <v>51612.639999999999</v>
      </c>
      <c r="BC371">
        <v>102.44410000000001</v>
      </c>
      <c r="BD371" t="s">
        <v>130</v>
      </c>
      <c r="BE371" t="s">
        <v>112</v>
      </c>
      <c r="BF371" t="s">
        <v>157</v>
      </c>
      <c r="BG371" t="s">
        <v>133</v>
      </c>
      <c r="BH371" t="s">
        <v>134</v>
      </c>
      <c r="BI371" t="s">
        <v>112</v>
      </c>
      <c r="BJ371" t="s">
        <v>112</v>
      </c>
      <c r="BK371" t="s">
        <v>112</v>
      </c>
      <c r="BL371" t="s">
        <v>169</v>
      </c>
      <c r="BM371" t="s">
        <v>159</v>
      </c>
      <c r="BN371" t="s">
        <v>722</v>
      </c>
      <c r="BO371" t="s">
        <v>161</v>
      </c>
      <c r="BP371">
        <v>1</v>
      </c>
      <c r="BQ371" t="s">
        <v>1530</v>
      </c>
      <c r="BR371" s="45">
        <f>ISNUMBER(SEARCH($BR$1,Таблица1[[#This Row],[31_1 Описание и характеристика товара]]))*1</f>
        <v>1</v>
      </c>
      <c r="BT371" t="s">
        <v>150</v>
      </c>
      <c r="BU371">
        <v>33</v>
      </c>
      <c r="BV371">
        <v>0</v>
      </c>
      <c r="BW371">
        <v>0</v>
      </c>
      <c r="BY371">
        <v>0</v>
      </c>
      <c r="CA371" t="s">
        <v>106</v>
      </c>
      <c r="CB371" t="s">
        <v>142</v>
      </c>
      <c r="CC371" t="s">
        <v>112</v>
      </c>
      <c r="CD371" t="s">
        <v>112</v>
      </c>
      <c r="CE371" t="s">
        <v>121</v>
      </c>
      <c r="CF371">
        <v>17162.77</v>
      </c>
      <c r="CG371" t="s">
        <v>144</v>
      </c>
      <c r="CH371">
        <v>4000000</v>
      </c>
      <c r="CI371">
        <v>17108.77</v>
      </c>
      <c r="CJ371">
        <v>0</v>
      </c>
      <c r="CK371" t="s">
        <v>112</v>
      </c>
      <c r="CL371" t="s">
        <v>112</v>
      </c>
      <c r="CM371">
        <v>41820.04</v>
      </c>
      <c r="CN371">
        <v>4284216</v>
      </c>
      <c r="CO371">
        <v>0</v>
      </c>
      <c r="CP371">
        <v>1</v>
      </c>
      <c r="CQ371">
        <v>4707310.49</v>
      </c>
      <c r="CR371">
        <v>51612.639999999999</v>
      </c>
      <c r="CS371" t="s">
        <v>145</v>
      </c>
      <c r="CT371">
        <v>51668.485400000005</v>
      </c>
      <c r="CU371">
        <v>3.02</v>
      </c>
      <c r="CV371">
        <v>45</v>
      </c>
      <c r="CW371" t="s">
        <v>171</v>
      </c>
      <c r="CX371" t="s">
        <v>369</v>
      </c>
      <c r="CY371">
        <v>551</v>
      </c>
    </row>
    <row r="372" spans="1:103" x14ac:dyDescent="0.25">
      <c r="A372" t="s">
        <v>106</v>
      </c>
      <c r="B372" s="38">
        <v>44781</v>
      </c>
      <c r="C372" s="43">
        <f>IF(YEAR(Таблица1[[#This Row],[Дата]])=2023,MONTH(Таблица1[[#This Row],[Дата]]),0)</f>
        <v>0</v>
      </c>
      <c r="D372" t="s">
        <v>1533</v>
      </c>
      <c r="E372" t="s">
        <v>108</v>
      </c>
      <c r="F372" t="s">
        <v>1534</v>
      </c>
      <c r="G372" t="s">
        <v>110</v>
      </c>
      <c r="H372" t="s">
        <v>111</v>
      </c>
      <c r="I372" t="s">
        <v>112</v>
      </c>
      <c r="J372" t="s">
        <v>112</v>
      </c>
      <c r="K372" t="s">
        <v>112</v>
      </c>
      <c r="L372" t="s">
        <v>150</v>
      </c>
      <c r="M372" t="s">
        <v>1060</v>
      </c>
      <c r="N372" t="s">
        <v>112</v>
      </c>
      <c r="O372" t="s">
        <v>112</v>
      </c>
      <c r="P372">
        <v>1</v>
      </c>
      <c r="Q372">
        <v>0</v>
      </c>
      <c r="R372">
        <v>1</v>
      </c>
      <c r="S372">
        <v>33</v>
      </c>
      <c r="T372" t="s">
        <v>166</v>
      </c>
      <c r="U372" t="s">
        <v>152</v>
      </c>
      <c r="V372" t="s">
        <v>153</v>
      </c>
      <c r="W372" t="s">
        <v>154</v>
      </c>
      <c r="X372" t="s">
        <v>119</v>
      </c>
      <c r="Y372" t="s">
        <v>112</v>
      </c>
      <c r="Z372" t="s">
        <v>166</v>
      </c>
      <c r="AA372" t="s">
        <v>152</v>
      </c>
      <c r="AB372" t="s">
        <v>153</v>
      </c>
      <c r="AC372" t="s">
        <v>154</v>
      </c>
      <c r="AD372" t="s">
        <v>119</v>
      </c>
      <c r="AE372" t="s">
        <v>112</v>
      </c>
      <c r="AF372" t="s">
        <v>121</v>
      </c>
      <c r="AG372" t="s">
        <v>122</v>
      </c>
      <c r="AH372">
        <v>4326091.41</v>
      </c>
      <c r="AI372" t="s">
        <v>166</v>
      </c>
      <c r="AJ372" t="s">
        <v>152</v>
      </c>
      <c r="AK372" t="s">
        <v>153</v>
      </c>
      <c r="AL372" t="s">
        <v>154</v>
      </c>
      <c r="AM372" t="s">
        <v>119</v>
      </c>
      <c r="AN372" t="s">
        <v>112</v>
      </c>
      <c r="AO372" t="s">
        <v>121</v>
      </c>
      <c r="AP372" t="s">
        <v>122</v>
      </c>
      <c r="AQ372" t="s">
        <v>122</v>
      </c>
      <c r="AR372" t="s">
        <v>124</v>
      </c>
      <c r="AS372" t="s">
        <v>125</v>
      </c>
      <c r="AT372">
        <v>2</v>
      </c>
      <c r="AU372" t="s">
        <v>126</v>
      </c>
      <c r="AV372" t="s">
        <v>155</v>
      </c>
      <c r="AW372" t="s">
        <v>156</v>
      </c>
      <c r="AX372">
        <v>1</v>
      </c>
      <c r="AY372" t="s">
        <v>129</v>
      </c>
      <c r="AZ372">
        <v>38098.800000000003</v>
      </c>
      <c r="BA372">
        <v>3902997</v>
      </c>
      <c r="BB372">
        <v>47432.82</v>
      </c>
      <c r="BC372">
        <v>102.44410000000001</v>
      </c>
      <c r="BD372" t="s">
        <v>130</v>
      </c>
      <c r="BE372" t="s">
        <v>112</v>
      </c>
      <c r="BF372" t="s">
        <v>157</v>
      </c>
      <c r="BG372" t="s">
        <v>133</v>
      </c>
      <c r="BH372" t="s">
        <v>134</v>
      </c>
      <c r="BI372" t="s">
        <v>112</v>
      </c>
      <c r="BJ372" t="s">
        <v>112</v>
      </c>
      <c r="BK372" t="s">
        <v>112</v>
      </c>
      <c r="BL372" t="s">
        <v>169</v>
      </c>
      <c r="BM372" t="s">
        <v>159</v>
      </c>
      <c r="BN372" t="s">
        <v>722</v>
      </c>
      <c r="BO372" t="s">
        <v>161</v>
      </c>
      <c r="BP372">
        <v>1</v>
      </c>
      <c r="BQ372" t="s">
        <v>162</v>
      </c>
      <c r="BR372" s="45">
        <f>ISNUMBER(SEARCH($BR$1,Таблица1[[#This Row],[31_1 Описание и характеристика товара]]))*1</f>
        <v>1</v>
      </c>
      <c r="BT372" t="s">
        <v>150</v>
      </c>
      <c r="BU372">
        <v>33</v>
      </c>
      <c r="BV372">
        <v>0</v>
      </c>
      <c r="BW372">
        <v>0</v>
      </c>
      <c r="BY372">
        <v>0</v>
      </c>
      <c r="CA372" t="s">
        <v>106</v>
      </c>
      <c r="CB372" t="s">
        <v>142</v>
      </c>
      <c r="CC372" t="s">
        <v>112</v>
      </c>
      <c r="CD372" t="s">
        <v>112</v>
      </c>
      <c r="CE372" t="s">
        <v>121</v>
      </c>
      <c r="CF372">
        <v>16153.01</v>
      </c>
      <c r="CG372" t="s">
        <v>144</v>
      </c>
      <c r="CH372">
        <v>4000000</v>
      </c>
      <c r="CI372">
        <v>16058.21</v>
      </c>
      <c r="CJ372">
        <v>0</v>
      </c>
      <c r="CK372" t="s">
        <v>112</v>
      </c>
      <c r="CL372" t="s">
        <v>112</v>
      </c>
      <c r="CM372">
        <v>38098.800000000003</v>
      </c>
      <c r="CN372">
        <v>3902997</v>
      </c>
      <c r="CO372">
        <v>0</v>
      </c>
      <c r="CP372">
        <v>1</v>
      </c>
      <c r="CQ372">
        <v>4326091.41</v>
      </c>
      <c r="CR372">
        <v>47432.82</v>
      </c>
      <c r="CS372" t="s">
        <v>145</v>
      </c>
      <c r="CT372">
        <v>47371.719499999999</v>
      </c>
      <c r="CU372">
        <v>2.95</v>
      </c>
      <c r="CV372">
        <v>45</v>
      </c>
      <c r="CW372" t="s">
        <v>171</v>
      </c>
      <c r="CX372" t="s">
        <v>372</v>
      </c>
      <c r="CY372">
        <v>581</v>
      </c>
    </row>
    <row r="373" spans="1:103" x14ac:dyDescent="0.25">
      <c r="A373" t="s">
        <v>106</v>
      </c>
      <c r="B373" s="38">
        <v>45288</v>
      </c>
      <c r="C373" s="43">
        <f>IF(YEAR(Таблица1[[#This Row],[Дата]])=2023,MONTH(Таблица1[[#This Row],[Дата]]),0)</f>
        <v>12</v>
      </c>
      <c r="D373" t="s">
        <v>1347</v>
      </c>
      <c r="E373" t="s">
        <v>108</v>
      </c>
      <c r="F373" t="s">
        <v>1348</v>
      </c>
      <c r="G373" t="s">
        <v>110</v>
      </c>
      <c r="H373" t="s">
        <v>111</v>
      </c>
      <c r="I373" t="s">
        <v>112</v>
      </c>
      <c r="J373" t="s">
        <v>112</v>
      </c>
      <c r="K373" t="s">
        <v>112</v>
      </c>
      <c r="L373" t="s">
        <v>150</v>
      </c>
      <c r="M373" t="s">
        <v>1020</v>
      </c>
      <c r="N373" t="s">
        <v>112</v>
      </c>
      <c r="O373" t="s">
        <v>112</v>
      </c>
      <c r="P373">
        <v>1</v>
      </c>
      <c r="Q373">
        <v>0</v>
      </c>
      <c r="R373">
        <v>1</v>
      </c>
      <c r="S373">
        <v>33</v>
      </c>
      <c r="T373" t="s">
        <v>166</v>
      </c>
      <c r="U373" t="s">
        <v>152</v>
      </c>
      <c r="V373" t="s">
        <v>153</v>
      </c>
      <c r="W373" t="s">
        <v>154</v>
      </c>
      <c r="X373" t="s">
        <v>119</v>
      </c>
      <c r="Y373" t="s">
        <v>112</v>
      </c>
      <c r="Z373" t="s">
        <v>166</v>
      </c>
      <c r="AA373" t="s">
        <v>152</v>
      </c>
      <c r="AB373" t="s">
        <v>153</v>
      </c>
      <c r="AC373" t="s">
        <v>154</v>
      </c>
      <c r="AD373" t="s">
        <v>119</v>
      </c>
      <c r="AE373" t="s">
        <v>112</v>
      </c>
      <c r="AF373" t="s">
        <v>121</v>
      </c>
      <c r="AG373" t="s">
        <v>122</v>
      </c>
      <c r="AH373">
        <v>4186515.21</v>
      </c>
      <c r="AI373" t="s">
        <v>166</v>
      </c>
      <c r="AJ373" t="s">
        <v>152</v>
      </c>
      <c r="AK373" t="s">
        <v>153</v>
      </c>
      <c r="AL373" t="s">
        <v>154</v>
      </c>
      <c r="AM373" t="s">
        <v>119</v>
      </c>
      <c r="AN373" t="s">
        <v>112</v>
      </c>
      <c r="AO373" t="s">
        <v>121</v>
      </c>
      <c r="AP373" t="s">
        <v>122</v>
      </c>
      <c r="AQ373" t="s">
        <v>122</v>
      </c>
      <c r="AR373" t="s">
        <v>124</v>
      </c>
      <c r="AS373" t="s">
        <v>125</v>
      </c>
      <c r="AT373">
        <v>2</v>
      </c>
      <c r="AU373" t="s">
        <v>126</v>
      </c>
      <c r="AV373" t="s">
        <v>155</v>
      </c>
      <c r="AW373" t="s">
        <v>156</v>
      </c>
      <c r="AX373">
        <v>1</v>
      </c>
      <c r="AY373" t="s">
        <v>129</v>
      </c>
      <c r="AZ373">
        <v>40956.43</v>
      </c>
      <c r="BA373">
        <v>3759661</v>
      </c>
      <c r="BB373">
        <v>49847.42</v>
      </c>
      <c r="BC373">
        <v>91.796599999999998</v>
      </c>
      <c r="BD373" t="s">
        <v>130</v>
      </c>
      <c r="BE373" t="s">
        <v>112</v>
      </c>
      <c r="BF373" t="s">
        <v>157</v>
      </c>
      <c r="BG373" t="s">
        <v>133</v>
      </c>
      <c r="BH373" t="s">
        <v>134</v>
      </c>
      <c r="BI373" t="s">
        <v>112</v>
      </c>
      <c r="BJ373" t="s">
        <v>112</v>
      </c>
      <c r="BK373" t="s">
        <v>112</v>
      </c>
      <c r="BL373" t="s">
        <v>169</v>
      </c>
      <c r="BM373" t="s">
        <v>159</v>
      </c>
      <c r="BN373" t="s">
        <v>722</v>
      </c>
      <c r="BO373" t="s">
        <v>161</v>
      </c>
      <c r="BP373">
        <v>1</v>
      </c>
      <c r="BQ373" t="s">
        <v>1349</v>
      </c>
      <c r="BR373" s="45">
        <f>ISNUMBER(SEARCH($BR$1,Таблица1[[#This Row],[31_1 Описание и характеристика товара]]))*1</f>
        <v>1</v>
      </c>
      <c r="BT373" t="s">
        <v>150</v>
      </c>
      <c r="BU373">
        <v>33</v>
      </c>
      <c r="BV373">
        <v>0</v>
      </c>
      <c r="BW373">
        <v>0</v>
      </c>
      <c r="BY373">
        <v>0</v>
      </c>
      <c r="CA373" t="s">
        <v>106</v>
      </c>
      <c r="CB373" t="s">
        <v>142</v>
      </c>
      <c r="CC373" t="s">
        <v>112</v>
      </c>
      <c r="CD373" t="s">
        <v>112</v>
      </c>
      <c r="CE373" t="s">
        <v>121</v>
      </c>
      <c r="CF373">
        <v>16635.57</v>
      </c>
      <c r="CG373" t="s">
        <v>144</v>
      </c>
      <c r="CH373">
        <v>4000000</v>
      </c>
      <c r="CI373">
        <v>16613.97</v>
      </c>
      <c r="CJ373">
        <v>0</v>
      </c>
      <c r="CK373" t="s">
        <v>112</v>
      </c>
      <c r="CL373" t="s">
        <v>112</v>
      </c>
      <c r="CM373">
        <v>40956.43</v>
      </c>
      <c r="CN373">
        <v>3759661</v>
      </c>
      <c r="CO373">
        <v>0</v>
      </c>
      <c r="CP373">
        <v>1</v>
      </c>
      <c r="CQ373">
        <v>4186515.21</v>
      </c>
      <c r="CR373">
        <v>49847.42</v>
      </c>
      <c r="CS373" t="s">
        <v>145</v>
      </c>
      <c r="CT373">
        <v>49841.91</v>
      </c>
      <c r="CU373">
        <v>3</v>
      </c>
      <c r="CV373">
        <v>45</v>
      </c>
      <c r="CW373" t="s">
        <v>171</v>
      </c>
      <c r="CX373" t="s">
        <v>463</v>
      </c>
      <c r="CY373">
        <v>128</v>
      </c>
    </row>
    <row r="374" spans="1:103" x14ac:dyDescent="0.25">
      <c r="A374" t="s">
        <v>106</v>
      </c>
      <c r="B374" s="38">
        <v>45169</v>
      </c>
      <c r="C374" s="43">
        <f>IF(YEAR(Таблица1[[#This Row],[Дата]])=2023,MONTH(Таблица1[[#This Row],[Дата]]),0)</f>
        <v>8</v>
      </c>
      <c r="D374" t="s">
        <v>1352</v>
      </c>
      <c r="E374" t="s">
        <v>108</v>
      </c>
      <c r="F374" t="s">
        <v>1353</v>
      </c>
      <c r="G374" t="s">
        <v>110</v>
      </c>
      <c r="H374" t="s">
        <v>111</v>
      </c>
      <c r="I374" t="s">
        <v>112</v>
      </c>
      <c r="J374" t="s">
        <v>112</v>
      </c>
      <c r="K374" t="s">
        <v>112</v>
      </c>
      <c r="L374" t="s">
        <v>150</v>
      </c>
      <c r="M374" t="s">
        <v>1020</v>
      </c>
      <c r="N374" t="s">
        <v>112</v>
      </c>
      <c r="O374" t="s">
        <v>112</v>
      </c>
      <c r="P374">
        <v>1</v>
      </c>
      <c r="Q374">
        <v>0</v>
      </c>
      <c r="R374">
        <v>1</v>
      </c>
      <c r="S374">
        <v>33</v>
      </c>
      <c r="T374" t="s">
        <v>166</v>
      </c>
      <c r="U374" t="s">
        <v>152</v>
      </c>
      <c r="V374" t="s">
        <v>153</v>
      </c>
      <c r="W374" t="s">
        <v>154</v>
      </c>
      <c r="X374" t="s">
        <v>119</v>
      </c>
      <c r="Y374" t="s">
        <v>112</v>
      </c>
      <c r="Z374" t="s">
        <v>166</v>
      </c>
      <c r="AA374" t="s">
        <v>152</v>
      </c>
      <c r="AB374" t="s">
        <v>153</v>
      </c>
      <c r="AC374" t="s">
        <v>154</v>
      </c>
      <c r="AD374" t="s">
        <v>119</v>
      </c>
      <c r="AE374" t="s">
        <v>112</v>
      </c>
      <c r="AF374" t="s">
        <v>121</v>
      </c>
      <c r="AG374" t="s">
        <v>122</v>
      </c>
      <c r="AH374">
        <v>4535356.0599999996</v>
      </c>
      <c r="AI374" t="s">
        <v>166</v>
      </c>
      <c r="AJ374" t="s">
        <v>152</v>
      </c>
      <c r="AK374" t="s">
        <v>153</v>
      </c>
      <c r="AL374" t="s">
        <v>154</v>
      </c>
      <c r="AM374" t="s">
        <v>119</v>
      </c>
      <c r="AN374" t="s">
        <v>112</v>
      </c>
      <c r="AO374" t="s">
        <v>121</v>
      </c>
      <c r="AP374" t="s">
        <v>122</v>
      </c>
      <c r="AQ374" t="s">
        <v>122</v>
      </c>
      <c r="AR374" t="s">
        <v>124</v>
      </c>
      <c r="AS374" t="s">
        <v>125</v>
      </c>
      <c r="AT374">
        <v>2</v>
      </c>
      <c r="AU374" t="s">
        <v>126</v>
      </c>
      <c r="AV374" t="s">
        <v>155</v>
      </c>
      <c r="AW374" t="s">
        <v>156</v>
      </c>
      <c r="AX374">
        <v>1</v>
      </c>
      <c r="AY374" t="s">
        <v>129</v>
      </c>
      <c r="AZ374">
        <v>44756.58</v>
      </c>
      <c r="BA374">
        <v>4108502</v>
      </c>
      <c r="BB374">
        <v>54000.95</v>
      </c>
      <c r="BC374">
        <v>91.796599999999998</v>
      </c>
      <c r="BD374" t="s">
        <v>130</v>
      </c>
      <c r="BE374" t="s">
        <v>112</v>
      </c>
      <c r="BF374" t="s">
        <v>157</v>
      </c>
      <c r="BG374" t="s">
        <v>133</v>
      </c>
      <c r="BH374" t="s">
        <v>134</v>
      </c>
      <c r="BI374" t="s">
        <v>112</v>
      </c>
      <c r="BJ374" t="s">
        <v>112</v>
      </c>
      <c r="BK374" t="s">
        <v>112</v>
      </c>
      <c r="BL374" t="s">
        <v>169</v>
      </c>
      <c r="BM374" t="s">
        <v>159</v>
      </c>
      <c r="BN374" t="s">
        <v>722</v>
      </c>
      <c r="BO374" t="s">
        <v>161</v>
      </c>
      <c r="BP374">
        <v>1</v>
      </c>
      <c r="BQ374" t="s">
        <v>205</v>
      </c>
      <c r="BR374" s="45">
        <f>ISNUMBER(SEARCH($BR$1,Таблица1[[#This Row],[31_1 Описание и характеристика товара]]))*1</f>
        <v>1</v>
      </c>
      <c r="BT374" t="s">
        <v>150</v>
      </c>
      <c r="BU374">
        <v>33</v>
      </c>
      <c r="BV374">
        <v>0</v>
      </c>
      <c r="BW374">
        <v>0</v>
      </c>
      <c r="BY374">
        <v>0</v>
      </c>
      <c r="CA374" t="s">
        <v>106</v>
      </c>
      <c r="CB374" t="s">
        <v>142</v>
      </c>
      <c r="CC374" t="s">
        <v>112</v>
      </c>
      <c r="CD374" t="s">
        <v>112</v>
      </c>
      <c r="CE374" t="s">
        <v>121</v>
      </c>
      <c r="CF374">
        <v>16411.22</v>
      </c>
      <c r="CG374" t="s">
        <v>144</v>
      </c>
      <c r="CH374">
        <v>4000000</v>
      </c>
      <c r="CI374">
        <v>16357.22</v>
      </c>
      <c r="CJ374">
        <v>0</v>
      </c>
      <c r="CK374" t="s">
        <v>112</v>
      </c>
      <c r="CL374" t="s">
        <v>112</v>
      </c>
      <c r="CM374">
        <v>44756.58</v>
      </c>
      <c r="CN374">
        <v>4108502</v>
      </c>
      <c r="CO374">
        <v>0</v>
      </c>
      <c r="CP374">
        <v>1</v>
      </c>
      <c r="CQ374">
        <v>4535356.0599999996</v>
      </c>
      <c r="CR374">
        <v>54000.95</v>
      </c>
      <c r="CS374" t="s">
        <v>145</v>
      </c>
      <c r="CT374">
        <v>53978.825999999994</v>
      </c>
      <c r="CU374">
        <v>3.3</v>
      </c>
      <c r="CV374">
        <v>45</v>
      </c>
      <c r="CW374" t="s">
        <v>171</v>
      </c>
      <c r="CX374" t="s">
        <v>369</v>
      </c>
      <c r="CY374">
        <v>342</v>
      </c>
    </row>
    <row r="375" spans="1:103" x14ac:dyDescent="0.25">
      <c r="A375" t="s">
        <v>106</v>
      </c>
      <c r="B375" s="38">
        <v>44975</v>
      </c>
      <c r="C375" s="43">
        <f>IF(YEAR(Таблица1[[#This Row],[Дата]])=2023,MONTH(Таблица1[[#This Row],[Дата]]),0)</f>
        <v>2</v>
      </c>
      <c r="D375" t="s">
        <v>1089</v>
      </c>
      <c r="E375" t="s">
        <v>108</v>
      </c>
      <c r="F375" t="s">
        <v>1090</v>
      </c>
      <c r="G375" t="s">
        <v>110</v>
      </c>
      <c r="H375" t="s">
        <v>111</v>
      </c>
      <c r="I375" t="s">
        <v>112</v>
      </c>
      <c r="J375" t="s">
        <v>112</v>
      </c>
      <c r="K375" t="s">
        <v>112</v>
      </c>
      <c r="L375" t="s">
        <v>150</v>
      </c>
      <c r="M375" t="s">
        <v>1060</v>
      </c>
      <c r="N375" t="s">
        <v>112</v>
      </c>
      <c r="O375" t="s">
        <v>112</v>
      </c>
      <c r="P375">
        <v>1</v>
      </c>
      <c r="R375">
        <v>1</v>
      </c>
      <c r="S375">
        <v>33</v>
      </c>
      <c r="T375" t="s">
        <v>166</v>
      </c>
      <c r="U375" t="s">
        <v>152</v>
      </c>
      <c r="V375" t="s">
        <v>153</v>
      </c>
      <c r="W375" t="s">
        <v>154</v>
      </c>
      <c r="X375" t="s">
        <v>119</v>
      </c>
      <c r="Y375" t="s">
        <v>112</v>
      </c>
      <c r="Z375" t="s">
        <v>166</v>
      </c>
      <c r="AA375" t="s">
        <v>152</v>
      </c>
      <c r="AB375" t="s">
        <v>153</v>
      </c>
      <c r="AC375" t="s">
        <v>154</v>
      </c>
      <c r="AD375" t="s">
        <v>119</v>
      </c>
      <c r="AE375" t="s">
        <v>112</v>
      </c>
      <c r="AF375" t="s">
        <v>121</v>
      </c>
      <c r="AG375" t="s">
        <v>122</v>
      </c>
      <c r="AH375">
        <v>4284656.18</v>
      </c>
      <c r="AI375" t="s">
        <v>166</v>
      </c>
      <c r="AJ375" t="s">
        <v>152</v>
      </c>
      <c r="AK375" t="s">
        <v>153</v>
      </c>
      <c r="AL375" t="s">
        <v>154</v>
      </c>
      <c r="AM375" t="s">
        <v>119</v>
      </c>
      <c r="AN375" t="s">
        <v>112</v>
      </c>
      <c r="AO375" t="s">
        <v>121</v>
      </c>
      <c r="AP375" t="s">
        <v>122</v>
      </c>
      <c r="AQ375" t="s">
        <v>122</v>
      </c>
      <c r="AR375" t="s">
        <v>124</v>
      </c>
      <c r="AS375" t="s">
        <v>125</v>
      </c>
      <c r="AT375">
        <v>2</v>
      </c>
      <c r="AU375" t="s">
        <v>126</v>
      </c>
      <c r="AV375" t="s">
        <v>155</v>
      </c>
      <c r="AW375" t="s">
        <v>156</v>
      </c>
      <c r="AX375">
        <v>1</v>
      </c>
      <c r="AY375" t="s">
        <v>129</v>
      </c>
      <c r="AZ375">
        <v>43590.96</v>
      </c>
      <c r="BA375">
        <v>3895881</v>
      </c>
      <c r="BB375">
        <v>52472.74</v>
      </c>
      <c r="BC375">
        <v>89.373599999999996</v>
      </c>
      <c r="BD375" t="s">
        <v>130</v>
      </c>
      <c r="BE375" t="s">
        <v>112</v>
      </c>
      <c r="BF375" t="s">
        <v>157</v>
      </c>
      <c r="BG375" t="s">
        <v>133</v>
      </c>
      <c r="BH375" t="s">
        <v>134</v>
      </c>
      <c r="BI375" t="s">
        <v>112</v>
      </c>
      <c r="BJ375" t="s">
        <v>112</v>
      </c>
      <c r="BK375" t="s">
        <v>112</v>
      </c>
      <c r="BL375" t="s">
        <v>169</v>
      </c>
      <c r="BM375" t="s">
        <v>159</v>
      </c>
      <c r="BN375" t="s">
        <v>722</v>
      </c>
      <c r="BO375" t="s">
        <v>161</v>
      </c>
      <c r="BP375">
        <v>1</v>
      </c>
      <c r="BQ375" t="s">
        <v>205</v>
      </c>
      <c r="BR375" s="45">
        <f>ISNUMBER(SEARCH($BR$1,Таблица1[[#This Row],[31_1 Описание и характеристика товара]]))*1</f>
        <v>1</v>
      </c>
      <c r="BT375" t="s">
        <v>150</v>
      </c>
      <c r="BU375">
        <v>33</v>
      </c>
      <c r="CA375" t="s">
        <v>106</v>
      </c>
      <c r="CB375" t="s">
        <v>142</v>
      </c>
      <c r="CC375" t="s">
        <v>112</v>
      </c>
      <c r="CD375" t="s">
        <v>112</v>
      </c>
      <c r="CE375" t="s">
        <v>121</v>
      </c>
      <c r="CF375">
        <v>16454.39</v>
      </c>
      <c r="CG375" t="s">
        <v>144</v>
      </c>
      <c r="CH375">
        <v>4000000</v>
      </c>
      <c r="CI375">
        <v>16364.39</v>
      </c>
      <c r="CK375" t="s">
        <v>112</v>
      </c>
      <c r="CL375" t="s">
        <v>112</v>
      </c>
      <c r="CM375">
        <v>43590.96</v>
      </c>
      <c r="CN375">
        <v>3895881</v>
      </c>
      <c r="CO375">
        <v>0</v>
      </c>
      <c r="CP375">
        <v>1</v>
      </c>
      <c r="CQ375">
        <v>4284656.18</v>
      </c>
      <c r="CR375">
        <v>52472.74</v>
      </c>
      <c r="CS375" t="s">
        <v>145</v>
      </c>
      <c r="CT375">
        <v>52472.416534999997</v>
      </c>
      <c r="CU375">
        <v>3.2065000000000001</v>
      </c>
      <c r="CV375">
        <v>45</v>
      </c>
      <c r="CW375" t="s">
        <v>171</v>
      </c>
      <c r="CX375" t="s">
        <v>369</v>
      </c>
      <c r="CY375">
        <v>212</v>
      </c>
    </row>
    <row r="376" spans="1:103" x14ac:dyDescent="0.25">
      <c r="A376" t="s">
        <v>106</v>
      </c>
      <c r="B376" s="38">
        <v>45121</v>
      </c>
      <c r="C376" s="43">
        <f>IF(YEAR(Таблица1[[#This Row],[Дата]])=2023,MONTH(Таблица1[[#This Row],[Дата]]),0)</f>
        <v>7</v>
      </c>
      <c r="D376" t="s">
        <v>1083</v>
      </c>
      <c r="E376" t="s">
        <v>108</v>
      </c>
      <c r="F376" t="s">
        <v>1084</v>
      </c>
      <c r="G376" t="s">
        <v>110</v>
      </c>
      <c r="H376" t="s">
        <v>111</v>
      </c>
      <c r="I376" t="s">
        <v>112</v>
      </c>
      <c r="J376" t="s">
        <v>112</v>
      </c>
      <c r="K376" t="s">
        <v>112</v>
      </c>
      <c r="L376" t="s">
        <v>175</v>
      </c>
      <c r="M376" t="s">
        <v>1085</v>
      </c>
      <c r="N376" t="s">
        <v>112</v>
      </c>
      <c r="O376" t="s">
        <v>112</v>
      </c>
      <c r="P376">
        <v>1</v>
      </c>
      <c r="Q376">
        <v>0</v>
      </c>
      <c r="R376">
        <v>1</v>
      </c>
      <c r="S376">
        <v>33</v>
      </c>
      <c r="T376" t="s">
        <v>166</v>
      </c>
      <c r="U376" t="s">
        <v>152</v>
      </c>
      <c r="V376" t="s">
        <v>153</v>
      </c>
      <c r="W376" t="s">
        <v>154</v>
      </c>
      <c r="X376" t="s">
        <v>119</v>
      </c>
      <c r="Y376" t="s">
        <v>112</v>
      </c>
      <c r="Z376" t="s">
        <v>166</v>
      </c>
      <c r="AA376" t="s">
        <v>152</v>
      </c>
      <c r="AB376" t="s">
        <v>153</v>
      </c>
      <c r="AC376" t="s">
        <v>154</v>
      </c>
      <c r="AD376" t="s">
        <v>119</v>
      </c>
      <c r="AE376" t="s">
        <v>112</v>
      </c>
      <c r="AF376" t="s">
        <v>121</v>
      </c>
      <c r="AG376" t="s">
        <v>122</v>
      </c>
      <c r="AH376">
        <v>4233638.16</v>
      </c>
      <c r="AI376" t="s">
        <v>166</v>
      </c>
      <c r="AJ376" t="s">
        <v>152</v>
      </c>
      <c r="AK376" t="s">
        <v>153</v>
      </c>
      <c r="AL376" t="s">
        <v>154</v>
      </c>
      <c r="AM376" t="s">
        <v>119</v>
      </c>
      <c r="AN376" t="s">
        <v>112</v>
      </c>
      <c r="AO376" t="s">
        <v>121</v>
      </c>
      <c r="AP376" t="s">
        <v>122</v>
      </c>
      <c r="AQ376" t="s">
        <v>122</v>
      </c>
      <c r="AR376" t="s">
        <v>124</v>
      </c>
      <c r="AS376" t="s">
        <v>125</v>
      </c>
      <c r="AT376">
        <v>2</v>
      </c>
      <c r="AU376" t="s">
        <v>126</v>
      </c>
      <c r="AV376" t="s">
        <v>155</v>
      </c>
      <c r="AW376" t="s">
        <v>156</v>
      </c>
      <c r="AX376">
        <v>1</v>
      </c>
      <c r="AY376" t="s">
        <v>129</v>
      </c>
      <c r="AZ376">
        <v>43020.12</v>
      </c>
      <c r="BA376">
        <v>3844863</v>
      </c>
      <c r="BB376">
        <v>51847.94</v>
      </c>
      <c r="BC376">
        <v>89.373599999999996</v>
      </c>
      <c r="BD376" t="s">
        <v>130</v>
      </c>
      <c r="BE376" t="s">
        <v>112</v>
      </c>
      <c r="BF376" t="s">
        <v>157</v>
      </c>
      <c r="BG376" t="s">
        <v>133</v>
      </c>
      <c r="BH376" t="s">
        <v>134</v>
      </c>
      <c r="BI376" t="s">
        <v>112</v>
      </c>
      <c r="BJ376" t="s">
        <v>112</v>
      </c>
      <c r="BK376" t="s">
        <v>112</v>
      </c>
      <c r="BL376" t="s">
        <v>169</v>
      </c>
      <c r="BM376" t="s">
        <v>159</v>
      </c>
      <c r="BN376" t="s">
        <v>722</v>
      </c>
      <c r="BO376" t="s">
        <v>161</v>
      </c>
      <c r="BP376">
        <v>1</v>
      </c>
      <c r="BQ376" t="s">
        <v>205</v>
      </c>
      <c r="BR376" s="45">
        <f>ISNUMBER(SEARCH($BR$1,Таблица1[[#This Row],[31_1 Описание и характеристика товара]]))*1</f>
        <v>1</v>
      </c>
      <c r="BT376" t="s">
        <v>150</v>
      </c>
      <c r="BU376">
        <v>33</v>
      </c>
      <c r="BV376">
        <v>0</v>
      </c>
      <c r="BW376">
        <v>0</v>
      </c>
      <c r="BY376">
        <v>0</v>
      </c>
      <c r="CA376" t="s">
        <v>106</v>
      </c>
      <c r="CB376" t="s">
        <v>142</v>
      </c>
      <c r="CC376" t="s">
        <v>112</v>
      </c>
      <c r="CD376" t="s">
        <v>112</v>
      </c>
      <c r="CE376" t="s">
        <v>121</v>
      </c>
      <c r="CF376">
        <v>15509.08</v>
      </c>
      <c r="CG376" t="s">
        <v>144</v>
      </c>
      <c r="CH376">
        <v>4000000</v>
      </c>
      <c r="CI376">
        <v>15271.48</v>
      </c>
      <c r="CJ376">
        <v>0</v>
      </c>
      <c r="CK376" t="s">
        <v>112</v>
      </c>
      <c r="CL376" t="s">
        <v>112</v>
      </c>
      <c r="CM376">
        <v>43020.12</v>
      </c>
      <c r="CN376">
        <v>3844863</v>
      </c>
      <c r="CO376">
        <v>0</v>
      </c>
      <c r="CP376">
        <v>1</v>
      </c>
      <c r="CQ376">
        <v>4233638.16</v>
      </c>
      <c r="CR376">
        <v>51847.94</v>
      </c>
      <c r="CS376" t="s">
        <v>145</v>
      </c>
      <c r="CT376">
        <v>51848.201747999992</v>
      </c>
      <c r="CU376">
        <v>3.3950999999999998</v>
      </c>
      <c r="CV376">
        <v>45</v>
      </c>
      <c r="CW376" t="s">
        <v>171</v>
      </c>
      <c r="CX376" t="s">
        <v>463</v>
      </c>
      <c r="CY376">
        <v>163</v>
      </c>
    </row>
    <row r="377" spans="1:103" x14ac:dyDescent="0.25">
      <c r="A377" t="s">
        <v>106</v>
      </c>
      <c r="B377" s="38">
        <v>45054</v>
      </c>
      <c r="C377" s="43">
        <f>IF(YEAR(Таблица1[[#This Row],[Дата]])=2023,MONTH(Таблица1[[#This Row],[Дата]]),0)</f>
        <v>5</v>
      </c>
      <c r="D377" t="s">
        <v>1081</v>
      </c>
      <c r="E377" t="s">
        <v>108</v>
      </c>
      <c r="F377" t="s">
        <v>1082</v>
      </c>
      <c r="G377" t="s">
        <v>110</v>
      </c>
      <c r="H377" t="s">
        <v>111</v>
      </c>
      <c r="I377" t="s">
        <v>112</v>
      </c>
      <c r="J377" t="s">
        <v>112</v>
      </c>
      <c r="K377" t="s">
        <v>112</v>
      </c>
      <c r="L377" t="s">
        <v>150</v>
      </c>
      <c r="M377" t="s">
        <v>1060</v>
      </c>
      <c r="N377" t="s">
        <v>112</v>
      </c>
      <c r="O377" t="s">
        <v>112</v>
      </c>
      <c r="P377">
        <v>1</v>
      </c>
      <c r="Q377">
        <v>0</v>
      </c>
      <c r="R377">
        <v>1</v>
      </c>
      <c r="S377">
        <v>33</v>
      </c>
      <c r="T377" t="s">
        <v>166</v>
      </c>
      <c r="U377" t="s">
        <v>152</v>
      </c>
      <c r="V377" t="s">
        <v>153</v>
      </c>
      <c r="W377" t="s">
        <v>154</v>
      </c>
      <c r="X377" t="s">
        <v>119</v>
      </c>
      <c r="Y377" t="s">
        <v>112</v>
      </c>
      <c r="Z377" t="s">
        <v>166</v>
      </c>
      <c r="AA377" t="s">
        <v>152</v>
      </c>
      <c r="AB377" t="s">
        <v>153</v>
      </c>
      <c r="AC377" t="s">
        <v>154</v>
      </c>
      <c r="AD377" t="s">
        <v>119</v>
      </c>
      <c r="AE377" t="s">
        <v>112</v>
      </c>
      <c r="AF377" t="s">
        <v>121</v>
      </c>
      <c r="AG377" t="s">
        <v>122</v>
      </c>
      <c r="AH377">
        <v>4089467.82</v>
      </c>
      <c r="AI377" t="s">
        <v>166</v>
      </c>
      <c r="AJ377" t="s">
        <v>152</v>
      </c>
      <c r="AK377" t="s">
        <v>153</v>
      </c>
      <c r="AL377" t="s">
        <v>154</v>
      </c>
      <c r="AM377" t="s">
        <v>119</v>
      </c>
      <c r="AN377" t="s">
        <v>112</v>
      </c>
      <c r="AO377" t="s">
        <v>121</v>
      </c>
      <c r="AP377" t="s">
        <v>122</v>
      </c>
      <c r="AQ377" t="s">
        <v>122</v>
      </c>
      <c r="AR377" t="s">
        <v>124</v>
      </c>
      <c r="AS377" t="s">
        <v>125</v>
      </c>
      <c r="AT377">
        <v>2</v>
      </c>
      <c r="AU377" t="s">
        <v>126</v>
      </c>
      <c r="AV377" t="s">
        <v>155</v>
      </c>
      <c r="AW377" t="s">
        <v>156</v>
      </c>
      <c r="AX377">
        <v>1</v>
      </c>
      <c r="AY377" t="s">
        <v>129</v>
      </c>
      <c r="AZ377">
        <v>41407</v>
      </c>
      <c r="BA377">
        <v>3700693</v>
      </c>
      <c r="BB377">
        <v>50082.33</v>
      </c>
      <c r="BC377">
        <v>89.373599999999996</v>
      </c>
      <c r="BD377" t="s">
        <v>130</v>
      </c>
      <c r="BE377" t="s">
        <v>112</v>
      </c>
      <c r="BF377" t="s">
        <v>157</v>
      </c>
      <c r="BG377" t="s">
        <v>133</v>
      </c>
      <c r="BH377" t="s">
        <v>134</v>
      </c>
      <c r="BI377" t="s">
        <v>112</v>
      </c>
      <c r="BJ377" t="s">
        <v>112</v>
      </c>
      <c r="BK377" t="s">
        <v>112</v>
      </c>
      <c r="BL377" t="s">
        <v>169</v>
      </c>
      <c r="BM377" t="s">
        <v>159</v>
      </c>
      <c r="BN377" t="s">
        <v>722</v>
      </c>
      <c r="BO377" t="s">
        <v>161</v>
      </c>
      <c r="BP377">
        <v>1</v>
      </c>
      <c r="BQ377" t="s">
        <v>466</v>
      </c>
      <c r="BR377" s="45">
        <f>ISNUMBER(SEARCH($BR$1,Таблица1[[#This Row],[31_1 Описание и характеристика товара]]))*1</f>
        <v>1</v>
      </c>
      <c r="BT377" t="s">
        <v>150</v>
      </c>
      <c r="BU377">
        <v>33</v>
      </c>
      <c r="BV377">
        <v>0</v>
      </c>
      <c r="BW377">
        <v>0</v>
      </c>
      <c r="BY377">
        <v>0</v>
      </c>
      <c r="CA377" t="s">
        <v>106</v>
      </c>
      <c r="CB377" t="s">
        <v>142</v>
      </c>
      <c r="CC377" t="s">
        <v>112</v>
      </c>
      <c r="CD377" t="s">
        <v>112</v>
      </c>
      <c r="CE377" t="s">
        <v>121</v>
      </c>
      <c r="CF377">
        <v>16125.42</v>
      </c>
      <c r="CG377" t="s">
        <v>144</v>
      </c>
      <c r="CH377">
        <v>4000000</v>
      </c>
      <c r="CI377">
        <v>15909.42</v>
      </c>
      <c r="CJ377">
        <v>0</v>
      </c>
      <c r="CK377" t="s">
        <v>112</v>
      </c>
      <c r="CL377" t="s">
        <v>112</v>
      </c>
      <c r="CM377">
        <v>41407</v>
      </c>
      <c r="CN377">
        <v>3700693</v>
      </c>
      <c r="CO377">
        <v>0</v>
      </c>
      <c r="CP377">
        <v>1</v>
      </c>
      <c r="CQ377">
        <v>4089467.82</v>
      </c>
      <c r="CR377">
        <v>50082.33</v>
      </c>
      <c r="CS377" t="s">
        <v>145</v>
      </c>
      <c r="CT377">
        <v>50082.854160000003</v>
      </c>
      <c r="CU377">
        <v>3.1480000000000001</v>
      </c>
      <c r="CV377">
        <v>45</v>
      </c>
      <c r="CW377" t="s">
        <v>171</v>
      </c>
      <c r="CX377" t="s">
        <v>369</v>
      </c>
      <c r="CY377">
        <v>221</v>
      </c>
    </row>
    <row r="378" spans="1:103" x14ac:dyDescent="0.25">
      <c r="A378" t="s">
        <v>106</v>
      </c>
      <c r="B378" s="38">
        <v>44970</v>
      </c>
      <c r="C378" s="43">
        <f>IF(YEAR(Таблица1[[#This Row],[Дата]])=2023,MONTH(Таблица1[[#This Row],[Дата]]),0)</f>
        <v>2</v>
      </c>
      <c r="D378" t="s">
        <v>1086</v>
      </c>
      <c r="E378" t="s">
        <v>108</v>
      </c>
      <c r="F378" t="s">
        <v>1087</v>
      </c>
      <c r="G378" t="s">
        <v>110</v>
      </c>
      <c r="H378" t="s">
        <v>111</v>
      </c>
      <c r="I378" t="s">
        <v>112</v>
      </c>
      <c r="J378" t="s">
        <v>112</v>
      </c>
      <c r="K378" t="s">
        <v>112</v>
      </c>
      <c r="L378" t="s">
        <v>150</v>
      </c>
      <c r="M378" t="s">
        <v>1060</v>
      </c>
      <c r="N378" t="s">
        <v>112</v>
      </c>
      <c r="O378" t="s">
        <v>112</v>
      </c>
      <c r="P378">
        <v>1</v>
      </c>
      <c r="Q378">
        <v>0</v>
      </c>
      <c r="R378">
        <v>1</v>
      </c>
      <c r="S378">
        <v>33</v>
      </c>
      <c r="T378" t="s">
        <v>166</v>
      </c>
      <c r="U378" t="s">
        <v>152</v>
      </c>
      <c r="V378" t="s">
        <v>153</v>
      </c>
      <c r="W378" t="s">
        <v>154</v>
      </c>
      <c r="X378" t="s">
        <v>119</v>
      </c>
      <c r="Y378" t="s">
        <v>112</v>
      </c>
      <c r="Z378" t="s">
        <v>166</v>
      </c>
      <c r="AA378" t="s">
        <v>152</v>
      </c>
      <c r="AB378" t="s">
        <v>153</v>
      </c>
      <c r="AC378" t="s">
        <v>154</v>
      </c>
      <c r="AD378" t="s">
        <v>119</v>
      </c>
      <c r="AE378" t="s">
        <v>112</v>
      </c>
      <c r="AF378" t="s">
        <v>121</v>
      </c>
      <c r="AG378" t="s">
        <v>122</v>
      </c>
      <c r="AH378">
        <v>3827833.75</v>
      </c>
      <c r="AI378" t="s">
        <v>166</v>
      </c>
      <c r="AJ378" t="s">
        <v>152</v>
      </c>
      <c r="AK378" t="s">
        <v>153</v>
      </c>
      <c r="AL378" t="s">
        <v>154</v>
      </c>
      <c r="AM378" t="s">
        <v>119</v>
      </c>
      <c r="AN378" t="s">
        <v>112</v>
      </c>
      <c r="AO378" t="s">
        <v>121</v>
      </c>
      <c r="AP378" t="s">
        <v>122</v>
      </c>
      <c r="AQ378" t="s">
        <v>122</v>
      </c>
      <c r="AR378" t="s">
        <v>124</v>
      </c>
      <c r="AS378" t="s">
        <v>125</v>
      </c>
      <c r="AT378">
        <v>2</v>
      </c>
      <c r="AU378" t="s">
        <v>126</v>
      </c>
      <c r="AV378" t="s">
        <v>155</v>
      </c>
      <c r="AW378" t="s">
        <v>156</v>
      </c>
      <c r="AX378">
        <v>1</v>
      </c>
      <c r="AY378" t="s">
        <v>129</v>
      </c>
      <c r="AZ378">
        <v>38479.58</v>
      </c>
      <c r="BA378">
        <v>3439059</v>
      </c>
      <c r="BB378">
        <v>46878.19</v>
      </c>
      <c r="BC378">
        <v>89.373599999999996</v>
      </c>
      <c r="BD378" t="s">
        <v>130</v>
      </c>
      <c r="BE378" t="s">
        <v>112</v>
      </c>
      <c r="BF378" t="s">
        <v>157</v>
      </c>
      <c r="BG378" t="s">
        <v>133</v>
      </c>
      <c r="BH378" t="s">
        <v>134</v>
      </c>
      <c r="BI378" t="s">
        <v>112</v>
      </c>
      <c r="BJ378" t="s">
        <v>112</v>
      </c>
      <c r="BK378" t="s">
        <v>112</v>
      </c>
      <c r="BL378" t="s">
        <v>169</v>
      </c>
      <c r="BM378" t="s">
        <v>159</v>
      </c>
      <c r="BN378" t="s">
        <v>722</v>
      </c>
      <c r="BO378" t="s">
        <v>161</v>
      </c>
      <c r="BP378">
        <v>1</v>
      </c>
      <c r="BQ378" t="s">
        <v>1088</v>
      </c>
      <c r="BR378" s="45">
        <f>ISNUMBER(SEARCH($BR$1,Таблица1[[#This Row],[31_1 Описание и характеристика товара]]))*1</f>
        <v>1</v>
      </c>
      <c r="BT378" t="s">
        <v>150</v>
      </c>
      <c r="BU378">
        <v>33</v>
      </c>
      <c r="BV378">
        <v>0</v>
      </c>
      <c r="BW378">
        <v>0</v>
      </c>
      <c r="BY378">
        <v>0</v>
      </c>
      <c r="CA378" t="s">
        <v>106</v>
      </c>
      <c r="CB378" t="s">
        <v>142</v>
      </c>
      <c r="CC378" t="s">
        <v>112</v>
      </c>
      <c r="CD378" t="s">
        <v>112</v>
      </c>
      <c r="CE378" t="s">
        <v>121</v>
      </c>
      <c r="CF378">
        <v>15757.73</v>
      </c>
      <c r="CG378" t="s">
        <v>144</v>
      </c>
      <c r="CH378">
        <v>4000000</v>
      </c>
      <c r="CI378">
        <v>15455.93</v>
      </c>
      <c r="CJ378">
        <v>0</v>
      </c>
      <c r="CK378" t="s">
        <v>112</v>
      </c>
      <c r="CL378" t="s">
        <v>112</v>
      </c>
      <c r="CM378">
        <v>38479.58</v>
      </c>
      <c r="CN378">
        <v>3439059</v>
      </c>
      <c r="CO378">
        <v>0</v>
      </c>
      <c r="CP378">
        <v>1</v>
      </c>
      <c r="CQ378">
        <v>3827833.75</v>
      </c>
      <c r="CR378">
        <v>46878.19</v>
      </c>
      <c r="CS378" t="s">
        <v>145</v>
      </c>
      <c r="CT378">
        <v>46877.83569</v>
      </c>
      <c r="CU378">
        <v>3.0329999999999999</v>
      </c>
      <c r="CV378">
        <v>45</v>
      </c>
      <c r="CW378" t="s">
        <v>171</v>
      </c>
      <c r="CX378" t="s">
        <v>369</v>
      </c>
      <c r="CY378">
        <v>221</v>
      </c>
    </row>
    <row r="379" spans="1:103" x14ac:dyDescent="0.25">
      <c r="A379" t="s">
        <v>106</v>
      </c>
      <c r="B379" s="38">
        <v>45140</v>
      </c>
      <c r="C379" s="43">
        <f>IF(YEAR(Таблица1[[#This Row],[Дата]])=2023,MONTH(Таблица1[[#This Row],[Дата]]),0)</f>
        <v>8</v>
      </c>
      <c r="D379" t="s">
        <v>964</v>
      </c>
      <c r="E379" t="s">
        <v>108</v>
      </c>
      <c r="F379" t="s">
        <v>965</v>
      </c>
      <c r="G379" t="s">
        <v>110</v>
      </c>
      <c r="H379" t="s">
        <v>111</v>
      </c>
      <c r="I379" t="s">
        <v>112</v>
      </c>
      <c r="J379" t="s">
        <v>112</v>
      </c>
      <c r="K379" t="s">
        <v>112</v>
      </c>
      <c r="L379" t="s">
        <v>150</v>
      </c>
      <c r="M379" t="s">
        <v>151</v>
      </c>
      <c r="N379" t="s">
        <v>112</v>
      </c>
      <c r="O379" t="s">
        <v>112</v>
      </c>
      <c r="P379">
        <v>1</v>
      </c>
      <c r="Q379">
        <v>0</v>
      </c>
      <c r="R379">
        <v>1</v>
      </c>
      <c r="S379">
        <v>33</v>
      </c>
      <c r="T379" t="s">
        <v>166</v>
      </c>
      <c r="U379" t="s">
        <v>152</v>
      </c>
      <c r="V379" t="s">
        <v>153</v>
      </c>
      <c r="W379" t="s">
        <v>154</v>
      </c>
      <c r="X379" t="s">
        <v>119</v>
      </c>
      <c r="Y379" t="s">
        <v>112</v>
      </c>
      <c r="Z379" t="s">
        <v>166</v>
      </c>
      <c r="AA379" t="s">
        <v>152</v>
      </c>
      <c r="AB379" t="s">
        <v>153</v>
      </c>
      <c r="AC379" t="s">
        <v>154</v>
      </c>
      <c r="AD379" t="s">
        <v>119</v>
      </c>
      <c r="AE379" t="s">
        <v>112</v>
      </c>
      <c r="AF379" t="s">
        <v>121</v>
      </c>
      <c r="AG379" t="s">
        <v>122</v>
      </c>
      <c r="AH379">
        <v>3607037.6</v>
      </c>
      <c r="AI379" t="s">
        <v>166</v>
      </c>
      <c r="AJ379" t="s">
        <v>152</v>
      </c>
      <c r="AK379" t="s">
        <v>153</v>
      </c>
      <c r="AL379" t="s">
        <v>154</v>
      </c>
      <c r="AM379" t="s">
        <v>119</v>
      </c>
      <c r="AN379" t="s">
        <v>112</v>
      </c>
      <c r="AO379" t="s">
        <v>121</v>
      </c>
      <c r="AP379" t="s">
        <v>122</v>
      </c>
      <c r="AQ379" t="s">
        <v>122</v>
      </c>
      <c r="AR379" t="s">
        <v>124</v>
      </c>
      <c r="AS379" t="s">
        <v>125</v>
      </c>
      <c r="AT379">
        <v>2</v>
      </c>
      <c r="AU379" t="s">
        <v>126</v>
      </c>
      <c r="AV379" t="s">
        <v>155</v>
      </c>
      <c r="AW379" t="s">
        <v>156</v>
      </c>
      <c r="AX379">
        <v>1</v>
      </c>
      <c r="AY379" t="s">
        <v>129</v>
      </c>
      <c r="AZ379">
        <v>39427.96</v>
      </c>
      <c r="BA379">
        <v>3211940</v>
      </c>
      <c r="BB379">
        <v>47086.559999999998</v>
      </c>
      <c r="BC379">
        <v>81.463499999999996</v>
      </c>
      <c r="BD379" t="s">
        <v>130</v>
      </c>
      <c r="BE379" t="s">
        <v>112</v>
      </c>
      <c r="BF379" t="s">
        <v>157</v>
      </c>
      <c r="BG379" t="s">
        <v>133</v>
      </c>
      <c r="BH379" t="s">
        <v>167</v>
      </c>
      <c r="BI379" t="s">
        <v>168</v>
      </c>
      <c r="BJ379" t="s">
        <v>112</v>
      </c>
      <c r="BK379" t="s">
        <v>112</v>
      </c>
      <c r="BL379" t="s">
        <v>169</v>
      </c>
      <c r="BM379" t="s">
        <v>159</v>
      </c>
      <c r="BN379" t="s">
        <v>160</v>
      </c>
      <c r="BO379" t="s">
        <v>161</v>
      </c>
      <c r="BP379">
        <v>1</v>
      </c>
      <c r="BQ379" t="s">
        <v>966</v>
      </c>
      <c r="BR379" s="45">
        <f>ISNUMBER(SEARCH($BR$1,Таблица1[[#This Row],[31_1 Описание и характеристика товара]]))*1</f>
        <v>1</v>
      </c>
      <c r="BT379" t="s">
        <v>150</v>
      </c>
      <c r="BU379">
        <v>33</v>
      </c>
      <c r="BV379">
        <v>0</v>
      </c>
      <c r="BW379">
        <v>0</v>
      </c>
      <c r="BY379">
        <v>0</v>
      </c>
      <c r="CA379" t="s">
        <v>106</v>
      </c>
      <c r="CB379" t="s">
        <v>142</v>
      </c>
      <c r="CC379" t="s">
        <v>112</v>
      </c>
      <c r="CD379" t="s">
        <v>112</v>
      </c>
      <c r="CE379" t="s">
        <v>121</v>
      </c>
      <c r="CF379">
        <v>17110.669999999998</v>
      </c>
      <c r="CG379" t="s">
        <v>144</v>
      </c>
      <c r="CH379">
        <v>4000000</v>
      </c>
      <c r="CI379">
        <v>17071.07</v>
      </c>
      <c r="CJ379">
        <v>0</v>
      </c>
      <c r="CK379" t="s">
        <v>112</v>
      </c>
      <c r="CL379" t="s">
        <v>112</v>
      </c>
      <c r="CM379">
        <v>39427.96</v>
      </c>
      <c r="CN379">
        <v>3211940</v>
      </c>
      <c r="CO379">
        <v>0</v>
      </c>
      <c r="CP379">
        <v>1</v>
      </c>
      <c r="CQ379">
        <v>3607037.6</v>
      </c>
      <c r="CR379">
        <v>47086.559999999998</v>
      </c>
      <c r="CS379" t="s">
        <v>145</v>
      </c>
      <c r="CT379">
        <v>47087.132381000003</v>
      </c>
      <c r="CU379">
        <v>2.7583000000000002</v>
      </c>
      <c r="CV379">
        <v>45</v>
      </c>
      <c r="CW379" t="s">
        <v>171</v>
      </c>
      <c r="CX379" t="s">
        <v>463</v>
      </c>
      <c r="CY379">
        <v>166</v>
      </c>
    </row>
    <row r="380" spans="1:103" x14ac:dyDescent="0.25">
      <c r="A380" t="s">
        <v>106</v>
      </c>
      <c r="B380" s="38">
        <v>45053</v>
      </c>
      <c r="C380" s="43">
        <f>IF(YEAR(Таблица1[[#This Row],[Дата]])=2023,MONTH(Таблица1[[#This Row],[Дата]]),0)</f>
        <v>5</v>
      </c>
      <c r="D380" t="s">
        <v>956</v>
      </c>
      <c r="E380" t="s">
        <v>108</v>
      </c>
      <c r="F380" t="s">
        <v>957</v>
      </c>
      <c r="G380" t="s">
        <v>110</v>
      </c>
      <c r="H380" t="s">
        <v>111</v>
      </c>
      <c r="I380" t="s">
        <v>112</v>
      </c>
      <c r="J380" t="s">
        <v>112</v>
      </c>
      <c r="K380" t="s">
        <v>112</v>
      </c>
      <c r="L380" t="s">
        <v>150</v>
      </c>
      <c r="M380" t="s">
        <v>151</v>
      </c>
      <c r="N380" t="s">
        <v>112</v>
      </c>
      <c r="O380" t="s">
        <v>112</v>
      </c>
      <c r="P380">
        <v>1</v>
      </c>
      <c r="Q380">
        <v>0</v>
      </c>
      <c r="R380">
        <v>1</v>
      </c>
      <c r="S380">
        <v>33</v>
      </c>
      <c r="T380" t="s">
        <v>166</v>
      </c>
      <c r="U380" t="s">
        <v>152</v>
      </c>
      <c r="V380" t="s">
        <v>153</v>
      </c>
      <c r="W380" t="s">
        <v>154</v>
      </c>
      <c r="X380" t="s">
        <v>119</v>
      </c>
      <c r="Y380" t="s">
        <v>112</v>
      </c>
      <c r="Z380" t="s">
        <v>166</v>
      </c>
      <c r="AA380" t="s">
        <v>152</v>
      </c>
      <c r="AB380" t="s">
        <v>153</v>
      </c>
      <c r="AC380" t="s">
        <v>154</v>
      </c>
      <c r="AD380" t="s">
        <v>119</v>
      </c>
      <c r="AE380" t="s">
        <v>112</v>
      </c>
      <c r="AF380" t="s">
        <v>121</v>
      </c>
      <c r="AG380" t="s">
        <v>122</v>
      </c>
      <c r="AH380">
        <v>3465622.67</v>
      </c>
      <c r="AI380" t="s">
        <v>166</v>
      </c>
      <c r="AJ380" t="s">
        <v>152</v>
      </c>
      <c r="AK380" t="s">
        <v>153</v>
      </c>
      <c r="AL380" t="s">
        <v>154</v>
      </c>
      <c r="AM380" t="s">
        <v>119</v>
      </c>
      <c r="AN380" t="s">
        <v>112</v>
      </c>
      <c r="AO380" t="s">
        <v>121</v>
      </c>
      <c r="AP380" t="s">
        <v>122</v>
      </c>
      <c r="AQ380" t="s">
        <v>122</v>
      </c>
      <c r="AR380" t="s">
        <v>124</v>
      </c>
      <c r="AS380" t="s">
        <v>125</v>
      </c>
      <c r="AT380">
        <v>2</v>
      </c>
      <c r="AU380" t="s">
        <v>126</v>
      </c>
      <c r="AV380" t="s">
        <v>155</v>
      </c>
      <c r="AW380" t="s">
        <v>156</v>
      </c>
      <c r="AX380">
        <v>1</v>
      </c>
      <c r="AY380" t="s">
        <v>129</v>
      </c>
      <c r="AZ380">
        <v>38192.03</v>
      </c>
      <c r="BA380">
        <v>3111256</v>
      </c>
      <c r="BB380">
        <v>45240.52</v>
      </c>
      <c r="BC380">
        <v>81.463499999999996</v>
      </c>
      <c r="BD380" t="s">
        <v>130</v>
      </c>
      <c r="BE380" t="s">
        <v>112</v>
      </c>
      <c r="BF380" t="s">
        <v>157</v>
      </c>
      <c r="BG380" t="s">
        <v>133</v>
      </c>
      <c r="BH380" t="s">
        <v>167</v>
      </c>
      <c r="BI380" t="s">
        <v>168</v>
      </c>
      <c r="BJ380" t="s">
        <v>112</v>
      </c>
      <c r="BK380" t="s">
        <v>112</v>
      </c>
      <c r="BL380" t="s">
        <v>169</v>
      </c>
      <c r="BM380" t="s">
        <v>159</v>
      </c>
      <c r="BN380" t="s">
        <v>160</v>
      </c>
      <c r="BO380" t="s">
        <v>161</v>
      </c>
      <c r="BP380">
        <v>1</v>
      </c>
      <c r="BQ380" t="s">
        <v>213</v>
      </c>
      <c r="BR380" s="45">
        <f>ISNUMBER(SEARCH($BR$1,Таблица1[[#This Row],[31_1 Описание и характеристика товара]]))*1</f>
        <v>1</v>
      </c>
      <c r="BT380" t="s">
        <v>150</v>
      </c>
      <c r="BU380">
        <v>33</v>
      </c>
      <c r="BV380">
        <v>0</v>
      </c>
      <c r="BW380">
        <v>0</v>
      </c>
      <c r="BY380">
        <v>0</v>
      </c>
      <c r="CA380" t="s">
        <v>106</v>
      </c>
      <c r="CB380" t="s">
        <v>142</v>
      </c>
      <c r="CC380" t="s">
        <v>112</v>
      </c>
      <c r="CD380" t="s">
        <v>112</v>
      </c>
      <c r="CE380" t="s">
        <v>121</v>
      </c>
      <c r="CF380">
        <v>17224.3</v>
      </c>
      <c r="CG380" t="s">
        <v>144</v>
      </c>
      <c r="CH380">
        <v>4000000</v>
      </c>
      <c r="CI380">
        <v>17205.099999999999</v>
      </c>
      <c r="CJ380">
        <v>0</v>
      </c>
      <c r="CK380" t="s">
        <v>112</v>
      </c>
      <c r="CL380" t="s">
        <v>112</v>
      </c>
      <c r="CM380">
        <v>38192.03</v>
      </c>
      <c r="CN380">
        <v>3111256</v>
      </c>
      <c r="CO380">
        <v>0</v>
      </c>
      <c r="CP380">
        <v>1</v>
      </c>
      <c r="CQ380">
        <v>3465622.67</v>
      </c>
      <c r="CR380">
        <v>45240.52</v>
      </c>
      <c r="CS380" t="s">
        <v>145</v>
      </c>
      <c r="CT380">
        <v>45240.810449999997</v>
      </c>
      <c r="CU380">
        <v>2.6295000000000002</v>
      </c>
      <c r="CV380">
        <v>45</v>
      </c>
      <c r="CW380" t="s">
        <v>171</v>
      </c>
      <c r="CX380" t="s">
        <v>172</v>
      </c>
      <c r="CY380">
        <v>236</v>
      </c>
    </row>
    <row r="381" spans="1:103" x14ac:dyDescent="0.25">
      <c r="A381" t="s">
        <v>106</v>
      </c>
      <c r="B381" s="38">
        <v>45034</v>
      </c>
      <c r="C381" s="43">
        <f>IF(YEAR(Таблица1[[#This Row],[Дата]])=2023,MONTH(Таблица1[[#This Row],[Дата]]),0)</f>
        <v>4</v>
      </c>
      <c r="D381" t="s">
        <v>952</v>
      </c>
      <c r="E381" t="s">
        <v>108</v>
      </c>
      <c r="F381" t="s">
        <v>953</v>
      </c>
      <c r="G381" t="s">
        <v>110</v>
      </c>
      <c r="H381" t="s">
        <v>111</v>
      </c>
      <c r="I381" t="s">
        <v>112</v>
      </c>
      <c r="J381" t="s">
        <v>112</v>
      </c>
      <c r="K381" t="s">
        <v>112</v>
      </c>
      <c r="L381" t="s">
        <v>175</v>
      </c>
      <c r="M381" t="s">
        <v>954</v>
      </c>
      <c r="N381" t="s">
        <v>112</v>
      </c>
      <c r="O381" t="s">
        <v>112</v>
      </c>
      <c r="P381">
        <v>1</v>
      </c>
      <c r="Q381">
        <v>0</v>
      </c>
      <c r="R381">
        <v>1</v>
      </c>
      <c r="S381">
        <v>33</v>
      </c>
      <c r="T381" t="s">
        <v>166</v>
      </c>
      <c r="U381" t="s">
        <v>152</v>
      </c>
      <c r="V381" t="s">
        <v>153</v>
      </c>
      <c r="W381" t="s">
        <v>154</v>
      </c>
      <c r="X381" t="s">
        <v>119</v>
      </c>
      <c r="Y381" t="s">
        <v>112</v>
      </c>
      <c r="Z381" t="s">
        <v>166</v>
      </c>
      <c r="AA381" t="s">
        <v>152</v>
      </c>
      <c r="AB381" t="s">
        <v>153</v>
      </c>
      <c r="AC381" t="s">
        <v>154</v>
      </c>
      <c r="AD381" t="s">
        <v>119</v>
      </c>
      <c r="AE381" t="s">
        <v>112</v>
      </c>
      <c r="AF381" t="s">
        <v>121</v>
      </c>
      <c r="AG381" t="s">
        <v>122</v>
      </c>
      <c r="AH381">
        <v>3664146.77</v>
      </c>
      <c r="AI381" t="s">
        <v>166</v>
      </c>
      <c r="AJ381" t="s">
        <v>152</v>
      </c>
      <c r="AK381" t="s">
        <v>153</v>
      </c>
      <c r="AL381" t="s">
        <v>154</v>
      </c>
      <c r="AM381" t="s">
        <v>119</v>
      </c>
      <c r="AN381" t="s">
        <v>112</v>
      </c>
      <c r="AO381" t="s">
        <v>121</v>
      </c>
      <c r="AP381" t="s">
        <v>122</v>
      </c>
      <c r="AQ381" t="s">
        <v>122</v>
      </c>
      <c r="AR381" t="s">
        <v>124</v>
      </c>
      <c r="AS381" t="s">
        <v>125</v>
      </c>
      <c r="AT381">
        <v>2</v>
      </c>
      <c r="AU381" t="s">
        <v>126</v>
      </c>
      <c r="AV381" t="s">
        <v>155</v>
      </c>
      <c r="AW381" t="s">
        <v>156</v>
      </c>
      <c r="AX381">
        <v>1</v>
      </c>
      <c r="AY381" t="s">
        <v>129</v>
      </c>
      <c r="AZ381">
        <v>40629</v>
      </c>
      <c r="BA381">
        <v>3309781</v>
      </c>
      <c r="BB381">
        <v>47832.07</v>
      </c>
      <c r="BC381">
        <v>81.463499999999996</v>
      </c>
      <c r="BD381" t="s">
        <v>130</v>
      </c>
      <c r="BE381" t="s">
        <v>112</v>
      </c>
      <c r="BF381" t="s">
        <v>157</v>
      </c>
      <c r="BG381" t="s">
        <v>133</v>
      </c>
      <c r="BH381" t="s">
        <v>167</v>
      </c>
      <c r="BI381" t="s">
        <v>168</v>
      </c>
      <c r="BJ381" t="s">
        <v>112</v>
      </c>
      <c r="BK381" t="s">
        <v>112</v>
      </c>
      <c r="BL381" t="s">
        <v>169</v>
      </c>
      <c r="BM381" t="s">
        <v>159</v>
      </c>
      <c r="BN381" t="s">
        <v>160</v>
      </c>
      <c r="BO381" t="s">
        <v>161</v>
      </c>
      <c r="BP381">
        <v>1</v>
      </c>
      <c r="BQ381" t="s">
        <v>955</v>
      </c>
      <c r="BR381" s="45">
        <f>ISNUMBER(SEARCH($BR$1,Таблица1[[#This Row],[31_1 Описание и характеристика товара]]))*1</f>
        <v>1</v>
      </c>
      <c r="BT381" t="s">
        <v>150</v>
      </c>
      <c r="BU381">
        <v>33</v>
      </c>
      <c r="BV381">
        <v>0</v>
      </c>
      <c r="BW381">
        <v>0</v>
      </c>
      <c r="BY381">
        <v>0</v>
      </c>
      <c r="CA381" t="s">
        <v>106</v>
      </c>
      <c r="CB381" t="s">
        <v>142</v>
      </c>
      <c r="CC381" t="s">
        <v>112</v>
      </c>
      <c r="CD381" t="s">
        <v>112</v>
      </c>
      <c r="CE381" t="s">
        <v>121</v>
      </c>
      <c r="CF381">
        <v>16885.439999999999</v>
      </c>
      <c r="CG381" t="s">
        <v>144</v>
      </c>
      <c r="CH381">
        <v>4000000</v>
      </c>
      <c r="CI381">
        <v>16885.439999999999</v>
      </c>
      <c r="CJ381">
        <v>0</v>
      </c>
      <c r="CK381" t="s">
        <v>112</v>
      </c>
      <c r="CL381" t="s">
        <v>112</v>
      </c>
      <c r="CM381">
        <v>40629</v>
      </c>
      <c r="CN381">
        <v>3309781</v>
      </c>
      <c r="CO381">
        <v>0</v>
      </c>
      <c r="CP381">
        <v>1</v>
      </c>
      <c r="CQ381">
        <v>3664146.77</v>
      </c>
      <c r="CR381">
        <v>47832.07</v>
      </c>
      <c r="CS381" t="s">
        <v>145</v>
      </c>
      <c r="CT381">
        <v>47831.385887999997</v>
      </c>
      <c r="CU381">
        <v>2.8327</v>
      </c>
      <c r="CV381">
        <v>45</v>
      </c>
      <c r="CW381" t="s">
        <v>171</v>
      </c>
      <c r="CX381" t="s">
        <v>372</v>
      </c>
      <c r="CY381">
        <v>21</v>
      </c>
    </row>
    <row r="382" spans="1:103" x14ac:dyDescent="0.25">
      <c r="A382" t="s">
        <v>106</v>
      </c>
      <c r="B382" s="38">
        <v>45077</v>
      </c>
      <c r="C382" s="43">
        <f>IF(YEAR(Таблица1[[#This Row],[Дата]])=2023,MONTH(Таблица1[[#This Row],[Дата]]),0)</f>
        <v>5</v>
      </c>
      <c r="D382" t="s">
        <v>961</v>
      </c>
      <c r="E382" t="s">
        <v>108</v>
      </c>
      <c r="F382" t="s">
        <v>962</v>
      </c>
      <c r="G382" t="s">
        <v>110</v>
      </c>
      <c r="H382" t="s">
        <v>111</v>
      </c>
      <c r="I382" t="s">
        <v>112</v>
      </c>
      <c r="J382" t="s">
        <v>112</v>
      </c>
      <c r="K382" t="s">
        <v>112</v>
      </c>
      <c r="L382" t="s">
        <v>150</v>
      </c>
      <c r="M382" t="s">
        <v>151</v>
      </c>
      <c r="N382" t="s">
        <v>112</v>
      </c>
      <c r="O382" t="s">
        <v>112</v>
      </c>
      <c r="P382">
        <v>1</v>
      </c>
      <c r="Q382">
        <v>0</v>
      </c>
      <c r="R382">
        <v>1</v>
      </c>
      <c r="S382">
        <v>33</v>
      </c>
      <c r="T382" t="s">
        <v>166</v>
      </c>
      <c r="U382" t="s">
        <v>152</v>
      </c>
      <c r="V382" t="s">
        <v>153</v>
      </c>
      <c r="W382" t="s">
        <v>154</v>
      </c>
      <c r="X382" t="s">
        <v>119</v>
      </c>
      <c r="Y382" t="s">
        <v>112</v>
      </c>
      <c r="Z382" t="s">
        <v>166</v>
      </c>
      <c r="AA382" t="s">
        <v>152</v>
      </c>
      <c r="AB382" t="s">
        <v>153</v>
      </c>
      <c r="AC382" t="s">
        <v>154</v>
      </c>
      <c r="AD382" t="s">
        <v>119</v>
      </c>
      <c r="AE382" t="s">
        <v>112</v>
      </c>
      <c r="AF382" t="s">
        <v>121</v>
      </c>
      <c r="AG382" t="s">
        <v>122</v>
      </c>
      <c r="AH382">
        <v>3676454.28</v>
      </c>
      <c r="AI382" t="s">
        <v>166</v>
      </c>
      <c r="AJ382" t="s">
        <v>152</v>
      </c>
      <c r="AK382" t="s">
        <v>153</v>
      </c>
      <c r="AL382" t="s">
        <v>154</v>
      </c>
      <c r="AM382" t="s">
        <v>119</v>
      </c>
      <c r="AN382" t="s">
        <v>112</v>
      </c>
      <c r="AO382" t="s">
        <v>121</v>
      </c>
      <c r="AP382" t="s">
        <v>122</v>
      </c>
      <c r="AQ382" t="s">
        <v>122</v>
      </c>
      <c r="AR382" t="s">
        <v>124</v>
      </c>
      <c r="AS382" t="s">
        <v>125</v>
      </c>
      <c r="AT382">
        <v>2</v>
      </c>
      <c r="AU382" t="s">
        <v>126</v>
      </c>
      <c r="AV382" t="s">
        <v>155</v>
      </c>
      <c r="AW382" t="s">
        <v>156</v>
      </c>
      <c r="AX382">
        <v>1</v>
      </c>
      <c r="AY382" t="s">
        <v>129</v>
      </c>
      <c r="AZ382">
        <v>40780.080000000002</v>
      </c>
      <c r="BA382">
        <v>3322088</v>
      </c>
      <c r="BB382">
        <v>47992.73</v>
      </c>
      <c r="BC382">
        <v>81.463499999999996</v>
      </c>
      <c r="BD382" t="s">
        <v>130</v>
      </c>
      <c r="BE382" t="s">
        <v>112</v>
      </c>
      <c r="BF382" t="s">
        <v>157</v>
      </c>
      <c r="BG382" t="s">
        <v>133</v>
      </c>
      <c r="BH382" t="s">
        <v>167</v>
      </c>
      <c r="BI382" t="s">
        <v>168</v>
      </c>
      <c r="BJ382" t="s">
        <v>112</v>
      </c>
      <c r="BK382" t="s">
        <v>112</v>
      </c>
      <c r="BL382" t="s">
        <v>169</v>
      </c>
      <c r="BM382" t="s">
        <v>159</v>
      </c>
      <c r="BN382" t="s">
        <v>160</v>
      </c>
      <c r="BO382" t="s">
        <v>161</v>
      </c>
      <c r="BP382">
        <v>1</v>
      </c>
      <c r="BQ382" t="s">
        <v>963</v>
      </c>
      <c r="BR382" s="45">
        <f>ISNUMBER(SEARCH($BR$1,Таблица1[[#This Row],[31_1 Описание и характеристика товара]]))*1</f>
        <v>1</v>
      </c>
      <c r="BT382" t="s">
        <v>150</v>
      </c>
      <c r="BU382">
        <v>33</v>
      </c>
      <c r="BV382">
        <v>0</v>
      </c>
      <c r="BW382">
        <v>0</v>
      </c>
      <c r="BY382">
        <v>0</v>
      </c>
      <c r="CA382" t="s">
        <v>106</v>
      </c>
      <c r="CB382" t="s">
        <v>142</v>
      </c>
      <c r="CC382" t="s">
        <v>112</v>
      </c>
      <c r="CD382" t="s">
        <v>112</v>
      </c>
      <c r="CE382" t="s">
        <v>121</v>
      </c>
      <c r="CF382">
        <v>16007.48</v>
      </c>
      <c r="CG382" t="s">
        <v>144</v>
      </c>
      <c r="CH382">
        <v>4000000</v>
      </c>
      <c r="CI382">
        <v>15863.48</v>
      </c>
      <c r="CJ382">
        <v>0</v>
      </c>
      <c r="CK382" t="s">
        <v>112</v>
      </c>
      <c r="CL382" t="s">
        <v>112</v>
      </c>
      <c r="CM382">
        <v>40780.080000000002</v>
      </c>
      <c r="CN382">
        <v>3322088</v>
      </c>
      <c r="CO382">
        <v>0</v>
      </c>
      <c r="CP382">
        <v>1</v>
      </c>
      <c r="CQ382">
        <v>3676454.28</v>
      </c>
      <c r="CR382">
        <v>47992.73</v>
      </c>
      <c r="CS382" t="s">
        <v>145</v>
      </c>
      <c r="CT382">
        <v>47993.372391999997</v>
      </c>
      <c r="CU382">
        <v>3.0253999999999999</v>
      </c>
      <c r="CV382">
        <v>45</v>
      </c>
      <c r="CW382" t="s">
        <v>171</v>
      </c>
      <c r="CX382" t="s">
        <v>369</v>
      </c>
      <c r="CY382">
        <v>313</v>
      </c>
    </row>
    <row r="383" spans="1:103" x14ac:dyDescent="0.25">
      <c r="A383" t="s">
        <v>106</v>
      </c>
      <c r="B383" s="38">
        <v>45194</v>
      </c>
      <c r="C383" s="43">
        <f>IF(YEAR(Таблица1[[#This Row],[Дата]])=2023,MONTH(Таблица1[[#This Row],[Дата]]),0)</f>
        <v>9</v>
      </c>
      <c r="D383" t="s">
        <v>628</v>
      </c>
      <c r="E383" t="s">
        <v>108</v>
      </c>
      <c r="F383" t="s">
        <v>629</v>
      </c>
      <c r="G383" t="s">
        <v>110</v>
      </c>
      <c r="H383" t="s">
        <v>111</v>
      </c>
      <c r="I383" t="s">
        <v>112</v>
      </c>
      <c r="J383" t="s">
        <v>112</v>
      </c>
      <c r="K383" t="s">
        <v>112</v>
      </c>
      <c r="L383" t="s">
        <v>150</v>
      </c>
      <c r="M383" t="s">
        <v>151</v>
      </c>
      <c r="N383" t="s">
        <v>112</v>
      </c>
      <c r="O383" t="s">
        <v>112</v>
      </c>
      <c r="P383">
        <v>1</v>
      </c>
      <c r="Q383">
        <v>0</v>
      </c>
      <c r="R383">
        <v>1</v>
      </c>
      <c r="S383">
        <v>33</v>
      </c>
      <c r="T383" t="s">
        <v>166</v>
      </c>
      <c r="U383" t="s">
        <v>152</v>
      </c>
      <c r="V383" t="s">
        <v>153</v>
      </c>
      <c r="W383" t="s">
        <v>154</v>
      </c>
      <c r="X383" t="s">
        <v>119</v>
      </c>
      <c r="Y383" t="s">
        <v>112</v>
      </c>
      <c r="Z383" t="s">
        <v>166</v>
      </c>
      <c r="AA383" t="s">
        <v>152</v>
      </c>
      <c r="AB383" t="s">
        <v>153</v>
      </c>
      <c r="AC383" t="s">
        <v>154</v>
      </c>
      <c r="AD383" t="s">
        <v>119</v>
      </c>
      <c r="AE383" t="s">
        <v>112</v>
      </c>
      <c r="AF383" t="s">
        <v>121</v>
      </c>
      <c r="AG383" t="s">
        <v>122</v>
      </c>
      <c r="AH383">
        <v>3788167.74</v>
      </c>
      <c r="AI383" t="s">
        <v>166</v>
      </c>
      <c r="AJ383" t="s">
        <v>152</v>
      </c>
      <c r="AK383" t="s">
        <v>153</v>
      </c>
      <c r="AL383" t="s">
        <v>154</v>
      </c>
      <c r="AM383" t="s">
        <v>119</v>
      </c>
      <c r="AN383" t="s">
        <v>112</v>
      </c>
      <c r="AO383" t="s">
        <v>121</v>
      </c>
      <c r="AP383" t="s">
        <v>122</v>
      </c>
      <c r="AQ383" t="s">
        <v>122</v>
      </c>
      <c r="AR383" t="s">
        <v>124</v>
      </c>
      <c r="AS383" t="s">
        <v>125</v>
      </c>
      <c r="AT383">
        <v>2</v>
      </c>
      <c r="AU383" t="s">
        <v>126</v>
      </c>
      <c r="AV383" t="s">
        <v>155</v>
      </c>
      <c r="AW383" t="s">
        <v>156</v>
      </c>
      <c r="AX383">
        <v>1</v>
      </c>
      <c r="AY383" t="s">
        <v>129</v>
      </c>
      <c r="AZ383">
        <v>43233.83</v>
      </c>
      <c r="BA383">
        <v>3441862</v>
      </c>
      <c r="BB383">
        <v>50671.86</v>
      </c>
      <c r="BC383">
        <v>79.610399999999998</v>
      </c>
      <c r="BD383" t="s">
        <v>130</v>
      </c>
      <c r="BE383" t="s">
        <v>112</v>
      </c>
      <c r="BF383" t="s">
        <v>157</v>
      </c>
      <c r="BG383" t="s">
        <v>133</v>
      </c>
      <c r="BH383" t="s">
        <v>134</v>
      </c>
      <c r="BI383" t="s">
        <v>112</v>
      </c>
      <c r="BJ383" t="s">
        <v>112</v>
      </c>
      <c r="BK383" t="s">
        <v>112</v>
      </c>
      <c r="BL383" t="s">
        <v>169</v>
      </c>
      <c r="BM383" t="s">
        <v>159</v>
      </c>
      <c r="BN383" t="s">
        <v>212</v>
      </c>
      <c r="BO383" t="s">
        <v>161</v>
      </c>
      <c r="BP383">
        <v>1</v>
      </c>
      <c r="BQ383" t="s">
        <v>630</v>
      </c>
      <c r="BR383" s="45">
        <f>ISNUMBER(SEARCH($BR$1,Таблица1[[#This Row],[31_1 Описание и характеристика товара]]))*1</f>
        <v>1</v>
      </c>
      <c r="BT383" t="s">
        <v>150</v>
      </c>
      <c r="BU383">
        <v>33</v>
      </c>
      <c r="BV383">
        <v>0</v>
      </c>
      <c r="BW383">
        <v>0</v>
      </c>
      <c r="BY383">
        <v>0</v>
      </c>
      <c r="CA383" t="s">
        <v>106</v>
      </c>
      <c r="CB383" t="s">
        <v>142</v>
      </c>
      <c r="CC383" t="s">
        <v>112</v>
      </c>
      <c r="CD383" t="s">
        <v>112</v>
      </c>
      <c r="CE383" t="s">
        <v>121</v>
      </c>
      <c r="CF383">
        <v>16555.03</v>
      </c>
      <c r="CG383" t="s">
        <v>144</v>
      </c>
      <c r="CH383">
        <v>4000000</v>
      </c>
      <c r="CI383">
        <v>16490.23</v>
      </c>
      <c r="CJ383">
        <v>0</v>
      </c>
      <c r="CK383" t="s">
        <v>112</v>
      </c>
      <c r="CL383" t="s">
        <v>112</v>
      </c>
      <c r="CM383">
        <v>43233.83</v>
      </c>
      <c r="CN383">
        <v>3441862</v>
      </c>
      <c r="CO383">
        <v>0</v>
      </c>
      <c r="CP383">
        <v>1</v>
      </c>
      <c r="CQ383">
        <v>3788167.74</v>
      </c>
      <c r="CR383">
        <v>50671.86</v>
      </c>
      <c r="CS383" t="s">
        <v>145</v>
      </c>
      <c r="CT383">
        <v>50671.178743999997</v>
      </c>
      <c r="CU383">
        <v>3.0728</v>
      </c>
      <c r="CV383">
        <v>45</v>
      </c>
      <c r="CW383" t="s">
        <v>171</v>
      </c>
      <c r="CX383" t="s">
        <v>372</v>
      </c>
      <c r="CY383">
        <v>544</v>
      </c>
    </row>
    <row r="384" spans="1:103" x14ac:dyDescent="0.25">
      <c r="A384" t="s">
        <v>106</v>
      </c>
      <c r="B384" s="38">
        <v>44710</v>
      </c>
      <c r="C384" s="43">
        <f>IF(YEAR(Таблица1[[#This Row],[Дата]])=2023,MONTH(Таблица1[[#This Row],[Дата]]),0)</f>
        <v>0</v>
      </c>
      <c r="D384" t="s">
        <v>272</v>
      </c>
      <c r="E384" t="s">
        <v>108</v>
      </c>
      <c r="F384" t="s">
        <v>273</v>
      </c>
      <c r="G384" t="s">
        <v>110</v>
      </c>
      <c r="H384" t="s">
        <v>111</v>
      </c>
      <c r="I384" t="s">
        <v>112</v>
      </c>
      <c r="J384" t="s">
        <v>112</v>
      </c>
      <c r="K384" t="s">
        <v>112</v>
      </c>
      <c r="L384" t="s">
        <v>175</v>
      </c>
      <c r="M384" t="s">
        <v>176</v>
      </c>
      <c r="N384" t="s">
        <v>112</v>
      </c>
      <c r="O384" t="s">
        <v>112</v>
      </c>
      <c r="P384">
        <v>1</v>
      </c>
      <c r="Q384">
        <v>0</v>
      </c>
      <c r="R384">
        <v>1</v>
      </c>
      <c r="S384">
        <v>33</v>
      </c>
      <c r="T384" t="s">
        <v>166</v>
      </c>
      <c r="U384" t="s">
        <v>152</v>
      </c>
      <c r="V384" t="s">
        <v>153</v>
      </c>
      <c r="W384" t="s">
        <v>177</v>
      </c>
      <c r="X384" t="s">
        <v>119</v>
      </c>
      <c r="Y384" t="s">
        <v>112</v>
      </c>
      <c r="Z384" t="s">
        <v>166</v>
      </c>
      <c r="AA384" t="s">
        <v>152</v>
      </c>
      <c r="AB384" t="s">
        <v>153</v>
      </c>
      <c r="AC384" t="s">
        <v>177</v>
      </c>
      <c r="AD384" t="s">
        <v>119</v>
      </c>
      <c r="AE384" t="s">
        <v>112</v>
      </c>
      <c r="AF384" t="s">
        <v>121</v>
      </c>
      <c r="AG384" t="s">
        <v>122</v>
      </c>
      <c r="AH384">
        <v>3030496.3</v>
      </c>
      <c r="AI384" t="s">
        <v>166</v>
      </c>
      <c r="AJ384" t="s">
        <v>152</v>
      </c>
      <c r="AK384" t="s">
        <v>153</v>
      </c>
      <c r="AL384" t="s">
        <v>177</v>
      </c>
      <c r="AM384" t="s">
        <v>119</v>
      </c>
      <c r="AN384" t="s">
        <v>112</v>
      </c>
      <c r="AO384" t="s">
        <v>121</v>
      </c>
      <c r="AP384" t="s">
        <v>122</v>
      </c>
      <c r="AQ384" t="s">
        <v>122</v>
      </c>
      <c r="AR384" t="s">
        <v>124</v>
      </c>
      <c r="AS384" t="s">
        <v>125</v>
      </c>
      <c r="AT384">
        <v>2</v>
      </c>
      <c r="AU384" t="s">
        <v>106</v>
      </c>
      <c r="AV384" t="s">
        <v>155</v>
      </c>
      <c r="AW384" t="s">
        <v>156</v>
      </c>
      <c r="AX384">
        <v>1</v>
      </c>
      <c r="AY384" t="s">
        <v>129</v>
      </c>
      <c r="AZ384">
        <v>37403.1</v>
      </c>
      <c r="BA384">
        <v>2783008</v>
      </c>
      <c r="BB384">
        <v>44018.03</v>
      </c>
      <c r="BC384">
        <v>74.405799999999999</v>
      </c>
      <c r="BD384" t="s">
        <v>130</v>
      </c>
      <c r="BE384" t="s">
        <v>112</v>
      </c>
      <c r="BF384" t="s">
        <v>157</v>
      </c>
      <c r="BG384" t="s">
        <v>133</v>
      </c>
      <c r="BH384" t="s">
        <v>134</v>
      </c>
      <c r="BI384" t="s">
        <v>112</v>
      </c>
      <c r="BJ384" t="s">
        <v>178</v>
      </c>
      <c r="BK384" t="s">
        <v>112</v>
      </c>
      <c r="BL384" t="s">
        <v>125</v>
      </c>
      <c r="BM384" t="s">
        <v>179</v>
      </c>
      <c r="BN384" t="s">
        <v>180</v>
      </c>
      <c r="BO384" t="s">
        <v>181</v>
      </c>
      <c r="BP384">
        <v>1</v>
      </c>
      <c r="BQ384" t="s">
        <v>274</v>
      </c>
      <c r="BR384" s="45">
        <f>ISNUMBER(SEARCH($BR$1,Таблица1[[#This Row],[31_1 Описание и характеристика товара]]))*1</f>
        <v>1</v>
      </c>
      <c r="BT384" t="s">
        <v>150</v>
      </c>
      <c r="BU384">
        <v>33</v>
      </c>
      <c r="BV384">
        <v>1</v>
      </c>
      <c r="BW384">
        <v>0</v>
      </c>
      <c r="BY384">
        <v>0</v>
      </c>
      <c r="CA384" t="s">
        <v>106</v>
      </c>
      <c r="CB384" t="s">
        <v>142</v>
      </c>
      <c r="CC384" t="s">
        <v>112</v>
      </c>
      <c r="CD384" t="s">
        <v>112</v>
      </c>
      <c r="CE384" t="s">
        <v>121</v>
      </c>
      <c r="CF384">
        <v>16376.03</v>
      </c>
      <c r="CG384" t="s">
        <v>144</v>
      </c>
      <c r="CH384">
        <v>4000000</v>
      </c>
      <c r="CI384">
        <v>16224.83</v>
      </c>
      <c r="CJ384">
        <v>0</v>
      </c>
      <c r="CK384" t="s">
        <v>112</v>
      </c>
      <c r="CL384" t="s">
        <v>112</v>
      </c>
      <c r="CM384">
        <v>37403.1</v>
      </c>
      <c r="CN384">
        <v>2783008</v>
      </c>
      <c r="CO384">
        <v>0</v>
      </c>
      <c r="CP384">
        <v>1</v>
      </c>
      <c r="CQ384">
        <v>3030496.3</v>
      </c>
      <c r="CR384">
        <v>44018.03</v>
      </c>
      <c r="CS384" t="s">
        <v>145</v>
      </c>
      <c r="CT384">
        <v>44017.963790000002</v>
      </c>
      <c r="CU384">
        <v>2.7130000000000001</v>
      </c>
      <c r="CV384">
        <v>941</v>
      </c>
      <c r="CW384" t="s">
        <v>183</v>
      </c>
      <c r="CX384" t="s">
        <v>147</v>
      </c>
      <c r="CY384">
        <v>567</v>
      </c>
    </row>
    <row r="385" spans="1:103" x14ac:dyDescent="0.25">
      <c r="A385" t="s">
        <v>106</v>
      </c>
      <c r="B385" s="38">
        <v>44735</v>
      </c>
      <c r="C385" s="43">
        <f>IF(YEAR(Таблица1[[#This Row],[Дата]])=2023,MONTH(Таблица1[[#This Row],[Дата]]),0)</f>
        <v>0</v>
      </c>
      <c r="D385" t="s">
        <v>286</v>
      </c>
      <c r="E385" t="s">
        <v>108</v>
      </c>
      <c r="F385" t="s">
        <v>287</v>
      </c>
      <c r="G385" t="s">
        <v>110</v>
      </c>
      <c r="H385" t="s">
        <v>111</v>
      </c>
      <c r="I385" t="s">
        <v>112</v>
      </c>
      <c r="J385" t="s">
        <v>112</v>
      </c>
      <c r="K385" t="s">
        <v>112</v>
      </c>
      <c r="L385" t="s">
        <v>175</v>
      </c>
      <c r="M385" t="s">
        <v>176</v>
      </c>
      <c r="N385" t="s">
        <v>112</v>
      </c>
      <c r="O385" t="s">
        <v>112</v>
      </c>
      <c r="P385">
        <v>1</v>
      </c>
      <c r="Q385">
        <v>0</v>
      </c>
      <c r="R385">
        <v>1</v>
      </c>
      <c r="S385">
        <v>33</v>
      </c>
      <c r="T385" t="s">
        <v>166</v>
      </c>
      <c r="U385" t="s">
        <v>152</v>
      </c>
      <c r="V385" t="s">
        <v>153</v>
      </c>
      <c r="W385" t="s">
        <v>177</v>
      </c>
      <c r="X385" t="s">
        <v>119</v>
      </c>
      <c r="Y385" t="s">
        <v>112</v>
      </c>
      <c r="Z385" t="s">
        <v>166</v>
      </c>
      <c r="AA385" t="s">
        <v>152</v>
      </c>
      <c r="AB385" t="s">
        <v>153</v>
      </c>
      <c r="AC385" t="s">
        <v>177</v>
      </c>
      <c r="AD385" t="s">
        <v>119</v>
      </c>
      <c r="AE385" t="s">
        <v>112</v>
      </c>
      <c r="AF385" t="s">
        <v>121</v>
      </c>
      <c r="AG385" t="s">
        <v>122</v>
      </c>
      <c r="AH385">
        <v>3385169.4</v>
      </c>
      <c r="AI385" t="s">
        <v>166</v>
      </c>
      <c r="AJ385" t="s">
        <v>152</v>
      </c>
      <c r="AK385" t="s">
        <v>153</v>
      </c>
      <c r="AL385" t="s">
        <v>177</v>
      </c>
      <c r="AM385" t="s">
        <v>119</v>
      </c>
      <c r="AN385" t="s">
        <v>112</v>
      </c>
      <c r="AO385" t="s">
        <v>121</v>
      </c>
      <c r="AP385" t="s">
        <v>122</v>
      </c>
      <c r="AQ385" t="s">
        <v>122</v>
      </c>
      <c r="AR385" t="s">
        <v>124</v>
      </c>
      <c r="AS385" t="s">
        <v>125</v>
      </c>
      <c r="AT385">
        <v>2</v>
      </c>
      <c r="AU385" t="s">
        <v>106</v>
      </c>
      <c r="AV385" t="s">
        <v>155</v>
      </c>
      <c r="AW385" t="s">
        <v>156</v>
      </c>
      <c r="AX385">
        <v>1</v>
      </c>
      <c r="AY385" t="s">
        <v>129</v>
      </c>
      <c r="AZ385">
        <v>42169.84</v>
      </c>
      <c r="BA385">
        <v>3137681</v>
      </c>
      <c r="BB385">
        <v>49169.67</v>
      </c>
      <c r="BC385">
        <v>74.405799999999999</v>
      </c>
      <c r="BD385" t="s">
        <v>130</v>
      </c>
      <c r="BE385" t="s">
        <v>112</v>
      </c>
      <c r="BF385" t="s">
        <v>157</v>
      </c>
      <c r="BG385" t="s">
        <v>133</v>
      </c>
      <c r="BH385" t="s">
        <v>134</v>
      </c>
      <c r="BI385" t="s">
        <v>112</v>
      </c>
      <c r="BJ385" t="s">
        <v>178</v>
      </c>
      <c r="BK385" t="s">
        <v>112</v>
      </c>
      <c r="BL385" t="s">
        <v>125</v>
      </c>
      <c r="BM385" t="s">
        <v>179</v>
      </c>
      <c r="BN385" t="s">
        <v>180</v>
      </c>
      <c r="BO385" t="s">
        <v>181</v>
      </c>
      <c r="BP385">
        <v>1</v>
      </c>
      <c r="BQ385" t="s">
        <v>199</v>
      </c>
      <c r="BR385" s="45">
        <f>ISNUMBER(SEARCH($BR$1,Таблица1[[#This Row],[31_1 Описание и характеристика товара]]))*1</f>
        <v>1</v>
      </c>
      <c r="BT385" t="s">
        <v>150</v>
      </c>
      <c r="BU385">
        <v>33</v>
      </c>
      <c r="BV385">
        <v>1</v>
      </c>
      <c r="BW385">
        <v>0</v>
      </c>
      <c r="BY385">
        <v>0</v>
      </c>
      <c r="CA385" t="s">
        <v>106</v>
      </c>
      <c r="CB385" t="s">
        <v>142</v>
      </c>
      <c r="CC385" t="s">
        <v>112</v>
      </c>
      <c r="CD385" t="s">
        <v>112</v>
      </c>
      <c r="CE385" t="s">
        <v>121</v>
      </c>
      <c r="CF385">
        <v>16957.509999999998</v>
      </c>
      <c r="CG385" t="s">
        <v>144</v>
      </c>
      <c r="CH385">
        <v>4000000</v>
      </c>
      <c r="CI385">
        <v>16957.509999999998</v>
      </c>
      <c r="CJ385">
        <v>0</v>
      </c>
      <c r="CK385" t="s">
        <v>112</v>
      </c>
      <c r="CL385" t="s">
        <v>112</v>
      </c>
      <c r="CM385">
        <v>42169.84</v>
      </c>
      <c r="CN385">
        <v>3137681</v>
      </c>
      <c r="CO385">
        <v>0</v>
      </c>
      <c r="CP385">
        <v>1</v>
      </c>
      <c r="CQ385">
        <v>3385169.4</v>
      </c>
      <c r="CR385">
        <v>49169.67</v>
      </c>
      <c r="CS385" t="s">
        <v>145</v>
      </c>
      <c r="CT385">
        <v>49169.995995999998</v>
      </c>
      <c r="CU385">
        <v>2.8996</v>
      </c>
      <c r="CV385">
        <v>941</v>
      </c>
      <c r="CW385" t="s">
        <v>183</v>
      </c>
      <c r="CX385" t="s">
        <v>147</v>
      </c>
      <c r="CY385">
        <v>263</v>
      </c>
    </row>
    <row r="386" spans="1:103" x14ac:dyDescent="0.25">
      <c r="A386" t="s">
        <v>106</v>
      </c>
      <c r="B386" s="38">
        <v>44824</v>
      </c>
      <c r="C386" s="43">
        <f>IF(YEAR(Таблица1[[#This Row],[Дата]])=2023,MONTH(Таблица1[[#This Row],[Дата]]),0)</f>
        <v>0</v>
      </c>
      <c r="D386" t="s">
        <v>282</v>
      </c>
      <c r="E386" t="s">
        <v>108</v>
      </c>
      <c r="F386" t="s">
        <v>283</v>
      </c>
      <c r="G386" t="s">
        <v>110</v>
      </c>
      <c r="H386" t="s">
        <v>111</v>
      </c>
      <c r="I386" t="s">
        <v>112</v>
      </c>
      <c r="J386" t="s">
        <v>112</v>
      </c>
      <c r="K386" t="s">
        <v>112</v>
      </c>
      <c r="L386" t="s">
        <v>175</v>
      </c>
      <c r="M386" t="s">
        <v>176</v>
      </c>
      <c r="N386" t="s">
        <v>112</v>
      </c>
      <c r="O386" t="s">
        <v>112</v>
      </c>
      <c r="P386">
        <v>1</v>
      </c>
      <c r="Q386">
        <v>0</v>
      </c>
      <c r="R386">
        <v>1</v>
      </c>
      <c r="S386">
        <v>33</v>
      </c>
      <c r="T386" t="s">
        <v>166</v>
      </c>
      <c r="U386" t="s">
        <v>152</v>
      </c>
      <c r="V386" t="s">
        <v>153</v>
      </c>
      <c r="W386" t="s">
        <v>177</v>
      </c>
      <c r="X386" t="s">
        <v>119</v>
      </c>
      <c r="Y386" t="s">
        <v>112</v>
      </c>
      <c r="Z386" t="s">
        <v>166</v>
      </c>
      <c r="AA386" t="s">
        <v>152</v>
      </c>
      <c r="AB386" t="s">
        <v>153</v>
      </c>
      <c r="AC386" t="s">
        <v>177</v>
      </c>
      <c r="AD386" t="s">
        <v>119</v>
      </c>
      <c r="AE386" t="s">
        <v>112</v>
      </c>
      <c r="AF386" t="s">
        <v>121</v>
      </c>
      <c r="AG386" t="s">
        <v>122</v>
      </c>
      <c r="AH386">
        <v>3469417.6</v>
      </c>
      <c r="AI386" t="s">
        <v>166</v>
      </c>
      <c r="AJ386" t="s">
        <v>152</v>
      </c>
      <c r="AK386" t="s">
        <v>153</v>
      </c>
      <c r="AL386" t="s">
        <v>177</v>
      </c>
      <c r="AM386" t="s">
        <v>119</v>
      </c>
      <c r="AN386" t="s">
        <v>112</v>
      </c>
      <c r="AO386" t="s">
        <v>121</v>
      </c>
      <c r="AP386" t="s">
        <v>122</v>
      </c>
      <c r="AQ386" t="s">
        <v>122</v>
      </c>
      <c r="AR386" t="s">
        <v>124</v>
      </c>
      <c r="AS386" t="s">
        <v>125</v>
      </c>
      <c r="AT386">
        <v>2</v>
      </c>
      <c r="AU386" t="s">
        <v>106</v>
      </c>
      <c r="AV386" t="s">
        <v>155</v>
      </c>
      <c r="AW386" t="s">
        <v>156</v>
      </c>
      <c r="AX386">
        <v>1</v>
      </c>
      <c r="AY386" t="s">
        <v>129</v>
      </c>
      <c r="AZ386">
        <v>43302.12</v>
      </c>
      <c r="BA386">
        <v>3221929</v>
      </c>
      <c r="BB386">
        <v>50393.38</v>
      </c>
      <c r="BC386">
        <v>74.405799999999999</v>
      </c>
      <c r="BD386" t="s">
        <v>130</v>
      </c>
      <c r="BE386" t="s">
        <v>112</v>
      </c>
      <c r="BF386" t="s">
        <v>157</v>
      </c>
      <c r="BG386" t="s">
        <v>133</v>
      </c>
      <c r="BH386" t="s">
        <v>134</v>
      </c>
      <c r="BI386" t="s">
        <v>112</v>
      </c>
      <c r="BJ386" t="s">
        <v>178</v>
      </c>
      <c r="BK386" t="s">
        <v>112</v>
      </c>
      <c r="BL386" t="s">
        <v>125</v>
      </c>
      <c r="BM386" t="s">
        <v>179</v>
      </c>
      <c r="BN386" t="s">
        <v>180</v>
      </c>
      <c r="BO386" t="s">
        <v>181</v>
      </c>
      <c r="BP386">
        <v>1</v>
      </c>
      <c r="BQ386" t="s">
        <v>199</v>
      </c>
      <c r="BR386" s="45">
        <f>ISNUMBER(SEARCH($BR$1,Таблица1[[#This Row],[31_1 Описание и характеристика товара]]))*1</f>
        <v>1</v>
      </c>
      <c r="BT386" t="s">
        <v>150</v>
      </c>
      <c r="BU386">
        <v>33</v>
      </c>
      <c r="BV386">
        <v>1</v>
      </c>
      <c r="BW386">
        <v>0</v>
      </c>
      <c r="BY386">
        <v>0</v>
      </c>
      <c r="CA386" t="s">
        <v>106</v>
      </c>
      <c r="CB386" t="s">
        <v>142</v>
      </c>
      <c r="CC386" t="s">
        <v>112</v>
      </c>
      <c r="CD386" t="s">
        <v>112</v>
      </c>
      <c r="CE386" t="s">
        <v>121</v>
      </c>
      <c r="CF386">
        <v>16951.46</v>
      </c>
      <c r="CG386" t="s">
        <v>144</v>
      </c>
      <c r="CH386">
        <v>4000000</v>
      </c>
      <c r="CI386">
        <v>16951.46</v>
      </c>
      <c r="CJ386">
        <v>0</v>
      </c>
      <c r="CK386" t="s">
        <v>112</v>
      </c>
      <c r="CL386" t="s">
        <v>112</v>
      </c>
      <c r="CM386">
        <v>43302.12</v>
      </c>
      <c r="CN386">
        <v>3221929</v>
      </c>
      <c r="CO386">
        <v>0</v>
      </c>
      <c r="CP386">
        <v>1</v>
      </c>
      <c r="CQ386">
        <v>3469417.6</v>
      </c>
      <c r="CR386">
        <v>50393.38</v>
      </c>
      <c r="CS386" t="s">
        <v>145</v>
      </c>
      <c r="CT386">
        <v>50393.300287999999</v>
      </c>
      <c r="CU386">
        <v>2.9727999999999999</v>
      </c>
      <c r="CV386">
        <v>941</v>
      </c>
      <c r="CW386" t="s">
        <v>183</v>
      </c>
      <c r="CX386" t="s">
        <v>147</v>
      </c>
      <c r="CY386">
        <v>298</v>
      </c>
    </row>
    <row r="387" spans="1:103" x14ac:dyDescent="0.25">
      <c r="A387" t="s">
        <v>106</v>
      </c>
      <c r="B387" s="38">
        <v>45161</v>
      </c>
      <c r="C387" s="43">
        <f>IF(YEAR(Таблица1[[#This Row],[Дата]])=2023,MONTH(Таблица1[[#This Row],[Дата]]),0)</f>
        <v>8</v>
      </c>
      <c r="D387" t="s">
        <v>600</v>
      </c>
      <c r="E387" t="s">
        <v>108</v>
      </c>
      <c r="F387" t="s">
        <v>601</v>
      </c>
      <c r="G387" t="s">
        <v>110</v>
      </c>
      <c r="H387" t="s">
        <v>111</v>
      </c>
      <c r="I387" t="s">
        <v>112</v>
      </c>
      <c r="J387" t="s">
        <v>112</v>
      </c>
      <c r="K387" t="s">
        <v>112</v>
      </c>
      <c r="L387" t="s">
        <v>150</v>
      </c>
      <c r="M387" t="s">
        <v>151</v>
      </c>
      <c r="N387" t="s">
        <v>112</v>
      </c>
      <c r="O387" t="s">
        <v>112</v>
      </c>
      <c r="P387">
        <v>1</v>
      </c>
      <c r="R387">
        <v>1</v>
      </c>
      <c r="S387">
        <v>33</v>
      </c>
      <c r="T387" t="s">
        <v>112</v>
      </c>
      <c r="U387" t="s">
        <v>152</v>
      </c>
      <c r="V387" t="s">
        <v>153</v>
      </c>
      <c r="W387" t="s">
        <v>154</v>
      </c>
      <c r="X387" t="s">
        <v>119</v>
      </c>
      <c r="Y387" t="s">
        <v>112</v>
      </c>
      <c r="Z387" t="s">
        <v>112</v>
      </c>
      <c r="AA387" t="s">
        <v>152</v>
      </c>
      <c r="AB387" t="s">
        <v>153</v>
      </c>
      <c r="AC387" t="s">
        <v>154</v>
      </c>
      <c r="AD387" t="s">
        <v>119</v>
      </c>
      <c r="AE387" t="s">
        <v>112</v>
      </c>
      <c r="AF387" t="s">
        <v>121</v>
      </c>
      <c r="AG387" t="s">
        <v>122</v>
      </c>
      <c r="AH387">
        <v>4443449.2</v>
      </c>
      <c r="AI387" t="s">
        <v>112</v>
      </c>
      <c r="AJ387" t="s">
        <v>152</v>
      </c>
      <c r="AK387" t="s">
        <v>153</v>
      </c>
      <c r="AL387" t="s">
        <v>154</v>
      </c>
      <c r="AM387" t="s">
        <v>119</v>
      </c>
      <c r="AN387" t="s">
        <v>112</v>
      </c>
      <c r="AO387" t="s">
        <v>121</v>
      </c>
      <c r="AP387" t="s">
        <v>122</v>
      </c>
      <c r="AQ387" t="s">
        <v>122</v>
      </c>
      <c r="AR387" t="s">
        <v>124</v>
      </c>
      <c r="AS387" t="s">
        <v>125</v>
      </c>
      <c r="AT387">
        <v>2</v>
      </c>
      <c r="AU387" t="s">
        <v>126</v>
      </c>
      <c r="AV387" t="s">
        <v>155</v>
      </c>
      <c r="AW387" t="s">
        <v>156</v>
      </c>
      <c r="AY387" t="s">
        <v>129</v>
      </c>
      <c r="AZ387">
        <v>41003.4</v>
      </c>
      <c r="BC387">
        <v>98.757800000000003</v>
      </c>
      <c r="BD387" t="s">
        <v>112</v>
      </c>
      <c r="BE387" t="s">
        <v>112</v>
      </c>
      <c r="BF387" t="s">
        <v>157</v>
      </c>
      <c r="BG387" t="s">
        <v>133</v>
      </c>
      <c r="BH387" t="s">
        <v>134</v>
      </c>
      <c r="BI387" t="s">
        <v>112</v>
      </c>
      <c r="BJ387" t="s">
        <v>112</v>
      </c>
      <c r="BK387" t="s">
        <v>112</v>
      </c>
      <c r="BL387" t="s">
        <v>158</v>
      </c>
      <c r="BM387" t="s">
        <v>159</v>
      </c>
      <c r="BN387" t="s">
        <v>212</v>
      </c>
      <c r="BO387" t="s">
        <v>161</v>
      </c>
      <c r="BQ387" t="s">
        <v>232</v>
      </c>
      <c r="BR387" s="45">
        <f>ISNUMBER(SEARCH($BR$1,Таблица1[[#This Row],[31_1 Описание и характеристика товара]]))*1</f>
        <v>1</v>
      </c>
      <c r="BT387" t="s">
        <v>150</v>
      </c>
      <c r="BU387">
        <v>33</v>
      </c>
      <c r="BV387">
        <v>0</v>
      </c>
      <c r="BW387">
        <v>0</v>
      </c>
      <c r="BY387">
        <v>0</v>
      </c>
      <c r="CA387" t="s">
        <v>106</v>
      </c>
      <c r="CB387" t="s">
        <v>142</v>
      </c>
      <c r="CC387" t="s">
        <v>112</v>
      </c>
      <c r="CD387" t="s">
        <v>112</v>
      </c>
      <c r="CE387" t="s">
        <v>121</v>
      </c>
      <c r="CF387">
        <v>14517.36</v>
      </c>
      <c r="CG387" t="s">
        <v>144</v>
      </c>
      <c r="CH387">
        <v>4000000</v>
      </c>
      <c r="CI387">
        <v>14270.16</v>
      </c>
      <c r="CJ387">
        <v>0</v>
      </c>
      <c r="CK387" t="s">
        <v>112</v>
      </c>
      <c r="CL387" t="s">
        <v>112</v>
      </c>
      <c r="CM387">
        <v>41003.4</v>
      </c>
      <c r="CO387">
        <v>0</v>
      </c>
      <c r="CP387">
        <v>1</v>
      </c>
      <c r="CQ387">
        <v>4443449.2</v>
      </c>
      <c r="CR387">
        <v>49144.39</v>
      </c>
      <c r="CS387" t="s">
        <v>145</v>
      </c>
      <c r="CT387">
        <v>49089.350399999996</v>
      </c>
      <c r="CU387">
        <v>3.44</v>
      </c>
      <c r="CV387">
        <v>45</v>
      </c>
      <c r="CX387" t="s">
        <v>163</v>
      </c>
      <c r="CY387">
        <v>128</v>
      </c>
    </row>
    <row r="388" spans="1:103" x14ac:dyDescent="0.25">
      <c r="A388" t="s">
        <v>106</v>
      </c>
      <c r="B388" s="38">
        <v>45173</v>
      </c>
      <c r="C388" s="43">
        <f>IF(YEAR(Таблица1[[#This Row],[Дата]])=2023,MONTH(Таблица1[[#This Row],[Дата]]),0)</f>
        <v>9</v>
      </c>
      <c r="D388" t="s">
        <v>667</v>
      </c>
      <c r="E388" t="s">
        <v>108</v>
      </c>
      <c r="F388" t="s">
        <v>668</v>
      </c>
      <c r="G388" t="s">
        <v>110</v>
      </c>
      <c r="H388" t="s">
        <v>111</v>
      </c>
      <c r="I388" t="s">
        <v>112</v>
      </c>
      <c r="J388" t="s">
        <v>112</v>
      </c>
      <c r="K388" t="s">
        <v>112</v>
      </c>
      <c r="L388" t="s">
        <v>150</v>
      </c>
      <c r="M388" t="s">
        <v>151</v>
      </c>
      <c r="N388" t="s">
        <v>112</v>
      </c>
      <c r="O388" t="s">
        <v>112</v>
      </c>
      <c r="P388">
        <v>1</v>
      </c>
      <c r="R388">
        <v>1</v>
      </c>
      <c r="S388">
        <v>33</v>
      </c>
      <c r="T388" t="s">
        <v>112</v>
      </c>
      <c r="U388" t="s">
        <v>152</v>
      </c>
      <c r="V388" t="s">
        <v>153</v>
      </c>
      <c r="W388" t="s">
        <v>154</v>
      </c>
      <c r="X388" t="s">
        <v>119</v>
      </c>
      <c r="Y388" t="s">
        <v>112</v>
      </c>
      <c r="Z388" t="s">
        <v>112</v>
      </c>
      <c r="AA388" t="s">
        <v>152</v>
      </c>
      <c r="AB388" t="s">
        <v>153</v>
      </c>
      <c r="AC388" t="s">
        <v>154</v>
      </c>
      <c r="AD388" t="s">
        <v>119</v>
      </c>
      <c r="AE388" t="s">
        <v>112</v>
      </c>
      <c r="AF388" t="s">
        <v>121</v>
      </c>
      <c r="AG388" t="s">
        <v>122</v>
      </c>
      <c r="AH388">
        <v>4822781.8600000003</v>
      </c>
      <c r="AI388" t="s">
        <v>112</v>
      </c>
      <c r="AJ388" t="s">
        <v>152</v>
      </c>
      <c r="AK388" t="s">
        <v>153</v>
      </c>
      <c r="AL388" t="s">
        <v>154</v>
      </c>
      <c r="AM388" t="s">
        <v>119</v>
      </c>
      <c r="AN388" t="s">
        <v>112</v>
      </c>
      <c r="AO388" t="s">
        <v>121</v>
      </c>
      <c r="AP388" t="s">
        <v>122</v>
      </c>
      <c r="AQ388" t="s">
        <v>122</v>
      </c>
      <c r="AR388" t="s">
        <v>124</v>
      </c>
      <c r="AS388" t="s">
        <v>125</v>
      </c>
      <c r="AT388">
        <v>2</v>
      </c>
      <c r="AU388" t="s">
        <v>126</v>
      </c>
      <c r="AV388" t="s">
        <v>155</v>
      </c>
      <c r="AW388" t="s">
        <v>156</v>
      </c>
      <c r="AY388" t="s">
        <v>129</v>
      </c>
      <c r="AZ388">
        <v>44144.44</v>
      </c>
      <c r="BC388">
        <v>98.757800000000003</v>
      </c>
      <c r="BD388" t="s">
        <v>112</v>
      </c>
      <c r="BE388" t="s">
        <v>112</v>
      </c>
      <c r="BF388" t="s">
        <v>157</v>
      </c>
      <c r="BG388" t="s">
        <v>133</v>
      </c>
      <c r="BH388" t="s">
        <v>167</v>
      </c>
      <c r="BI388" t="s">
        <v>112</v>
      </c>
      <c r="BJ388" t="s">
        <v>112</v>
      </c>
      <c r="BK388" t="s">
        <v>112</v>
      </c>
      <c r="BL388" t="s">
        <v>158</v>
      </c>
      <c r="BM388" t="s">
        <v>159</v>
      </c>
      <c r="BN388" t="s">
        <v>160</v>
      </c>
      <c r="BO388" t="s">
        <v>161</v>
      </c>
      <c r="BQ388" t="s">
        <v>205</v>
      </c>
      <c r="BR388" s="45">
        <f>ISNUMBER(SEARCH($BR$1,Таблица1[[#This Row],[31_1 Описание и характеристика товара]]))*1</f>
        <v>1</v>
      </c>
      <c r="BT388" t="s">
        <v>150</v>
      </c>
      <c r="BU388">
        <v>33</v>
      </c>
      <c r="BV388">
        <v>0</v>
      </c>
      <c r="BW388">
        <v>0</v>
      </c>
      <c r="BY388">
        <v>0</v>
      </c>
      <c r="CA388" t="s">
        <v>106</v>
      </c>
      <c r="CB388" t="s">
        <v>142</v>
      </c>
      <c r="CC388" t="s">
        <v>112</v>
      </c>
      <c r="CD388" t="s">
        <v>112</v>
      </c>
      <c r="CE388" t="s">
        <v>121</v>
      </c>
      <c r="CF388">
        <v>16086.1</v>
      </c>
      <c r="CG388" t="s">
        <v>144</v>
      </c>
      <c r="CH388">
        <v>4000000</v>
      </c>
      <c r="CI388">
        <v>15964.9</v>
      </c>
      <c r="CJ388">
        <v>0</v>
      </c>
      <c r="CK388" t="s">
        <v>112</v>
      </c>
      <c r="CL388" t="s">
        <v>112</v>
      </c>
      <c r="CM388">
        <v>44144.44</v>
      </c>
      <c r="CO388">
        <v>1</v>
      </c>
      <c r="CP388">
        <v>1</v>
      </c>
      <c r="CQ388">
        <v>4822781.8600000003</v>
      </c>
      <c r="CR388">
        <v>53339.8</v>
      </c>
      <c r="CS388" t="s">
        <v>145</v>
      </c>
      <c r="CT388">
        <v>53322.765999999996</v>
      </c>
      <c r="CU388">
        <v>3.34</v>
      </c>
      <c r="CV388">
        <v>45</v>
      </c>
      <c r="CX388" t="s">
        <v>233</v>
      </c>
      <c r="CY388">
        <v>586</v>
      </c>
    </row>
    <row r="389" spans="1:103" x14ac:dyDescent="0.25">
      <c r="A389" s="8" t="s">
        <v>106</v>
      </c>
      <c r="B389" s="38">
        <v>45128</v>
      </c>
      <c r="C389" s="43">
        <f>IF(YEAR(Таблица1[[#This Row],[Дата]])=2023,MONTH(Таблица1[[#This Row],[Дата]]),0)</f>
        <v>7</v>
      </c>
      <c r="D389" s="8" t="s">
        <v>3021</v>
      </c>
      <c r="E389" s="8" t="s">
        <v>108</v>
      </c>
      <c r="F389" s="8" t="s">
        <v>3022</v>
      </c>
      <c r="G389" t="s">
        <v>110</v>
      </c>
      <c r="H389" s="8" t="s">
        <v>111</v>
      </c>
      <c r="I389" s="8" t="s">
        <v>112</v>
      </c>
      <c r="J389" s="8" t="s">
        <v>112</v>
      </c>
      <c r="K389" s="8" t="s">
        <v>112</v>
      </c>
      <c r="L389" s="8" t="s">
        <v>2546</v>
      </c>
      <c r="M389" s="8" t="s">
        <v>3023</v>
      </c>
      <c r="N389" s="8" t="s">
        <v>112</v>
      </c>
      <c r="O389" s="8" t="s">
        <v>112</v>
      </c>
      <c r="P389">
        <v>1</v>
      </c>
      <c r="Q389">
        <v>0</v>
      </c>
      <c r="R389">
        <v>1</v>
      </c>
      <c r="S389">
        <v>10</v>
      </c>
      <c r="T389" s="8" t="s">
        <v>3024</v>
      </c>
      <c r="U389" s="8" t="s">
        <v>3025</v>
      </c>
      <c r="V389" s="8" t="s">
        <v>3026</v>
      </c>
      <c r="W389" s="8" t="s">
        <v>3027</v>
      </c>
      <c r="X389" s="8" t="s">
        <v>119</v>
      </c>
      <c r="Y389" s="8" t="s">
        <v>3028</v>
      </c>
      <c r="Z389" s="8" t="s">
        <v>3024</v>
      </c>
      <c r="AA389" s="8" t="s">
        <v>3025</v>
      </c>
      <c r="AB389" s="8" t="s">
        <v>3026</v>
      </c>
      <c r="AC389" s="8" t="s">
        <v>3027</v>
      </c>
      <c r="AD389" s="8" t="s">
        <v>119</v>
      </c>
      <c r="AE389" s="8" t="s">
        <v>3028</v>
      </c>
      <c r="AF389" s="8" t="s">
        <v>2163</v>
      </c>
      <c r="AG389" s="8" t="s">
        <v>2164</v>
      </c>
      <c r="AH389">
        <v>3871271.04</v>
      </c>
      <c r="AI389" s="8" t="s">
        <v>3024</v>
      </c>
      <c r="AJ389" s="8" t="s">
        <v>3025</v>
      </c>
      <c r="AK389" s="8" t="s">
        <v>3026</v>
      </c>
      <c r="AL389" s="8" t="s">
        <v>3027</v>
      </c>
      <c r="AM389" s="8" t="s">
        <v>119</v>
      </c>
      <c r="AN389" s="8" t="s">
        <v>3028</v>
      </c>
      <c r="AO389" s="8" t="s">
        <v>2163</v>
      </c>
      <c r="AP389" s="8" t="s">
        <v>2164</v>
      </c>
      <c r="AQ389" s="8" t="s">
        <v>2164</v>
      </c>
      <c r="AR389" s="8" t="s">
        <v>124</v>
      </c>
      <c r="AS389" s="8" t="s">
        <v>125</v>
      </c>
      <c r="AT389">
        <v>2</v>
      </c>
      <c r="AU389" s="8" t="s">
        <v>126</v>
      </c>
      <c r="AV389" s="8" t="s">
        <v>155</v>
      </c>
      <c r="AW389" s="8" t="s">
        <v>3029</v>
      </c>
      <c r="AX389">
        <v>0</v>
      </c>
      <c r="AY389" s="8" t="s">
        <v>129</v>
      </c>
      <c r="AZ389">
        <v>51485</v>
      </c>
      <c r="BA389">
        <v>3541128</v>
      </c>
      <c r="BB389">
        <v>59919.56</v>
      </c>
      <c r="BC389">
        <v>68.779799999999895</v>
      </c>
      <c r="BD389" s="8" t="s">
        <v>130</v>
      </c>
      <c r="BE389" s="8" t="s">
        <v>131</v>
      </c>
      <c r="BF389" s="8" t="s">
        <v>3030</v>
      </c>
      <c r="BG389" s="8" t="s">
        <v>133</v>
      </c>
      <c r="BH389" s="8" t="s">
        <v>134</v>
      </c>
      <c r="BI389" s="8" t="s">
        <v>112</v>
      </c>
      <c r="BJ389" s="8" t="s">
        <v>112</v>
      </c>
      <c r="BK389" s="8" t="s">
        <v>3031</v>
      </c>
      <c r="BL389" s="8" t="s">
        <v>2168</v>
      </c>
      <c r="BM389" s="8" t="s">
        <v>3032</v>
      </c>
      <c r="BN389" s="8" t="s">
        <v>3033</v>
      </c>
      <c r="BO389" s="8" t="s">
        <v>3034</v>
      </c>
      <c r="BP389">
        <v>1</v>
      </c>
      <c r="BQ389" s="8" t="s">
        <v>3035</v>
      </c>
      <c r="BR389" s="45">
        <f>ISNUMBER(SEARCH($BR$1,Таблица1[[#This Row],[31_1 Описание и характеристика товара]]))*1</f>
        <v>0</v>
      </c>
      <c r="BT389" s="8" t="s">
        <v>2546</v>
      </c>
      <c r="BU389">
        <v>10</v>
      </c>
      <c r="BV389">
        <v>0</v>
      </c>
      <c r="BW389">
        <v>11</v>
      </c>
      <c r="BX389" t="s">
        <v>2147</v>
      </c>
      <c r="BY389">
        <v>0</v>
      </c>
      <c r="CA389" s="8" t="s">
        <v>106</v>
      </c>
      <c r="CB389" s="8" t="s">
        <v>2148</v>
      </c>
      <c r="CC389" s="8" t="s">
        <v>112</v>
      </c>
      <c r="CD389" s="8" t="s">
        <v>112</v>
      </c>
      <c r="CE389" s="8" t="s">
        <v>2163</v>
      </c>
      <c r="CF389">
        <v>13820</v>
      </c>
      <c r="CG389" t="s">
        <v>144</v>
      </c>
      <c r="CH389">
        <v>4000000</v>
      </c>
      <c r="CI389">
        <v>13680</v>
      </c>
      <c r="CJ389">
        <v>0</v>
      </c>
      <c r="CK389" s="8" t="s">
        <v>112</v>
      </c>
      <c r="CL389" s="8" t="s">
        <v>112</v>
      </c>
      <c r="CM389">
        <v>51485</v>
      </c>
      <c r="CN389">
        <v>3541128</v>
      </c>
      <c r="CO389">
        <v>0</v>
      </c>
      <c r="CP389">
        <v>1</v>
      </c>
      <c r="CQ389">
        <v>3871271.04</v>
      </c>
      <c r="CR389">
        <v>59919.56</v>
      </c>
      <c r="CS389" s="8" t="s">
        <v>145</v>
      </c>
      <c r="CT389">
        <v>4.3800999999999997</v>
      </c>
      <c r="CU389">
        <v>526</v>
      </c>
      <c r="CV389" t="s">
        <v>3036</v>
      </c>
      <c r="CX389" t="s">
        <v>3037</v>
      </c>
      <c r="CY389">
        <v>37</v>
      </c>
    </row>
    <row r="390" spans="1:103" x14ac:dyDescent="0.25">
      <c r="A390" s="8" t="s">
        <v>106</v>
      </c>
      <c r="B390" s="38">
        <v>45242</v>
      </c>
      <c r="C390" s="43">
        <f>IF(YEAR(Таблица1[[#This Row],[Дата]])=2023,MONTH(Таблица1[[#This Row],[Дата]]),0)</f>
        <v>11</v>
      </c>
      <c r="D390" s="8" t="s">
        <v>3054</v>
      </c>
      <c r="E390" s="8" t="s">
        <v>108</v>
      </c>
      <c r="F390" s="8" t="s">
        <v>3055</v>
      </c>
      <c r="G390" t="s">
        <v>110</v>
      </c>
      <c r="H390" s="8" t="s">
        <v>111</v>
      </c>
      <c r="I390" s="8" t="s">
        <v>112</v>
      </c>
      <c r="J390" s="8" t="s">
        <v>112</v>
      </c>
      <c r="K390" s="8" t="s">
        <v>112</v>
      </c>
      <c r="L390" s="8" t="s">
        <v>3056</v>
      </c>
      <c r="M390" s="8" t="s">
        <v>3057</v>
      </c>
      <c r="N390" s="8" t="s">
        <v>112</v>
      </c>
      <c r="O390" s="8" t="s">
        <v>112</v>
      </c>
      <c r="P390">
        <v>2</v>
      </c>
      <c r="Q390">
        <v>0</v>
      </c>
      <c r="R390">
        <v>3</v>
      </c>
      <c r="S390">
        <v>46</v>
      </c>
      <c r="T390" s="8" t="s">
        <v>3058</v>
      </c>
      <c r="U390" s="8" t="s">
        <v>3059</v>
      </c>
      <c r="V390" s="8" t="s">
        <v>3060</v>
      </c>
      <c r="W390" s="8" t="s">
        <v>3061</v>
      </c>
      <c r="X390" s="8" t="s">
        <v>119</v>
      </c>
      <c r="Y390" s="8" t="s">
        <v>3062</v>
      </c>
      <c r="Z390" s="8" t="s">
        <v>3058</v>
      </c>
      <c r="AA390" s="8" t="s">
        <v>3059</v>
      </c>
      <c r="AB390" s="8" t="s">
        <v>3060</v>
      </c>
      <c r="AC390" s="8" t="s">
        <v>3061</v>
      </c>
      <c r="AD390" s="8" t="s">
        <v>119</v>
      </c>
      <c r="AE390" s="8" t="s">
        <v>3062</v>
      </c>
      <c r="AF390" s="8" t="s">
        <v>2800</v>
      </c>
      <c r="AG390" s="8" t="s">
        <v>2801</v>
      </c>
      <c r="AH390">
        <v>3928548.11</v>
      </c>
      <c r="AI390" s="8" t="s">
        <v>3058</v>
      </c>
      <c r="AJ390" s="8" t="s">
        <v>3059</v>
      </c>
      <c r="AK390" s="8" t="s">
        <v>3060</v>
      </c>
      <c r="AL390" s="8" t="s">
        <v>3061</v>
      </c>
      <c r="AM390" s="8" t="s">
        <v>119</v>
      </c>
      <c r="AN390" s="8" t="s">
        <v>3062</v>
      </c>
      <c r="AO390" s="8" t="s">
        <v>2800</v>
      </c>
      <c r="AP390" s="8" t="s">
        <v>2801</v>
      </c>
      <c r="AQ390" s="8" t="s">
        <v>2801</v>
      </c>
      <c r="AR390" s="8" t="s">
        <v>124</v>
      </c>
      <c r="AS390" s="8" t="s">
        <v>125</v>
      </c>
      <c r="AT390">
        <v>2</v>
      </c>
      <c r="AU390" s="8" t="s">
        <v>126</v>
      </c>
      <c r="AV390" s="8" t="s">
        <v>2674</v>
      </c>
      <c r="AW390" s="8" t="s">
        <v>2401</v>
      </c>
      <c r="AX390">
        <v>1</v>
      </c>
      <c r="AY390" s="8" t="s">
        <v>129</v>
      </c>
      <c r="AZ390">
        <v>57117.760000000002</v>
      </c>
      <c r="BA390">
        <v>3928548</v>
      </c>
      <c r="BB390">
        <v>60806.1</v>
      </c>
      <c r="BC390">
        <v>68.779799999999895</v>
      </c>
      <c r="BD390" s="8" t="s">
        <v>130</v>
      </c>
      <c r="BE390" s="8" t="s">
        <v>131</v>
      </c>
      <c r="BF390" s="8" t="s">
        <v>3063</v>
      </c>
      <c r="BG390" s="8" t="s">
        <v>133</v>
      </c>
      <c r="BH390" s="8" t="s">
        <v>134</v>
      </c>
      <c r="BI390" s="8" t="s">
        <v>112</v>
      </c>
      <c r="BJ390" s="8" t="s">
        <v>112</v>
      </c>
      <c r="BK390" s="8" t="s">
        <v>112</v>
      </c>
      <c r="BL390" s="8" t="s">
        <v>3064</v>
      </c>
      <c r="BM390" s="8" t="s">
        <v>3065</v>
      </c>
      <c r="BN390" s="8" t="s">
        <v>3066</v>
      </c>
      <c r="BO390" s="8" t="s">
        <v>161</v>
      </c>
      <c r="BP390">
        <v>1</v>
      </c>
      <c r="BQ390" s="8" t="s">
        <v>2750</v>
      </c>
      <c r="BR390" s="45">
        <f>ISNUMBER(SEARCH($BR$1,Таблица1[[#This Row],[31_1 Описание и характеристика товара]]))*1</f>
        <v>0</v>
      </c>
      <c r="BT390" s="8" t="s">
        <v>3067</v>
      </c>
      <c r="BU390">
        <v>44</v>
      </c>
      <c r="BV390">
        <v>0</v>
      </c>
      <c r="BW390">
        <v>54</v>
      </c>
      <c r="BX390" t="s">
        <v>2147</v>
      </c>
      <c r="BY390">
        <v>0</v>
      </c>
      <c r="CA390" s="8" t="s">
        <v>106</v>
      </c>
      <c r="CB390" s="8" t="s">
        <v>2148</v>
      </c>
      <c r="CC390" s="8" t="s">
        <v>112</v>
      </c>
      <c r="CD390" s="8" t="s">
        <v>112</v>
      </c>
      <c r="CE390" s="8" t="s">
        <v>2800</v>
      </c>
      <c r="CF390">
        <v>11130</v>
      </c>
      <c r="CG390" t="s">
        <v>3068</v>
      </c>
      <c r="CH390">
        <v>4000000</v>
      </c>
      <c r="CI390">
        <v>10137</v>
      </c>
      <c r="CJ390">
        <v>0</v>
      </c>
      <c r="CK390" s="8" t="s">
        <v>112</v>
      </c>
      <c r="CL390" s="8" t="s">
        <v>112</v>
      </c>
      <c r="CM390">
        <v>52637.04</v>
      </c>
      <c r="CN390">
        <v>3620365</v>
      </c>
      <c r="CO390">
        <v>0</v>
      </c>
      <c r="CP390">
        <v>1</v>
      </c>
      <c r="CQ390">
        <v>3620365.08</v>
      </c>
      <c r="CR390">
        <v>56036.04</v>
      </c>
      <c r="CS390" s="8" t="s">
        <v>145</v>
      </c>
      <c r="CT390">
        <v>5.5278999999999998</v>
      </c>
      <c r="CU390">
        <v>991</v>
      </c>
      <c r="CV390" t="s">
        <v>3069</v>
      </c>
      <c r="CX390" t="s">
        <v>3070</v>
      </c>
      <c r="CY390">
        <v>324</v>
      </c>
    </row>
    <row r="391" spans="1:103" x14ac:dyDescent="0.25">
      <c r="A391" s="8" t="s">
        <v>106</v>
      </c>
      <c r="B391" s="38">
        <v>45226</v>
      </c>
      <c r="C391" s="43">
        <f>IF(YEAR(Таблица1[[#This Row],[Дата]])=2023,MONTH(Таблица1[[#This Row],[Дата]]),0)</f>
        <v>10</v>
      </c>
      <c r="D391" s="8" t="s">
        <v>3122</v>
      </c>
      <c r="E391" s="8" t="s">
        <v>108</v>
      </c>
      <c r="F391" s="8" t="s">
        <v>3123</v>
      </c>
      <c r="G391" t="s">
        <v>110</v>
      </c>
      <c r="H391" s="8" t="s">
        <v>111</v>
      </c>
      <c r="I391" s="8" t="s">
        <v>112</v>
      </c>
      <c r="J391" s="8" t="s">
        <v>112</v>
      </c>
      <c r="K391" s="8" t="s">
        <v>112</v>
      </c>
      <c r="L391" s="8" t="s">
        <v>2161</v>
      </c>
      <c r="M391" s="8" t="s">
        <v>2162</v>
      </c>
      <c r="N391" s="8" t="s">
        <v>112</v>
      </c>
      <c r="O391" s="8" t="s">
        <v>112</v>
      </c>
      <c r="P391">
        <v>2</v>
      </c>
      <c r="Q391">
        <v>0</v>
      </c>
      <c r="R391">
        <v>2</v>
      </c>
      <c r="S391">
        <v>83</v>
      </c>
      <c r="T391" s="8" t="s">
        <v>2136</v>
      </c>
      <c r="U391" s="8" t="s">
        <v>2137</v>
      </c>
      <c r="V391" s="8" t="s">
        <v>2141</v>
      </c>
      <c r="W391" s="8" t="s">
        <v>2139</v>
      </c>
      <c r="X391" s="8" t="s">
        <v>119</v>
      </c>
      <c r="Y391" s="8" t="s">
        <v>2140</v>
      </c>
      <c r="Z391" s="8" t="s">
        <v>2136</v>
      </c>
      <c r="AA391" s="8" t="s">
        <v>2137</v>
      </c>
      <c r="AB391" s="8" t="s">
        <v>2141</v>
      </c>
      <c r="AC391" s="8" t="s">
        <v>2139</v>
      </c>
      <c r="AD391" s="8" t="s">
        <v>119</v>
      </c>
      <c r="AE391" s="8" t="s">
        <v>2140</v>
      </c>
      <c r="AF391" s="8" t="s">
        <v>2163</v>
      </c>
      <c r="AG391" s="8" t="s">
        <v>2164</v>
      </c>
      <c r="AH391">
        <v>10248688.17</v>
      </c>
      <c r="AI391" s="8" t="s">
        <v>2136</v>
      </c>
      <c r="AJ391" s="8" t="s">
        <v>2137</v>
      </c>
      <c r="AK391" s="8" t="s">
        <v>2141</v>
      </c>
      <c r="AL391" s="8" t="s">
        <v>2139</v>
      </c>
      <c r="AM391" s="8" t="s">
        <v>119</v>
      </c>
      <c r="AN391" s="8" t="s">
        <v>2140</v>
      </c>
      <c r="AO391" s="8" t="s">
        <v>2163</v>
      </c>
      <c r="AP391" s="8" t="s">
        <v>2164</v>
      </c>
      <c r="AQ391" s="8" t="s">
        <v>2164</v>
      </c>
      <c r="AR391" s="8" t="s">
        <v>124</v>
      </c>
      <c r="AS391" s="8" t="s">
        <v>125</v>
      </c>
      <c r="AT391">
        <v>2</v>
      </c>
      <c r="AU391" s="8" t="s">
        <v>126</v>
      </c>
      <c r="AV391" s="8" t="s">
        <v>127</v>
      </c>
      <c r="AW391" s="8" t="s">
        <v>2165</v>
      </c>
      <c r="AX391">
        <v>1</v>
      </c>
      <c r="AY391" s="8" t="s">
        <v>129</v>
      </c>
      <c r="AZ391">
        <v>143707.24</v>
      </c>
      <c r="BA391">
        <v>9884155</v>
      </c>
      <c r="BB391">
        <v>158629.269999999</v>
      </c>
      <c r="BC391">
        <v>68.779799999999895</v>
      </c>
      <c r="BD391" s="8" t="s">
        <v>130</v>
      </c>
      <c r="BE391" s="8" t="s">
        <v>131</v>
      </c>
      <c r="BF391" s="8" t="s">
        <v>2166</v>
      </c>
      <c r="BG391" s="8" t="s">
        <v>133</v>
      </c>
      <c r="BH391" s="8" t="s">
        <v>134</v>
      </c>
      <c r="BI391" s="8" t="s">
        <v>112</v>
      </c>
      <c r="BJ391" s="8" t="s">
        <v>112</v>
      </c>
      <c r="BK391" s="8" t="s">
        <v>112</v>
      </c>
      <c r="BL391" s="8" t="s">
        <v>2655</v>
      </c>
      <c r="BM391" s="8" t="s">
        <v>2656</v>
      </c>
      <c r="BN391" s="8" t="s">
        <v>2496</v>
      </c>
      <c r="BO391" s="8" t="s">
        <v>2497</v>
      </c>
      <c r="BP391">
        <v>1</v>
      </c>
      <c r="BQ391" s="8" t="s">
        <v>3124</v>
      </c>
      <c r="BR391" s="45">
        <f>ISNUMBER(SEARCH($BR$1,Таблица1[[#This Row],[31_1 Описание и характеристика товара]]))*1</f>
        <v>0</v>
      </c>
      <c r="BT391" s="8" t="s">
        <v>2161</v>
      </c>
      <c r="BU391">
        <v>82</v>
      </c>
      <c r="BV391">
        <v>0</v>
      </c>
      <c r="BW391">
        <v>335</v>
      </c>
      <c r="BX391" t="s">
        <v>2147</v>
      </c>
      <c r="BY391">
        <v>0</v>
      </c>
      <c r="CA391" s="8" t="s">
        <v>106</v>
      </c>
      <c r="CB391" s="8" t="s">
        <v>2148</v>
      </c>
      <c r="CC391" s="8" t="s">
        <v>112</v>
      </c>
      <c r="CD391" s="8" t="s">
        <v>112</v>
      </c>
      <c r="CE391" s="8" t="s">
        <v>2163</v>
      </c>
      <c r="CF391">
        <v>15315.4</v>
      </c>
      <c r="CG391" t="s">
        <v>144</v>
      </c>
      <c r="CH391">
        <v>4000000</v>
      </c>
      <c r="CI391">
        <v>15194</v>
      </c>
      <c r="CJ391">
        <v>0</v>
      </c>
      <c r="CK391" s="8" t="s">
        <v>112</v>
      </c>
      <c r="CL391" s="8" t="s">
        <v>112</v>
      </c>
      <c r="CM391">
        <v>142406.74</v>
      </c>
      <c r="CN391">
        <v>9794707</v>
      </c>
      <c r="CO391">
        <v>0</v>
      </c>
      <c r="CP391">
        <v>1</v>
      </c>
      <c r="CQ391">
        <v>10157722.76</v>
      </c>
      <c r="CR391">
        <v>157221.31</v>
      </c>
      <c r="CS391" s="8" t="s">
        <v>145</v>
      </c>
      <c r="CT391">
        <v>10.3476</v>
      </c>
      <c r="CU391">
        <v>1053</v>
      </c>
      <c r="CV391" t="s">
        <v>2149</v>
      </c>
      <c r="CX391" t="s">
        <v>2150</v>
      </c>
      <c r="CY391">
        <v>0</v>
      </c>
    </row>
    <row r="392" spans="1:103" x14ac:dyDescent="0.25">
      <c r="A392" s="8" t="s">
        <v>106</v>
      </c>
      <c r="B392" s="38">
        <v>45239</v>
      </c>
      <c r="C392" s="43">
        <f>IF(YEAR(Таблица1[[#This Row],[Дата]])=2023,MONTH(Таблица1[[#This Row],[Дата]]),0)</f>
        <v>11</v>
      </c>
      <c r="D392" s="8" t="s">
        <v>3101</v>
      </c>
      <c r="E392" s="8" t="s">
        <v>108</v>
      </c>
      <c r="F392" s="8" t="s">
        <v>3102</v>
      </c>
      <c r="G392" t="s">
        <v>110</v>
      </c>
      <c r="H392" s="8" t="s">
        <v>111</v>
      </c>
      <c r="I392" s="8" t="s">
        <v>112</v>
      </c>
      <c r="J392" s="8" t="s">
        <v>112</v>
      </c>
      <c r="K392" s="8" t="s">
        <v>112</v>
      </c>
      <c r="L392" s="8" t="s">
        <v>3103</v>
      </c>
      <c r="M392" s="8" t="s">
        <v>3104</v>
      </c>
      <c r="N392" s="8" t="s">
        <v>112</v>
      </c>
      <c r="O392" s="8" t="s">
        <v>112</v>
      </c>
      <c r="P392">
        <v>2</v>
      </c>
      <c r="Q392">
        <v>0</v>
      </c>
      <c r="R392">
        <v>4</v>
      </c>
      <c r="S392">
        <v>27</v>
      </c>
      <c r="T392" s="8" t="s">
        <v>3105</v>
      </c>
      <c r="U392" s="8" t="s">
        <v>3106</v>
      </c>
      <c r="V392" s="8" t="s">
        <v>3107</v>
      </c>
      <c r="W392" s="8" t="s">
        <v>3108</v>
      </c>
      <c r="X392" s="8" t="s">
        <v>3109</v>
      </c>
      <c r="Y392" s="8" t="s">
        <v>3110</v>
      </c>
      <c r="Z392" s="8" t="s">
        <v>3105</v>
      </c>
      <c r="AA392" s="8" t="s">
        <v>3106</v>
      </c>
      <c r="AB392" s="8" t="s">
        <v>3107</v>
      </c>
      <c r="AC392" s="8" t="s">
        <v>3108</v>
      </c>
      <c r="AD392" s="8" t="s">
        <v>3109</v>
      </c>
      <c r="AE392" s="8" t="s">
        <v>3110</v>
      </c>
      <c r="AF392" s="8" t="s">
        <v>2163</v>
      </c>
      <c r="AG392" s="8" t="s">
        <v>2164</v>
      </c>
      <c r="AH392">
        <v>7949885.6799999904</v>
      </c>
      <c r="AI392" s="8" t="s">
        <v>3105</v>
      </c>
      <c r="AJ392" s="8" t="s">
        <v>3106</v>
      </c>
      <c r="AK392" s="8" t="s">
        <v>3107</v>
      </c>
      <c r="AL392" s="8" t="s">
        <v>3108</v>
      </c>
      <c r="AM392" s="8" t="s">
        <v>3109</v>
      </c>
      <c r="AN392" s="8" t="s">
        <v>3110</v>
      </c>
      <c r="AO392" s="8" t="s">
        <v>2163</v>
      </c>
      <c r="AP392" s="8" t="s">
        <v>2164</v>
      </c>
      <c r="AQ392" s="8" t="s">
        <v>2164</v>
      </c>
      <c r="AR392" s="8" t="s">
        <v>124</v>
      </c>
      <c r="AS392" s="8" t="s">
        <v>125</v>
      </c>
      <c r="AT392">
        <v>2</v>
      </c>
      <c r="AU392" s="8" t="s">
        <v>126</v>
      </c>
      <c r="AV392" s="8" t="s">
        <v>155</v>
      </c>
      <c r="AW392" s="8" t="s">
        <v>3111</v>
      </c>
      <c r="AX392">
        <v>1</v>
      </c>
      <c r="AY392" s="8" t="s">
        <v>129</v>
      </c>
      <c r="AZ392">
        <v>110602.6</v>
      </c>
      <c r="BA392">
        <v>7607225</v>
      </c>
      <c r="BB392">
        <v>123048.39</v>
      </c>
      <c r="BC392">
        <v>68.779799999999895</v>
      </c>
      <c r="BD392" s="8" t="s">
        <v>130</v>
      </c>
      <c r="BE392" s="8" t="s">
        <v>131</v>
      </c>
      <c r="BF392" s="8" t="s">
        <v>3112</v>
      </c>
      <c r="BG392" s="8" t="s">
        <v>133</v>
      </c>
      <c r="BH392" s="8" t="s">
        <v>3113</v>
      </c>
      <c r="BI392" s="8" t="s">
        <v>112</v>
      </c>
      <c r="BJ392" s="8" t="s">
        <v>3114</v>
      </c>
      <c r="BK392" s="8" t="s">
        <v>112</v>
      </c>
      <c r="BL392" s="8" t="s">
        <v>3115</v>
      </c>
      <c r="BM392" s="8" t="s">
        <v>3116</v>
      </c>
      <c r="BN392" s="8" t="s">
        <v>3117</v>
      </c>
      <c r="BO392" s="8" t="s">
        <v>3118</v>
      </c>
      <c r="BP392">
        <v>2</v>
      </c>
      <c r="BQ392" s="8" t="s">
        <v>3121</v>
      </c>
      <c r="BR392" s="45">
        <f>ISNUMBER(SEARCH($BR$1,Таблица1[[#This Row],[31_1 Описание и характеристика товара]]))*1</f>
        <v>0</v>
      </c>
      <c r="BT392" s="8" t="s">
        <v>3103</v>
      </c>
      <c r="BU392">
        <v>24</v>
      </c>
      <c r="BV392">
        <v>0</v>
      </c>
      <c r="BW392">
        <v>86</v>
      </c>
      <c r="BX392" t="s">
        <v>2147</v>
      </c>
      <c r="BY392">
        <v>0</v>
      </c>
      <c r="CA392" s="8" t="s">
        <v>596</v>
      </c>
      <c r="CB392" s="8" t="s">
        <v>2467</v>
      </c>
      <c r="CC392" s="8" t="s">
        <v>112</v>
      </c>
      <c r="CD392" s="8" t="s">
        <v>112</v>
      </c>
      <c r="CE392" s="8" t="s">
        <v>2163</v>
      </c>
      <c r="CF392">
        <v>16889.8</v>
      </c>
      <c r="CG392" t="s">
        <v>144</v>
      </c>
      <c r="CH392">
        <v>4000000</v>
      </c>
      <c r="CI392">
        <v>15338</v>
      </c>
      <c r="CJ392">
        <v>0</v>
      </c>
      <c r="CK392" s="8" t="s">
        <v>112</v>
      </c>
      <c r="CL392" s="8" t="s">
        <v>112</v>
      </c>
      <c r="CM392">
        <v>90188</v>
      </c>
      <c r="CN392">
        <v>6203113</v>
      </c>
      <c r="CO392">
        <v>0</v>
      </c>
      <c r="CP392">
        <v>1</v>
      </c>
      <c r="CQ392">
        <v>6497303.75</v>
      </c>
      <c r="CR392">
        <v>100565.31</v>
      </c>
      <c r="CS392" s="8" t="s">
        <v>145</v>
      </c>
      <c r="CT392">
        <v>6.5566000000000004</v>
      </c>
      <c r="CX392" t="s">
        <v>3120</v>
      </c>
      <c r="CY392">
        <v>257</v>
      </c>
    </row>
    <row r="393" spans="1:103" x14ac:dyDescent="0.25">
      <c r="A393" s="8" t="s">
        <v>106</v>
      </c>
      <c r="B393" s="38">
        <v>45112</v>
      </c>
      <c r="C393" s="43">
        <f>IF(YEAR(Таблица1[[#This Row],[Дата]])=2023,MONTH(Таблица1[[#This Row],[Дата]]),0)</f>
        <v>7</v>
      </c>
      <c r="D393" s="8" t="s">
        <v>3101</v>
      </c>
      <c r="E393" s="8" t="s">
        <v>108</v>
      </c>
      <c r="F393" s="8" t="s">
        <v>3102</v>
      </c>
      <c r="G393" t="s">
        <v>110</v>
      </c>
      <c r="H393" s="8" t="s">
        <v>111</v>
      </c>
      <c r="I393" s="8" t="s">
        <v>112</v>
      </c>
      <c r="J393" s="8" t="s">
        <v>112</v>
      </c>
      <c r="K393" s="8" t="s">
        <v>112</v>
      </c>
      <c r="L393" s="8" t="s">
        <v>3103</v>
      </c>
      <c r="M393" s="8" t="s">
        <v>3104</v>
      </c>
      <c r="N393" s="8" t="s">
        <v>112</v>
      </c>
      <c r="O393" s="8" t="s">
        <v>112</v>
      </c>
      <c r="P393">
        <v>2</v>
      </c>
      <c r="Q393">
        <v>0</v>
      </c>
      <c r="R393">
        <v>4</v>
      </c>
      <c r="S393">
        <v>27</v>
      </c>
      <c r="T393" s="8" t="s">
        <v>3105</v>
      </c>
      <c r="U393" s="8" t="s">
        <v>3106</v>
      </c>
      <c r="V393" s="8" t="s">
        <v>3107</v>
      </c>
      <c r="W393" s="8" t="s">
        <v>3108</v>
      </c>
      <c r="X393" s="8" t="s">
        <v>3109</v>
      </c>
      <c r="Y393" s="8" t="s">
        <v>3110</v>
      </c>
      <c r="Z393" s="8" t="s">
        <v>3105</v>
      </c>
      <c r="AA393" s="8" t="s">
        <v>3106</v>
      </c>
      <c r="AB393" s="8" t="s">
        <v>3107</v>
      </c>
      <c r="AC393" s="8" t="s">
        <v>3108</v>
      </c>
      <c r="AD393" s="8" t="s">
        <v>3109</v>
      </c>
      <c r="AE393" s="8" t="s">
        <v>3110</v>
      </c>
      <c r="AF393" s="8" t="s">
        <v>2163</v>
      </c>
      <c r="AG393" s="8" t="s">
        <v>2164</v>
      </c>
      <c r="AH393">
        <v>7949885.6799999904</v>
      </c>
      <c r="AI393" s="8" t="s">
        <v>3105</v>
      </c>
      <c r="AJ393" s="8" t="s">
        <v>3106</v>
      </c>
      <c r="AK393" s="8" t="s">
        <v>3107</v>
      </c>
      <c r="AL393" s="8" t="s">
        <v>3108</v>
      </c>
      <c r="AM393" s="8" t="s">
        <v>3109</v>
      </c>
      <c r="AN393" s="8" t="s">
        <v>3110</v>
      </c>
      <c r="AO393" s="8" t="s">
        <v>2163</v>
      </c>
      <c r="AP393" s="8" t="s">
        <v>2164</v>
      </c>
      <c r="AQ393" s="8" t="s">
        <v>2164</v>
      </c>
      <c r="AR393" s="8" t="s">
        <v>124</v>
      </c>
      <c r="AS393" s="8" t="s">
        <v>125</v>
      </c>
      <c r="AT393">
        <v>2</v>
      </c>
      <c r="AU393" s="8" t="s">
        <v>126</v>
      </c>
      <c r="AV393" s="8" t="s">
        <v>155</v>
      </c>
      <c r="AW393" s="8" t="s">
        <v>3111</v>
      </c>
      <c r="AX393">
        <v>1</v>
      </c>
      <c r="AY393" s="8" t="s">
        <v>129</v>
      </c>
      <c r="AZ393">
        <v>110602.6</v>
      </c>
      <c r="BA393">
        <v>7607225</v>
      </c>
      <c r="BB393">
        <v>123048.39</v>
      </c>
      <c r="BC393">
        <v>68.779799999999895</v>
      </c>
      <c r="BD393" s="8" t="s">
        <v>130</v>
      </c>
      <c r="BE393" s="8" t="s">
        <v>131</v>
      </c>
      <c r="BF393" s="8" t="s">
        <v>3112</v>
      </c>
      <c r="BG393" s="8" t="s">
        <v>133</v>
      </c>
      <c r="BH393" s="8" t="s">
        <v>3113</v>
      </c>
      <c r="BI393" s="8" t="s">
        <v>112</v>
      </c>
      <c r="BJ393" s="8" t="s">
        <v>3114</v>
      </c>
      <c r="BK393" s="8" t="s">
        <v>112</v>
      </c>
      <c r="BL393" s="8" t="s">
        <v>3115</v>
      </c>
      <c r="BM393" s="8" t="s">
        <v>3116</v>
      </c>
      <c r="BN393" s="8" t="s">
        <v>3117</v>
      </c>
      <c r="BO393" s="8" t="s">
        <v>3118</v>
      </c>
      <c r="BP393">
        <v>2</v>
      </c>
      <c r="BQ393" s="8" t="s">
        <v>3119</v>
      </c>
      <c r="BR393" s="45">
        <f>ISNUMBER(SEARCH($BR$1,Таблица1[[#This Row],[31_1 Описание и характеристика товара]]))*1</f>
        <v>0</v>
      </c>
      <c r="BT393" s="8" t="s">
        <v>3103</v>
      </c>
      <c r="BU393">
        <v>1</v>
      </c>
      <c r="BV393">
        <v>0</v>
      </c>
      <c r="BW393">
        <v>5</v>
      </c>
      <c r="BX393" t="s">
        <v>2147</v>
      </c>
      <c r="BY393">
        <v>0</v>
      </c>
      <c r="CA393" s="8" t="s">
        <v>2515</v>
      </c>
      <c r="CB393" s="8" t="s">
        <v>2148</v>
      </c>
      <c r="CC393" s="8" t="s">
        <v>112</v>
      </c>
      <c r="CD393" s="8" t="s">
        <v>112</v>
      </c>
      <c r="CE393" s="8" t="s">
        <v>2163</v>
      </c>
      <c r="CF393">
        <v>189</v>
      </c>
      <c r="CG393" t="s">
        <v>144</v>
      </c>
      <c r="CH393">
        <v>4000000</v>
      </c>
      <c r="CI393">
        <v>169</v>
      </c>
      <c r="CJ393">
        <v>0</v>
      </c>
      <c r="CK393" s="8" t="s">
        <v>112</v>
      </c>
      <c r="CL393" s="8" t="s">
        <v>112</v>
      </c>
      <c r="CM393">
        <v>3307</v>
      </c>
      <c r="CN393">
        <v>227455</v>
      </c>
      <c r="CO393">
        <v>0</v>
      </c>
      <c r="CP393">
        <v>1</v>
      </c>
      <c r="CQ393">
        <v>230884.85</v>
      </c>
      <c r="CR393">
        <v>3573.64</v>
      </c>
      <c r="CS393" s="8" t="s">
        <v>145</v>
      </c>
      <c r="CT393">
        <v>21.145800000000001</v>
      </c>
      <c r="CX393" t="s">
        <v>3120</v>
      </c>
      <c r="CY393">
        <v>257</v>
      </c>
    </row>
    <row r="394" spans="1:103" x14ac:dyDescent="0.25">
      <c r="A394" s="8" t="s">
        <v>106</v>
      </c>
      <c r="B394" s="38">
        <v>44964</v>
      </c>
      <c r="C394" s="43">
        <f>IF(YEAR(Таблица1[[#This Row],[Дата]])=2023,MONTH(Таблица1[[#This Row],[Дата]]),0)</f>
        <v>2</v>
      </c>
      <c r="D394" s="8" t="s">
        <v>3084</v>
      </c>
      <c r="E394" s="8" t="s">
        <v>108</v>
      </c>
      <c r="F394" s="8" t="s">
        <v>3085</v>
      </c>
      <c r="G394" t="s">
        <v>110</v>
      </c>
      <c r="H394" s="8" t="s">
        <v>111</v>
      </c>
      <c r="I394" s="8" t="s">
        <v>112</v>
      </c>
      <c r="J394" s="8" t="s">
        <v>112</v>
      </c>
      <c r="K394" s="8" t="s">
        <v>112</v>
      </c>
      <c r="L394" s="8" t="s">
        <v>3086</v>
      </c>
      <c r="M394" s="8" t="s">
        <v>3087</v>
      </c>
      <c r="N394" s="8" t="s">
        <v>112</v>
      </c>
      <c r="O394" s="8" t="s">
        <v>112</v>
      </c>
      <c r="P394">
        <v>1</v>
      </c>
      <c r="Q394">
        <v>0</v>
      </c>
      <c r="R394">
        <v>1</v>
      </c>
      <c r="S394">
        <v>22</v>
      </c>
      <c r="T394" s="8" t="s">
        <v>3088</v>
      </c>
      <c r="U394" s="8" t="s">
        <v>3089</v>
      </c>
      <c r="V394" s="8" t="s">
        <v>3090</v>
      </c>
      <c r="W394" s="8" t="s">
        <v>3091</v>
      </c>
      <c r="X394" s="8" t="s">
        <v>119</v>
      </c>
      <c r="Y394" s="8" t="s">
        <v>3092</v>
      </c>
      <c r="Z394" s="8" t="s">
        <v>3088</v>
      </c>
      <c r="AA394" s="8" t="s">
        <v>3089</v>
      </c>
      <c r="AB394" s="8" t="s">
        <v>3090</v>
      </c>
      <c r="AC394" s="8" t="s">
        <v>3091</v>
      </c>
      <c r="AD394" s="8" t="s">
        <v>119</v>
      </c>
      <c r="AE394" s="8" t="s">
        <v>3092</v>
      </c>
      <c r="AF394" s="8" t="s">
        <v>2163</v>
      </c>
      <c r="AG394" s="8" t="s">
        <v>2164</v>
      </c>
      <c r="AH394">
        <v>2925067.33</v>
      </c>
      <c r="AI394" s="8" t="s">
        <v>3088</v>
      </c>
      <c r="AJ394" s="8" t="s">
        <v>3089</v>
      </c>
      <c r="AK394" s="8" t="s">
        <v>3090</v>
      </c>
      <c r="AL394" s="8" t="s">
        <v>3091</v>
      </c>
      <c r="AM394" s="8" t="s">
        <v>119</v>
      </c>
      <c r="AN394" s="8" t="s">
        <v>3092</v>
      </c>
      <c r="AO394" s="8" t="s">
        <v>2163</v>
      </c>
      <c r="AP394" s="8" t="s">
        <v>2164</v>
      </c>
      <c r="AQ394" s="8" t="s">
        <v>2164</v>
      </c>
      <c r="AR394" s="8" t="s">
        <v>124</v>
      </c>
      <c r="AS394" s="8" t="s">
        <v>125</v>
      </c>
      <c r="AT394">
        <v>2</v>
      </c>
      <c r="AU394" s="8" t="s">
        <v>126</v>
      </c>
      <c r="AV394" s="8" t="s">
        <v>2318</v>
      </c>
      <c r="AW394" s="8" t="s">
        <v>3093</v>
      </c>
      <c r="AX394">
        <v>1</v>
      </c>
      <c r="AY394" s="8" t="s">
        <v>129</v>
      </c>
      <c r="AZ394">
        <v>42528</v>
      </c>
      <c r="BA394">
        <v>2925067</v>
      </c>
      <c r="BB394">
        <v>45274.21</v>
      </c>
      <c r="BC394">
        <v>68.779799999999895</v>
      </c>
      <c r="BD394" s="8" t="s">
        <v>130</v>
      </c>
      <c r="BE394" s="8" t="s">
        <v>131</v>
      </c>
      <c r="BF394" s="8" t="s">
        <v>3094</v>
      </c>
      <c r="BG394" s="8" t="s">
        <v>133</v>
      </c>
      <c r="BH394" s="8" t="s">
        <v>134</v>
      </c>
      <c r="BI394" s="8" t="s">
        <v>112</v>
      </c>
      <c r="BJ394" s="8" t="s">
        <v>112</v>
      </c>
      <c r="BK394" s="8" t="s">
        <v>112</v>
      </c>
      <c r="BL394" s="8" t="s">
        <v>2556</v>
      </c>
      <c r="BM394" s="8" t="s">
        <v>2192</v>
      </c>
      <c r="BN394" s="8" t="s">
        <v>3095</v>
      </c>
      <c r="BO394" s="8" t="s">
        <v>2194</v>
      </c>
      <c r="BP394">
        <v>1</v>
      </c>
      <c r="BQ394" s="8" t="s">
        <v>3096</v>
      </c>
      <c r="BR394" s="45">
        <f>ISNUMBER(SEARCH($BR$1,Таблица1[[#This Row],[31_1 Описание и характеристика товара]]))*1</f>
        <v>0</v>
      </c>
      <c r="BT394" s="8" t="s">
        <v>3097</v>
      </c>
      <c r="BU394">
        <v>22</v>
      </c>
      <c r="BV394">
        <v>0</v>
      </c>
      <c r="BW394">
        <v>11</v>
      </c>
      <c r="BX394" t="s">
        <v>2147</v>
      </c>
      <c r="BY394">
        <v>0</v>
      </c>
      <c r="CA394" s="8" t="s">
        <v>106</v>
      </c>
      <c r="CB394" s="8" t="s">
        <v>2148</v>
      </c>
      <c r="CC394" s="8" t="s">
        <v>112</v>
      </c>
      <c r="CD394" s="8" t="s">
        <v>112</v>
      </c>
      <c r="CE394" s="8" t="s">
        <v>2163</v>
      </c>
      <c r="CF394">
        <v>14348</v>
      </c>
      <c r="CG394" t="s">
        <v>144</v>
      </c>
      <c r="CH394">
        <v>4000000</v>
      </c>
      <c r="CI394">
        <v>14156</v>
      </c>
      <c r="CJ394">
        <v>0</v>
      </c>
      <c r="CK394" s="8" t="s">
        <v>112</v>
      </c>
      <c r="CL394" s="8" t="s">
        <v>112</v>
      </c>
      <c r="CM394">
        <v>42528</v>
      </c>
      <c r="CN394">
        <v>2925067</v>
      </c>
      <c r="CO394">
        <v>0</v>
      </c>
      <c r="CP394">
        <v>1</v>
      </c>
      <c r="CQ394">
        <v>2925067.33</v>
      </c>
      <c r="CR394">
        <v>45274.21</v>
      </c>
      <c r="CS394" s="8" t="s">
        <v>145</v>
      </c>
      <c r="CT394">
        <v>3.1981999999999999</v>
      </c>
      <c r="CX394" t="s">
        <v>3098</v>
      </c>
      <c r="CY394">
        <v>257</v>
      </c>
    </row>
    <row r="395" spans="1:103" x14ac:dyDescent="0.25">
      <c r="A395" t="s">
        <v>106</v>
      </c>
      <c r="B395" s="38">
        <v>44946</v>
      </c>
      <c r="C395" s="43">
        <f>IF(YEAR(Таблица1[[#This Row],[Дата]])=2023,MONTH(Таблица1[[#This Row],[Дата]]),0)</f>
        <v>1</v>
      </c>
      <c r="D395" t="s">
        <v>2091</v>
      </c>
      <c r="E395" t="s">
        <v>108</v>
      </c>
      <c r="F395" t="s">
        <v>2092</v>
      </c>
      <c r="G395" t="s">
        <v>110</v>
      </c>
      <c r="H395" t="s">
        <v>111</v>
      </c>
      <c r="I395" t="s">
        <v>112</v>
      </c>
      <c r="J395" t="s">
        <v>112</v>
      </c>
      <c r="K395" t="s">
        <v>112</v>
      </c>
      <c r="L395" t="s">
        <v>150</v>
      </c>
      <c r="M395" t="s">
        <v>151</v>
      </c>
      <c r="N395" t="s">
        <v>112</v>
      </c>
      <c r="O395" t="s">
        <v>112</v>
      </c>
      <c r="P395">
        <v>1</v>
      </c>
      <c r="R395">
        <v>1</v>
      </c>
      <c r="S395">
        <v>33</v>
      </c>
      <c r="T395" t="s">
        <v>112</v>
      </c>
      <c r="U395" t="s">
        <v>152</v>
      </c>
      <c r="V395" t="s">
        <v>153</v>
      </c>
      <c r="W395" t="s">
        <v>154</v>
      </c>
      <c r="X395" t="s">
        <v>119</v>
      </c>
      <c r="Y395" t="s">
        <v>112</v>
      </c>
      <c r="Z395" t="s">
        <v>112</v>
      </c>
      <c r="AA395" t="s">
        <v>152</v>
      </c>
      <c r="AB395" t="s">
        <v>153</v>
      </c>
      <c r="AC395" t="s">
        <v>154</v>
      </c>
      <c r="AD395" t="s">
        <v>119</v>
      </c>
      <c r="AE395" t="s">
        <v>112</v>
      </c>
      <c r="AF395" t="s">
        <v>121</v>
      </c>
      <c r="AG395" t="s">
        <v>122</v>
      </c>
      <c r="AH395">
        <v>5074258.03</v>
      </c>
      <c r="AI395" t="s">
        <v>112</v>
      </c>
      <c r="AJ395" t="s">
        <v>152</v>
      </c>
      <c r="AK395" t="s">
        <v>153</v>
      </c>
      <c r="AL395" t="s">
        <v>154</v>
      </c>
      <c r="AM395" t="s">
        <v>119</v>
      </c>
      <c r="AN395" t="s">
        <v>112</v>
      </c>
      <c r="AO395" t="s">
        <v>121</v>
      </c>
      <c r="AP395" t="s">
        <v>122</v>
      </c>
      <c r="AQ395" t="s">
        <v>122</v>
      </c>
      <c r="AR395" t="s">
        <v>124</v>
      </c>
      <c r="AS395" t="s">
        <v>125</v>
      </c>
      <c r="AT395">
        <v>2</v>
      </c>
      <c r="AU395" t="s">
        <v>126</v>
      </c>
      <c r="AV395" t="s">
        <v>155</v>
      </c>
      <c r="AW395" t="s">
        <v>156</v>
      </c>
      <c r="AY395" t="s">
        <v>129</v>
      </c>
      <c r="AZ395">
        <v>45319.69</v>
      </c>
      <c r="BC395">
        <v>102.9059</v>
      </c>
      <c r="BD395" t="s">
        <v>112</v>
      </c>
      <c r="BE395" t="s">
        <v>112</v>
      </c>
      <c r="BF395" t="s">
        <v>157</v>
      </c>
      <c r="BG395" t="s">
        <v>133</v>
      </c>
      <c r="BH395" t="s">
        <v>134</v>
      </c>
      <c r="BI395" t="s">
        <v>112</v>
      </c>
      <c r="BJ395" t="s">
        <v>112</v>
      </c>
      <c r="BK395" t="s">
        <v>112</v>
      </c>
      <c r="BL395" t="s">
        <v>158</v>
      </c>
      <c r="BM395" t="s">
        <v>159</v>
      </c>
      <c r="BN395" t="s">
        <v>212</v>
      </c>
      <c r="BO395" t="s">
        <v>161</v>
      </c>
      <c r="BQ395" t="s">
        <v>232</v>
      </c>
      <c r="BR395" s="45">
        <f>ISNUMBER(SEARCH($BR$1,Таблица1[[#This Row],[31_1 Описание и характеристика товара]]))*1</f>
        <v>1</v>
      </c>
      <c r="BT395" t="s">
        <v>150</v>
      </c>
      <c r="BU395">
        <v>33</v>
      </c>
      <c r="BV395">
        <v>0</v>
      </c>
      <c r="BW395">
        <v>0</v>
      </c>
      <c r="BY395">
        <v>0</v>
      </c>
      <c r="CA395" t="s">
        <v>106</v>
      </c>
      <c r="CB395" t="s">
        <v>142</v>
      </c>
      <c r="CC395" t="s">
        <v>112</v>
      </c>
      <c r="CD395" t="s">
        <v>112</v>
      </c>
      <c r="CE395" t="s">
        <v>121</v>
      </c>
      <c r="CF395">
        <v>16408.23</v>
      </c>
      <c r="CG395" t="s">
        <v>144</v>
      </c>
      <c r="CH395">
        <v>4000000</v>
      </c>
      <c r="CI395">
        <v>16343.43</v>
      </c>
      <c r="CJ395">
        <v>0</v>
      </c>
      <c r="CK395" t="s">
        <v>112</v>
      </c>
      <c r="CL395" t="s">
        <v>112</v>
      </c>
      <c r="CM395">
        <v>45319.69</v>
      </c>
      <c r="CO395">
        <v>0</v>
      </c>
      <c r="CP395">
        <v>1</v>
      </c>
      <c r="CQ395">
        <v>5074258.03</v>
      </c>
      <c r="CR395">
        <v>52111.87</v>
      </c>
      <c r="CS395" t="s">
        <v>145</v>
      </c>
      <c r="CT395">
        <v>52135.541700000002</v>
      </c>
      <c r="CU395">
        <v>3.19</v>
      </c>
      <c r="CV395">
        <v>45</v>
      </c>
      <c r="CX395" t="s">
        <v>1140</v>
      </c>
      <c r="CY395">
        <v>108</v>
      </c>
    </row>
    <row r="396" spans="1:103" x14ac:dyDescent="0.25">
      <c r="A396" t="s">
        <v>106</v>
      </c>
      <c r="B396" s="38">
        <v>45268</v>
      </c>
      <c r="C396" s="43">
        <f>IF(YEAR(Таблица1[[#This Row],[Дата]])=2023,MONTH(Таблица1[[#This Row],[Дата]]),0)</f>
        <v>12</v>
      </c>
      <c r="D396" t="s">
        <v>2091</v>
      </c>
      <c r="E396" t="s">
        <v>108</v>
      </c>
      <c r="F396" t="s">
        <v>2092</v>
      </c>
      <c r="G396" t="s">
        <v>110</v>
      </c>
      <c r="H396" t="s">
        <v>111</v>
      </c>
      <c r="I396" t="s">
        <v>112</v>
      </c>
      <c r="J396" t="s">
        <v>112</v>
      </c>
      <c r="K396" t="s">
        <v>112</v>
      </c>
      <c r="L396" t="s">
        <v>150</v>
      </c>
      <c r="M396" t="s">
        <v>151</v>
      </c>
      <c r="N396" t="s">
        <v>112</v>
      </c>
      <c r="O396" t="s">
        <v>112</v>
      </c>
      <c r="P396">
        <v>1</v>
      </c>
      <c r="R396">
        <v>1</v>
      </c>
      <c r="S396">
        <v>33</v>
      </c>
      <c r="T396" t="s">
        <v>112</v>
      </c>
      <c r="U396" t="s">
        <v>152</v>
      </c>
      <c r="V396" t="s">
        <v>153</v>
      </c>
      <c r="W396" t="s">
        <v>154</v>
      </c>
      <c r="X396" t="s">
        <v>119</v>
      </c>
      <c r="Y396" t="s">
        <v>112</v>
      </c>
      <c r="Z396" t="s">
        <v>112</v>
      </c>
      <c r="AA396" t="s">
        <v>152</v>
      </c>
      <c r="AB396" t="s">
        <v>153</v>
      </c>
      <c r="AC396" t="s">
        <v>154</v>
      </c>
      <c r="AD396" t="s">
        <v>119</v>
      </c>
      <c r="AE396" t="s">
        <v>112</v>
      </c>
      <c r="AF396" t="s">
        <v>121</v>
      </c>
      <c r="AG396" t="s">
        <v>122</v>
      </c>
      <c r="AH396">
        <v>5074258.03</v>
      </c>
      <c r="AI396" t="s">
        <v>112</v>
      </c>
      <c r="AJ396" t="s">
        <v>152</v>
      </c>
      <c r="AK396" t="s">
        <v>153</v>
      </c>
      <c r="AL396" t="s">
        <v>154</v>
      </c>
      <c r="AM396" t="s">
        <v>119</v>
      </c>
      <c r="AN396" t="s">
        <v>112</v>
      </c>
      <c r="AO396" t="s">
        <v>121</v>
      </c>
      <c r="AP396" t="s">
        <v>122</v>
      </c>
      <c r="AQ396" t="s">
        <v>122</v>
      </c>
      <c r="AR396" t="s">
        <v>124</v>
      </c>
      <c r="AS396" t="s">
        <v>125</v>
      </c>
      <c r="AT396">
        <v>2</v>
      </c>
      <c r="AU396" t="s">
        <v>126</v>
      </c>
      <c r="AV396" t="s">
        <v>155</v>
      </c>
      <c r="AW396" t="s">
        <v>156</v>
      </c>
      <c r="AY396" t="s">
        <v>129</v>
      </c>
      <c r="AZ396">
        <v>45319.69</v>
      </c>
      <c r="BC396">
        <v>102.9059</v>
      </c>
      <c r="BD396" t="s">
        <v>112</v>
      </c>
      <c r="BE396" t="s">
        <v>112</v>
      </c>
      <c r="BF396" t="s">
        <v>157</v>
      </c>
      <c r="BG396" t="s">
        <v>133</v>
      </c>
      <c r="BH396" t="s">
        <v>134</v>
      </c>
      <c r="BI396" t="s">
        <v>112</v>
      </c>
      <c r="BJ396" t="s">
        <v>112</v>
      </c>
      <c r="BK396" t="s">
        <v>112</v>
      </c>
      <c r="BL396" t="s">
        <v>158</v>
      </c>
      <c r="BM396" t="s">
        <v>159</v>
      </c>
      <c r="BN396" t="s">
        <v>212</v>
      </c>
      <c r="BO396" t="s">
        <v>161</v>
      </c>
      <c r="BQ396" t="s">
        <v>232</v>
      </c>
      <c r="BR396" s="45">
        <f>ISNUMBER(SEARCH($BR$1,Таблица1[[#This Row],[31_1 Описание и характеристика товара]]))*1</f>
        <v>1</v>
      </c>
      <c r="BT396" t="s">
        <v>150</v>
      </c>
      <c r="BU396">
        <v>33</v>
      </c>
      <c r="BV396">
        <v>0</v>
      </c>
      <c r="BW396">
        <v>0</v>
      </c>
      <c r="BY396">
        <v>0</v>
      </c>
      <c r="CA396" t="s">
        <v>106</v>
      </c>
      <c r="CB396" t="s">
        <v>142</v>
      </c>
      <c r="CC396" t="s">
        <v>112</v>
      </c>
      <c r="CD396" t="s">
        <v>112</v>
      </c>
      <c r="CE396" t="s">
        <v>121</v>
      </c>
      <c r="CF396">
        <v>16408.23</v>
      </c>
      <c r="CG396" t="s">
        <v>144</v>
      </c>
      <c r="CH396">
        <v>4000000</v>
      </c>
      <c r="CI396">
        <v>16343.43</v>
      </c>
      <c r="CJ396">
        <v>0</v>
      </c>
      <c r="CK396" t="s">
        <v>112</v>
      </c>
      <c r="CL396" t="s">
        <v>112</v>
      </c>
      <c r="CM396">
        <v>45319.69</v>
      </c>
      <c r="CO396">
        <v>0</v>
      </c>
      <c r="CP396">
        <v>1</v>
      </c>
      <c r="CQ396">
        <v>5074258.03</v>
      </c>
      <c r="CR396">
        <v>52111.87</v>
      </c>
      <c r="CS396" t="s">
        <v>145</v>
      </c>
      <c r="CT396">
        <v>52135.541700000002</v>
      </c>
      <c r="CU396">
        <v>3.19</v>
      </c>
      <c r="CV396">
        <v>45</v>
      </c>
      <c r="CX396" t="s">
        <v>1140</v>
      </c>
      <c r="CY396">
        <v>108</v>
      </c>
    </row>
    <row r="397" spans="1:103" x14ac:dyDescent="0.25">
      <c r="A397" t="s">
        <v>106</v>
      </c>
      <c r="B397" s="38">
        <v>44933</v>
      </c>
      <c r="C397" s="43">
        <f>IF(YEAR(Таблица1[[#This Row],[Дата]])=2023,MONTH(Таблица1[[#This Row],[Дата]]),0)</f>
        <v>1</v>
      </c>
      <c r="D397" t="s">
        <v>2081</v>
      </c>
      <c r="E397" t="s">
        <v>108</v>
      </c>
      <c r="F397" t="s">
        <v>2082</v>
      </c>
      <c r="G397" t="s">
        <v>110</v>
      </c>
      <c r="H397" t="s">
        <v>111</v>
      </c>
      <c r="I397" t="s">
        <v>112</v>
      </c>
      <c r="J397" t="s">
        <v>112</v>
      </c>
      <c r="K397" t="s">
        <v>112</v>
      </c>
      <c r="L397" t="s">
        <v>150</v>
      </c>
      <c r="M397" t="s">
        <v>151</v>
      </c>
      <c r="N397" t="s">
        <v>112</v>
      </c>
      <c r="O397" t="s">
        <v>112</v>
      </c>
      <c r="P397">
        <v>1</v>
      </c>
      <c r="R397">
        <v>1</v>
      </c>
      <c r="S397">
        <v>33</v>
      </c>
      <c r="T397" t="s">
        <v>112</v>
      </c>
      <c r="U397" t="s">
        <v>152</v>
      </c>
      <c r="V397" t="s">
        <v>153</v>
      </c>
      <c r="W397" t="s">
        <v>154</v>
      </c>
      <c r="X397" t="s">
        <v>119</v>
      </c>
      <c r="Y397" t="s">
        <v>112</v>
      </c>
      <c r="Z397" t="s">
        <v>112</v>
      </c>
      <c r="AA397" t="s">
        <v>152</v>
      </c>
      <c r="AB397" t="s">
        <v>153</v>
      </c>
      <c r="AC397" t="s">
        <v>154</v>
      </c>
      <c r="AD397" t="s">
        <v>119</v>
      </c>
      <c r="AE397" t="s">
        <v>112</v>
      </c>
      <c r="AF397" t="s">
        <v>121</v>
      </c>
      <c r="AG397" t="s">
        <v>122</v>
      </c>
      <c r="AH397">
        <v>4453278.55</v>
      </c>
      <c r="AI397" t="s">
        <v>112</v>
      </c>
      <c r="AJ397" t="s">
        <v>152</v>
      </c>
      <c r="AK397" t="s">
        <v>153</v>
      </c>
      <c r="AL397" t="s">
        <v>154</v>
      </c>
      <c r="AM397" t="s">
        <v>119</v>
      </c>
      <c r="AN397" t="s">
        <v>112</v>
      </c>
      <c r="AO397" t="s">
        <v>121</v>
      </c>
      <c r="AP397" t="s">
        <v>122</v>
      </c>
      <c r="AQ397" t="s">
        <v>122</v>
      </c>
      <c r="AR397" t="s">
        <v>124</v>
      </c>
      <c r="AS397" t="s">
        <v>125</v>
      </c>
      <c r="AT397">
        <v>2</v>
      </c>
      <c r="AU397" t="s">
        <v>126</v>
      </c>
      <c r="AV397" t="s">
        <v>155</v>
      </c>
      <c r="AW397" t="s">
        <v>156</v>
      </c>
      <c r="AY397" t="s">
        <v>129</v>
      </c>
      <c r="AZ397">
        <v>39285.25</v>
      </c>
      <c r="BC397">
        <v>102.9059</v>
      </c>
      <c r="BD397" t="s">
        <v>112</v>
      </c>
      <c r="BE397" t="s">
        <v>112</v>
      </c>
      <c r="BF397" t="s">
        <v>157</v>
      </c>
      <c r="BG397" t="s">
        <v>133</v>
      </c>
      <c r="BH397" t="s">
        <v>134</v>
      </c>
      <c r="BI397" t="s">
        <v>112</v>
      </c>
      <c r="BJ397" t="s">
        <v>112</v>
      </c>
      <c r="BK397" t="s">
        <v>112</v>
      </c>
      <c r="BL397" t="s">
        <v>158</v>
      </c>
      <c r="BM397" t="s">
        <v>159</v>
      </c>
      <c r="BN397" t="s">
        <v>212</v>
      </c>
      <c r="BO397" t="s">
        <v>161</v>
      </c>
      <c r="BQ397" t="s">
        <v>232</v>
      </c>
      <c r="BR397" s="45">
        <f>ISNUMBER(SEARCH($BR$1,Таблица1[[#This Row],[31_1 Описание и характеристика товара]]))*1</f>
        <v>1</v>
      </c>
      <c r="BT397" t="s">
        <v>150</v>
      </c>
      <c r="BU397">
        <v>33</v>
      </c>
      <c r="BV397">
        <v>0</v>
      </c>
      <c r="BW397">
        <v>0</v>
      </c>
      <c r="BY397">
        <v>0</v>
      </c>
      <c r="CA397" t="s">
        <v>106</v>
      </c>
      <c r="CB397" t="s">
        <v>142</v>
      </c>
      <c r="CC397" t="s">
        <v>112</v>
      </c>
      <c r="CD397" t="s">
        <v>112</v>
      </c>
      <c r="CE397" t="s">
        <v>121</v>
      </c>
      <c r="CF397">
        <v>14659.37</v>
      </c>
      <c r="CG397" t="s">
        <v>144</v>
      </c>
      <c r="CH397">
        <v>4000000</v>
      </c>
      <c r="CI397">
        <v>14370.77</v>
      </c>
      <c r="CJ397">
        <v>0</v>
      </c>
      <c r="CK397" t="s">
        <v>112</v>
      </c>
      <c r="CL397" t="s">
        <v>112</v>
      </c>
      <c r="CM397">
        <v>39285.25</v>
      </c>
      <c r="CO397">
        <v>0</v>
      </c>
      <c r="CP397">
        <v>1</v>
      </c>
      <c r="CQ397">
        <v>4453278.55</v>
      </c>
      <c r="CR397">
        <v>45734.51</v>
      </c>
      <c r="CS397" t="s">
        <v>145</v>
      </c>
      <c r="CT397">
        <v>45699.048600000002</v>
      </c>
      <c r="CU397">
        <v>3.18</v>
      </c>
      <c r="CV397">
        <v>45</v>
      </c>
      <c r="CX397" t="s">
        <v>163</v>
      </c>
      <c r="CY397">
        <v>243</v>
      </c>
    </row>
    <row r="398" spans="1:103" x14ac:dyDescent="0.25">
      <c r="A398" t="s">
        <v>106</v>
      </c>
      <c r="B398" s="38">
        <v>44994</v>
      </c>
      <c r="C398" s="43">
        <f>IF(YEAR(Таблица1[[#This Row],[Дата]])=2023,MONTH(Таблица1[[#This Row],[Дата]]),0)</f>
        <v>3</v>
      </c>
      <c r="D398" t="s">
        <v>2081</v>
      </c>
      <c r="E398" t="s">
        <v>108</v>
      </c>
      <c r="F398" t="s">
        <v>2082</v>
      </c>
      <c r="G398" t="s">
        <v>110</v>
      </c>
      <c r="H398" t="s">
        <v>111</v>
      </c>
      <c r="I398" t="s">
        <v>112</v>
      </c>
      <c r="J398" t="s">
        <v>112</v>
      </c>
      <c r="K398" t="s">
        <v>112</v>
      </c>
      <c r="L398" t="s">
        <v>150</v>
      </c>
      <c r="M398" t="s">
        <v>151</v>
      </c>
      <c r="N398" t="s">
        <v>112</v>
      </c>
      <c r="O398" t="s">
        <v>112</v>
      </c>
      <c r="P398">
        <v>1</v>
      </c>
      <c r="R398">
        <v>1</v>
      </c>
      <c r="S398">
        <v>33</v>
      </c>
      <c r="T398" t="s">
        <v>112</v>
      </c>
      <c r="U398" t="s">
        <v>152</v>
      </c>
      <c r="V398" t="s">
        <v>153</v>
      </c>
      <c r="W398" t="s">
        <v>154</v>
      </c>
      <c r="X398" t="s">
        <v>119</v>
      </c>
      <c r="Y398" t="s">
        <v>112</v>
      </c>
      <c r="Z398" t="s">
        <v>112</v>
      </c>
      <c r="AA398" t="s">
        <v>152</v>
      </c>
      <c r="AB398" t="s">
        <v>153</v>
      </c>
      <c r="AC398" t="s">
        <v>154</v>
      </c>
      <c r="AD398" t="s">
        <v>119</v>
      </c>
      <c r="AE398" t="s">
        <v>112</v>
      </c>
      <c r="AF398" t="s">
        <v>121</v>
      </c>
      <c r="AG398" t="s">
        <v>122</v>
      </c>
      <c r="AH398">
        <v>4453278.55</v>
      </c>
      <c r="AI398" t="s">
        <v>112</v>
      </c>
      <c r="AJ398" t="s">
        <v>152</v>
      </c>
      <c r="AK398" t="s">
        <v>153</v>
      </c>
      <c r="AL398" t="s">
        <v>154</v>
      </c>
      <c r="AM398" t="s">
        <v>119</v>
      </c>
      <c r="AN398" t="s">
        <v>112</v>
      </c>
      <c r="AO398" t="s">
        <v>121</v>
      </c>
      <c r="AP398" t="s">
        <v>122</v>
      </c>
      <c r="AQ398" t="s">
        <v>122</v>
      </c>
      <c r="AR398" t="s">
        <v>124</v>
      </c>
      <c r="AS398" t="s">
        <v>125</v>
      </c>
      <c r="AT398">
        <v>2</v>
      </c>
      <c r="AU398" t="s">
        <v>126</v>
      </c>
      <c r="AV398" t="s">
        <v>155</v>
      </c>
      <c r="AW398" t="s">
        <v>156</v>
      </c>
      <c r="AY398" t="s">
        <v>129</v>
      </c>
      <c r="AZ398">
        <v>39285.25</v>
      </c>
      <c r="BC398">
        <v>102.9059</v>
      </c>
      <c r="BD398" t="s">
        <v>112</v>
      </c>
      <c r="BE398" t="s">
        <v>112</v>
      </c>
      <c r="BF398" t="s">
        <v>157</v>
      </c>
      <c r="BG398" t="s">
        <v>133</v>
      </c>
      <c r="BH398" t="s">
        <v>134</v>
      </c>
      <c r="BI398" t="s">
        <v>112</v>
      </c>
      <c r="BJ398" t="s">
        <v>112</v>
      </c>
      <c r="BK398" t="s">
        <v>112</v>
      </c>
      <c r="BL398" t="s">
        <v>158</v>
      </c>
      <c r="BM398" t="s">
        <v>159</v>
      </c>
      <c r="BN398" t="s">
        <v>212</v>
      </c>
      <c r="BO398" t="s">
        <v>161</v>
      </c>
      <c r="BQ398" t="s">
        <v>232</v>
      </c>
      <c r="BR398" s="45">
        <f>ISNUMBER(SEARCH($BR$1,Таблица1[[#This Row],[31_1 Описание и характеристика товара]]))*1</f>
        <v>1</v>
      </c>
      <c r="BT398" t="s">
        <v>150</v>
      </c>
      <c r="BU398">
        <v>33</v>
      </c>
      <c r="BV398">
        <v>0</v>
      </c>
      <c r="BW398">
        <v>0</v>
      </c>
      <c r="BY398">
        <v>0</v>
      </c>
      <c r="CA398" t="s">
        <v>106</v>
      </c>
      <c r="CB398" t="s">
        <v>142</v>
      </c>
      <c r="CC398" t="s">
        <v>112</v>
      </c>
      <c r="CD398" t="s">
        <v>112</v>
      </c>
      <c r="CE398" t="s">
        <v>121</v>
      </c>
      <c r="CF398">
        <v>14659.37</v>
      </c>
      <c r="CG398" t="s">
        <v>144</v>
      </c>
      <c r="CH398">
        <v>4000000</v>
      </c>
      <c r="CI398">
        <v>14370.77</v>
      </c>
      <c r="CJ398">
        <v>0</v>
      </c>
      <c r="CK398" t="s">
        <v>112</v>
      </c>
      <c r="CL398" t="s">
        <v>112</v>
      </c>
      <c r="CM398">
        <v>39285.25</v>
      </c>
      <c r="CO398">
        <v>0</v>
      </c>
      <c r="CP398">
        <v>1</v>
      </c>
      <c r="CQ398">
        <v>4453278.55</v>
      </c>
      <c r="CR398">
        <v>45734.51</v>
      </c>
      <c r="CS398" t="s">
        <v>145</v>
      </c>
      <c r="CT398">
        <v>45699.048600000002</v>
      </c>
      <c r="CU398">
        <v>3.18</v>
      </c>
      <c r="CV398">
        <v>45</v>
      </c>
      <c r="CX398" t="s">
        <v>163</v>
      </c>
      <c r="CY398">
        <v>243</v>
      </c>
    </row>
    <row r="399" spans="1:103" x14ac:dyDescent="0.25">
      <c r="A399" t="s">
        <v>106</v>
      </c>
      <c r="B399" s="38">
        <v>45153</v>
      </c>
      <c r="C399" s="43">
        <f>IF(YEAR(Таблица1[[#This Row],[Дата]])=2023,MONTH(Таблица1[[#This Row],[Дата]]),0)</f>
        <v>8</v>
      </c>
      <c r="D399" t="s">
        <v>2095</v>
      </c>
      <c r="E399" t="s">
        <v>108</v>
      </c>
      <c r="F399" t="s">
        <v>2096</v>
      </c>
      <c r="G399" t="s">
        <v>110</v>
      </c>
      <c r="H399" t="s">
        <v>111</v>
      </c>
      <c r="I399" t="s">
        <v>112</v>
      </c>
      <c r="J399" t="s">
        <v>112</v>
      </c>
      <c r="K399" t="s">
        <v>112</v>
      </c>
      <c r="L399" t="s">
        <v>150</v>
      </c>
      <c r="M399" t="s">
        <v>151</v>
      </c>
      <c r="N399" t="s">
        <v>112</v>
      </c>
      <c r="O399" t="s">
        <v>112</v>
      </c>
      <c r="P399">
        <v>1</v>
      </c>
      <c r="R399">
        <v>1</v>
      </c>
      <c r="S399">
        <v>33</v>
      </c>
      <c r="T399" t="s">
        <v>112</v>
      </c>
      <c r="U399" t="s">
        <v>152</v>
      </c>
      <c r="V399" t="s">
        <v>153</v>
      </c>
      <c r="W399" t="s">
        <v>154</v>
      </c>
      <c r="X399" t="s">
        <v>119</v>
      </c>
      <c r="Y399" t="s">
        <v>112</v>
      </c>
      <c r="Z399" t="s">
        <v>112</v>
      </c>
      <c r="AA399" t="s">
        <v>152</v>
      </c>
      <c r="AB399" t="s">
        <v>153</v>
      </c>
      <c r="AC399" t="s">
        <v>154</v>
      </c>
      <c r="AD399" t="s">
        <v>119</v>
      </c>
      <c r="AE399" t="s">
        <v>112</v>
      </c>
      <c r="AF399" t="s">
        <v>121</v>
      </c>
      <c r="AG399" t="s">
        <v>122</v>
      </c>
      <c r="AH399">
        <v>5227953.1399999997</v>
      </c>
      <c r="AI399" t="s">
        <v>112</v>
      </c>
      <c r="AJ399" t="s">
        <v>152</v>
      </c>
      <c r="AK399" t="s">
        <v>153</v>
      </c>
      <c r="AL399" t="s">
        <v>154</v>
      </c>
      <c r="AM399" t="s">
        <v>119</v>
      </c>
      <c r="AN399" t="s">
        <v>112</v>
      </c>
      <c r="AO399" t="s">
        <v>121</v>
      </c>
      <c r="AP399" t="s">
        <v>122</v>
      </c>
      <c r="AQ399" t="s">
        <v>122</v>
      </c>
      <c r="AR399" t="s">
        <v>124</v>
      </c>
      <c r="AS399" t="s">
        <v>125</v>
      </c>
      <c r="AT399">
        <v>2</v>
      </c>
      <c r="AU399" t="s">
        <v>126</v>
      </c>
      <c r="AV399" t="s">
        <v>155</v>
      </c>
      <c r="AW399" t="s">
        <v>156</v>
      </c>
      <c r="AY399" t="s">
        <v>129</v>
      </c>
      <c r="AZ399">
        <v>46283.24</v>
      </c>
      <c r="BC399">
        <v>102.9059</v>
      </c>
      <c r="BD399" t="s">
        <v>112</v>
      </c>
      <c r="BE399" t="s">
        <v>112</v>
      </c>
      <c r="BF399" t="s">
        <v>157</v>
      </c>
      <c r="BG399" t="s">
        <v>133</v>
      </c>
      <c r="BH399" t="s">
        <v>134</v>
      </c>
      <c r="BI399" t="s">
        <v>112</v>
      </c>
      <c r="BJ399" t="s">
        <v>112</v>
      </c>
      <c r="BK399" t="s">
        <v>112</v>
      </c>
      <c r="BL399" t="s">
        <v>158</v>
      </c>
      <c r="BM399" t="s">
        <v>159</v>
      </c>
      <c r="BN399" t="s">
        <v>212</v>
      </c>
      <c r="BO399" t="s">
        <v>161</v>
      </c>
      <c r="BQ399" t="s">
        <v>2097</v>
      </c>
      <c r="BR399" s="45">
        <f>ISNUMBER(SEARCH($BR$1,Таблица1[[#This Row],[31_1 Описание и характеристика товара]]))*1</f>
        <v>1</v>
      </c>
      <c r="BT399" t="s">
        <v>150</v>
      </c>
      <c r="BU399">
        <v>33</v>
      </c>
      <c r="BV399">
        <v>0</v>
      </c>
      <c r="BW399">
        <v>0</v>
      </c>
      <c r="BY399">
        <v>0</v>
      </c>
      <c r="CA399" t="s">
        <v>106</v>
      </c>
      <c r="CB399" t="s">
        <v>142</v>
      </c>
      <c r="CC399" t="s">
        <v>112</v>
      </c>
      <c r="CD399" t="s">
        <v>112</v>
      </c>
      <c r="CE399" t="s">
        <v>121</v>
      </c>
      <c r="CF399">
        <v>14795.47</v>
      </c>
      <c r="CG399" t="s">
        <v>144</v>
      </c>
      <c r="CH399">
        <v>4000000</v>
      </c>
      <c r="CI399">
        <v>14529.07</v>
      </c>
      <c r="CJ399">
        <v>0</v>
      </c>
      <c r="CK399" t="s">
        <v>112</v>
      </c>
      <c r="CL399" t="s">
        <v>112</v>
      </c>
      <c r="CM399">
        <v>46283.24</v>
      </c>
      <c r="CO399">
        <v>0</v>
      </c>
      <c r="CP399">
        <v>1</v>
      </c>
      <c r="CQ399">
        <v>5227953.1399999997</v>
      </c>
      <c r="CR399">
        <v>53690.3</v>
      </c>
      <c r="CS399" t="s">
        <v>145</v>
      </c>
      <c r="CT399">
        <v>53757.559000000001</v>
      </c>
      <c r="CU399">
        <v>3.7</v>
      </c>
      <c r="CV399">
        <v>45</v>
      </c>
      <c r="CX399" t="s">
        <v>233</v>
      </c>
      <c r="CY399">
        <v>42</v>
      </c>
    </row>
    <row r="400" spans="1:103" x14ac:dyDescent="0.25">
      <c r="A400" t="s">
        <v>106</v>
      </c>
      <c r="B400" s="38">
        <v>45278</v>
      </c>
      <c r="C400" s="43">
        <f>IF(YEAR(Таблица1[[#This Row],[Дата]])=2023,MONTH(Таблица1[[#This Row],[Дата]]),0)</f>
        <v>12</v>
      </c>
      <c r="D400" t="s">
        <v>2095</v>
      </c>
      <c r="E400" t="s">
        <v>108</v>
      </c>
      <c r="F400" t="s">
        <v>2096</v>
      </c>
      <c r="G400" t="s">
        <v>110</v>
      </c>
      <c r="H400" t="s">
        <v>111</v>
      </c>
      <c r="I400" t="s">
        <v>112</v>
      </c>
      <c r="J400" t="s">
        <v>112</v>
      </c>
      <c r="K400" t="s">
        <v>112</v>
      </c>
      <c r="L400" t="s">
        <v>150</v>
      </c>
      <c r="M400" t="s">
        <v>151</v>
      </c>
      <c r="N400" t="s">
        <v>112</v>
      </c>
      <c r="O400" t="s">
        <v>112</v>
      </c>
      <c r="P400">
        <v>1</v>
      </c>
      <c r="R400">
        <v>1</v>
      </c>
      <c r="S400">
        <v>33</v>
      </c>
      <c r="T400" t="s">
        <v>112</v>
      </c>
      <c r="U400" t="s">
        <v>152</v>
      </c>
      <c r="V400" t="s">
        <v>153</v>
      </c>
      <c r="W400" t="s">
        <v>154</v>
      </c>
      <c r="X400" t="s">
        <v>119</v>
      </c>
      <c r="Y400" t="s">
        <v>112</v>
      </c>
      <c r="Z400" t="s">
        <v>112</v>
      </c>
      <c r="AA400" t="s">
        <v>152</v>
      </c>
      <c r="AB400" t="s">
        <v>153</v>
      </c>
      <c r="AC400" t="s">
        <v>154</v>
      </c>
      <c r="AD400" t="s">
        <v>119</v>
      </c>
      <c r="AE400" t="s">
        <v>112</v>
      </c>
      <c r="AF400" t="s">
        <v>121</v>
      </c>
      <c r="AG400" t="s">
        <v>122</v>
      </c>
      <c r="AH400">
        <v>5227953.1399999997</v>
      </c>
      <c r="AI400" t="s">
        <v>112</v>
      </c>
      <c r="AJ400" t="s">
        <v>152</v>
      </c>
      <c r="AK400" t="s">
        <v>153</v>
      </c>
      <c r="AL400" t="s">
        <v>154</v>
      </c>
      <c r="AM400" t="s">
        <v>119</v>
      </c>
      <c r="AN400" t="s">
        <v>112</v>
      </c>
      <c r="AO400" t="s">
        <v>121</v>
      </c>
      <c r="AP400" t="s">
        <v>122</v>
      </c>
      <c r="AQ400" t="s">
        <v>122</v>
      </c>
      <c r="AR400" t="s">
        <v>124</v>
      </c>
      <c r="AS400" t="s">
        <v>125</v>
      </c>
      <c r="AT400">
        <v>2</v>
      </c>
      <c r="AU400" t="s">
        <v>126</v>
      </c>
      <c r="AV400" t="s">
        <v>155</v>
      </c>
      <c r="AW400" t="s">
        <v>156</v>
      </c>
      <c r="AY400" t="s">
        <v>129</v>
      </c>
      <c r="AZ400">
        <v>46283.24</v>
      </c>
      <c r="BC400">
        <v>102.9059</v>
      </c>
      <c r="BD400" t="s">
        <v>112</v>
      </c>
      <c r="BE400" t="s">
        <v>112</v>
      </c>
      <c r="BF400" t="s">
        <v>157</v>
      </c>
      <c r="BG400" t="s">
        <v>133</v>
      </c>
      <c r="BH400" t="s">
        <v>134</v>
      </c>
      <c r="BI400" t="s">
        <v>112</v>
      </c>
      <c r="BJ400" t="s">
        <v>112</v>
      </c>
      <c r="BK400" t="s">
        <v>112</v>
      </c>
      <c r="BL400" t="s">
        <v>158</v>
      </c>
      <c r="BM400" t="s">
        <v>159</v>
      </c>
      <c r="BN400" t="s">
        <v>212</v>
      </c>
      <c r="BO400" t="s">
        <v>161</v>
      </c>
      <c r="BQ400" t="s">
        <v>2097</v>
      </c>
      <c r="BR400" s="45">
        <f>ISNUMBER(SEARCH($BR$1,Таблица1[[#This Row],[31_1 Описание и характеристика товара]]))*1</f>
        <v>1</v>
      </c>
      <c r="BT400" t="s">
        <v>150</v>
      </c>
      <c r="BU400">
        <v>33</v>
      </c>
      <c r="BV400">
        <v>0</v>
      </c>
      <c r="BW400">
        <v>0</v>
      </c>
      <c r="BY400">
        <v>0</v>
      </c>
      <c r="CA400" t="s">
        <v>106</v>
      </c>
      <c r="CB400" t="s">
        <v>142</v>
      </c>
      <c r="CC400" t="s">
        <v>112</v>
      </c>
      <c r="CD400" t="s">
        <v>112</v>
      </c>
      <c r="CE400" t="s">
        <v>121</v>
      </c>
      <c r="CF400">
        <v>14795.47</v>
      </c>
      <c r="CG400" t="s">
        <v>144</v>
      </c>
      <c r="CH400">
        <v>4000000</v>
      </c>
      <c r="CI400">
        <v>14529.07</v>
      </c>
      <c r="CJ400">
        <v>0</v>
      </c>
      <c r="CK400" t="s">
        <v>112</v>
      </c>
      <c r="CL400" t="s">
        <v>112</v>
      </c>
      <c r="CM400">
        <v>46283.24</v>
      </c>
      <c r="CO400">
        <v>0</v>
      </c>
      <c r="CP400">
        <v>1</v>
      </c>
      <c r="CQ400">
        <v>5227953.1399999997</v>
      </c>
      <c r="CR400">
        <v>53690.3</v>
      </c>
      <c r="CS400" t="s">
        <v>145</v>
      </c>
      <c r="CT400">
        <v>53757.559000000001</v>
      </c>
      <c r="CU400">
        <v>3.7</v>
      </c>
      <c r="CV400">
        <v>45</v>
      </c>
      <c r="CX400" t="s">
        <v>233</v>
      </c>
      <c r="CY400">
        <v>42</v>
      </c>
    </row>
    <row r="401" spans="1:103" x14ac:dyDescent="0.25">
      <c r="A401" t="s">
        <v>106</v>
      </c>
      <c r="B401" s="38">
        <v>45126</v>
      </c>
      <c r="C401" s="43">
        <f>IF(YEAR(Таблица1[[#This Row],[Дата]])=2023,MONTH(Таблица1[[#This Row],[Дата]]),0)</f>
        <v>7</v>
      </c>
      <c r="D401" t="s">
        <v>1519</v>
      </c>
      <c r="E401" t="s">
        <v>108</v>
      </c>
      <c r="F401" t="s">
        <v>1520</v>
      </c>
      <c r="G401" t="s">
        <v>110</v>
      </c>
      <c r="H401" t="s">
        <v>111</v>
      </c>
      <c r="I401" t="s">
        <v>112</v>
      </c>
      <c r="J401" t="s">
        <v>112</v>
      </c>
      <c r="K401" t="s">
        <v>112</v>
      </c>
      <c r="L401" t="s">
        <v>150</v>
      </c>
      <c r="M401" t="s">
        <v>1060</v>
      </c>
      <c r="N401" t="s">
        <v>112</v>
      </c>
      <c r="O401" t="s">
        <v>112</v>
      </c>
      <c r="P401">
        <v>1</v>
      </c>
      <c r="Q401">
        <v>0</v>
      </c>
      <c r="R401">
        <v>1</v>
      </c>
      <c r="S401">
        <v>33</v>
      </c>
      <c r="T401" t="s">
        <v>166</v>
      </c>
      <c r="U401" t="s">
        <v>152</v>
      </c>
      <c r="V401" t="s">
        <v>153</v>
      </c>
      <c r="W401" t="s">
        <v>154</v>
      </c>
      <c r="X401" t="s">
        <v>119</v>
      </c>
      <c r="Y401" t="s">
        <v>112</v>
      </c>
      <c r="Z401" t="s">
        <v>166</v>
      </c>
      <c r="AA401" t="s">
        <v>152</v>
      </c>
      <c r="AB401" t="s">
        <v>153</v>
      </c>
      <c r="AC401" t="s">
        <v>154</v>
      </c>
      <c r="AD401" t="s">
        <v>119</v>
      </c>
      <c r="AE401" t="s">
        <v>112</v>
      </c>
      <c r="AF401" t="s">
        <v>121</v>
      </c>
      <c r="AG401" t="s">
        <v>122</v>
      </c>
      <c r="AH401">
        <v>5165742.26</v>
      </c>
      <c r="AI401" t="s">
        <v>166</v>
      </c>
      <c r="AJ401" t="s">
        <v>152</v>
      </c>
      <c r="AK401" t="s">
        <v>153</v>
      </c>
      <c r="AL401" t="s">
        <v>154</v>
      </c>
      <c r="AM401" t="s">
        <v>119</v>
      </c>
      <c r="AN401" t="s">
        <v>112</v>
      </c>
      <c r="AO401" t="s">
        <v>121</v>
      </c>
      <c r="AP401" t="s">
        <v>122</v>
      </c>
      <c r="AQ401" t="s">
        <v>122</v>
      </c>
      <c r="AR401" t="s">
        <v>124</v>
      </c>
      <c r="AS401" t="s">
        <v>125</v>
      </c>
      <c r="AT401">
        <v>2</v>
      </c>
      <c r="AU401" t="s">
        <v>126</v>
      </c>
      <c r="AV401" t="s">
        <v>155</v>
      </c>
      <c r="AW401" t="s">
        <v>156</v>
      </c>
      <c r="AX401">
        <v>1</v>
      </c>
      <c r="AY401" t="s">
        <v>129</v>
      </c>
      <c r="AZ401">
        <v>46501.08</v>
      </c>
      <c r="BA401">
        <v>4744370</v>
      </c>
      <c r="BB401">
        <v>56960.06</v>
      </c>
      <c r="BC401">
        <v>102.0271</v>
      </c>
      <c r="BD401" t="s">
        <v>130</v>
      </c>
      <c r="BE401" t="s">
        <v>112</v>
      </c>
      <c r="BF401" t="s">
        <v>157</v>
      </c>
      <c r="BG401" t="s">
        <v>133</v>
      </c>
      <c r="BH401" t="s">
        <v>134</v>
      </c>
      <c r="BI401" t="s">
        <v>112</v>
      </c>
      <c r="BJ401" t="s">
        <v>112</v>
      </c>
      <c r="BK401" t="s">
        <v>112</v>
      </c>
      <c r="BL401" t="s">
        <v>169</v>
      </c>
      <c r="BM401" t="s">
        <v>159</v>
      </c>
      <c r="BN401" t="s">
        <v>722</v>
      </c>
      <c r="BO401" t="s">
        <v>161</v>
      </c>
      <c r="BP401">
        <v>1</v>
      </c>
      <c r="BQ401" t="s">
        <v>1521</v>
      </c>
      <c r="BR401" s="45">
        <f>ISNUMBER(SEARCH($BR$1,Таблица1[[#This Row],[31_1 Описание и характеристика товара]]))*1</f>
        <v>1</v>
      </c>
      <c r="BT401" t="s">
        <v>150</v>
      </c>
      <c r="BU401">
        <v>33</v>
      </c>
      <c r="BV401">
        <v>0</v>
      </c>
      <c r="BW401">
        <v>0</v>
      </c>
      <c r="BY401">
        <v>0</v>
      </c>
      <c r="CA401" t="s">
        <v>106</v>
      </c>
      <c r="CB401" t="s">
        <v>142</v>
      </c>
      <c r="CC401" t="s">
        <v>112</v>
      </c>
      <c r="CD401" t="s">
        <v>112</v>
      </c>
      <c r="CE401" t="s">
        <v>121</v>
      </c>
      <c r="CF401">
        <v>17133.86</v>
      </c>
      <c r="CG401" t="s">
        <v>144</v>
      </c>
      <c r="CH401">
        <v>4000000</v>
      </c>
      <c r="CI401">
        <v>17133.86</v>
      </c>
      <c r="CJ401">
        <v>0</v>
      </c>
      <c r="CK401" t="s">
        <v>112</v>
      </c>
      <c r="CL401" t="s">
        <v>112</v>
      </c>
      <c r="CM401">
        <v>46501.08</v>
      </c>
      <c r="CN401">
        <v>4744370</v>
      </c>
      <c r="CO401">
        <v>0</v>
      </c>
      <c r="CP401">
        <v>1</v>
      </c>
      <c r="CQ401">
        <v>5165742.26</v>
      </c>
      <c r="CR401">
        <v>56960.06</v>
      </c>
      <c r="CS401" t="s">
        <v>145</v>
      </c>
      <c r="CT401">
        <v>56884.415199999996</v>
      </c>
      <c r="CU401">
        <v>3.32</v>
      </c>
      <c r="CV401">
        <v>45</v>
      </c>
      <c r="CW401" t="s">
        <v>171</v>
      </c>
      <c r="CX401" t="s">
        <v>372</v>
      </c>
      <c r="CY401">
        <v>9</v>
      </c>
    </row>
    <row r="402" spans="1:103" x14ac:dyDescent="0.25">
      <c r="A402" t="s">
        <v>106</v>
      </c>
      <c r="B402" s="38">
        <v>45170</v>
      </c>
      <c r="C402" s="43">
        <f>IF(YEAR(Таблица1[[#This Row],[Дата]])=2023,MONTH(Таблица1[[#This Row],[Дата]]),0)</f>
        <v>9</v>
      </c>
      <c r="D402" t="s">
        <v>1517</v>
      </c>
      <c r="E402" t="s">
        <v>108</v>
      </c>
      <c r="F402" t="s">
        <v>1518</v>
      </c>
      <c r="G402" t="s">
        <v>110</v>
      </c>
      <c r="H402" t="s">
        <v>111</v>
      </c>
      <c r="I402" t="s">
        <v>112</v>
      </c>
      <c r="J402" t="s">
        <v>112</v>
      </c>
      <c r="K402" t="s">
        <v>112</v>
      </c>
      <c r="L402" t="s">
        <v>150</v>
      </c>
      <c r="M402" t="s">
        <v>1060</v>
      </c>
      <c r="N402" t="s">
        <v>112</v>
      </c>
      <c r="O402" t="s">
        <v>112</v>
      </c>
      <c r="P402">
        <v>1</v>
      </c>
      <c r="Q402">
        <v>0</v>
      </c>
      <c r="R402">
        <v>1</v>
      </c>
      <c r="S402">
        <v>33</v>
      </c>
      <c r="T402" t="s">
        <v>166</v>
      </c>
      <c r="U402" t="s">
        <v>152</v>
      </c>
      <c r="V402" t="s">
        <v>153</v>
      </c>
      <c r="W402" t="s">
        <v>154</v>
      </c>
      <c r="X402" t="s">
        <v>119</v>
      </c>
      <c r="Y402" t="s">
        <v>112</v>
      </c>
      <c r="Z402" t="s">
        <v>166</v>
      </c>
      <c r="AA402" t="s">
        <v>152</v>
      </c>
      <c r="AB402" t="s">
        <v>153</v>
      </c>
      <c r="AC402" t="s">
        <v>154</v>
      </c>
      <c r="AD402" t="s">
        <v>119</v>
      </c>
      <c r="AE402" t="s">
        <v>112</v>
      </c>
      <c r="AF402" t="s">
        <v>121</v>
      </c>
      <c r="AG402" t="s">
        <v>122</v>
      </c>
      <c r="AH402">
        <v>5183198.08</v>
      </c>
      <c r="AI402" t="s">
        <v>166</v>
      </c>
      <c r="AJ402" t="s">
        <v>152</v>
      </c>
      <c r="AK402" t="s">
        <v>153</v>
      </c>
      <c r="AL402" t="s">
        <v>154</v>
      </c>
      <c r="AM402" t="s">
        <v>119</v>
      </c>
      <c r="AN402" t="s">
        <v>112</v>
      </c>
      <c r="AO402" t="s">
        <v>121</v>
      </c>
      <c r="AP402" t="s">
        <v>122</v>
      </c>
      <c r="AQ402" t="s">
        <v>122</v>
      </c>
      <c r="AR402" t="s">
        <v>124</v>
      </c>
      <c r="AS402" t="s">
        <v>125</v>
      </c>
      <c r="AT402">
        <v>2</v>
      </c>
      <c r="AU402" t="s">
        <v>126</v>
      </c>
      <c r="AV402" t="s">
        <v>155</v>
      </c>
      <c r="AW402" t="s">
        <v>156</v>
      </c>
      <c r="AX402">
        <v>1</v>
      </c>
      <c r="AY402" t="s">
        <v>129</v>
      </c>
      <c r="AZ402">
        <v>46672.17</v>
      </c>
      <c r="BA402">
        <v>4761826</v>
      </c>
      <c r="BB402">
        <v>57152.54</v>
      </c>
      <c r="BC402">
        <v>102.0271</v>
      </c>
      <c r="BD402" t="s">
        <v>130</v>
      </c>
      <c r="BE402" t="s">
        <v>112</v>
      </c>
      <c r="BF402" t="s">
        <v>157</v>
      </c>
      <c r="BG402" t="s">
        <v>133</v>
      </c>
      <c r="BH402" t="s">
        <v>134</v>
      </c>
      <c r="BI402" t="s">
        <v>112</v>
      </c>
      <c r="BJ402" t="s">
        <v>112</v>
      </c>
      <c r="BK402" t="s">
        <v>112</v>
      </c>
      <c r="BL402" t="s">
        <v>169</v>
      </c>
      <c r="BM402" t="s">
        <v>159</v>
      </c>
      <c r="BN402" t="s">
        <v>722</v>
      </c>
      <c r="BO402" t="s">
        <v>161</v>
      </c>
      <c r="BP402">
        <v>1</v>
      </c>
      <c r="BQ402" t="s">
        <v>205</v>
      </c>
      <c r="BR402" s="45">
        <f>ISNUMBER(SEARCH($BR$1,Таблица1[[#This Row],[31_1 Описание и характеристика товара]]))*1</f>
        <v>1</v>
      </c>
      <c r="BT402" t="s">
        <v>150</v>
      </c>
      <c r="BU402">
        <v>33</v>
      </c>
      <c r="BV402">
        <v>0</v>
      </c>
      <c r="BW402">
        <v>0</v>
      </c>
      <c r="BY402">
        <v>0</v>
      </c>
      <c r="CA402" t="s">
        <v>106</v>
      </c>
      <c r="CB402" t="s">
        <v>142</v>
      </c>
      <c r="CC402" t="s">
        <v>112</v>
      </c>
      <c r="CD402" t="s">
        <v>112</v>
      </c>
      <c r="CE402" t="s">
        <v>121</v>
      </c>
      <c r="CF402">
        <v>17113.47</v>
      </c>
      <c r="CG402" t="s">
        <v>144</v>
      </c>
      <c r="CH402">
        <v>4000000</v>
      </c>
      <c r="CI402">
        <v>17113.47</v>
      </c>
      <c r="CJ402">
        <v>0</v>
      </c>
      <c r="CK402" t="s">
        <v>112</v>
      </c>
      <c r="CL402" t="s">
        <v>112</v>
      </c>
      <c r="CM402">
        <v>46672.17</v>
      </c>
      <c r="CN402">
        <v>4761826</v>
      </c>
      <c r="CO402">
        <v>0</v>
      </c>
      <c r="CP402">
        <v>1</v>
      </c>
      <c r="CQ402">
        <v>5183198.08</v>
      </c>
      <c r="CR402">
        <v>57152.54</v>
      </c>
      <c r="CS402" t="s">
        <v>145</v>
      </c>
      <c r="CT402">
        <v>57158.989800000003</v>
      </c>
      <c r="CU402">
        <v>3.34</v>
      </c>
      <c r="CV402">
        <v>45</v>
      </c>
      <c r="CW402" t="s">
        <v>171</v>
      </c>
      <c r="CX402" t="s">
        <v>369</v>
      </c>
      <c r="CY402">
        <v>152</v>
      </c>
    </row>
    <row r="403" spans="1:103" x14ac:dyDescent="0.25">
      <c r="A403" t="s">
        <v>106</v>
      </c>
      <c r="B403" s="38">
        <v>45051</v>
      </c>
      <c r="C403" s="43">
        <f>IF(YEAR(Таблица1[[#This Row],[Дата]])=2023,MONTH(Таблица1[[#This Row],[Дата]]),0)</f>
        <v>5</v>
      </c>
      <c r="D403" t="s">
        <v>1514</v>
      </c>
      <c r="E403" t="s">
        <v>108</v>
      </c>
      <c r="F403" t="s">
        <v>1515</v>
      </c>
      <c r="G403" t="s">
        <v>110</v>
      </c>
      <c r="H403" t="s">
        <v>111</v>
      </c>
      <c r="I403" t="s">
        <v>112</v>
      </c>
      <c r="J403" t="s">
        <v>112</v>
      </c>
      <c r="K403" t="s">
        <v>112</v>
      </c>
      <c r="L403" t="s">
        <v>150</v>
      </c>
      <c r="M403" t="s">
        <v>1060</v>
      </c>
      <c r="N403" t="s">
        <v>112</v>
      </c>
      <c r="O403" t="s">
        <v>112</v>
      </c>
      <c r="P403">
        <v>1</v>
      </c>
      <c r="Q403">
        <v>0</v>
      </c>
      <c r="R403">
        <v>1</v>
      </c>
      <c r="S403">
        <v>33</v>
      </c>
      <c r="T403" t="s">
        <v>166</v>
      </c>
      <c r="U403" t="s">
        <v>152</v>
      </c>
      <c r="V403" t="s">
        <v>153</v>
      </c>
      <c r="W403" t="s">
        <v>154</v>
      </c>
      <c r="X403" t="s">
        <v>119</v>
      </c>
      <c r="Y403" t="s">
        <v>112</v>
      </c>
      <c r="Z403" t="s">
        <v>166</v>
      </c>
      <c r="AA403" t="s">
        <v>152</v>
      </c>
      <c r="AB403" t="s">
        <v>153</v>
      </c>
      <c r="AC403" t="s">
        <v>154</v>
      </c>
      <c r="AD403" t="s">
        <v>119</v>
      </c>
      <c r="AE403" t="s">
        <v>112</v>
      </c>
      <c r="AF403" t="s">
        <v>121</v>
      </c>
      <c r="AG403" t="s">
        <v>122</v>
      </c>
      <c r="AH403">
        <v>4823427.05</v>
      </c>
      <c r="AI403" t="s">
        <v>166</v>
      </c>
      <c r="AJ403" t="s">
        <v>152</v>
      </c>
      <c r="AK403" t="s">
        <v>153</v>
      </c>
      <c r="AL403" t="s">
        <v>154</v>
      </c>
      <c r="AM403" t="s">
        <v>119</v>
      </c>
      <c r="AN403" t="s">
        <v>112</v>
      </c>
      <c r="AO403" t="s">
        <v>121</v>
      </c>
      <c r="AP403" t="s">
        <v>122</v>
      </c>
      <c r="AQ403" t="s">
        <v>122</v>
      </c>
      <c r="AR403" t="s">
        <v>124</v>
      </c>
      <c r="AS403" t="s">
        <v>125</v>
      </c>
      <c r="AT403">
        <v>2</v>
      </c>
      <c r="AU403" t="s">
        <v>126</v>
      </c>
      <c r="AV403" t="s">
        <v>155</v>
      </c>
      <c r="AW403" t="s">
        <v>156</v>
      </c>
      <c r="AX403">
        <v>1</v>
      </c>
      <c r="AY403" t="s">
        <v>129</v>
      </c>
      <c r="AZ403">
        <v>43145.94</v>
      </c>
      <c r="BA403">
        <v>4402055</v>
      </c>
      <c r="BB403">
        <v>53185.52</v>
      </c>
      <c r="BC403">
        <v>102.0271</v>
      </c>
      <c r="BD403" t="s">
        <v>130</v>
      </c>
      <c r="BE403" t="s">
        <v>112</v>
      </c>
      <c r="BF403" t="s">
        <v>157</v>
      </c>
      <c r="BG403" t="s">
        <v>133</v>
      </c>
      <c r="BH403" t="s">
        <v>134</v>
      </c>
      <c r="BI403" t="s">
        <v>112</v>
      </c>
      <c r="BJ403" t="s">
        <v>112</v>
      </c>
      <c r="BK403" t="s">
        <v>112</v>
      </c>
      <c r="BL403" t="s">
        <v>169</v>
      </c>
      <c r="BM403" t="s">
        <v>159</v>
      </c>
      <c r="BN403" t="s">
        <v>722</v>
      </c>
      <c r="BO403" t="s">
        <v>161</v>
      </c>
      <c r="BP403">
        <v>1</v>
      </c>
      <c r="BQ403" t="s">
        <v>1516</v>
      </c>
      <c r="BR403" s="45">
        <f>ISNUMBER(SEARCH($BR$1,Таблица1[[#This Row],[31_1 Описание и характеристика товара]]))*1</f>
        <v>1</v>
      </c>
      <c r="BT403" t="s">
        <v>150</v>
      </c>
      <c r="BU403">
        <v>33</v>
      </c>
      <c r="BV403">
        <v>0</v>
      </c>
      <c r="BW403">
        <v>0</v>
      </c>
      <c r="BY403">
        <v>0</v>
      </c>
      <c r="CA403" t="s">
        <v>106</v>
      </c>
      <c r="CB403" t="s">
        <v>142</v>
      </c>
      <c r="CC403" t="s">
        <v>112</v>
      </c>
      <c r="CD403" t="s">
        <v>112</v>
      </c>
      <c r="CE403" t="s">
        <v>121</v>
      </c>
      <c r="CF403">
        <v>16592.060000000001</v>
      </c>
      <c r="CG403" t="s">
        <v>144</v>
      </c>
      <c r="CH403">
        <v>4000000</v>
      </c>
      <c r="CI403">
        <v>16556.060000000001</v>
      </c>
      <c r="CJ403">
        <v>0</v>
      </c>
      <c r="CK403" t="s">
        <v>112</v>
      </c>
      <c r="CL403" t="s">
        <v>112</v>
      </c>
      <c r="CM403">
        <v>43145.94</v>
      </c>
      <c r="CN403">
        <v>4402055</v>
      </c>
      <c r="CO403">
        <v>0</v>
      </c>
      <c r="CP403">
        <v>1</v>
      </c>
      <c r="CQ403">
        <v>4823427.05</v>
      </c>
      <c r="CR403">
        <v>53185.52</v>
      </c>
      <c r="CS403" t="s">
        <v>145</v>
      </c>
      <c r="CT403">
        <v>53144.952600000004</v>
      </c>
      <c r="CU403">
        <v>3.21</v>
      </c>
      <c r="CV403">
        <v>45</v>
      </c>
      <c r="CW403" t="s">
        <v>171</v>
      </c>
      <c r="CX403" t="s">
        <v>350</v>
      </c>
      <c r="CY403">
        <v>80</v>
      </c>
    </row>
    <row r="404" spans="1:103" x14ac:dyDescent="0.25">
      <c r="A404" t="s">
        <v>106</v>
      </c>
      <c r="B404" s="38">
        <v>45180</v>
      </c>
      <c r="C404" s="43">
        <f>IF(YEAR(Таблица1[[#This Row],[Дата]])=2023,MONTH(Таблица1[[#This Row],[Дата]]),0)</f>
        <v>9</v>
      </c>
      <c r="D404" t="s">
        <v>1522</v>
      </c>
      <c r="E404" t="s">
        <v>108</v>
      </c>
      <c r="F404" t="s">
        <v>1523</v>
      </c>
      <c r="G404" t="s">
        <v>110</v>
      </c>
      <c r="H404" t="s">
        <v>111</v>
      </c>
      <c r="I404" t="s">
        <v>112</v>
      </c>
      <c r="J404" t="s">
        <v>112</v>
      </c>
      <c r="K404" t="s">
        <v>112</v>
      </c>
      <c r="L404" t="s">
        <v>175</v>
      </c>
      <c r="M404" t="s">
        <v>1085</v>
      </c>
      <c r="N404" t="s">
        <v>112</v>
      </c>
      <c r="O404" t="s">
        <v>112</v>
      </c>
      <c r="P404">
        <v>1</v>
      </c>
      <c r="Q404">
        <v>0</v>
      </c>
      <c r="R404">
        <v>1</v>
      </c>
      <c r="S404">
        <v>33</v>
      </c>
      <c r="T404" t="s">
        <v>166</v>
      </c>
      <c r="U404" t="s">
        <v>152</v>
      </c>
      <c r="V404" t="s">
        <v>153</v>
      </c>
      <c r="W404" t="s">
        <v>154</v>
      </c>
      <c r="X404" t="s">
        <v>119</v>
      </c>
      <c r="Y404" t="s">
        <v>112</v>
      </c>
      <c r="Z404" t="s">
        <v>166</v>
      </c>
      <c r="AA404" t="s">
        <v>152</v>
      </c>
      <c r="AB404" t="s">
        <v>153</v>
      </c>
      <c r="AC404" t="s">
        <v>154</v>
      </c>
      <c r="AD404" t="s">
        <v>119</v>
      </c>
      <c r="AE404" t="s">
        <v>112</v>
      </c>
      <c r="AF404" t="s">
        <v>121</v>
      </c>
      <c r="AG404" t="s">
        <v>122</v>
      </c>
      <c r="AH404">
        <v>4450120.0999999996</v>
      </c>
      <c r="AI404" t="s">
        <v>166</v>
      </c>
      <c r="AJ404" t="s">
        <v>152</v>
      </c>
      <c r="AK404" t="s">
        <v>153</v>
      </c>
      <c r="AL404" t="s">
        <v>154</v>
      </c>
      <c r="AM404" t="s">
        <v>119</v>
      </c>
      <c r="AN404" t="s">
        <v>112</v>
      </c>
      <c r="AO404" t="s">
        <v>121</v>
      </c>
      <c r="AP404" t="s">
        <v>122</v>
      </c>
      <c r="AQ404" t="s">
        <v>122</v>
      </c>
      <c r="AR404" t="s">
        <v>124</v>
      </c>
      <c r="AS404" t="s">
        <v>125</v>
      </c>
      <c r="AT404">
        <v>2</v>
      </c>
      <c r="AU404" t="s">
        <v>126</v>
      </c>
      <c r="AV404" t="s">
        <v>155</v>
      </c>
      <c r="AW404" t="s">
        <v>156</v>
      </c>
      <c r="AX404">
        <v>1</v>
      </c>
      <c r="AY404" t="s">
        <v>129</v>
      </c>
      <c r="AZ404">
        <v>39487.040000000001</v>
      </c>
      <c r="BA404">
        <v>4028748</v>
      </c>
      <c r="BB404">
        <v>49069.25</v>
      </c>
      <c r="BC404">
        <v>102.0271</v>
      </c>
      <c r="BD404" t="s">
        <v>130</v>
      </c>
      <c r="BE404" t="s">
        <v>112</v>
      </c>
      <c r="BF404" t="s">
        <v>157</v>
      </c>
      <c r="BG404" t="s">
        <v>133</v>
      </c>
      <c r="BH404" t="s">
        <v>134</v>
      </c>
      <c r="BI404" t="s">
        <v>112</v>
      </c>
      <c r="BJ404" t="s">
        <v>112</v>
      </c>
      <c r="BK404" t="s">
        <v>112</v>
      </c>
      <c r="BL404" t="s">
        <v>169</v>
      </c>
      <c r="BM404" t="s">
        <v>159</v>
      </c>
      <c r="BN404" t="s">
        <v>722</v>
      </c>
      <c r="BO404" t="s">
        <v>161</v>
      </c>
      <c r="BP404">
        <v>1</v>
      </c>
      <c r="BQ404" t="s">
        <v>1524</v>
      </c>
      <c r="BR404" s="45">
        <f>ISNUMBER(SEARCH($BR$1,Таблица1[[#This Row],[31_1 Описание и характеристика товара]]))*1</f>
        <v>1</v>
      </c>
      <c r="BT404" t="s">
        <v>150</v>
      </c>
      <c r="BU404">
        <v>33</v>
      </c>
      <c r="BV404">
        <v>0</v>
      </c>
      <c r="BW404">
        <v>0</v>
      </c>
      <c r="BY404">
        <v>0</v>
      </c>
      <c r="CA404" t="s">
        <v>106</v>
      </c>
      <c r="CB404" t="s">
        <v>142</v>
      </c>
      <c r="CC404" t="s">
        <v>112</v>
      </c>
      <c r="CD404" t="s">
        <v>112</v>
      </c>
      <c r="CE404" t="s">
        <v>121</v>
      </c>
      <c r="CF404">
        <v>16557.650000000001</v>
      </c>
      <c r="CG404" t="s">
        <v>144</v>
      </c>
      <c r="CH404">
        <v>4000000</v>
      </c>
      <c r="CI404">
        <v>16444.849999999999</v>
      </c>
      <c r="CJ404">
        <v>0</v>
      </c>
      <c r="CK404" t="s">
        <v>112</v>
      </c>
      <c r="CL404" t="s">
        <v>112</v>
      </c>
      <c r="CM404">
        <v>39487.040000000001</v>
      </c>
      <c r="CN404">
        <v>4028748</v>
      </c>
      <c r="CO404">
        <v>0</v>
      </c>
      <c r="CP404">
        <v>1</v>
      </c>
      <c r="CQ404">
        <v>4450120.0999999996</v>
      </c>
      <c r="CR404">
        <v>49069.25</v>
      </c>
      <c r="CS404" t="s">
        <v>145</v>
      </c>
      <c r="CT404">
        <v>49005.652999999998</v>
      </c>
      <c r="CU404">
        <v>2.98</v>
      </c>
      <c r="CV404">
        <v>45</v>
      </c>
      <c r="CW404" t="s">
        <v>171</v>
      </c>
      <c r="CX404" t="s">
        <v>463</v>
      </c>
      <c r="CY404">
        <v>127</v>
      </c>
    </row>
    <row r="405" spans="1:103" x14ac:dyDescent="0.25">
      <c r="A405" t="s">
        <v>106</v>
      </c>
      <c r="B405" s="38">
        <v>45275</v>
      </c>
      <c r="C405" s="43">
        <f>IF(YEAR(Таблица1[[#This Row],[Дата]])=2023,MONTH(Таблица1[[#This Row],[Дата]]),0)</f>
        <v>12</v>
      </c>
      <c r="D405" t="s">
        <v>1336</v>
      </c>
      <c r="E405" t="s">
        <v>108</v>
      </c>
      <c r="F405" t="s">
        <v>1337</v>
      </c>
      <c r="G405" t="s">
        <v>110</v>
      </c>
      <c r="H405" t="s">
        <v>111</v>
      </c>
      <c r="I405" t="s">
        <v>112</v>
      </c>
      <c r="J405" t="s">
        <v>112</v>
      </c>
      <c r="K405" t="s">
        <v>112</v>
      </c>
      <c r="L405" t="s">
        <v>150</v>
      </c>
      <c r="M405" t="s">
        <v>1020</v>
      </c>
      <c r="N405" t="s">
        <v>112</v>
      </c>
      <c r="O405" t="s">
        <v>112</v>
      </c>
      <c r="P405">
        <v>1</v>
      </c>
      <c r="Q405">
        <v>0</v>
      </c>
      <c r="R405">
        <v>1</v>
      </c>
      <c r="S405">
        <v>33</v>
      </c>
      <c r="T405" t="s">
        <v>166</v>
      </c>
      <c r="U405" t="s">
        <v>152</v>
      </c>
      <c r="V405" t="s">
        <v>153</v>
      </c>
      <c r="W405" t="s">
        <v>154</v>
      </c>
      <c r="X405" t="s">
        <v>119</v>
      </c>
      <c r="Y405" t="s">
        <v>112</v>
      </c>
      <c r="Z405" t="s">
        <v>166</v>
      </c>
      <c r="AA405" t="s">
        <v>152</v>
      </c>
      <c r="AB405" t="s">
        <v>153</v>
      </c>
      <c r="AC405" t="s">
        <v>154</v>
      </c>
      <c r="AD405" t="s">
        <v>119</v>
      </c>
      <c r="AE405" t="s">
        <v>112</v>
      </c>
      <c r="AF405" t="s">
        <v>121</v>
      </c>
      <c r="AG405" t="s">
        <v>122</v>
      </c>
      <c r="AH405">
        <v>4232620.78</v>
      </c>
      <c r="AI405" t="s">
        <v>166</v>
      </c>
      <c r="AJ405" t="s">
        <v>152</v>
      </c>
      <c r="AK405" t="s">
        <v>153</v>
      </c>
      <c r="AL405" t="s">
        <v>154</v>
      </c>
      <c r="AM405" t="s">
        <v>119</v>
      </c>
      <c r="AN405" t="s">
        <v>112</v>
      </c>
      <c r="AO405" t="s">
        <v>121</v>
      </c>
      <c r="AP405" t="s">
        <v>122</v>
      </c>
      <c r="AQ405" t="s">
        <v>122</v>
      </c>
      <c r="AR405" t="s">
        <v>124</v>
      </c>
      <c r="AS405" t="s">
        <v>125</v>
      </c>
      <c r="AT405">
        <v>2</v>
      </c>
      <c r="AU405" t="s">
        <v>126</v>
      </c>
      <c r="AV405" t="s">
        <v>155</v>
      </c>
      <c r="AW405" t="s">
        <v>156</v>
      </c>
      <c r="AX405">
        <v>1</v>
      </c>
      <c r="AY405" t="s">
        <v>129</v>
      </c>
      <c r="AZ405">
        <v>41361.06</v>
      </c>
      <c r="BA405">
        <v>3790034</v>
      </c>
      <c r="BB405">
        <v>50599.29</v>
      </c>
      <c r="BC405">
        <v>91.632900000000006</v>
      </c>
      <c r="BD405" t="s">
        <v>130</v>
      </c>
      <c r="BE405" t="s">
        <v>112</v>
      </c>
      <c r="BF405" t="s">
        <v>157</v>
      </c>
      <c r="BG405" t="s">
        <v>133</v>
      </c>
      <c r="BH405" t="s">
        <v>134</v>
      </c>
      <c r="BI405" t="s">
        <v>112</v>
      </c>
      <c r="BJ405" t="s">
        <v>112</v>
      </c>
      <c r="BK405" t="s">
        <v>112</v>
      </c>
      <c r="BL405" t="s">
        <v>169</v>
      </c>
      <c r="BM405" t="s">
        <v>159</v>
      </c>
      <c r="BN405" t="s">
        <v>726</v>
      </c>
      <c r="BO405" t="s">
        <v>161</v>
      </c>
      <c r="BP405">
        <v>1</v>
      </c>
      <c r="BQ405" t="s">
        <v>1338</v>
      </c>
      <c r="BR405" s="45">
        <f>ISNUMBER(SEARCH($BR$1,Таблица1[[#This Row],[31_1 Описание и характеристика товара]]))*1</f>
        <v>1</v>
      </c>
      <c r="BT405" t="s">
        <v>150</v>
      </c>
      <c r="BU405">
        <v>33</v>
      </c>
      <c r="BV405">
        <v>0</v>
      </c>
      <c r="BW405">
        <v>0</v>
      </c>
      <c r="BY405">
        <v>0</v>
      </c>
      <c r="CA405" t="s">
        <v>106</v>
      </c>
      <c r="CB405" t="s">
        <v>142</v>
      </c>
      <c r="CC405" t="s">
        <v>112</v>
      </c>
      <c r="CD405" t="s">
        <v>112</v>
      </c>
      <c r="CE405" t="s">
        <v>121</v>
      </c>
      <c r="CF405">
        <v>16788.03</v>
      </c>
      <c r="CG405" t="s">
        <v>144</v>
      </c>
      <c r="CH405">
        <v>4000000</v>
      </c>
      <c r="CI405">
        <v>16770.03</v>
      </c>
      <c r="CJ405">
        <v>0</v>
      </c>
      <c r="CK405" t="s">
        <v>112</v>
      </c>
      <c r="CL405" t="s">
        <v>112</v>
      </c>
      <c r="CM405">
        <v>41361.06</v>
      </c>
      <c r="CN405">
        <v>3790034</v>
      </c>
      <c r="CO405">
        <v>0</v>
      </c>
      <c r="CP405">
        <v>1</v>
      </c>
      <c r="CQ405">
        <v>4232620.78</v>
      </c>
      <c r="CR405">
        <v>50599.29</v>
      </c>
      <c r="CS405" t="s">
        <v>145</v>
      </c>
      <c r="CT405">
        <v>50645.490599999997</v>
      </c>
      <c r="CU405">
        <v>3.02</v>
      </c>
      <c r="CV405">
        <v>45</v>
      </c>
      <c r="CW405" t="s">
        <v>171</v>
      </c>
      <c r="CX405" t="s">
        <v>369</v>
      </c>
      <c r="CY405">
        <v>115</v>
      </c>
    </row>
    <row r="406" spans="1:103" x14ac:dyDescent="0.25">
      <c r="A406" t="s">
        <v>106</v>
      </c>
      <c r="B406" s="38">
        <v>45238</v>
      </c>
      <c r="C406" s="43">
        <f>IF(YEAR(Таблица1[[#This Row],[Дата]])=2023,MONTH(Таблица1[[#This Row],[Дата]]),0)</f>
        <v>11</v>
      </c>
      <c r="D406" t="s">
        <v>1327</v>
      </c>
      <c r="E406" t="s">
        <v>108</v>
      </c>
      <c r="F406" t="s">
        <v>1328</v>
      </c>
      <c r="G406" t="s">
        <v>110</v>
      </c>
      <c r="H406" t="s">
        <v>111</v>
      </c>
      <c r="I406" t="s">
        <v>112</v>
      </c>
      <c r="J406" t="s">
        <v>112</v>
      </c>
      <c r="K406" t="s">
        <v>112</v>
      </c>
      <c r="L406" t="s">
        <v>150</v>
      </c>
      <c r="M406" t="s">
        <v>1020</v>
      </c>
      <c r="N406" t="s">
        <v>112</v>
      </c>
      <c r="O406" t="s">
        <v>112</v>
      </c>
      <c r="P406">
        <v>1</v>
      </c>
      <c r="Q406">
        <v>0</v>
      </c>
      <c r="R406">
        <v>1</v>
      </c>
      <c r="S406">
        <v>33</v>
      </c>
      <c r="T406" t="s">
        <v>166</v>
      </c>
      <c r="U406" t="s">
        <v>152</v>
      </c>
      <c r="V406" t="s">
        <v>153</v>
      </c>
      <c r="W406" t="s">
        <v>154</v>
      </c>
      <c r="X406" t="s">
        <v>119</v>
      </c>
      <c r="Y406" t="s">
        <v>112</v>
      </c>
      <c r="Z406" t="s">
        <v>166</v>
      </c>
      <c r="AA406" t="s">
        <v>152</v>
      </c>
      <c r="AB406" t="s">
        <v>153</v>
      </c>
      <c r="AC406" t="s">
        <v>154</v>
      </c>
      <c r="AD406" t="s">
        <v>119</v>
      </c>
      <c r="AE406" t="s">
        <v>112</v>
      </c>
      <c r="AF406" t="s">
        <v>121</v>
      </c>
      <c r="AG406" t="s">
        <v>122</v>
      </c>
      <c r="AH406">
        <v>4126890.17</v>
      </c>
      <c r="AI406" t="s">
        <v>166</v>
      </c>
      <c r="AJ406" t="s">
        <v>152</v>
      </c>
      <c r="AK406" t="s">
        <v>153</v>
      </c>
      <c r="AL406" t="s">
        <v>154</v>
      </c>
      <c r="AM406" t="s">
        <v>119</v>
      </c>
      <c r="AN406" t="s">
        <v>112</v>
      </c>
      <c r="AO406" t="s">
        <v>121</v>
      </c>
      <c r="AP406" t="s">
        <v>122</v>
      </c>
      <c r="AQ406" t="s">
        <v>122</v>
      </c>
      <c r="AR406" t="s">
        <v>124</v>
      </c>
      <c r="AS406" t="s">
        <v>125</v>
      </c>
      <c r="AT406">
        <v>2</v>
      </c>
      <c r="AU406" t="s">
        <v>126</v>
      </c>
      <c r="AV406" t="s">
        <v>155</v>
      </c>
      <c r="AW406" t="s">
        <v>156</v>
      </c>
      <c r="AX406">
        <v>1</v>
      </c>
      <c r="AY406" t="s">
        <v>129</v>
      </c>
      <c r="AZ406">
        <v>40387.21</v>
      </c>
      <c r="BA406">
        <v>3700797</v>
      </c>
      <c r="BB406">
        <v>49335.33</v>
      </c>
      <c r="BC406">
        <v>91.632900000000006</v>
      </c>
      <c r="BD406" t="s">
        <v>130</v>
      </c>
      <c r="BE406" t="s">
        <v>112</v>
      </c>
      <c r="BF406" t="s">
        <v>157</v>
      </c>
      <c r="BG406" t="s">
        <v>133</v>
      </c>
      <c r="BH406" t="s">
        <v>167</v>
      </c>
      <c r="BI406" t="s">
        <v>168</v>
      </c>
      <c r="BJ406" t="s">
        <v>112</v>
      </c>
      <c r="BK406" t="s">
        <v>112</v>
      </c>
      <c r="BL406" t="s">
        <v>169</v>
      </c>
      <c r="BM406" t="s">
        <v>159</v>
      </c>
      <c r="BN406" t="s">
        <v>726</v>
      </c>
      <c r="BO406" t="s">
        <v>161</v>
      </c>
      <c r="BP406">
        <v>1</v>
      </c>
      <c r="BQ406" t="s">
        <v>1329</v>
      </c>
      <c r="BR406" s="45">
        <f>ISNUMBER(SEARCH($BR$1,Таблица1[[#This Row],[31_1 Описание и характеристика товара]]))*1</f>
        <v>1</v>
      </c>
      <c r="BT406" t="s">
        <v>150</v>
      </c>
      <c r="BU406">
        <v>33</v>
      </c>
      <c r="BV406">
        <v>0</v>
      </c>
      <c r="BW406">
        <v>0</v>
      </c>
      <c r="BY406">
        <v>0</v>
      </c>
      <c r="CA406" t="s">
        <v>106</v>
      </c>
      <c r="CB406" t="s">
        <v>142</v>
      </c>
      <c r="CC406" t="s">
        <v>112</v>
      </c>
      <c r="CD406" t="s">
        <v>112</v>
      </c>
      <c r="CE406" t="s">
        <v>121</v>
      </c>
      <c r="CF406">
        <v>16645.86</v>
      </c>
      <c r="CG406" t="s">
        <v>144</v>
      </c>
      <c r="CH406">
        <v>4000000</v>
      </c>
      <c r="CI406">
        <v>16537.86</v>
      </c>
      <c r="CJ406">
        <v>0</v>
      </c>
      <c r="CK406" t="s">
        <v>112</v>
      </c>
      <c r="CL406" t="s">
        <v>112</v>
      </c>
      <c r="CM406">
        <v>40387.21</v>
      </c>
      <c r="CN406">
        <v>3700797</v>
      </c>
      <c r="CO406">
        <v>0</v>
      </c>
      <c r="CP406">
        <v>1</v>
      </c>
      <c r="CQ406">
        <v>4126890.17</v>
      </c>
      <c r="CR406">
        <v>49335.33</v>
      </c>
      <c r="CS406" t="s">
        <v>145</v>
      </c>
      <c r="CT406">
        <v>49282.822800000002</v>
      </c>
      <c r="CU406">
        <v>2.98</v>
      </c>
      <c r="CV406">
        <v>45</v>
      </c>
      <c r="CW406" t="s">
        <v>171</v>
      </c>
      <c r="CX406" t="s">
        <v>172</v>
      </c>
      <c r="CY406">
        <v>117</v>
      </c>
    </row>
    <row r="407" spans="1:103" x14ac:dyDescent="0.25">
      <c r="A407" t="s">
        <v>106</v>
      </c>
      <c r="B407" s="38">
        <v>45257</v>
      </c>
      <c r="C407" s="43">
        <f>IF(YEAR(Таблица1[[#This Row],[Дата]])=2023,MONTH(Таблица1[[#This Row],[Дата]]),0)</f>
        <v>11</v>
      </c>
      <c r="D407" t="s">
        <v>1191</v>
      </c>
      <c r="E407" t="s">
        <v>108</v>
      </c>
      <c r="F407" t="s">
        <v>1192</v>
      </c>
      <c r="G407" t="s">
        <v>110</v>
      </c>
      <c r="H407" t="s">
        <v>111</v>
      </c>
      <c r="I407" t="s">
        <v>112</v>
      </c>
      <c r="J407" t="s">
        <v>112</v>
      </c>
      <c r="K407" t="s">
        <v>112</v>
      </c>
      <c r="L407" t="s">
        <v>150</v>
      </c>
      <c r="M407" t="s">
        <v>1176</v>
      </c>
      <c r="N407" t="s">
        <v>112</v>
      </c>
      <c r="O407" t="s">
        <v>112</v>
      </c>
      <c r="P407">
        <v>1</v>
      </c>
      <c r="Q407">
        <v>0</v>
      </c>
      <c r="R407">
        <v>1</v>
      </c>
      <c r="S407">
        <v>33</v>
      </c>
      <c r="T407" t="s">
        <v>166</v>
      </c>
      <c r="U407" t="s">
        <v>152</v>
      </c>
      <c r="V407" t="s">
        <v>153</v>
      </c>
      <c r="W407" t="s">
        <v>154</v>
      </c>
      <c r="X407" t="s">
        <v>119</v>
      </c>
      <c r="Y407" t="s">
        <v>112</v>
      </c>
      <c r="Z407" t="s">
        <v>166</v>
      </c>
      <c r="AA407" t="s">
        <v>152</v>
      </c>
      <c r="AB407" t="s">
        <v>153</v>
      </c>
      <c r="AC407" t="s">
        <v>154</v>
      </c>
      <c r="AD407" t="s">
        <v>119</v>
      </c>
      <c r="AE407" t="s">
        <v>112</v>
      </c>
      <c r="AF407" t="s">
        <v>121</v>
      </c>
      <c r="AG407" t="s">
        <v>122</v>
      </c>
      <c r="AH407">
        <v>3507965.3</v>
      </c>
      <c r="AI407" t="s">
        <v>166</v>
      </c>
      <c r="AJ407" t="s">
        <v>152</v>
      </c>
      <c r="AK407" t="s">
        <v>153</v>
      </c>
      <c r="AL407" t="s">
        <v>154</v>
      </c>
      <c r="AM407" t="s">
        <v>119</v>
      </c>
      <c r="AN407" t="s">
        <v>112</v>
      </c>
      <c r="AO407" t="s">
        <v>121</v>
      </c>
      <c r="AP407" t="s">
        <v>122</v>
      </c>
      <c r="AQ407" t="s">
        <v>122</v>
      </c>
      <c r="AR407" t="s">
        <v>124</v>
      </c>
      <c r="AS407" t="s">
        <v>125</v>
      </c>
      <c r="AT407">
        <v>2</v>
      </c>
      <c r="AU407" t="s">
        <v>126</v>
      </c>
      <c r="AV407" t="s">
        <v>155</v>
      </c>
      <c r="AW407" t="s">
        <v>156</v>
      </c>
      <c r="AX407">
        <v>1</v>
      </c>
      <c r="AY407" t="s">
        <v>129</v>
      </c>
      <c r="AZ407">
        <v>36426.199999999997</v>
      </c>
      <c r="BA407">
        <v>3150735</v>
      </c>
      <c r="BB407">
        <v>43829.51</v>
      </c>
      <c r="BC407">
        <v>86.496399999999994</v>
      </c>
      <c r="BD407" t="s">
        <v>130</v>
      </c>
      <c r="BE407" t="s">
        <v>112</v>
      </c>
      <c r="BF407" t="s">
        <v>157</v>
      </c>
      <c r="BG407" t="s">
        <v>133</v>
      </c>
      <c r="BH407" t="s">
        <v>134</v>
      </c>
      <c r="BI407" t="s">
        <v>112</v>
      </c>
      <c r="BJ407" t="s">
        <v>112</v>
      </c>
      <c r="BK407" t="s">
        <v>112</v>
      </c>
      <c r="BL407" t="s">
        <v>169</v>
      </c>
      <c r="BM407" t="s">
        <v>159</v>
      </c>
      <c r="BN407" t="s">
        <v>722</v>
      </c>
      <c r="BO407" t="s">
        <v>161</v>
      </c>
      <c r="BP407">
        <v>1</v>
      </c>
      <c r="BQ407" t="s">
        <v>213</v>
      </c>
      <c r="BR407" s="45">
        <f>ISNUMBER(SEARCH($BR$1,Таблица1[[#This Row],[31_1 Описание и характеристика товара]]))*1</f>
        <v>1</v>
      </c>
      <c r="BT407" t="s">
        <v>150</v>
      </c>
      <c r="BU407">
        <v>33</v>
      </c>
      <c r="BV407">
        <v>0</v>
      </c>
      <c r="BW407">
        <v>0</v>
      </c>
      <c r="BY407">
        <v>0</v>
      </c>
      <c r="CA407" t="s">
        <v>106</v>
      </c>
      <c r="CB407" t="s">
        <v>142</v>
      </c>
      <c r="CC407" t="s">
        <v>112</v>
      </c>
      <c r="CD407" t="s">
        <v>112</v>
      </c>
      <c r="CE407" t="s">
        <v>121</v>
      </c>
      <c r="CF407">
        <v>16563.849999999999</v>
      </c>
      <c r="CG407" t="s">
        <v>144</v>
      </c>
      <c r="CH407">
        <v>4000000</v>
      </c>
      <c r="CI407">
        <v>16434.25</v>
      </c>
      <c r="CJ407">
        <v>0</v>
      </c>
      <c r="CK407" t="s">
        <v>112</v>
      </c>
      <c r="CL407" t="s">
        <v>112</v>
      </c>
      <c r="CM407">
        <v>36426.199999999997</v>
      </c>
      <c r="CN407">
        <v>3150735</v>
      </c>
      <c r="CO407">
        <v>0</v>
      </c>
      <c r="CP407">
        <v>1</v>
      </c>
      <c r="CQ407">
        <v>3507965.3</v>
      </c>
      <c r="CR407">
        <v>43829.51</v>
      </c>
      <c r="CS407" t="s">
        <v>145</v>
      </c>
      <c r="CT407">
        <v>43830.144749999999</v>
      </c>
      <c r="CU407">
        <v>2.6669999999999998</v>
      </c>
      <c r="CV407">
        <v>45</v>
      </c>
      <c r="CW407" t="s">
        <v>171</v>
      </c>
      <c r="CX407" t="s">
        <v>172</v>
      </c>
      <c r="CY407">
        <v>340</v>
      </c>
    </row>
    <row r="408" spans="1:103" x14ac:dyDescent="0.25">
      <c r="A408" t="s">
        <v>106</v>
      </c>
      <c r="B408" s="38">
        <v>44936</v>
      </c>
      <c r="C408" s="43">
        <f>IF(YEAR(Таблица1[[#This Row],[Дата]])=2023,MONTH(Таблица1[[#This Row],[Дата]]),0)</f>
        <v>1</v>
      </c>
      <c r="D408" t="s">
        <v>1079</v>
      </c>
      <c r="E408" t="s">
        <v>108</v>
      </c>
      <c r="F408" t="s">
        <v>1080</v>
      </c>
      <c r="G408" t="s">
        <v>110</v>
      </c>
      <c r="H408" t="s">
        <v>111</v>
      </c>
      <c r="I408" t="s">
        <v>112</v>
      </c>
      <c r="J408" t="s">
        <v>112</v>
      </c>
      <c r="K408" t="s">
        <v>112</v>
      </c>
      <c r="L408" t="s">
        <v>150</v>
      </c>
      <c r="M408" t="s">
        <v>1060</v>
      </c>
      <c r="N408" t="s">
        <v>112</v>
      </c>
      <c r="O408" t="s">
        <v>112</v>
      </c>
      <c r="P408">
        <v>1</v>
      </c>
      <c r="Q408">
        <v>0</v>
      </c>
      <c r="R408">
        <v>1</v>
      </c>
      <c r="S408">
        <v>33</v>
      </c>
      <c r="T408" t="s">
        <v>166</v>
      </c>
      <c r="U408" t="s">
        <v>152</v>
      </c>
      <c r="V408" t="s">
        <v>153</v>
      </c>
      <c r="W408" t="s">
        <v>154</v>
      </c>
      <c r="X408" t="s">
        <v>119</v>
      </c>
      <c r="Y408" t="s">
        <v>112</v>
      </c>
      <c r="Z408" t="s">
        <v>166</v>
      </c>
      <c r="AA408" t="s">
        <v>152</v>
      </c>
      <c r="AB408" t="s">
        <v>153</v>
      </c>
      <c r="AC408" t="s">
        <v>154</v>
      </c>
      <c r="AD408" t="s">
        <v>119</v>
      </c>
      <c r="AE408" t="s">
        <v>112</v>
      </c>
      <c r="AF408" t="s">
        <v>121</v>
      </c>
      <c r="AG408" t="s">
        <v>122</v>
      </c>
      <c r="AH408">
        <v>4289361.76</v>
      </c>
      <c r="AI408" t="s">
        <v>166</v>
      </c>
      <c r="AJ408" t="s">
        <v>152</v>
      </c>
      <c r="AK408" t="s">
        <v>153</v>
      </c>
      <c r="AL408" t="s">
        <v>154</v>
      </c>
      <c r="AM408" t="s">
        <v>119</v>
      </c>
      <c r="AN408" t="s">
        <v>112</v>
      </c>
      <c r="AO408" t="s">
        <v>121</v>
      </c>
      <c r="AP408" t="s">
        <v>122</v>
      </c>
      <c r="AQ408" t="s">
        <v>122</v>
      </c>
      <c r="AR408" t="s">
        <v>124</v>
      </c>
      <c r="AS408" t="s">
        <v>125</v>
      </c>
      <c r="AT408">
        <v>2</v>
      </c>
      <c r="AU408" t="s">
        <v>126</v>
      </c>
      <c r="AV408" t="s">
        <v>155</v>
      </c>
      <c r="AW408" t="s">
        <v>156</v>
      </c>
      <c r="AX408">
        <v>1</v>
      </c>
      <c r="AY408" t="s">
        <v>129</v>
      </c>
      <c r="AZ408">
        <v>43537.68</v>
      </c>
      <c r="BA408">
        <v>3899727</v>
      </c>
      <c r="BB408">
        <v>52563.9</v>
      </c>
      <c r="BC408">
        <v>89.571299999999994</v>
      </c>
      <c r="BD408" t="s">
        <v>130</v>
      </c>
      <c r="BE408" t="s">
        <v>112</v>
      </c>
      <c r="BF408" t="s">
        <v>157</v>
      </c>
      <c r="BG408" t="s">
        <v>133</v>
      </c>
      <c r="BH408" t="s">
        <v>134</v>
      </c>
      <c r="BI408" t="s">
        <v>112</v>
      </c>
      <c r="BJ408" t="s">
        <v>112</v>
      </c>
      <c r="BK408" t="s">
        <v>112</v>
      </c>
      <c r="BL408" t="s">
        <v>169</v>
      </c>
      <c r="BM408" t="s">
        <v>159</v>
      </c>
      <c r="BN408" t="s">
        <v>722</v>
      </c>
      <c r="BO408" t="s">
        <v>161</v>
      </c>
      <c r="BP408">
        <v>1</v>
      </c>
      <c r="BQ408" t="s">
        <v>232</v>
      </c>
      <c r="BR408" s="45">
        <f>ISNUMBER(SEARCH($BR$1,Таблица1[[#This Row],[31_1 Описание и характеристика товара]]))*1</f>
        <v>1</v>
      </c>
      <c r="BT408" t="s">
        <v>150</v>
      </c>
      <c r="BU408">
        <v>33</v>
      </c>
      <c r="BV408">
        <v>0</v>
      </c>
      <c r="BW408">
        <v>0</v>
      </c>
      <c r="BY408">
        <v>0</v>
      </c>
      <c r="CA408" t="s">
        <v>106</v>
      </c>
      <c r="CB408" t="s">
        <v>142</v>
      </c>
      <c r="CC408" t="s">
        <v>112</v>
      </c>
      <c r="CD408" t="s">
        <v>112</v>
      </c>
      <c r="CE408" t="s">
        <v>121</v>
      </c>
      <c r="CF408">
        <v>16284.56</v>
      </c>
      <c r="CG408" t="s">
        <v>144</v>
      </c>
      <c r="CH408">
        <v>4000000</v>
      </c>
      <c r="CI408">
        <v>16162.16</v>
      </c>
      <c r="CJ408">
        <v>0</v>
      </c>
      <c r="CK408" t="s">
        <v>112</v>
      </c>
      <c r="CL408" t="s">
        <v>112</v>
      </c>
      <c r="CM408">
        <v>43537.68</v>
      </c>
      <c r="CN408">
        <v>3899727</v>
      </c>
      <c r="CO408">
        <v>0</v>
      </c>
      <c r="CP408">
        <v>1</v>
      </c>
      <c r="CQ408">
        <v>4289361.76</v>
      </c>
      <c r="CR408">
        <v>52563.9</v>
      </c>
      <c r="CS408" t="s">
        <v>145</v>
      </c>
      <c r="CT408">
        <v>52564.192967999996</v>
      </c>
      <c r="CU408">
        <v>3.2523</v>
      </c>
      <c r="CV408">
        <v>45</v>
      </c>
      <c r="CW408" t="s">
        <v>171</v>
      </c>
      <c r="CX408" t="s">
        <v>350</v>
      </c>
      <c r="CY408">
        <v>324</v>
      </c>
    </row>
    <row r="409" spans="1:103" x14ac:dyDescent="0.25">
      <c r="A409" t="s">
        <v>106</v>
      </c>
      <c r="B409" s="38">
        <v>44933</v>
      </c>
      <c r="C409" s="43">
        <f>IF(YEAR(Таблица1[[#This Row],[Дата]])=2023,MONTH(Таблица1[[#This Row],[Дата]]),0)</f>
        <v>1</v>
      </c>
      <c r="D409" t="s">
        <v>1077</v>
      </c>
      <c r="E409" t="s">
        <v>108</v>
      </c>
      <c r="F409" t="s">
        <v>1078</v>
      </c>
      <c r="G409" t="s">
        <v>110</v>
      </c>
      <c r="H409" t="s">
        <v>111</v>
      </c>
      <c r="I409" t="s">
        <v>112</v>
      </c>
      <c r="J409" t="s">
        <v>112</v>
      </c>
      <c r="K409" t="s">
        <v>112</v>
      </c>
      <c r="L409" t="s">
        <v>150</v>
      </c>
      <c r="M409" t="s">
        <v>1060</v>
      </c>
      <c r="N409" t="s">
        <v>112</v>
      </c>
      <c r="O409" t="s">
        <v>112</v>
      </c>
      <c r="P409">
        <v>1</v>
      </c>
      <c r="Q409">
        <v>0</v>
      </c>
      <c r="R409">
        <v>1</v>
      </c>
      <c r="S409">
        <v>33</v>
      </c>
      <c r="T409" t="s">
        <v>166</v>
      </c>
      <c r="U409" t="s">
        <v>152</v>
      </c>
      <c r="V409" t="s">
        <v>153</v>
      </c>
      <c r="W409" t="s">
        <v>154</v>
      </c>
      <c r="X409" t="s">
        <v>119</v>
      </c>
      <c r="Y409" t="s">
        <v>112</v>
      </c>
      <c r="Z409" t="s">
        <v>166</v>
      </c>
      <c r="AA409" t="s">
        <v>152</v>
      </c>
      <c r="AB409" t="s">
        <v>153</v>
      </c>
      <c r="AC409" t="s">
        <v>154</v>
      </c>
      <c r="AD409" t="s">
        <v>119</v>
      </c>
      <c r="AE409" t="s">
        <v>112</v>
      </c>
      <c r="AF409" t="s">
        <v>121</v>
      </c>
      <c r="AG409" t="s">
        <v>122</v>
      </c>
      <c r="AH409">
        <v>4583238.03</v>
      </c>
      <c r="AI409" t="s">
        <v>166</v>
      </c>
      <c r="AJ409" t="s">
        <v>152</v>
      </c>
      <c r="AK409" t="s">
        <v>153</v>
      </c>
      <c r="AL409" t="s">
        <v>154</v>
      </c>
      <c r="AM409" t="s">
        <v>119</v>
      </c>
      <c r="AN409" t="s">
        <v>112</v>
      </c>
      <c r="AO409" t="s">
        <v>121</v>
      </c>
      <c r="AP409" t="s">
        <v>122</v>
      </c>
      <c r="AQ409" t="s">
        <v>122</v>
      </c>
      <c r="AR409" t="s">
        <v>124</v>
      </c>
      <c r="AS409" t="s">
        <v>125</v>
      </c>
      <c r="AT409">
        <v>2</v>
      </c>
      <c r="AU409" t="s">
        <v>126</v>
      </c>
      <c r="AV409" t="s">
        <v>155</v>
      </c>
      <c r="AW409" t="s">
        <v>156</v>
      </c>
      <c r="AX409">
        <v>1</v>
      </c>
      <c r="AY409" t="s">
        <v>129</v>
      </c>
      <c r="AZ409">
        <v>46818.6</v>
      </c>
      <c r="BA409">
        <v>4193603</v>
      </c>
      <c r="BB409">
        <v>56165.21</v>
      </c>
      <c r="BC409">
        <v>89.571299999999994</v>
      </c>
      <c r="BD409" t="s">
        <v>130</v>
      </c>
      <c r="BE409" t="s">
        <v>112</v>
      </c>
      <c r="BF409" t="s">
        <v>157</v>
      </c>
      <c r="BG409" t="s">
        <v>133</v>
      </c>
      <c r="BH409" t="s">
        <v>134</v>
      </c>
      <c r="BI409" t="s">
        <v>112</v>
      </c>
      <c r="BJ409" t="s">
        <v>112</v>
      </c>
      <c r="BK409" t="s">
        <v>112</v>
      </c>
      <c r="BL409" t="s">
        <v>169</v>
      </c>
      <c r="BM409" t="s">
        <v>159</v>
      </c>
      <c r="BN409" t="s">
        <v>722</v>
      </c>
      <c r="BO409" t="s">
        <v>161</v>
      </c>
      <c r="BP409">
        <v>1</v>
      </c>
      <c r="BQ409" t="s">
        <v>205</v>
      </c>
      <c r="BR409" s="45">
        <f>ISNUMBER(SEARCH($BR$1,Таблица1[[#This Row],[31_1 Описание и характеристика товара]]))*1</f>
        <v>1</v>
      </c>
      <c r="BT409" t="s">
        <v>150</v>
      </c>
      <c r="BU409">
        <v>33</v>
      </c>
      <c r="BV409">
        <v>0</v>
      </c>
      <c r="BW409">
        <v>0</v>
      </c>
      <c r="BY409">
        <v>0</v>
      </c>
      <c r="CA409" t="s">
        <v>106</v>
      </c>
      <c r="CB409" t="s">
        <v>142</v>
      </c>
      <c r="CC409" t="s">
        <v>112</v>
      </c>
      <c r="CD409" t="s">
        <v>112</v>
      </c>
      <c r="CE409" t="s">
        <v>121</v>
      </c>
      <c r="CF409">
        <v>16783.32</v>
      </c>
      <c r="CG409" t="s">
        <v>144</v>
      </c>
      <c r="CH409">
        <v>4000000</v>
      </c>
      <c r="CI409">
        <v>16783.32</v>
      </c>
      <c r="CJ409">
        <v>0</v>
      </c>
      <c r="CK409" t="s">
        <v>112</v>
      </c>
      <c r="CL409" t="s">
        <v>112</v>
      </c>
      <c r="CM409">
        <v>46818.6</v>
      </c>
      <c r="CN409">
        <v>4193603</v>
      </c>
      <c r="CO409">
        <v>0</v>
      </c>
      <c r="CP409">
        <v>1</v>
      </c>
      <c r="CQ409">
        <v>4583238.03</v>
      </c>
      <c r="CR409">
        <v>56165.21</v>
      </c>
      <c r="CS409" t="s">
        <v>145</v>
      </c>
      <c r="CT409">
        <v>56165.380379999995</v>
      </c>
      <c r="CU409">
        <v>3.3464999999999998</v>
      </c>
      <c r="CV409">
        <v>45</v>
      </c>
      <c r="CW409" t="s">
        <v>171</v>
      </c>
      <c r="CX409" t="s">
        <v>463</v>
      </c>
      <c r="CY409">
        <v>301</v>
      </c>
    </row>
    <row r="410" spans="1:103" x14ac:dyDescent="0.25">
      <c r="A410" t="s">
        <v>106</v>
      </c>
      <c r="B410" s="38">
        <v>45129</v>
      </c>
      <c r="C410" s="43">
        <f>IF(YEAR(Таблица1[[#This Row],[Дата]])=2023,MONTH(Таблица1[[#This Row],[Дата]]),0)</f>
        <v>7</v>
      </c>
      <c r="D410" t="s">
        <v>1075</v>
      </c>
      <c r="E410" t="s">
        <v>108</v>
      </c>
      <c r="F410" t="s">
        <v>1076</v>
      </c>
      <c r="G410" t="s">
        <v>110</v>
      </c>
      <c r="H410" t="s">
        <v>111</v>
      </c>
      <c r="I410" t="s">
        <v>112</v>
      </c>
      <c r="J410" t="s">
        <v>112</v>
      </c>
      <c r="K410" t="s">
        <v>112</v>
      </c>
      <c r="L410" t="s">
        <v>150</v>
      </c>
      <c r="M410" t="s">
        <v>1060</v>
      </c>
      <c r="N410" t="s">
        <v>112</v>
      </c>
      <c r="O410" t="s">
        <v>112</v>
      </c>
      <c r="P410">
        <v>1</v>
      </c>
      <c r="Q410">
        <v>0</v>
      </c>
      <c r="R410">
        <v>1</v>
      </c>
      <c r="S410">
        <v>33</v>
      </c>
      <c r="T410" t="s">
        <v>166</v>
      </c>
      <c r="U410" t="s">
        <v>152</v>
      </c>
      <c r="V410" t="s">
        <v>153</v>
      </c>
      <c r="W410" t="s">
        <v>154</v>
      </c>
      <c r="X410" t="s">
        <v>119</v>
      </c>
      <c r="Y410" t="s">
        <v>112</v>
      </c>
      <c r="Z410" t="s">
        <v>166</v>
      </c>
      <c r="AA410" t="s">
        <v>152</v>
      </c>
      <c r="AB410" t="s">
        <v>153</v>
      </c>
      <c r="AC410" t="s">
        <v>154</v>
      </c>
      <c r="AD410" t="s">
        <v>119</v>
      </c>
      <c r="AE410" t="s">
        <v>112</v>
      </c>
      <c r="AF410" t="s">
        <v>121</v>
      </c>
      <c r="AG410" t="s">
        <v>122</v>
      </c>
      <c r="AH410">
        <v>4228741.6900000004</v>
      </c>
      <c r="AI410" t="s">
        <v>166</v>
      </c>
      <c r="AJ410" t="s">
        <v>152</v>
      </c>
      <c r="AK410" t="s">
        <v>153</v>
      </c>
      <c r="AL410" t="s">
        <v>154</v>
      </c>
      <c r="AM410" t="s">
        <v>119</v>
      </c>
      <c r="AN410" t="s">
        <v>112</v>
      </c>
      <c r="AO410" t="s">
        <v>121</v>
      </c>
      <c r="AP410" t="s">
        <v>122</v>
      </c>
      <c r="AQ410" t="s">
        <v>122</v>
      </c>
      <c r="AR410" t="s">
        <v>124</v>
      </c>
      <c r="AS410" t="s">
        <v>125</v>
      </c>
      <c r="AT410">
        <v>2</v>
      </c>
      <c r="AU410" t="s">
        <v>126</v>
      </c>
      <c r="AV410" t="s">
        <v>155</v>
      </c>
      <c r="AW410" t="s">
        <v>156</v>
      </c>
      <c r="AX410">
        <v>1</v>
      </c>
      <c r="AY410" t="s">
        <v>129</v>
      </c>
      <c r="AZ410">
        <v>42360.9</v>
      </c>
      <c r="BA410">
        <v>3794321</v>
      </c>
      <c r="BB410">
        <v>51821.04</v>
      </c>
      <c r="BC410">
        <v>89.571299999999994</v>
      </c>
      <c r="BD410" t="s">
        <v>130</v>
      </c>
      <c r="BE410" t="s">
        <v>112</v>
      </c>
      <c r="BF410" t="s">
        <v>157</v>
      </c>
      <c r="BG410" t="s">
        <v>133</v>
      </c>
      <c r="BH410" t="s">
        <v>134</v>
      </c>
      <c r="BI410" t="s">
        <v>112</v>
      </c>
      <c r="BJ410" t="s">
        <v>112</v>
      </c>
      <c r="BK410" t="s">
        <v>112</v>
      </c>
      <c r="BL410" t="s">
        <v>169</v>
      </c>
      <c r="BM410" t="s">
        <v>159</v>
      </c>
      <c r="BN410" t="s">
        <v>722</v>
      </c>
      <c r="BO410" t="s">
        <v>161</v>
      </c>
      <c r="BP410">
        <v>1</v>
      </c>
      <c r="BQ410" t="s">
        <v>232</v>
      </c>
      <c r="BR410" s="45">
        <f>ISNUMBER(SEARCH($BR$1,Таблица1[[#This Row],[31_1 Описание и характеристика товара]]))*1</f>
        <v>1</v>
      </c>
      <c r="BT410" t="s">
        <v>150</v>
      </c>
      <c r="BU410">
        <v>33</v>
      </c>
      <c r="BV410">
        <v>0</v>
      </c>
      <c r="BW410">
        <v>0</v>
      </c>
      <c r="BY410">
        <v>0</v>
      </c>
      <c r="CA410" t="s">
        <v>106</v>
      </c>
      <c r="CB410" t="s">
        <v>142</v>
      </c>
      <c r="CC410" t="s">
        <v>112</v>
      </c>
      <c r="CD410" t="s">
        <v>112</v>
      </c>
      <c r="CE410" t="s">
        <v>121</v>
      </c>
      <c r="CF410">
        <v>16400.509999999998</v>
      </c>
      <c r="CG410" t="s">
        <v>144</v>
      </c>
      <c r="CH410">
        <v>4000000</v>
      </c>
      <c r="CI410">
        <v>16400.509999999998</v>
      </c>
      <c r="CJ410">
        <v>0</v>
      </c>
      <c r="CK410" t="s">
        <v>112</v>
      </c>
      <c r="CL410" t="s">
        <v>112</v>
      </c>
      <c r="CM410">
        <v>42360.9</v>
      </c>
      <c r="CN410">
        <v>3794321</v>
      </c>
      <c r="CO410">
        <v>0</v>
      </c>
      <c r="CP410">
        <v>1</v>
      </c>
      <c r="CQ410">
        <v>4228741.6900000004</v>
      </c>
      <c r="CR410">
        <v>51821.04</v>
      </c>
      <c r="CS410" t="s">
        <v>145</v>
      </c>
      <c r="CT410">
        <v>51820.691446999997</v>
      </c>
      <c r="CU410">
        <v>3.1597</v>
      </c>
      <c r="CV410">
        <v>45</v>
      </c>
      <c r="CW410" t="s">
        <v>171</v>
      </c>
      <c r="CX410" t="s">
        <v>350</v>
      </c>
      <c r="CY410">
        <v>129</v>
      </c>
    </row>
    <row r="411" spans="1:103" x14ac:dyDescent="0.25">
      <c r="A411" t="s">
        <v>106</v>
      </c>
      <c r="B411" s="38">
        <v>44914</v>
      </c>
      <c r="C411" s="43">
        <f>IF(YEAR(Таблица1[[#This Row],[Дата]])=2023,MONTH(Таблица1[[#This Row],[Дата]]),0)</f>
        <v>0</v>
      </c>
      <c r="D411" t="s">
        <v>270</v>
      </c>
      <c r="E411" t="s">
        <v>108</v>
      </c>
      <c r="F411" t="s">
        <v>271</v>
      </c>
      <c r="G411" t="s">
        <v>110</v>
      </c>
      <c r="H411" t="s">
        <v>111</v>
      </c>
      <c r="I411" t="s">
        <v>112</v>
      </c>
      <c r="J411" t="s">
        <v>112</v>
      </c>
      <c r="K411" t="s">
        <v>112</v>
      </c>
      <c r="L411" t="s">
        <v>175</v>
      </c>
      <c r="M411" t="s">
        <v>176</v>
      </c>
      <c r="N411" t="s">
        <v>112</v>
      </c>
      <c r="O411" t="s">
        <v>112</v>
      </c>
      <c r="P411">
        <v>1</v>
      </c>
      <c r="Q411">
        <v>0</v>
      </c>
      <c r="R411">
        <v>1</v>
      </c>
      <c r="S411">
        <v>33</v>
      </c>
      <c r="T411" t="s">
        <v>166</v>
      </c>
      <c r="U411" t="s">
        <v>152</v>
      </c>
      <c r="V411" t="s">
        <v>153</v>
      </c>
      <c r="W411" t="s">
        <v>177</v>
      </c>
      <c r="X411" t="s">
        <v>119</v>
      </c>
      <c r="Y411" t="s">
        <v>112</v>
      </c>
      <c r="Z411" t="s">
        <v>166</v>
      </c>
      <c r="AA411" t="s">
        <v>152</v>
      </c>
      <c r="AB411" t="s">
        <v>153</v>
      </c>
      <c r="AC411" t="s">
        <v>177</v>
      </c>
      <c r="AD411" t="s">
        <v>119</v>
      </c>
      <c r="AE411" t="s">
        <v>112</v>
      </c>
      <c r="AF411" t="s">
        <v>121</v>
      </c>
      <c r="AG411" t="s">
        <v>122</v>
      </c>
      <c r="AH411">
        <v>3432080.72</v>
      </c>
      <c r="AI411" t="s">
        <v>166</v>
      </c>
      <c r="AJ411" t="s">
        <v>152</v>
      </c>
      <c r="AK411" t="s">
        <v>153</v>
      </c>
      <c r="AL411" t="s">
        <v>177</v>
      </c>
      <c r="AM411" t="s">
        <v>119</v>
      </c>
      <c r="AN411" t="s">
        <v>112</v>
      </c>
      <c r="AO411" t="s">
        <v>121</v>
      </c>
      <c r="AP411" t="s">
        <v>122</v>
      </c>
      <c r="AQ411" t="s">
        <v>122</v>
      </c>
      <c r="AR411" t="s">
        <v>124</v>
      </c>
      <c r="AS411" t="s">
        <v>125</v>
      </c>
      <c r="AT411">
        <v>2</v>
      </c>
      <c r="AU411" t="s">
        <v>106</v>
      </c>
      <c r="AV411" t="s">
        <v>155</v>
      </c>
      <c r="AW411" t="s">
        <v>156</v>
      </c>
      <c r="AX411">
        <v>1</v>
      </c>
      <c r="AY411" t="s">
        <v>129</v>
      </c>
      <c r="AZ411">
        <v>42565.08</v>
      </c>
      <c r="BA411">
        <v>3174853</v>
      </c>
      <c r="BB411">
        <v>49832.160000000003</v>
      </c>
      <c r="BC411">
        <v>74.588200000000001</v>
      </c>
      <c r="BD411" t="s">
        <v>130</v>
      </c>
      <c r="BE411" t="s">
        <v>112</v>
      </c>
      <c r="BF411" t="s">
        <v>157</v>
      </c>
      <c r="BG411" t="s">
        <v>133</v>
      </c>
      <c r="BH411" t="s">
        <v>134</v>
      </c>
      <c r="BI411" t="s">
        <v>112</v>
      </c>
      <c r="BJ411" t="s">
        <v>178</v>
      </c>
      <c r="BK411" t="s">
        <v>112</v>
      </c>
      <c r="BL411" t="s">
        <v>125</v>
      </c>
      <c r="BM411" t="s">
        <v>179</v>
      </c>
      <c r="BN411" t="s">
        <v>180</v>
      </c>
      <c r="BO411" t="s">
        <v>181</v>
      </c>
      <c r="BP411">
        <v>1</v>
      </c>
      <c r="BQ411" t="s">
        <v>199</v>
      </c>
      <c r="BR411" s="45">
        <f>ISNUMBER(SEARCH($BR$1,Таблица1[[#This Row],[31_1 Описание и характеристика товара]]))*1</f>
        <v>1</v>
      </c>
      <c r="BT411" t="s">
        <v>150</v>
      </c>
      <c r="BU411">
        <v>33</v>
      </c>
      <c r="BV411">
        <v>1</v>
      </c>
      <c r="BW411">
        <v>0</v>
      </c>
      <c r="BY411">
        <v>0</v>
      </c>
      <c r="CA411" t="s">
        <v>106</v>
      </c>
      <c r="CB411" t="s">
        <v>142</v>
      </c>
      <c r="CC411" t="s">
        <v>112</v>
      </c>
      <c r="CD411" t="s">
        <v>112</v>
      </c>
      <c r="CE411" t="s">
        <v>121</v>
      </c>
      <c r="CF411">
        <v>17139.62</v>
      </c>
      <c r="CG411" t="s">
        <v>144</v>
      </c>
      <c r="CH411">
        <v>4000000</v>
      </c>
      <c r="CI411">
        <v>17139.62</v>
      </c>
      <c r="CJ411">
        <v>0</v>
      </c>
      <c r="CK411" t="s">
        <v>112</v>
      </c>
      <c r="CL411" t="s">
        <v>112</v>
      </c>
      <c r="CM411">
        <v>42565.08</v>
      </c>
      <c r="CN411">
        <v>3174853</v>
      </c>
      <c r="CO411">
        <v>0</v>
      </c>
      <c r="CP411">
        <v>1</v>
      </c>
      <c r="CQ411">
        <v>3432080.72</v>
      </c>
      <c r="CR411">
        <v>49832.160000000003</v>
      </c>
      <c r="CS411" t="s">
        <v>145</v>
      </c>
      <c r="CT411">
        <v>49831.731187999998</v>
      </c>
      <c r="CU411">
        <v>2.9074</v>
      </c>
      <c r="CV411">
        <v>941</v>
      </c>
      <c r="CW411" t="s">
        <v>183</v>
      </c>
      <c r="CX411" t="s">
        <v>147</v>
      </c>
      <c r="CY411">
        <v>549</v>
      </c>
    </row>
    <row r="412" spans="1:103" x14ac:dyDescent="0.25">
      <c r="A412" t="s">
        <v>106</v>
      </c>
      <c r="B412" s="38">
        <v>45202</v>
      </c>
      <c r="C412" s="43">
        <f>IF(YEAR(Таблица1[[#This Row],[Дата]])=2023,MONTH(Таблица1[[#This Row],[Дата]]),0)</f>
        <v>10</v>
      </c>
      <c r="D412" t="s">
        <v>626</v>
      </c>
      <c r="E412" t="s">
        <v>108</v>
      </c>
      <c r="F412" t="s">
        <v>627</v>
      </c>
      <c r="G412" t="s">
        <v>110</v>
      </c>
      <c r="H412" t="s">
        <v>111</v>
      </c>
      <c r="I412" t="s">
        <v>112</v>
      </c>
      <c r="J412" t="s">
        <v>112</v>
      </c>
      <c r="K412" t="s">
        <v>112</v>
      </c>
      <c r="L412" t="s">
        <v>150</v>
      </c>
      <c r="M412" t="s">
        <v>151</v>
      </c>
      <c r="N412" t="s">
        <v>112</v>
      </c>
      <c r="O412" t="s">
        <v>112</v>
      </c>
      <c r="P412">
        <v>1</v>
      </c>
      <c r="R412">
        <v>1</v>
      </c>
      <c r="S412">
        <v>33</v>
      </c>
      <c r="T412" t="s">
        <v>112</v>
      </c>
      <c r="U412" t="s">
        <v>152</v>
      </c>
      <c r="V412" t="s">
        <v>153</v>
      </c>
      <c r="W412" t="s">
        <v>154</v>
      </c>
      <c r="X412" t="s">
        <v>119</v>
      </c>
      <c r="Y412" t="s">
        <v>112</v>
      </c>
      <c r="Z412" t="s">
        <v>112</v>
      </c>
      <c r="AA412" t="s">
        <v>152</v>
      </c>
      <c r="AB412" t="s">
        <v>153</v>
      </c>
      <c r="AC412" t="s">
        <v>154</v>
      </c>
      <c r="AD412" t="s">
        <v>119</v>
      </c>
      <c r="AE412" t="s">
        <v>112</v>
      </c>
      <c r="AF412" t="s">
        <v>121</v>
      </c>
      <c r="AG412" t="s">
        <v>122</v>
      </c>
      <c r="AH412">
        <v>4150671.59</v>
      </c>
      <c r="AI412" t="s">
        <v>112</v>
      </c>
      <c r="AJ412" t="s">
        <v>152</v>
      </c>
      <c r="AK412" t="s">
        <v>153</v>
      </c>
      <c r="AL412" t="s">
        <v>154</v>
      </c>
      <c r="AM412" t="s">
        <v>119</v>
      </c>
      <c r="AN412" t="s">
        <v>112</v>
      </c>
      <c r="AO412" t="s">
        <v>121</v>
      </c>
      <c r="AP412" t="s">
        <v>122</v>
      </c>
      <c r="AQ412" t="s">
        <v>122</v>
      </c>
      <c r="AR412" t="s">
        <v>124</v>
      </c>
      <c r="AS412" t="s">
        <v>125</v>
      </c>
      <c r="AT412">
        <v>2</v>
      </c>
      <c r="AU412" t="s">
        <v>126</v>
      </c>
      <c r="AV412" t="s">
        <v>155</v>
      </c>
      <c r="AW412" t="s">
        <v>156</v>
      </c>
      <c r="AY412" t="s">
        <v>129</v>
      </c>
      <c r="AZ412">
        <v>37483.65</v>
      </c>
      <c r="BC412">
        <v>98.418599999999998</v>
      </c>
      <c r="BD412" t="s">
        <v>112</v>
      </c>
      <c r="BE412" t="s">
        <v>112</v>
      </c>
      <c r="BF412" t="s">
        <v>157</v>
      </c>
      <c r="BG412" t="s">
        <v>133</v>
      </c>
      <c r="BH412" t="s">
        <v>134</v>
      </c>
      <c r="BI412" t="s">
        <v>112</v>
      </c>
      <c r="BJ412" t="s">
        <v>112</v>
      </c>
      <c r="BK412" t="s">
        <v>112</v>
      </c>
      <c r="BL412" t="s">
        <v>158</v>
      </c>
      <c r="BM412" t="s">
        <v>159</v>
      </c>
      <c r="BN412" t="s">
        <v>212</v>
      </c>
      <c r="BO412" t="s">
        <v>161</v>
      </c>
      <c r="BQ412" t="s">
        <v>205</v>
      </c>
      <c r="BR412" s="45">
        <f>ISNUMBER(SEARCH($BR$1,Таблица1[[#This Row],[31_1 Описание и характеристика товара]]))*1</f>
        <v>1</v>
      </c>
      <c r="BT412" t="s">
        <v>150</v>
      </c>
      <c r="BU412">
        <v>33</v>
      </c>
      <c r="BV412">
        <v>0</v>
      </c>
      <c r="BW412">
        <v>0</v>
      </c>
      <c r="BY412">
        <v>0</v>
      </c>
      <c r="CA412" t="s">
        <v>106</v>
      </c>
      <c r="CB412" t="s">
        <v>142</v>
      </c>
      <c r="CC412" t="s">
        <v>112</v>
      </c>
      <c r="CD412" t="s">
        <v>112</v>
      </c>
      <c r="CE412" t="s">
        <v>121</v>
      </c>
      <c r="CF412">
        <v>16562.259999999998</v>
      </c>
      <c r="CG412" t="s">
        <v>144</v>
      </c>
      <c r="CH412">
        <v>4000000</v>
      </c>
      <c r="CI412">
        <v>16461.46</v>
      </c>
      <c r="CJ412">
        <v>0</v>
      </c>
      <c r="CK412" t="s">
        <v>112</v>
      </c>
      <c r="CL412" t="s">
        <v>112</v>
      </c>
      <c r="CM412">
        <v>37483.65</v>
      </c>
      <c r="CO412">
        <v>0</v>
      </c>
      <c r="CP412">
        <v>1</v>
      </c>
      <c r="CQ412">
        <v>4150671.59</v>
      </c>
      <c r="CR412">
        <v>46274.57</v>
      </c>
      <c r="CS412" t="s">
        <v>145</v>
      </c>
      <c r="CT412">
        <v>46256.702599999997</v>
      </c>
      <c r="CU412">
        <v>2.81</v>
      </c>
      <c r="CV412">
        <v>45</v>
      </c>
      <c r="CX412" t="s">
        <v>233</v>
      </c>
      <c r="CY412">
        <v>317</v>
      </c>
    </row>
    <row r="413" spans="1:103" x14ac:dyDescent="0.25">
      <c r="A413" t="s">
        <v>106</v>
      </c>
      <c r="B413" s="38">
        <v>45214</v>
      </c>
      <c r="C413" s="43">
        <f>IF(YEAR(Таблица1[[#This Row],[Дата]])=2023,MONTH(Таблица1[[#This Row],[Дата]]),0)</f>
        <v>10</v>
      </c>
      <c r="D413" t="s">
        <v>679</v>
      </c>
      <c r="E413" t="s">
        <v>108</v>
      </c>
      <c r="F413" t="s">
        <v>680</v>
      </c>
      <c r="G413" t="s">
        <v>110</v>
      </c>
      <c r="H413" t="s">
        <v>111</v>
      </c>
      <c r="I413" t="s">
        <v>112</v>
      </c>
      <c r="J413" t="s">
        <v>112</v>
      </c>
      <c r="K413" t="s">
        <v>112</v>
      </c>
      <c r="L413" t="s">
        <v>150</v>
      </c>
      <c r="M413" t="s">
        <v>151</v>
      </c>
      <c r="N413" t="s">
        <v>112</v>
      </c>
      <c r="O413" t="s">
        <v>112</v>
      </c>
      <c r="P413">
        <v>1</v>
      </c>
      <c r="R413">
        <v>1</v>
      </c>
      <c r="S413">
        <v>33</v>
      </c>
      <c r="T413" t="s">
        <v>112</v>
      </c>
      <c r="U413" t="s">
        <v>152</v>
      </c>
      <c r="V413" t="s">
        <v>153</v>
      </c>
      <c r="W413" t="s">
        <v>154</v>
      </c>
      <c r="X413" t="s">
        <v>119</v>
      </c>
      <c r="Y413" t="s">
        <v>112</v>
      </c>
      <c r="Z413" t="s">
        <v>112</v>
      </c>
      <c r="AA413" t="s">
        <v>152</v>
      </c>
      <c r="AB413" t="s">
        <v>153</v>
      </c>
      <c r="AC413" t="s">
        <v>154</v>
      </c>
      <c r="AD413" t="s">
        <v>119</v>
      </c>
      <c r="AE413" t="s">
        <v>112</v>
      </c>
      <c r="AF413" t="s">
        <v>121</v>
      </c>
      <c r="AG413" t="s">
        <v>122</v>
      </c>
      <c r="AH413">
        <v>4556682.76</v>
      </c>
      <c r="AI413" t="s">
        <v>112</v>
      </c>
      <c r="AJ413" t="s">
        <v>152</v>
      </c>
      <c r="AK413" t="s">
        <v>153</v>
      </c>
      <c r="AL413" t="s">
        <v>154</v>
      </c>
      <c r="AM413" t="s">
        <v>119</v>
      </c>
      <c r="AN413" t="s">
        <v>112</v>
      </c>
      <c r="AO413" t="s">
        <v>121</v>
      </c>
      <c r="AP413" t="s">
        <v>122</v>
      </c>
      <c r="AQ413" t="s">
        <v>122</v>
      </c>
      <c r="AR413" t="s">
        <v>124</v>
      </c>
      <c r="AS413" t="s">
        <v>125</v>
      </c>
      <c r="AT413">
        <v>2</v>
      </c>
      <c r="AU413" t="s">
        <v>126</v>
      </c>
      <c r="AV413" t="s">
        <v>155</v>
      </c>
      <c r="AW413" t="s">
        <v>156</v>
      </c>
      <c r="AY413" t="s">
        <v>129</v>
      </c>
      <c r="AZ413">
        <v>42309</v>
      </c>
      <c r="BC413">
        <v>98.418599999999998</v>
      </c>
      <c r="BD413" t="s">
        <v>112</v>
      </c>
      <c r="BE413" t="s">
        <v>112</v>
      </c>
      <c r="BF413" t="s">
        <v>157</v>
      </c>
      <c r="BG413" t="s">
        <v>133</v>
      </c>
      <c r="BH413" t="s">
        <v>167</v>
      </c>
      <c r="BI413" t="s">
        <v>112</v>
      </c>
      <c r="BJ413" t="s">
        <v>112</v>
      </c>
      <c r="BK413" t="s">
        <v>112</v>
      </c>
      <c r="BL413" t="s">
        <v>158</v>
      </c>
      <c r="BM413" t="s">
        <v>159</v>
      </c>
      <c r="BN413" t="s">
        <v>160</v>
      </c>
      <c r="BO413" t="s">
        <v>161</v>
      </c>
      <c r="BQ413" t="s">
        <v>232</v>
      </c>
      <c r="BR413" s="45">
        <f>ISNUMBER(SEARCH($BR$1,Таблица1[[#This Row],[31_1 Описание и характеристика товара]]))*1</f>
        <v>1</v>
      </c>
      <c r="BT413" t="s">
        <v>150</v>
      </c>
      <c r="BU413">
        <v>33</v>
      </c>
      <c r="BV413">
        <v>0</v>
      </c>
      <c r="BW413">
        <v>0</v>
      </c>
      <c r="BY413">
        <v>0</v>
      </c>
      <c r="CA413" t="s">
        <v>106</v>
      </c>
      <c r="CB413" t="s">
        <v>142</v>
      </c>
      <c r="CC413" t="s">
        <v>112</v>
      </c>
      <c r="CD413" t="s">
        <v>112</v>
      </c>
      <c r="CE413" t="s">
        <v>121</v>
      </c>
      <c r="CF413">
        <v>16664.580000000002</v>
      </c>
      <c r="CG413" t="s">
        <v>144</v>
      </c>
      <c r="CH413">
        <v>4000000</v>
      </c>
      <c r="CI413">
        <v>16560.18</v>
      </c>
      <c r="CJ413">
        <v>0</v>
      </c>
      <c r="CK413" t="s">
        <v>112</v>
      </c>
      <c r="CL413" t="s">
        <v>112</v>
      </c>
      <c r="CM413">
        <v>42309</v>
      </c>
      <c r="CO413">
        <v>0</v>
      </c>
      <c r="CP413">
        <v>1</v>
      </c>
      <c r="CQ413">
        <v>4556682.76</v>
      </c>
      <c r="CR413">
        <v>50801.06</v>
      </c>
      <c r="CS413" t="s">
        <v>145</v>
      </c>
      <c r="CT413">
        <v>50839.7526</v>
      </c>
      <c r="CU413">
        <v>3.07</v>
      </c>
      <c r="CV413">
        <v>45</v>
      </c>
      <c r="CX413" t="s">
        <v>163</v>
      </c>
      <c r="CY413">
        <v>163</v>
      </c>
    </row>
    <row r="414" spans="1:103" x14ac:dyDescent="0.25">
      <c r="A414" t="s">
        <v>106</v>
      </c>
      <c r="B414" s="38">
        <v>44695</v>
      </c>
      <c r="C414" s="43">
        <f>IF(YEAR(Таблица1[[#This Row],[Дата]])=2023,MONTH(Таблица1[[#This Row],[Дата]]),0)</f>
        <v>0</v>
      </c>
      <c r="D414" t="s">
        <v>572</v>
      </c>
      <c r="E414" t="s">
        <v>108</v>
      </c>
      <c r="F414" t="s">
        <v>573</v>
      </c>
      <c r="G414" t="s">
        <v>110</v>
      </c>
      <c r="H414" t="s">
        <v>111</v>
      </c>
      <c r="I414" t="s">
        <v>112</v>
      </c>
      <c r="J414" t="s">
        <v>112</v>
      </c>
      <c r="K414" t="s">
        <v>112</v>
      </c>
      <c r="L414" t="s">
        <v>150</v>
      </c>
      <c r="M414" t="s">
        <v>151</v>
      </c>
      <c r="N414" t="s">
        <v>112</v>
      </c>
      <c r="O414" t="s">
        <v>112</v>
      </c>
      <c r="P414">
        <v>1</v>
      </c>
      <c r="R414">
        <v>1</v>
      </c>
      <c r="S414">
        <v>33</v>
      </c>
      <c r="T414" t="s">
        <v>112</v>
      </c>
      <c r="U414" t="s">
        <v>152</v>
      </c>
      <c r="V414" t="s">
        <v>153</v>
      </c>
      <c r="W414" t="s">
        <v>154</v>
      </c>
      <c r="X414" t="s">
        <v>119</v>
      </c>
      <c r="Y414" t="s">
        <v>112</v>
      </c>
      <c r="Z414" t="s">
        <v>112</v>
      </c>
      <c r="AA414" t="s">
        <v>152</v>
      </c>
      <c r="AB414" t="s">
        <v>153</v>
      </c>
      <c r="AC414" t="s">
        <v>154</v>
      </c>
      <c r="AD414" t="s">
        <v>119</v>
      </c>
      <c r="AE414" t="s">
        <v>112</v>
      </c>
      <c r="AF414" t="s">
        <v>121</v>
      </c>
      <c r="AG414" t="s">
        <v>122</v>
      </c>
      <c r="AH414">
        <v>4668259.93</v>
      </c>
      <c r="AI414" t="s">
        <v>112</v>
      </c>
      <c r="AJ414" t="s">
        <v>152</v>
      </c>
      <c r="AK414" t="s">
        <v>153</v>
      </c>
      <c r="AL414" t="s">
        <v>154</v>
      </c>
      <c r="AM414" t="s">
        <v>119</v>
      </c>
      <c r="AN414" t="s">
        <v>112</v>
      </c>
      <c r="AO414" t="s">
        <v>121</v>
      </c>
      <c r="AP414" t="s">
        <v>122</v>
      </c>
      <c r="AQ414" t="s">
        <v>122</v>
      </c>
      <c r="AR414" t="s">
        <v>124</v>
      </c>
      <c r="AS414" t="s">
        <v>125</v>
      </c>
      <c r="AT414">
        <v>2</v>
      </c>
      <c r="AU414" t="s">
        <v>126</v>
      </c>
      <c r="AV414" t="s">
        <v>155</v>
      </c>
      <c r="AW414" t="s">
        <v>156</v>
      </c>
      <c r="AY414" t="s">
        <v>129</v>
      </c>
      <c r="AZ414">
        <v>42912.7</v>
      </c>
      <c r="BC414">
        <v>98.418599999999998</v>
      </c>
      <c r="BD414" t="s">
        <v>112</v>
      </c>
      <c r="BE414" t="s">
        <v>112</v>
      </c>
      <c r="BF414" t="s">
        <v>157</v>
      </c>
      <c r="BG414" t="s">
        <v>133</v>
      </c>
      <c r="BH414" t="s">
        <v>167</v>
      </c>
      <c r="BI414" t="s">
        <v>112</v>
      </c>
      <c r="BJ414" t="s">
        <v>112</v>
      </c>
      <c r="BK414" t="s">
        <v>112</v>
      </c>
      <c r="BL414" t="s">
        <v>158</v>
      </c>
      <c r="BM414" t="s">
        <v>159</v>
      </c>
      <c r="BN414" t="s">
        <v>160</v>
      </c>
      <c r="BO414" t="s">
        <v>161</v>
      </c>
      <c r="BQ414" t="s">
        <v>232</v>
      </c>
      <c r="BR414" s="45">
        <f>ISNUMBER(SEARCH($BR$1,Таблица1[[#This Row],[31_1 Описание и характеристика товара]]))*1</f>
        <v>1</v>
      </c>
      <c r="BT414" t="s">
        <v>150</v>
      </c>
      <c r="BU414">
        <v>33</v>
      </c>
      <c r="BV414">
        <v>0</v>
      </c>
      <c r="BW414">
        <v>0</v>
      </c>
      <c r="BY414">
        <v>0</v>
      </c>
      <c r="CA414" t="s">
        <v>106</v>
      </c>
      <c r="CB414" t="s">
        <v>142</v>
      </c>
      <c r="CC414" t="s">
        <v>112</v>
      </c>
      <c r="CD414" t="s">
        <v>112</v>
      </c>
      <c r="CE414" t="s">
        <v>121</v>
      </c>
      <c r="CF414">
        <v>16540.919999999998</v>
      </c>
      <c r="CG414" t="s">
        <v>144</v>
      </c>
      <c r="CH414">
        <v>4000000</v>
      </c>
      <c r="CI414">
        <v>16486.919999999998</v>
      </c>
      <c r="CJ414">
        <v>0</v>
      </c>
      <c r="CK414" t="s">
        <v>112</v>
      </c>
      <c r="CL414" t="s">
        <v>112</v>
      </c>
      <c r="CM414">
        <v>42912.7</v>
      </c>
      <c r="CO414">
        <v>0</v>
      </c>
      <c r="CP414">
        <v>1</v>
      </c>
      <c r="CQ414">
        <v>4668259.93</v>
      </c>
      <c r="CR414">
        <v>52045</v>
      </c>
      <c r="CS414" t="s">
        <v>145</v>
      </c>
      <c r="CT414">
        <v>52098.667199999996</v>
      </c>
      <c r="CU414">
        <v>3.16</v>
      </c>
      <c r="CV414">
        <v>45</v>
      </c>
      <c r="CX414" t="s">
        <v>233</v>
      </c>
      <c r="CY414">
        <v>36</v>
      </c>
    </row>
    <row r="415" spans="1:103" x14ac:dyDescent="0.25">
      <c r="A415" t="s">
        <v>106</v>
      </c>
      <c r="B415" s="38">
        <v>45039</v>
      </c>
      <c r="C415" s="43">
        <f>IF(YEAR(Таблица1[[#This Row],[Дата]])=2023,MONTH(Таблица1[[#This Row],[Дата]]),0)</f>
        <v>4</v>
      </c>
      <c r="D415" t="s">
        <v>686</v>
      </c>
      <c r="E415" t="s">
        <v>108</v>
      </c>
      <c r="F415" t="s">
        <v>687</v>
      </c>
      <c r="G415" t="s">
        <v>110</v>
      </c>
      <c r="H415" t="s">
        <v>111</v>
      </c>
      <c r="I415" t="s">
        <v>112</v>
      </c>
      <c r="J415" t="s">
        <v>112</v>
      </c>
      <c r="K415" t="s">
        <v>112</v>
      </c>
      <c r="L415" t="s">
        <v>150</v>
      </c>
      <c r="M415" t="s">
        <v>151</v>
      </c>
      <c r="N415" t="s">
        <v>112</v>
      </c>
      <c r="O415" t="s">
        <v>112</v>
      </c>
      <c r="P415">
        <v>1</v>
      </c>
      <c r="R415">
        <v>1</v>
      </c>
      <c r="S415">
        <v>33</v>
      </c>
      <c r="T415" t="s">
        <v>112</v>
      </c>
      <c r="U415" t="s">
        <v>152</v>
      </c>
      <c r="V415" t="s">
        <v>153</v>
      </c>
      <c r="W415" t="s">
        <v>154</v>
      </c>
      <c r="X415" t="s">
        <v>119</v>
      </c>
      <c r="Y415" t="s">
        <v>112</v>
      </c>
      <c r="Z415" t="s">
        <v>112</v>
      </c>
      <c r="AA415" t="s">
        <v>152</v>
      </c>
      <c r="AB415" t="s">
        <v>153</v>
      </c>
      <c r="AC415" t="s">
        <v>154</v>
      </c>
      <c r="AD415" t="s">
        <v>119</v>
      </c>
      <c r="AE415" t="s">
        <v>112</v>
      </c>
      <c r="AF415" t="s">
        <v>121</v>
      </c>
      <c r="AG415" t="s">
        <v>122</v>
      </c>
      <c r="AH415">
        <v>4274457.58</v>
      </c>
      <c r="AI415" t="s">
        <v>112</v>
      </c>
      <c r="AJ415" t="s">
        <v>152</v>
      </c>
      <c r="AK415" t="s">
        <v>153</v>
      </c>
      <c r="AL415" t="s">
        <v>154</v>
      </c>
      <c r="AM415" t="s">
        <v>119</v>
      </c>
      <c r="AN415" t="s">
        <v>112</v>
      </c>
      <c r="AO415" t="s">
        <v>121</v>
      </c>
      <c r="AP415" t="s">
        <v>122</v>
      </c>
      <c r="AQ415" t="s">
        <v>122</v>
      </c>
      <c r="AR415" t="s">
        <v>124</v>
      </c>
      <c r="AS415" t="s">
        <v>125</v>
      </c>
      <c r="AT415">
        <v>2</v>
      </c>
      <c r="AU415" t="s">
        <v>126</v>
      </c>
      <c r="AV415" t="s">
        <v>155</v>
      </c>
      <c r="AW415" t="s">
        <v>156</v>
      </c>
      <c r="AY415" t="s">
        <v>129</v>
      </c>
      <c r="AZ415">
        <v>39441.4</v>
      </c>
      <c r="BC415">
        <v>98.418599999999998</v>
      </c>
      <c r="BD415" t="s">
        <v>112</v>
      </c>
      <c r="BE415" t="s">
        <v>112</v>
      </c>
      <c r="BF415" t="s">
        <v>157</v>
      </c>
      <c r="BG415" t="s">
        <v>133</v>
      </c>
      <c r="BH415" t="s">
        <v>167</v>
      </c>
      <c r="BI415" t="s">
        <v>112</v>
      </c>
      <c r="BJ415" t="s">
        <v>112</v>
      </c>
      <c r="BK415" t="s">
        <v>112</v>
      </c>
      <c r="BL415" t="s">
        <v>158</v>
      </c>
      <c r="BM415" t="s">
        <v>159</v>
      </c>
      <c r="BN415" t="s">
        <v>160</v>
      </c>
      <c r="BO415" t="s">
        <v>161</v>
      </c>
      <c r="BQ415" t="s">
        <v>616</v>
      </c>
      <c r="BR415" s="45">
        <f>ISNUMBER(SEARCH($BR$1,Таблица1[[#This Row],[31_1 Описание и характеристика товара]]))*1</f>
        <v>1</v>
      </c>
      <c r="BT415" t="s">
        <v>150</v>
      </c>
      <c r="BU415">
        <v>33</v>
      </c>
      <c r="BV415">
        <v>0</v>
      </c>
      <c r="BW415">
        <v>0</v>
      </c>
      <c r="BY415">
        <v>0</v>
      </c>
      <c r="CA415" t="s">
        <v>106</v>
      </c>
      <c r="CB415" t="s">
        <v>142</v>
      </c>
      <c r="CC415" t="s">
        <v>112</v>
      </c>
      <c r="CD415" t="s">
        <v>112</v>
      </c>
      <c r="CE415" t="s">
        <v>121</v>
      </c>
      <c r="CF415">
        <v>15900.36</v>
      </c>
      <c r="CG415" t="s">
        <v>144</v>
      </c>
      <c r="CH415">
        <v>4000000</v>
      </c>
      <c r="CI415">
        <v>15619.56</v>
      </c>
      <c r="CJ415">
        <v>0</v>
      </c>
      <c r="CK415" t="s">
        <v>112</v>
      </c>
      <c r="CL415" t="s">
        <v>112</v>
      </c>
      <c r="CM415">
        <v>39441.4</v>
      </c>
      <c r="CO415">
        <v>0</v>
      </c>
      <c r="CP415">
        <v>1</v>
      </c>
      <c r="CQ415">
        <v>4274457.58</v>
      </c>
      <c r="CR415">
        <v>47654.62</v>
      </c>
      <c r="CS415" t="s">
        <v>145</v>
      </c>
      <c r="CT415">
        <v>47639.657999999996</v>
      </c>
      <c r="CU415">
        <v>3.05</v>
      </c>
      <c r="CV415">
        <v>45</v>
      </c>
      <c r="CX415" t="s">
        <v>163</v>
      </c>
      <c r="CY415">
        <v>52</v>
      </c>
    </row>
    <row r="416" spans="1:103" x14ac:dyDescent="0.25">
      <c r="A416" t="s">
        <v>106</v>
      </c>
      <c r="B416" s="38">
        <v>45138</v>
      </c>
      <c r="C416" s="43">
        <f>IF(YEAR(Таблица1[[#This Row],[Дата]])=2023,MONTH(Таблица1[[#This Row],[Дата]]),0)</f>
        <v>7</v>
      </c>
      <c r="D416" t="s">
        <v>688</v>
      </c>
      <c r="E416" t="s">
        <v>108</v>
      </c>
      <c r="F416" t="s">
        <v>689</v>
      </c>
      <c r="G416" t="s">
        <v>110</v>
      </c>
      <c r="H416" t="s">
        <v>111</v>
      </c>
      <c r="I416" t="s">
        <v>112</v>
      </c>
      <c r="J416" t="s">
        <v>112</v>
      </c>
      <c r="K416" t="s">
        <v>112</v>
      </c>
      <c r="L416" t="s">
        <v>150</v>
      </c>
      <c r="M416" t="s">
        <v>151</v>
      </c>
      <c r="N416" t="s">
        <v>112</v>
      </c>
      <c r="O416" t="s">
        <v>112</v>
      </c>
      <c r="P416">
        <v>1</v>
      </c>
      <c r="R416">
        <v>1</v>
      </c>
      <c r="S416">
        <v>33</v>
      </c>
      <c r="T416" t="s">
        <v>112</v>
      </c>
      <c r="U416" t="s">
        <v>152</v>
      </c>
      <c r="V416" t="s">
        <v>153</v>
      </c>
      <c r="W416" t="s">
        <v>154</v>
      </c>
      <c r="X416" t="s">
        <v>119</v>
      </c>
      <c r="Y416" t="s">
        <v>112</v>
      </c>
      <c r="Z416" t="s">
        <v>112</v>
      </c>
      <c r="AA416" t="s">
        <v>152</v>
      </c>
      <c r="AB416" t="s">
        <v>153</v>
      </c>
      <c r="AC416" t="s">
        <v>154</v>
      </c>
      <c r="AD416" t="s">
        <v>119</v>
      </c>
      <c r="AE416" t="s">
        <v>112</v>
      </c>
      <c r="AF416" t="s">
        <v>121</v>
      </c>
      <c r="AG416" t="s">
        <v>122</v>
      </c>
      <c r="AH416">
        <v>4442556.55</v>
      </c>
      <c r="AI416" t="s">
        <v>112</v>
      </c>
      <c r="AJ416" t="s">
        <v>152</v>
      </c>
      <c r="AK416" t="s">
        <v>153</v>
      </c>
      <c r="AL416" t="s">
        <v>154</v>
      </c>
      <c r="AM416" t="s">
        <v>119</v>
      </c>
      <c r="AN416" t="s">
        <v>112</v>
      </c>
      <c r="AO416" t="s">
        <v>121</v>
      </c>
      <c r="AP416" t="s">
        <v>122</v>
      </c>
      <c r="AQ416" t="s">
        <v>122</v>
      </c>
      <c r="AR416" t="s">
        <v>124</v>
      </c>
      <c r="AS416" t="s">
        <v>125</v>
      </c>
      <c r="AT416">
        <v>2</v>
      </c>
      <c r="AU416" t="s">
        <v>126</v>
      </c>
      <c r="AV416" t="s">
        <v>155</v>
      </c>
      <c r="AW416" t="s">
        <v>156</v>
      </c>
      <c r="AY416" t="s">
        <v>129</v>
      </c>
      <c r="AZ416">
        <v>41149.4</v>
      </c>
      <c r="BC416">
        <v>98.418599999999998</v>
      </c>
      <c r="BD416" t="s">
        <v>112</v>
      </c>
      <c r="BE416" t="s">
        <v>112</v>
      </c>
      <c r="BF416" t="s">
        <v>157</v>
      </c>
      <c r="BG416" t="s">
        <v>133</v>
      </c>
      <c r="BH416" t="s">
        <v>167</v>
      </c>
      <c r="BI416" t="s">
        <v>112</v>
      </c>
      <c r="BJ416" t="s">
        <v>112</v>
      </c>
      <c r="BK416" t="s">
        <v>112</v>
      </c>
      <c r="BL416" t="s">
        <v>158</v>
      </c>
      <c r="BM416" t="s">
        <v>159</v>
      </c>
      <c r="BN416" t="s">
        <v>160</v>
      </c>
      <c r="BO416" t="s">
        <v>161</v>
      </c>
      <c r="BQ416" t="s">
        <v>205</v>
      </c>
      <c r="BR416" s="45">
        <f>ISNUMBER(SEARCH($BR$1,Таблица1[[#This Row],[31_1 Описание и характеристика товара]]))*1</f>
        <v>1</v>
      </c>
      <c r="BT416" t="s">
        <v>150</v>
      </c>
      <c r="BU416">
        <v>33</v>
      </c>
      <c r="BV416">
        <v>0</v>
      </c>
      <c r="BW416">
        <v>0</v>
      </c>
      <c r="BY416">
        <v>0</v>
      </c>
      <c r="CA416" t="s">
        <v>106</v>
      </c>
      <c r="CB416" t="s">
        <v>142</v>
      </c>
      <c r="CC416" t="s">
        <v>112</v>
      </c>
      <c r="CD416" t="s">
        <v>112</v>
      </c>
      <c r="CE416" t="s">
        <v>121</v>
      </c>
      <c r="CF416">
        <v>16526.04</v>
      </c>
      <c r="CG416" t="s">
        <v>144</v>
      </c>
      <c r="CH416">
        <v>4000000</v>
      </c>
      <c r="CI416">
        <v>16398.84</v>
      </c>
      <c r="CJ416">
        <v>0</v>
      </c>
      <c r="CK416" t="s">
        <v>112</v>
      </c>
      <c r="CL416" t="s">
        <v>112</v>
      </c>
      <c r="CM416">
        <v>41149.4</v>
      </c>
      <c r="CO416">
        <v>0</v>
      </c>
      <c r="CP416">
        <v>1</v>
      </c>
      <c r="CQ416">
        <v>4442556.55</v>
      </c>
      <c r="CR416">
        <v>49528.71</v>
      </c>
      <c r="CS416" t="s">
        <v>145</v>
      </c>
      <c r="CT416">
        <v>49524.496800000001</v>
      </c>
      <c r="CU416">
        <v>3.02</v>
      </c>
      <c r="CV416">
        <v>45</v>
      </c>
      <c r="CX416" t="s">
        <v>233</v>
      </c>
      <c r="CY416">
        <v>567</v>
      </c>
    </row>
    <row r="417" spans="1:103" x14ac:dyDescent="0.25">
      <c r="A417" t="s">
        <v>106</v>
      </c>
      <c r="B417" s="38">
        <v>45178</v>
      </c>
      <c r="C417" s="43">
        <f>IF(YEAR(Таблица1[[#This Row],[Дата]])=2023,MONTH(Таблица1[[#This Row],[Дата]]),0)</f>
        <v>9</v>
      </c>
      <c r="D417" t="s">
        <v>654</v>
      </c>
      <c r="E417" t="s">
        <v>108</v>
      </c>
      <c r="F417" t="s">
        <v>655</v>
      </c>
      <c r="G417" t="s">
        <v>110</v>
      </c>
      <c r="H417" t="s">
        <v>111</v>
      </c>
      <c r="I417" t="s">
        <v>112</v>
      </c>
      <c r="J417" t="s">
        <v>112</v>
      </c>
      <c r="K417" t="s">
        <v>112</v>
      </c>
      <c r="L417" t="s">
        <v>150</v>
      </c>
      <c r="M417" t="s">
        <v>151</v>
      </c>
      <c r="N417" t="s">
        <v>112</v>
      </c>
      <c r="O417" t="s">
        <v>112</v>
      </c>
      <c r="P417">
        <v>1</v>
      </c>
      <c r="R417">
        <v>1</v>
      </c>
      <c r="S417">
        <v>33</v>
      </c>
      <c r="T417" t="s">
        <v>112</v>
      </c>
      <c r="U417" t="s">
        <v>152</v>
      </c>
      <c r="V417" t="s">
        <v>153</v>
      </c>
      <c r="W417" t="s">
        <v>154</v>
      </c>
      <c r="X417" t="s">
        <v>119</v>
      </c>
      <c r="Y417" t="s">
        <v>112</v>
      </c>
      <c r="Z417" t="s">
        <v>112</v>
      </c>
      <c r="AA417" t="s">
        <v>152</v>
      </c>
      <c r="AB417" t="s">
        <v>153</v>
      </c>
      <c r="AC417" t="s">
        <v>154</v>
      </c>
      <c r="AD417" t="s">
        <v>119</v>
      </c>
      <c r="AE417" t="s">
        <v>112</v>
      </c>
      <c r="AF417" t="s">
        <v>121</v>
      </c>
      <c r="AG417" t="s">
        <v>122</v>
      </c>
      <c r="AH417">
        <v>4760715.34</v>
      </c>
      <c r="AI417" t="s">
        <v>112</v>
      </c>
      <c r="AJ417" t="s">
        <v>152</v>
      </c>
      <c r="AK417" t="s">
        <v>153</v>
      </c>
      <c r="AL417" t="s">
        <v>154</v>
      </c>
      <c r="AM417" t="s">
        <v>119</v>
      </c>
      <c r="AN417" t="s">
        <v>112</v>
      </c>
      <c r="AO417" t="s">
        <v>121</v>
      </c>
      <c r="AP417" t="s">
        <v>122</v>
      </c>
      <c r="AQ417" t="s">
        <v>122</v>
      </c>
      <c r="AR417" t="s">
        <v>124</v>
      </c>
      <c r="AS417" t="s">
        <v>125</v>
      </c>
      <c r="AT417">
        <v>2</v>
      </c>
      <c r="AU417" t="s">
        <v>126</v>
      </c>
      <c r="AV417" t="s">
        <v>155</v>
      </c>
      <c r="AW417" t="s">
        <v>156</v>
      </c>
      <c r="AY417" t="s">
        <v>129</v>
      </c>
      <c r="AZ417">
        <v>44382.11</v>
      </c>
      <c r="BC417">
        <v>98.418599999999998</v>
      </c>
      <c r="BD417" t="s">
        <v>112</v>
      </c>
      <c r="BE417" t="s">
        <v>112</v>
      </c>
      <c r="BF417" t="s">
        <v>157</v>
      </c>
      <c r="BG417" t="s">
        <v>133</v>
      </c>
      <c r="BH417" t="s">
        <v>167</v>
      </c>
      <c r="BI417" t="s">
        <v>112</v>
      </c>
      <c r="BJ417" t="s">
        <v>112</v>
      </c>
      <c r="BK417" t="s">
        <v>112</v>
      </c>
      <c r="BL417" t="s">
        <v>158</v>
      </c>
      <c r="BM417" t="s">
        <v>159</v>
      </c>
      <c r="BN417" t="s">
        <v>160</v>
      </c>
      <c r="BO417" t="s">
        <v>161</v>
      </c>
      <c r="BQ417" t="s">
        <v>232</v>
      </c>
      <c r="BR417" s="45">
        <f>ISNUMBER(SEARCH($BR$1,Таблица1[[#This Row],[31_1 Описание и характеристика товара]]))*1</f>
        <v>1</v>
      </c>
      <c r="BT417" t="s">
        <v>150</v>
      </c>
      <c r="BU417">
        <v>33</v>
      </c>
      <c r="BV417">
        <v>0</v>
      </c>
      <c r="BW417">
        <v>0</v>
      </c>
      <c r="BY417">
        <v>0</v>
      </c>
      <c r="CA417" t="s">
        <v>106</v>
      </c>
      <c r="CB417" t="s">
        <v>142</v>
      </c>
      <c r="CC417" t="s">
        <v>112</v>
      </c>
      <c r="CD417" t="s">
        <v>112</v>
      </c>
      <c r="CE417" t="s">
        <v>121</v>
      </c>
      <c r="CF417">
        <v>15792.02</v>
      </c>
      <c r="CG417" t="s">
        <v>144</v>
      </c>
      <c r="CH417">
        <v>4000000</v>
      </c>
      <c r="CI417">
        <v>15540.02</v>
      </c>
      <c r="CJ417">
        <v>0</v>
      </c>
      <c r="CK417" t="s">
        <v>112</v>
      </c>
      <c r="CL417" t="s">
        <v>112</v>
      </c>
      <c r="CM417">
        <v>44382.11</v>
      </c>
      <c r="CO417">
        <v>0</v>
      </c>
      <c r="CP417">
        <v>1</v>
      </c>
      <c r="CQ417">
        <v>4760715.34</v>
      </c>
      <c r="CR417">
        <v>53075.76</v>
      </c>
      <c r="CS417" t="s">
        <v>145</v>
      </c>
      <c r="CT417">
        <v>53146.868399999999</v>
      </c>
      <c r="CU417">
        <v>3.42</v>
      </c>
      <c r="CV417">
        <v>45</v>
      </c>
      <c r="CX417" t="s">
        <v>233</v>
      </c>
      <c r="CY417">
        <v>70</v>
      </c>
    </row>
    <row r="418" spans="1:103" x14ac:dyDescent="0.25">
      <c r="A418" t="s">
        <v>106</v>
      </c>
      <c r="B418" s="38">
        <v>45125</v>
      </c>
      <c r="C418" s="43">
        <f>IF(YEAR(Таблица1[[#This Row],[Дата]])=2023,MONTH(Таблица1[[#This Row],[Дата]]),0)</f>
        <v>7</v>
      </c>
      <c r="D418" t="s">
        <v>712</v>
      </c>
      <c r="E418" t="s">
        <v>108</v>
      </c>
      <c r="F418" t="s">
        <v>713</v>
      </c>
      <c r="G418" t="s">
        <v>110</v>
      </c>
      <c r="H418" t="s">
        <v>111</v>
      </c>
      <c r="I418" t="s">
        <v>112</v>
      </c>
      <c r="J418" t="s">
        <v>112</v>
      </c>
      <c r="K418" t="s">
        <v>112</v>
      </c>
      <c r="L418" t="s">
        <v>150</v>
      </c>
      <c r="M418" t="s">
        <v>151</v>
      </c>
      <c r="N418" t="s">
        <v>112</v>
      </c>
      <c r="O418" t="s">
        <v>112</v>
      </c>
      <c r="P418">
        <v>1</v>
      </c>
      <c r="R418">
        <v>1</v>
      </c>
      <c r="S418">
        <v>33</v>
      </c>
      <c r="T418" t="s">
        <v>112</v>
      </c>
      <c r="U418" t="s">
        <v>152</v>
      </c>
      <c r="V418" t="s">
        <v>153</v>
      </c>
      <c r="W418" t="s">
        <v>154</v>
      </c>
      <c r="X418" t="s">
        <v>119</v>
      </c>
      <c r="Y418" t="s">
        <v>112</v>
      </c>
      <c r="Z418" t="s">
        <v>112</v>
      </c>
      <c r="AA418" t="s">
        <v>152</v>
      </c>
      <c r="AB418" t="s">
        <v>153</v>
      </c>
      <c r="AC418" t="s">
        <v>154</v>
      </c>
      <c r="AD418" t="s">
        <v>119</v>
      </c>
      <c r="AE418" t="s">
        <v>112</v>
      </c>
      <c r="AF418" t="s">
        <v>121</v>
      </c>
      <c r="AG418" t="s">
        <v>122</v>
      </c>
      <c r="AH418">
        <v>5029780.97</v>
      </c>
      <c r="AI418" t="s">
        <v>112</v>
      </c>
      <c r="AJ418" t="s">
        <v>152</v>
      </c>
      <c r="AK418" t="s">
        <v>153</v>
      </c>
      <c r="AL418" t="s">
        <v>154</v>
      </c>
      <c r="AM418" t="s">
        <v>119</v>
      </c>
      <c r="AN418" t="s">
        <v>112</v>
      </c>
      <c r="AO418" t="s">
        <v>121</v>
      </c>
      <c r="AP418" t="s">
        <v>122</v>
      </c>
      <c r="AQ418" t="s">
        <v>122</v>
      </c>
      <c r="AR418" t="s">
        <v>124</v>
      </c>
      <c r="AS418" t="s">
        <v>125</v>
      </c>
      <c r="AT418">
        <v>2</v>
      </c>
      <c r="AU418" t="s">
        <v>126</v>
      </c>
      <c r="AV418" t="s">
        <v>155</v>
      </c>
      <c r="AW418" t="s">
        <v>156</v>
      </c>
      <c r="AY418" t="s">
        <v>129</v>
      </c>
      <c r="AZ418">
        <v>46586</v>
      </c>
      <c r="BC418">
        <v>98.418599999999998</v>
      </c>
      <c r="BD418" t="s">
        <v>112</v>
      </c>
      <c r="BE418" t="s">
        <v>112</v>
      </c>
      <c r="BF418" t="s">
        <v>157</v>
      </c>
      <c r="BG418" t="s">
        <v>133</v>
      </c>
      <c r="BH418" t="s">
        <v>167</v>
      </c>
      <c r="BI418" t="s">
        <v>112</v>
      </c>
      <c r="BJ418" t="s">
        <v>112</v>
      </c>
      <c r="BK418" t="s">
        <v>112</v>
      </c>
      <c r="BL418" t="s">
        <v>158</v>
      </c>
      <c r="BM418" t="s">
        <v>159</v>
      </c>
      <c r="BN418" t="s">
        <v>160</v>
      </c>
      <c r="BO418" t="s">
        <v>161</v>
      </c>
      <c r="BQ418" t="s">
        <v>162</v>
      </c>
      <c r="BR418" s="45">
        <f>ISNUMBER(SEARCH($BR$1,Таблица1[[#This Row],[31_1 Описание и характеристика товара]]))*1</f>
        <v>1</v>
      </c>
      <c r="BT418" t="s">
        <v>150</v>
      </c>
      <c r="BU418">
        <v>33</v>
      </c>
      <c r="BV418">
        <v>0</v>
      </c>
      <c r="BW418">
        <v>0</v>
      </c>
      <c r="BY418">
        <v>0</v>
      </c>
      <c r="CA418" t="s">
        <v>106</v>
      </c>
      <c r="CB418" t="s">
        <v>142</v>
      </c>
      <c r="CC418" t="s">
        <v>112</v>
      </c>
      <c r="CD418" t="s">
        <v>112</v>
      </c>
      <c r="CE418" t="s">
        <v>121</v>
      </c>
      <c r="CF418">
        <v>16329.9</v>
      </c>
      <c r="CG418" t="s">
        <v>144</v>
      </c>
      <c r="CH418">
        <v>4000000</v>
      </c>
      <c r="CI418">
        <v>16257.9</v>
      </c>
      <c r="CJ418">
        <v>0</v>
      </c>
      <c r="CK418" t="s">
        <v>112</v>
      </c>
      <c r="CL418" t="s">
        <v>112</v>
      </c>
      <c r="CM418">
        <v>46586</v>
      </c>
      <c r="CO418">
        <v>0</v>
      </c>
      <c r="CP418">
        <v>1</v>
      </c>
      <c r="CQ418">
        <v>5029780.97</v>
      </c>
      <c r="CR418">
        <v>56075.49</v>
      </c>
      <c r="CS418" t="s">
        <v>145</v>
      </c>
      <c r="CT418">
        <v>56089.755000000005</v>
      </c>
      <c r="CU418">
        <v>3.45</v>
      </c>
      <c r="CV418">
        <v>45</v>
      </c>
      <c r="CX418" t="s">
        <v>163</v>
      </c>
      <c r="CY418">
        <v>163</v>
      </c>
    </row>
    <row r="419" spans="1:103" x14ac:dyDescent="0.25">
      <c r="A419" t="s">
        <v>106</v>
      </c>
      <c r="B419" s="38">
        <v>44655</v>
      </c>
      <c r="C419" s="43">
        <f>IF(YEAR(Таблица1[[#This Row],[Дата]])=2023,MONTH(Таблица1[[#This Row],[Дата]]),0)</f>
        <v>0</v>
      </c>
      <c r="D419" t="s">
        <v>546</v>
      </c>
      <c r="E419" t="s">
        <v>108</v>
      </c>
      <c r="F419" t="s">
        <v>547</v>
      </c>
      <c r="G419" t="s">
        <v>110</v>
      </c>
      <c r="H419" t="s">
        <v>111</v>
      </c>
      <c r="I419" t="s">
        <v>112</v>
      </c>
      <c r="J419" t="s">
        <v>112</v>
      </c>
      <c r="K419" t="s">
        <v>112</v>
      </c>
      <c r="L419" t="s">
        <v>150</v>
      </c>
      <c r="M419" t="s">
        <v>151</v>
      </c>
      <c r="N419" t="s">
        <v>112</v>
      </c>
      <c r="O419" t="s">
        <v>112</v>
      </c>
      <c r="P419">
        <v>1</v>
      </c>
      <c r="R419">
        <v>1</v>
      </c>
      <c r="S419">
        <v>33</v>
      </c>
      <c r="T419" t="s">
        <v>112</v>
      </c>
      <c r="U419" t="s">
        <v>152</v>
      </c>
      <c r="V419" t="s">
        <v>153</v>
      </c>
      <c r="W419" t="s">
        <v>154</v>
      </c>
      <c r="X419" t="s">
        <v>119</v>
      </c>
      <c r="Y419" t="s">
        <v>112</v>
      </c>
      <c r="Z419" t="s">
        <v>112</v>
      </c>
      <c r="AA419" t="s">
        <v>152</v>
      </c>
      <c r="AB419" t="s">
        <v>153</v>
      </c>
      <c r="AC419" t="s">
        <v>154</v>
      </c>
      <c r="AD419" t="s">
        <v>119</v>
      </c>
      <c r="AE419" t="s">
        <v>112</v>
      </c>
      <c r="AF419" t="s">
        <v>121</v>
      </c>
      <c r="AG419" t="s">
        <v>122</v>
      </c>
      <c r="AH419">
        <v>4110527.62</v>
      </c>
      <c r="AI419" t="s">
        <v>112</v>
      </c>
      <c r="AJ419" t="s">
        <v>152</v>
      </c>
      <c r="AK419" t="s">
        <v>153</v>
      </c>
      <c r="AL419" t="s">
        <v>154</v>
      </c>
      <c r="AM419" t="s">
        <v>119</v>
      </c>
      <c r="AN419" t="s">
        <v>112</v>
      </c>
      <c r="AO419" t="s">
        <v>121</v>
      </c>
      <c r="AP419" t="s">
        <v>122</v>
      </c>
      <c r="AQ419" t="s">
        <v>122</v>
      </c>
      <c r="AR419" t="s">
        <v>124</v>
      </c>
      <c r="AS419" t="s">
        <v>125</v>
      </c>
      <c r="AT419">
        <v>2</v>
      </c>
      <c r="AU419" t="s">
        <v>126</v>
      </c>
      <c r="AV419" t="s">
        <v>155</v>
      </c>
      <c r="AW419" t="s">
        <v>156</v>
      </c>
      <c r="AY419" t="s">
        <v>129</v>
      </c>
      <c r="AZ419">
        <v>37775.760000000002</v>
      </c>
      <c r="BC419">
        <v>98.418599999999998</v>
      </c>
      <c r="BD419" t="s">
        <v>112</v>
      </c>
      <c r="BE419" t="s">
        <v>112</v>
      </c>
      <c r="BF419" t="s">
        <v>157</v>
      </c>
      <c r="BG419" t="s">
        <v>133</v>
      </c>
      <c r="BH419" t="s">
        <v>167</v>
      </c>
      <c r="BI419" t="s">
        <v>112</v>
      </c>
      <c r="BJ419" t="s">
        <v>112</v>
      </c>
      <c r="BK419" t="s">
        <v>112</v>
      </c>
      <c r="BL419" t="s">
        <v>158</v>
      </c>
      <c r="BM419" t="s">
        <v>159</v>
      </c>
      <c r="BN419" t="s">
        <v>160</v>
      </c>
      <c r="BO419" t="s">
        <v>161</v>
      </c>
      <c r="BQ419" t="s">
        <v>213</v>
      </c>
      <c r="BR419" s="45">
        <f>ISNUMBER(SEARCH($BR$1,Таблица1[[#This Row],[31_1 Описание и характеристика товара]]))*1</f>
        <v>1</v>
      </c>
      <c r="BT419" t="s">
        <v>150</v>
      </c>
      <c r="BU419">
        <v>33</v>
      </c>
      <c r="BV419">
        <v>0</v>
      </c>
      <c r="BW419">
        <v>0</v>
      </c>
      <c r="BY419">
        <v>0</v>
      </c>
      <c r="CA419" t="s">
        <v>106</v>
      </c>
      <c r="CB419" t="s">
        <v>142</v>
      </c>
      <c r="CC419" t="s">
        <v>112</v>
      </c>
      <c r="CD419" t="s">
        <v>112</v>
      </c>
      <c r="CE419" t="s">
        <v>121</v>
      </c>
      <c r="CF419">
        <v>17353.91</v>
      </c>
      <c r="CG419" t="s">
        <v>144</v>
      </c>
      <c r="CH419">
        <v>4000000</v>
      </c>
      <c r="CI419">
        <v>17353.91</v>
      </c>
      <c r="CJ419">
        <v>0</v>
      </c>
      <c r="CK419" t="s">
        <v>112</v>
      </c>
      <c r="CL419" t="s">
        <v>112</v>
      </c>
      <c r="CM419">
        <v>37775.760000000002</v>
      </c>
      <c r="CO419">
        <v>0</v>
      </c>
      <c r="CP419">
        <v>1</v>
      </c>
      <c r="CQ419">
        <v>4110527.62</v>
      </c>
      <c r="CR419">
        <v>45827.02</v>
      </c>
      <c r="CS419" t="s">
        <v>145</v>
      </c>
      <c r="CT419">
        <v>45814.322400000005</v>
      </c>
      <c r="CU419">
        <v>2.64</v>
      </c>
      <c r="CV419">
        <v>45</v>
      </c>
      <c r="CX419" t="s">
        <v>163</v>
      </c>
      <c r="CY419">
        <v>212</v>
      </c>
    </row>
    <row r="420" spans="1:103" x14ac:dyDescent="0.25">
      <c r="A420" t="s">
        <v>106</v>
      </c>
      <c r="B420" s="38">
        <v>44888</v>
      </c>
      <c r="C420" s="43">
        <f>IF(YEAR(Таблица1[[#This Row],[Дата]])=2023,MONTH(Таблица1[[#This Row],[Дата]]),0)</f>
        <v>0</v>
      </c>
      <c r="D420" t="s">
        <v>529</v>
      </c>
      <c r="E420" t="s">
        <v>108</v>
      </c>
      <c r="F420" t="s">
        <v>530</v>
      </c>
      <c r="G420" t="s">
        <v>110</v>
      </c>
      <c r="H420" t="s">
        <v>111</v>
      </c>
      <c r="I420" t="s">
        <v>112</v>
      </c>
      <c r="J420" t="s">
        <v>112</v>
      </c>
      <c r="K420" t="s">
        <v>112</v>
      </c>
      <c r="L420" t="s">
        <v>150</v>
      </c>
      <c r="M420" t="s">
        <v>151</v>
      </c>
      <c r="N420" t="s">
        <v>112</v>
      </c>
      <c r="O420" t="s">
        <v>112</v>
      </c>
      <c r="P420">
        <v>1</v>
      </c>
      <c r="R420">
        <v>1</v>
      </c>
      <c r="S420">
        <v>33</v>
      </c>
      <c r="T420" t="s">
        <v>112</v>
      </c>
      <c r="U420" t="s">
        <v>152</v>
      </c>
      <c r="V420" t="s">
        <v>153</v>
      </c>
      <c r="W420" t="s">
        <v>154</v>
      </c>
      <c r="X420" t="s">
        <v>119</v>
      </c>
      <c r="Y420" t="s">
        <v>112</v>
      </c>
      <c r="Z420" t="s">
        <v>112</v>
      </c>
      <c r="AA420" t="s">
        <v>152</v>
      </c>
      <c r="AB420" t="s">
        <v>153</v>
      </c>
      <c r="AC420" t="s">
        <v>154</v>
      </c>
      <c r="AD420" t="s">
        <v>119</v>
      </c>
      <c r="AE420" t="s">
        <v>112</v>
      </c>
      <c r="AF420" t="s">
        <v>121</v>
      </c>
      <c r="AG420" t="s">
        <v>122</v>
      </c>
      <c r="AH420">
        <v>4756629.99</v>
      </c>
      <c r="AI420" t="s">
        <v>112</v>
      </c>
      <c r="AJ420" t="s">
        <v>152</v>
      </c>
      <c r="AK420" t="s">
        <v>153</v>
      </c>
      <c r="AL420" t="s">
        <v>154</v>
      </c>
      <c r="AM420" t="s">
        <v>119</v>
      </c>
      <c r="AN420" t="s">
        <v>112</v>
      </c>
      <c r="AO420" t="s">
        <v>121</v>
      </c>
      <c r="AP420" t="s">
        <v>122</v>
      </c>
      <c r="AQ420" t="s">
        <v>122</v>
      </c>
      <c r="AR420" t="s">
        <v>124</v>
      </c>
      <c r="AS420" t="s">
        <v>125</v>
      </c>
      <c r="AT420">
        <v>2</v>
      </c>
      <c r="AU420" t="s">
        <v>126</v>
      </c>
      <c r="AV420" t="s">
        <v>155</v>
      </c>
      <c r="AW420" t="s">
        <v>156</v>
      </c>
      <c r="AY420" t="s">
        <v>129</v>
      </c>
      <c r="AZ420">
        <v>44340.6</v>
      </c>
      <c r="BC420">
        <v>98.418599999999998</v>
      </c>
      <c r="BD420" t="s">
        <v>112</v>
      </c>
      <c r="BE420" t="s">
        <v>112</v>
      </c>
      <c r="BF420" t="s">
        <v>157</v>
      </c>
      <c r="BG420" t="s">
        <v>133</v>
      </c>
      <c r="BH420" t="s">
        <v>167</v>
      </c>
      <c r="BI420" t="s">
        <v>112</v>
      </c>
      <c r="BJ420" t="s">
        <v>112</v>
      </c>
      <c r="BK420" t="s">
        <v>112</v>
      </c>
      <c r="BL420" t="s">
        <v>158</v>
      </c>
      <c r="BM420" t="s">
        <v>159</v>
      </c>
      <c r="BN420" t="s">
        <v>160</v>
      </c>
      <c r="BO420" t="s">
        <v>161</v>
      </c>
      <c r="BQ420" t="s">
        <v>232</v>
      </c>
      <c r="BR420" s="45">
        <f>ISNUMBER(SEARCH($BR$1,Таблица1[[#This Row],[31_1 Описание и характеристика товара]]))*1</f>
        <v>1</v>
      </c>
      <c r="BT420" t="s">
        <v>150</v>
      </c>
      <c r="BU420">
        <v>33</v>
      </c>
      <c r="BV420">
        <v>0</v>
      </c>
      <c r="BW420">
        <v>0</v>
      </c>
      <c r="BY420">
        <v>0</v>
      </c>
      <c r="CA420" t="s">
        <v>106</v>
      </c>
      <c r="CB420" t="s">
        <v>142</v>
      </c>
      <c r="CC420" t="s">
        <v>112</v>
      </c>
      <c r="CD420" t="s">
        <v>112</v>
      </c>
      <c r="CE420" t="s">
        <v>121</v>
      </c>
      <c r="CF420">
        <v>16952.400000000001</v>
      </c>
      <c r="CG420" t="s">
        <v>144</v>
      </c>
      <c r="CH420">
        <v>4000000</v>
      </c>
      <c r="CI420">
        <v>16909.2</v>
      </c>
      <c r="CJ420">
        <v>0</v>
      </c>
      <c r="CK420" t="s">
        <v>112</v>
      </c>
      <c r="CL420" t="s">
        <v>112</v>
      </c>
      <c r="CM420">
        <v>44340.6</v>
      </c>
      <c r="CO420">
        <v>0</v>
      </c>
      <c r="CP420">
        <v>1</v>
      </c>
      <c r="CQ420">
        <v>4756629.99</v>
      </c>
      <c r="CR420">
        <v>53030.22</v>
      </c>
      <c r="CS420" t="s">
        <v>145</v>
      </c>
      <c r="CT420">
        <v>53094.888000000006</v>
      </c>
      <c r="CU420">
        <v>3.14</v>
      </c>
      <c r="CV420">
        <v>45</v>
      </c>
      <c r="CX420" t="s">
        <v>233</v>
      </c>
      <c r="CY420">
        <v>571</v>
      </c>
    </row>
    <row r="421" spans="1:103" x14ac:dyDescent="0.25">
      <c r="A421" t="s">
        <v>106</v>
      </c>
      <c r="B421" s="38">
        <v>44991</v>
      </c>
      <c r="C421" s="43">
        <f>IF(YEAR(Таблица1[[#This Row],[Дата]])=2023,MONTH(Таблица1[[#This Row],[Дата]]),0)</f>
        <v>3</v>
      </c>
      <c r="D421" t="s">
        <v>614</v>
      </c>
      <c r="E421" t="s">
        <v>108</v>
      </c>
      <c r="F421" t="s">
        <v>615</v>
      </c>
      <c r="G421" t="s">
        <v>110</v>
      </c>
      <c r="H421" t="s">
        <v>111</v>
      </c>
      <c r="I421" t="s">
        <v>112</v>
      </c>
      <c r="J421" t="s">
        <v>112</v>
      </c>
      <c r="K421" t="s">
        <v>112</v>
      </c>
      <c r="L421" t="s">
        <v>150</v>
      </c>
      <c r="M421" t="s">
        <v>151</v>
      </c>
      <c r="N421" t="s">
        <v>112</v>
      </c>
      <c r="O421" t="s">
        <v>112</v>
      </c>
      <c r="P421">
        <v>1</v>
      </c>
      <c r="R421">
        <v>1</v>
      </c>
      <c r="S421">
        <v>33</v>
      </c>
      <c r="T421" t="s">
        <v>112</v>
      </c>
      <c r="U421" t="s">
        <v>152</v>
      </c>
      <c r="V421" t="s">
        <v>153</v>
      </c>
      <c r="W421" t="s">
        <v>154</v>
      </c>
      <c r="X421" t="s">
        <v>119</v>
      </c>
      <c r="Y421" t="s">
        <v>112</v>
      </c>
      <c r="Z421" t="s">
        <v>112</v>
      </c>
      <c r="AA421" t="s">
        <v>152</v>
      </c>
      <c r="AB421" t="s">
        <v>153</v>
      </c>
      <c r="AC421" t="s">
        <v>154</v>
      </c>
      <c r="AD421" t="s">
        <v>119</v>
      </c>
      <c r="AE421" t="s">
        <v>112</v>
      </c>
      <c r="AF421" t="s">
        <v>121</v>
      </c>
      <c r="AG421" t="s">
        <v>122</v>
      </c>
      <c r="AH421">
        <v>4844257.97</v>
      </c>
      <c r="AI421" t="s">
        <v>112</v>
      </c>
      <c r="AJ421" t="s">
        <v>152</v>
      </c>
      <c r="AK421" t="s">
        <v>153</v>
      </c>
      <c r="AL421" t="s">
        <v>154</v>
      </c>
      <c r="AM421" t="s">
        <v>119</v>
      </c>
      <c r="AN421" t="s">
        <v>112</v>
      </c>
      <c r="AO421" t="s">
        <v>121</v>
      </c>
      <c r="AP421" t="s">
        <v>122</v>
      </c>
      <c r="AQ421" t="s">
        <v>122</v>
      </c>
      <c r="AR421" t="s">
        <v>124</v>
      </c>
      <c r="AS421" t="s">
        <v>125</v>
      </c>
      <c r="AT421">
        <v>2</v>
      </c>
      <c r="AU421" t="s">
        <v>126</v>
      </c>
      <c r="AV421" t="s">
        <v>155</v>
      </c>
      <c r="AW421" t="s">
        <v>156</v>
      </c>
      <c r="AY421" t="s">
        <v>129</v>
      </c>
      <c r="AZ421">
        <v>44700.959999999999</v>
      </c>
      <c r="BC421">
        <v>98.418599999999998</v>
      </c>
      <c r="BD421" t="s">
        <v>112</v>
      </c>
      <c r="BE421" t="s">
        <v>112</v>
      </c>
      <c r="BF421" t="s">
        <v>157</v>
      </c>
      <c r="BG421" t="s">
        <v>133</v>
      </c>
      <c r="BH421" t="s">
        <v>167</v>
      </c>
      <c r="BI421" t="s">
        <v>112</v>
      </c>
      <c r="BJ421" t="s">
        <v>112</v>
      </c>
      <c r="BK421" t="s">
        <v>112</v>
      </c>
      <c r="BL421" t="s">
        <v>158</v>
      </c>
      <c r="BM421" t="s">
        <v>159</v>
      </c>
      <c r="BN421" t="s">
        <v>160</v>
      </c>
      <c r="BO421" t="s">
        <v>161</v>
      </c>
      <c r="BQ421" t="s">
        <v>616</v>
      </c>
      <c r="BR421" s="45">
        <f>ISNUMBER(SEARCH($BR$1,Таблица1[[#This Row],[31_1 Описание и характеристика товара]]))*1</f>
        <v>1</v>
      </c>
      <c r="BT421" t="s">
        <v>150</v>
      </c>
      <c r="BU421">
        <v>33</v>
      </c>
      <c r="BV421">
        <v>0</v>
      </c>
      <c r="BW421">
        <v>0</v>
      </c>
      <c r="BY421">
        <v>0</v>
      </c>
      <c r="CA421" t="s">
        <v>106</v>
      </c>
      <c r="CB421" t="s">
        <v>142</v>
      </c>
      <c r="CC421" t="s">
        <v>112</v>
      </c>
      <c r="CD421" t="s">
        <v>112</v>
      </c>
      <c r="CE421" t="s">
        <v>121</v>
      </c>
      <c r="CF421">
        <v>16779.21</v>
      </c>
      <c r="CG421" t="s">
        <v>144</v>
      </c>
      <c r="CH421">
        <v>4000000</v>
      </c>
      <c r="CI421">
        <v>16779.21</v>
      </c>
      <c r="CJ421">
        <v>0</v>
      </c>
      <c r="CK421" t="s">
        <v>112</v>
      </c>
      <c r="CL421" t="s">
        <v>112</v>
      </c>
      <c r="CM421">
        <v>44700.959999999999</v>
      </c>
      <c r="CO421">
        <v>0</v>
      </c>
      <c r="CP421">
        <v>1</v>
      </c>
      <c r="CQ421">
        <v>4844257.97</v>
      </c>
      <c r="CR421">
        <v>54007.15</v>
      </c>
      <c r="CS421" t="s">
        <v>145</v>
      </c>
      <c r="CT421">
        <v>54029.056199999999</v>
      </c>
      <c r="CU421">
        <v>3.22</v>
      </c>
      <c r="CV421">
        <v>45</v>
      </c>
      <c r="CX421" t="s">
        <v>163</v>
      </c>
      <c r="CY421">
        <v>212</v>
      </c>
    </row>
    <row r="422" spans="1:103" x14ac:dyDescent="0.25">
      <c r="A422" t="s">
        <v>106</v>
      </c>
      <c r="B422" s="38">
        <v>45240</v>
      </c>
      <c r="C422" s="43">
        <f>IF(YEAR(Таблица1[[#This Row],[Дата]])=2023,MONTH(Таблица1[[#This Row],[Дата]]),0)</f>
        <v>11</v>
      </c>
      <c r="D422" t="s">
        <v>703</v>
      </c>
      <c r="E422" t="s">
        <v>108</v>
      </c>
      <c r="F422" t="s">
        <v>704</v>
      </c>
      <c r="G422" t="s">
        <v>110</v>
      </c>
      <c r="H422" t="s">
        <v>111</v>
      </c>
      <c r="I422" t="s">
        <v>112</v>
      </c>
      <c r="J422" t="s">
        <v>112</v>
      </c>
      <c r="K422" t="s">
        <v>112</v>
      </c>
      <c r="L422" t="s">
        <v>150</v>
      </c>
      <c r="M422" t="s">
        <v>151</v>
      </c>
      <c r="N422" t="s">
        <v>112</v>
      </c>
      <c r="O422" t="s">
        <v>112</v>
      </c>
      <c r="P422">
        <v>1</v>
      </c>
      <c r="R422">
        <v>1</v>
      </c>
      <c r="S422">
        <v>33</v>
      </c>
      <c r="T422" t="s">
        <v>112</v>
      </c>
      <c r="U422" t="s">
        <v>152</v>
      </c>
      <c r="V422" t="s">
        <v>153</v>
      </c>
      <c r="W422" t="s">
        <v>154</v>
      </c>
      <c r="X422" t="s">
        <v>119</v>
      </c>
      <c r="Y422" t="s">
        <v>112</v>
      </c>
      <c r="Z422" t="s">
        <v>112</v>
      </c>
      <c r="AA422" t="s">
        <v>152</v>
      </c>
      <c r="AB422" t="s">
        <v>153</v>
      </c>
      <c r="AC422" t="s">
        <v>154</v>
      </c>
      <c r="AD422" t="s">
        <v>119</v>
      </c>
      <c r="AE422" t="s">
        <v>112</v>
      </c>
      <c r="AF422" t="s">
        <v>121</v>
      </c>
      <c r="AG422" t="s">
        <v>122</v>
      </c>
      <c r="AH422">
        <v>4719427.75</v>
      </c>
      <c r="AI422" t="s">
        <v>112</v>
      </c>
      <c r="AJ422" t="s">
        <v>152</v>
      </c>
      <c r="AK422" t="s">
        <v>153</v>
      </c>
      <c r="AL422" t="s">
        <v>154</v>
      </c>
      <c r="AM422" t="s">
        <v>119</v>
      </c>
      <c r="AN422" t="s">
        <v>112</v>
      </c>
      <c r="AO422" t="s">
        <v>121</v>
      </c>
      <c r="AP422" t="s">
        <v>122</v>
      </c>
      <c r="AQ422" t="s">
        <v>122</v>
      </c>
      <c r="AR422" t="s">
        <v>124</v>
      </c>
      <c r="AS422" t="s">
        <v>125</v>
      </c>
      <c r="AT422">
        <v>2</v>
      </c>
      <c r="AU422" t="s">
        <v>126</v>
      </c>
      <c r="AV422" t="s">
        <v>155</v>
      </c>
      <c r="AW422" t="s">
        <v>156</v>
      </c>
      <c r="AY422" t="s">
        <v>129</v>
      </c>
      <c r="AZ422">
        <v>43962.6</v>
      </c>
      <c r="BC422">
        <v>98.418599999999998</v>
      </c>
      <c r="BD422" t="s">
        <v>112</v>
      </c>
      <c r="BE422" t="s">
        <v>112</v>
      </c>
      <c r="BF422" t="s">
        <v>157</v>
      </c>
      <c r="BG422" t="s">
        <v>133</v>
      </c>
      <c r="BH422" t="s">
        <v>167</v>
      </c>
      <c r="BI422" t="s">
        <v>112</v>
      </c>
      <c r="BJ422" t="s">
        <v>112</v>
      </c>
      <c r="BK422" t="s">
        <v>112</v>
      </c>
      <c r="BL422" t="s">
        <v>158</v>
      </c>
      <c r="BM422" t="s">
        <v>159</v>
      </c>
      <c r="BN422" t="s">
        <v>160</v>
      </c>
      <c r="BO422" t="s">
        <v>161</v>
      </c>
      <c r="BQ422" t="s">
        <v>162</v>
      </c>
      <c r="BR422" s="45">
        <f>ISNUMBER(SEARCH($BR$1,Таблица1[[#This Row],[31_1 Описание и характеристика товара]]))*1</f>
        <v>1</v>
      </c>
      <c r="BT422" t="s">
        <v>150</v>
      </c>
      <c r="BU422">
        <v>33</v>
      </c>
      <c r="BV422">
        <v>0</v>
      </c>
      <c r="BW422">
        <v>0</v>
      </c>
      <c r="BY422">
        <v>0</v>
      </c>
      <c r="CA422" t="s">
        <v>106</v>
      </c>
      <c r="CB422" t="s">
        <v>142</v>
      </c>
      <c r="CC422" t="s">
        <v>112</v>
      </c>
      <c r="CD422" t="s">
        <v>112</v>
      </c>
      <c r="CE422" t="s">
        <v>121</v>
      </c>
      <c r="CF422">
        <v>17329.259999999998</v>
      </c>
      <c r="CG422" t="s">
        <v>144</v>
      </c>
      <c r="CH422">
        <v>4000000</v>
      </c>
      <c r="CI422">
        <v>17329.259999999998</v>
      </c>
      <c r="CJ422">
        <v>0</v>
      </c>
      <c r="CK422" t="s">
        <v>112</v>
      </c>
      <c r="CL422" t="s">
        <v>112</v>
      </c>
      <c r="CM422">
        <v>43962.6</v>
      </c>
      <c r="CO422">
        <v>0</v>
      </c>
      <c r="CP422">
        <v>1</v>
      </c>
      <c r="CQ422">
        <v>4719427.75</v>
      </c>
      <c r="CR422">
        <v>52615.46</v>
      </c>
      <c r="CS422" t="s">
        <v>145</v>
      </c>
      <c r="CT422">
        <v>52680.950399999994</v>
      </c>
      <c r="CU422">
        <v>3.04</v>
      </c>
      <c r="CV422">
        <v>45</v>
      </c>
      <c r="CX422" t="s">
        <v>163</v>
      </c>
      <c r="CY422">
        <v>552</v>
      </c>
    </row>
    <row r="423" spans="1:103" x14ac:dyDescent="0.25">
      <c r="A423" s="8" t="s">
        <v>106</v>
      </c>
      <c r="B423" s="38">
        <v>45265</v>
      </c>
      <c r="C423" s="43">
        <f>IF(YEAR(Таблица1[[#This Row],[Дата]])=2023,MONTH(Таблица1[[#This Row],[Дата]]),0)</f>
        <v>12</v>
      </c>
      <c r="D423" s="8" t="s">
        <v>3099</v>
      </c>
      <c r="E423" s="8" t="s">
        <v>108</v>
      </c>
      <c r="F423" s="8" t="s">
        <v>3100</v>
      </c>
      <c r="G423" t="s">
        <v>110</v>
      </c>
      <c r="H423" s="8" t="s">
        <v>111</v>
      </c>
      <c r="I423" s="8" t="s">
        <v>112</v>
      </c>
      <c r="J423" s="8" t="s">
        <v>112</v>
      </c>
      <c r="K423" s="8" t="s">
        <v>112</v>
      </c>
      <c r="L423" s="8" t="s">
        <v>2201</v>
      </c>
      <c r="M423" s="8" t="s">
        <v>2202</v>
      </c>
      <c r="N423" s="8" t="s">
        <v>112</v>
      </c>
      <c r="O423" s="8" t="s">
        <v>112</v>
      </c>
      <c r="P423">
        <v>10</v>
      </c>
      <c r="Q423">
        <v>0</v>
      </c>
      <c r="R423">
        <v>26</v>
      </c>
      <c r="S423">
        <v>38</v>
      </c>
      <c r="T423" s="8" t="s">
        <v>2136</v>
      </c>
      <c r="U423" s="8" t="s">
        <v>2137</v>
      </c>
      <c r="V423" s="8" t="s">
        <v>2141</v>
      </c>
      <c r="W423" s="8" t="s">
        <v>2203</v>
      </c>
      <c r="X423" s="8" t="s">
        <v>119</v>
      </c>
      <c r="Y423" s="8" t="s">
        <v>2140</v>
      </c>
      <c r="Z423" s="8" t="s">
        <v>2136</v>
      </c>
      <c r="AA423" s="8" t="s">
        <v>2137</v>
      </c>
      <c r="AB423" s="8" t="s">
        <v>2141</v>
      </c>
      <c r="AC423" s="8" t="s">
        <v>2203</v>
      </c>
      <c r="AD423" s="8" t="s">
        <v>119</v>
      </c>
      <c r="AE423" s="8" t="s">
        <v>2140</v>
      </c>
      <c r="AF423" s="8" t="s">
        <v>143</v>
      </c>
      <c r="AG423" s="8" t="s">
        <v>123</v>
      </c>
      <c r="AH423">
        <v>8655996.2699999902</v>
      </c>
      <c r="AI423" s="8" t="s">
        <v>2136</v>
      </c>
      <c r="AJ423" s="8" t="s">
        <v>2137</v>
      </c>
      <c r="AK423" s="8" t="s">
        <v>2141</v>
      </c>
      <c r="AL423" s="8" t="s">
        <v>2203</v>
      </c>
      <c r="AM423" s="8" t="s">
        <v>119</v>
      </c>
      <c r="AN423" s="8" t="s">
        <v>2140</v>
      </c>
      <c r="AO423" s="8" t="s">
        <v>143</v>
      </c>
      <c r="AP423" s="8" t="s">
        <v>123</v>
      </c>
      <c r="AQ423" s="8" t="s">
        <v>123</v>
      </c>
      <c r="AR423" s="8" t="s">
        <v>124</v>
      </c>
      <c r="AS423" s="8" t="s">
        <v>125</v>
      </c>
      <c r="AT423">
        <v>2</v>
      </c>
      <c r="AU423" s="8" t="s">
        <v>126</v>
      </c>
      <c r="AV423" s="8" t="s">
        <v>155</v>
      </c>
      <c r="AW423" s="8" t="s">
        <v>2204</v>
      </c>
      <c r="AX423">
        <v>1</v>
      </c>
      <c r="AY423" s="8" t="s">
        <v>129</v>
      </c>
      <c r="AZ423">
        <v>120750.85</v>
      </c>
      <c r="BA423">
        <v>8305219</v>
      </c>
      <c r="BB423">
        <v>133977.56</v>
      </c>
      <c r="BC423">
        <v>68.779799999999895</v>
      </c>
      <c r="BD423" s="8" t="s">
        <v>130</v>
      </c>
      <c r="BE423" s="8" t="s">
        <v>112</v>
      </c>
      <c r="BF423" s="8" t="s">
        <v>2205</v>
      </c>
      <c r="BG423" s="8" t="s">
        <v>133</v>
      </c>
      <c r="BH423" s="8" t="s">
        <v>134</v>
      </c>
      <c r="BI423" s="8" t="s">
        <v>112</v>
      </c>
      <c r="BJ423" s="8" t="s">
        <v>112</v>
      </c>
      <c r="BK423" s="8" t="s">
        <v>112</v>
      </c>
      <c r="BL423" s="8" t="s">
        <v>2168</v>
      </c>
      <c r="BM423" s="8" t="s">
        <v>2206</v>
      </c>
      <c r="BN423" s="8" t="s">
        <v>2207</v>
      </c>
      <c r="BO423" s="8" t="s">
        <v>2208</v>
      </c>
      <c r="BP423">
        <v>1</v>
      </c>
      <c r="BQ423" s="8" t="s">
        <v>2209</v>
      </c>
      <c r="BR423" s="45">
        <f>ISNUMBER(SEARCH($BR$1,Таблица1[[#This Row],[31_1 Описание и характеристика товара]]))*1</f>
        <v>0</v>
      </c>
      <c r="BT423" s="8" t="s">
        <v>2210</v>
      </c>
      <c r="BU423">
        <v>32</v>
      </c>
      <c r="BV423">
        <v>0</v>
      </c>
      <c r="BW423">
        <v>97</v>
      </c>
      <c r="BX423" t="s">
        <v>2147</v>
      </c>
      <c r="BY423">
        <v>0</v>
      </c>
      <c r="CA423" s="8" t="s">
        <v>106</v>
      </c>
      <c r="CB423" s="8" t="s">
        <v>2148</v>
      </c>
      <c r="CC423" s="8" t="s">
        <v>112</v>
      </c>
      <c r="CD423" s="8" t="s">
        <v>112</v>
      </c>
      <c r="CE423" s="8" t="s">
        <v>143</v>
      </c>
      <c r="CF423">
        <v>8084.2</v>
      </c>
      <c r="CG423" t="s">
        <v>144</v>
      </c>
      <c r="CH423">
        <v>4000000</v>
      </c>
      <c r="CI423">
        <v>7393.1</v>
      </c>
      <c r="CJ423">
        <v>0</v>
      </c>
      <c r="CK423" s="8" t="s">
        <v>112</v>
      </c>
      <c r="CL423" s="8" t="s">
        <v>112</v>
      </c>
      <c r="CM423">
        <v>112401.24</v>
      </c>
      <c r="CN423">
        <v>7730935</v>
      </c>
      <c r="CO423">
        <v>0</v>
      </c>
      <c r="CP423">
        <v>1</v>
      </c>
      <c r="CQ423">
        <v>8058068.7300000004</v>
      </c>
      <c r="CR423">
        <v>124722.85</v>
      </c>
      <c r="CS423" s="8" t="s">
        <v>145</v>
      </c>
      <c r="CT423">
        <v>16.870200000000001</v>
      </c>
      <c r="CU423">
        <v>1053</v>
      </c>
      <c r="CV423" t="s">
        <v>2149</v>
      </c>
      <c r="CX423" t="s">
        <v>2150</v>
      </c>
      <c r="CY423">
        <v>138</v>
      </c>
    </row>
    <row r="424" spans="1:103" x14ac:dyDescent="0.25">
      <c r="A424" s="8" t="s">
        <v>106</v>
      </c>
      <c r="B424" s="38">
        <v>44940</v>
      </c>
      <c r="C424" s="43">
        <f>IF(YEAR(Таблица1[[#This Row],[Дата]])=2023,MONTH(Таблица1[[#This Row],[Дата]]),0)</f>
        <v>1</v>
      </c>
      <c r="D424" s="8" t="s">
        <v>3186</v>
      </c>
      <c r="E424" s="8" t="s">
        <v>108</v>
      </c>
      <c r="F424" s="8" t="s">
        <v>3187</v>
      </c>
      <c r="G424" t="s">
        <v>110</v>
      </c>
      <c r="H424" s="8" t="s">
        <v>111</v>
      </c>
      <c r="I424" s="8" t="s">
        <v>112</v>
      </c>
      <c r="J424" s="8" t="s">
        <v>112</v>
      </c>
      <c r="K424" s="8" t="s">
        <v>112</v>
      </c>
      <c r="L424" s="8" t="s">
        <v>2201</v>
      </c>
      <c r="M424" s="8" t="s">
        <v>2202</v>
      </c>
      <c r="N424" s="8" t="s">
        <v>112</v>
      </c>
      <c r="O424" s="8" t="s">
        <v>112</v>
      </c>
      <c r="P424">
        <v>4</v>
      </c>
      <c r="Q424">
        <v>0</v>
      </c>
      <c r="R424">
        <v>10</v>
      </c>
      <c r="S424">
        <v>26</v>
      </c>
      <c r="T424" s="8" t="s">
        <v>2136</v>
      </c>
      <c r="U424" s="8" t="s">
        <v>2137</v>
      </c>
      <c r="V424" s="8" t="s">
        <v>2141</v>
      </c>
      <c r="W424" s="8" t="s">
        <v>2203</v>
      </c>
      <c r="X424" s="8" t="s">
        <v>119</v>
      </c>
      <c r="Y424" s="8" t="s">
        <v>2140</v>
      </c>
      <c r="Z424" s="8" t="s">
        <v>2136</v>
      </c>
      <c r="AA424" s="8" t="s">
        <v>2137</v>
      </c>
      <c r="AB424" s="8" t="s">
        <v>2141</v>
      </c>
      <c r="AC424" s="8" t="s">
        <v>2203</v>
      </c>
      <c r="AD424" s="8" t="s">
        <v>119</v>
      </c>
      <c r="AE424" s="8" t="s">
        <v>2140</v>
      </c>
      <c r="AF424" s="8" t="s">
        <v>143</v>
      </c>
      <c r="AG424" s="8" t="s">
        <v>123</v>
      </c>
      <c r="AH424">
        <v>5507373.9699999904</v>
      </c>
      <c r="AI424" s="8" t="s">
        <v>2136</v>
      </c>
      <c r="AJ424" s="8" t="s">
        <v>2137</v>
      </c>
      <c r="AK424" s="8" t="s">
        <v>2141</v>
      </c>
      <c r="AL424" s="8" t="s">
        <v>2203</v>
      </c>
      <c r="AM424" s="8" t="s">
        <v>119</v>
      </c>
      <c r="AN424" s="8" t="s">
        <v>2140</v>
      </c>
      <c r="AO424" s="8" t="s">
        <v>143</v>
      </c>
      <c r="AP424" s="8" t="s">
        <v>123</v>
      </c>
      <c r="AQ424" s="8" t="s">
        <v>123</v>
      </c>
      <c r="AR424" s="8" t="s">
        <v>124</v>
      </c>
      <c r="AS424" s="8" t="s">
        <v>125</v>
      </c>
      <c r="AT424">
        <v>2</v>
      </c>
      <c r="AU424" s="8" t="s">
        <v>126</v>
      </c>
      <c r="AV424" s="8" t="s">
        <v>155</v>
      </c>
      <c r="AW424" s="8" t="s">
        <v>2204</v>
      </c>
      <c r="AX424">
        <v>1</v>
      </c>
      <c r="AY424" s="8" t="s">
        <v>129</v>
      </c>
      <c r="AZ424">
        <v>75032.55</v>
      </c>
      <c r="BA424">
        <v>5160724</v>
      </c>
      <c r="BB424">
        <v>85243.199999999895</v>
      </c>
      <c r="BC424">
        <v>68.779799999999895</v>
      </c>
      <c r="BD424" s="8" t="s">
        <v>130</v>
      </c>
      <c r="BE424" s="8" t="s">
        <v>112</v>
      </c>
      <c r="BF424" s="8" t="s">
        <v>2205</v>
      </c>
      <c r="BG424" s="8" t="s">
        <v>133</v>
      </c>
      <c r="BH424" s="8" t="s">
        <v>134</v>
      </c>
      <c r="BI424" s="8" t="s">
        <v>112</v>
      </c>
      <c r="BJ424" s="8" t="s">
        <v>112</v>
      </c>
      <c r="BK424" s="8" t="s">
        <v>112</v>
      </c>
      <c r="BL424" s="8" t="s">
        <v>2168</v>
      </c>
      <c r="BM424" s="8" t="s">
        <v>2206</v>
      </c>
      <c r="BN424" s="8" t="s">
        <v>2207</v>
      </c>
      <c r="BO424" s="8" t="s">
        <v>2208</v>
      </c>
      <c r="BP424">
        <v>1</v>
      </c>
      <c r="BQ424" s="8" t="s">
        <v>3188</v>
      </c>
      <c r="BR424" s="45">
        <f>ISNUMBER(SEARCH($BR$1,Таблица1[[#This Row],[31_1 Описание и характеристика товара]]))*1</f>
        <v>0</v>
      </c>
      <c r="BT424" s="8" t="s">
        <v>2210</v>
      </c>
      <c r="BU424">
        <v>23</v>
      </c>
      <c r="BV424">
        <v>0</v>
      </c>
      <c r="BW424">
        <v>23</v>
      </c>
      <c r="BX424" t="s">
        <v>2147</v>
      </c>
      <c r="BY424">
        <v>0</v>
      </c>
      <c r="CA424" s="8" t="s">
        <v>106</v>
      </c>
      <c r="CB424" s="8" t="s">
        <v>2148</v>
      </c>
      <c r="CC424" s="8" t="s">
        <v>112</v>
      </c>
      <c r="CD424" s="8" t="s">
        <v>112</v>
      </c>
      <c r="CE424" s="8" t="s">
        <v>143</v>
      </c>
      <c r="CF424">
        <v>5042</v>
      </c>
      <c r="CG424" t="s">
        <v>144</v>
      </c>
      <c r="CH424">
        <v>4000000</v>
      </c>
      <c r="CI424">
        <v>4461</v>
      </c>
      <c r="CJ424">
        <v>0</v>
      </c>
      <c r="CK424" s="8" t="s">
        <v>112</v>
      </c>
      <c r="CL424" s="8" t="s">
        <v>112</v>
      </c>
      <c r="CM424">
        <v>69433.61</v>
      </c>
      <c r="CN424">
        <v>4775630</v>
      </c>
      <c r="CO424">
        <v>0</v>
      </c>
      <c r="CP424">
        <v>1</v>
      </c>
      <c r="CQ424">
        <v>5031157.08</v>
      </c>
      <c r="CR424">
        <v>77872.289999999906</v>
      </c>
      <c r="CS424" s="8" t="s">
        <v>145</v>
      </c>
      <c r="CT424">
        <v>17.456199999999999</v>
      </c>
      <c r="CU424">
        <v>1053</v>
      </c>
      <c r="CV424" t="s">
        <v>2149</v>
      </c>
      <c r="CX424" t="s">
        <v>2150</v>
      </c>
      <c r="CY424">
        <v>0</v>
      </c>
    </row>
    <row r="425" spans="1:103" x14ac:dyDescent="0.25">
      <c r="A425" t="s">
        <v>106</v>
      </c>
      <c r="B425" s="38">
        <v>45038</v>
      </c>
      <c r="C425" s="43">
        <f>IF(YEAR(Таблица1[[#This Row],[Дата]])=2023,MONTH(Таблица1[[#This Row],[Дата]]),0)</f>
        <v>4</v>
      </c>
      <c r="D425" t="s">
        <v>2118</v>
      </c>
      <c r="E425" t="s">
        <v>108</v>
      </c>
      <c r="F425" t="s">
        <v>2119</v>
      </c>
      <c r="G425" t="s">
        <v>110</v>
      </c>
      <c r="H425" t="s">
        <v>111</v>
      </c>
      <c r="I425" t="s">
        <v>112</v>
      </c>
      <c r="J425" t="s">
        <v>112</v>
      </c>
      <c r="K425" t="s">
        <v>112</v>
      </c>
      <c r="L425" t="s">
        <v>150</v>
      </c>
      <c r="M425" t="s">
        <v>151</v>
      </c>
      <c r="N425" t="s">
        <v>112</v>
      </c>
      <c r="O425" t="s">
        <v>112</v>
      </c>
      <c r="P425">
        <v>1</v>
      </c>
      <c r="R425">
        <v>1</v>
      </c>
      <c r="S425">
        <v>33</v>
      </c>
      <c r="T425" t="s">
        <v>112</v>
      </c>
      <c r="U425" t="s">
        <v>152</v>
      </c>
      <c r="V425" t="s">
        <v>153</v>
      </c>
      <c r="W425" t="s">
        <v>154</v>
      </c>
      <c r="X425" t="s">
        <v>119</v>
      </c>
      <c r="Y425" t="s">
        <v>112</v>
      </c>
      <c r="Z425" t="s">
        <v>112</v>
      </c>
      <c r="AA425" t="s">
        <v>152</v>
      </c>
      <c r="AB425" t="s">
        <v>153</v>
      </c>
      <c r="AC425" t="s">
        <v>154</v>
      </c>
      <c r="AD425" t="s">
        <v>119</v>
      </c>
      <c r="AE425" t="s">
        <v>112</v>
      </c>
      <c r="AF425" t="s">
        <v>121</v>
      </c>
      <c r="AG425" t="s">
        <v>122</v>
      </c>
      <c r="AH425">
        <v>5162028.49</v>
      </c>
      <c r="AI425" t="s">
        <v>112</v>
      </c>
      <c r="AJ425" t="s">
        <v>152</v>
      </c>
      <c r="AK425" t="s">
        <v>153</v>
      </c>
      <c r="AL425" t="s">
        <v>154</v>
      </c>
      <c r="AM425" t="s">
        <v>119</v>
      </c>
      <c r="AN425" t="s">
        <v>112</v>
      </c>
      <c r="AO425" t="s">
        <v>121</v>
      </c>
      <c r="AP425" t="s">
        <v>122</v>
      </c>
      <c r="AQ425" t="s">
        <v>122</v>
      </c>
      <c r="AR425" t="s">
        <v>124</v>
      </c>
      <c r="AS425" t="s">
        <v>125</v>
      </c>
      <c r="AT425">
        <v>2</v>
      </c>
      <c r="AU425" t="s">
        <v>126</v>
      </c>
      <c r="AV425" t="s">
        <v>155</v>
      </c>
      <c r="AW425" t="s">
        <v>156</v>
      </c>
      <c r="AY425" t="s">
        <v>129</v>
      </c>
      <c r="AZ425">
        <v>46247.4</v>
      </c>
      <c r="BC425">
        <v>102.7527</v>
      </c>
      <c r="BD425" t="s">
        <v>112</v>
      </c>
      <c r="BE425" t="s">
        <v>112</v>
      </c>
      <c r="BF425" t="s">
        <v>157</v>
      </c>
      <c r="BG425" t="s">
        <v>133</v>
      </c>
      <c r="BH425" t="s">
        <v>167</v>
      </c>
      <c r="BI425" t="s">
        <v>112</v>
      </c>
      <c r="BJ425" t="s">
        <v>112</v>
      </c>
      <c r="BK425" t="s">
        <v>112</v>
      </c>
      <c r="BL425" t="s">
        <v>158</v>
      </c>
      <c r="BM425" t="s">
        <v>159</v>
      </c>
      <c r="BN425" t="s">
        <v>160</v>
      </c>
      <c r="BO425" t="s">
        <v>161</v>
      </c>
      <c r="BQ425" t="s">
        <v>232</v>
      </c>
      <c r="BR425" s="45">
        <f>ISNUMBER(SEARCH($BR$1,Таблица1[[#This Row],[31_1 Описание и характеристика товара]]))*1</f>
        <v>1</v>
      </c>
      <c r="BT425" t="s">
        <v>150</v>
      </c>
      <c r="BU425">
        <v>33</v>
      </c>
      <c r="BV425">
        <v>0</v>
      </c>
      <c r="BW425">
        <v>0</v>
      </c>
      <c r="BY425">
        <v>0</v>
      </c>
      <c r="CA425" t="s">
        <v>106</v>
      </c>
      <c r="CB425" t="s">
        <v>142</v>
      </c>
      <c r="CC425" t="s">
        <v>112</v>
      </c>
      <c r="CD425" t="s">
        <v>112</v>
      </c>
      <c r="CE425" t="s">
        <v>121</v>
      </c>
      <c r="CF425">
        <v>16018.2</v>
      </c>
      <c r="CG425" t="s">
        <v>144</v>
      </c>
      <c r="CH425">
        <v>4000000</v>
      </c>
      <c r="CI425">
        <v>15845.4</v>
      </c>
      <c r="CJ425">
        <v>0</v>
      </c>
      <c r="CK425" t="s">
        <v>112</v>
      </c>
      <c r="CL425" t="s">
        <v>112</v>
      </c>
      <c r="CM425">
        <v>46247.4</v>
      </c>
      <c r="CO425">
        <v>0</v>
      </c>
      <c r="CP425">
        <v>1</v>
      </c>
      <c r="CQ425">
        <v>5162028.49</v>
      </c>
      <c r="CR425">
        <v>53027.75</v>
      </c>
      <c r="CS425" t="s">
        <v>145</v>
      </c>
      <c r="CT425">
        <v>53082.090000000004</v>
      </c>
      <c r="CU425">
        <v>3.35</v>
      </c>
      <c r="CV425">
        <v>45</v>
      </c>
      <c r="CX425" t="s">
        <v>206</v>
      </c>
      <c r="CY425">
        <v>314</v>
      </c>
    </row>
    <row r="426" spans="1:103" x14ac:dyDescent="0.25">
      <c r="A426" t="s">
        <v>106</v>
      </c>
      <c r="B426" s="38">
        <v>44963</v>
      </c>
      <c r="C426" s="43">
        <f>IF(YEAR(Таблица1[[#This Row],[Дата]])=2023,MONTH(Таблица1[[#This Row],[Дата]]),0)</f>
        <v>2</v>
      </c>
      <c r="D426" t="s">
        <v>2118</v>
      </c>
      <c r="E426" t="s">
        <v>108</v>
      </c>
      <c r="F426" t="s">
        <v>2119</v>
      </c>
      <c r="G426" t="s">
        <v>110</v>
      </c>
      <c r="H426" t="s">
        <v>111</v>
      </c>
      <c r="I426" t="s">
        <v>112</v>
      </c>
      <c r="J426" t="s">
        <v>112</v>
      </c>
      <c r="K426" t="s">
        <v>112</v>
      </c>
      <c r="L426" t="s">
        <v>150</v>
      </c>
      <c r="M426" t="s">
        <v>151</v>
      </c>
      <c r="N426" t="s">
        <v>112</v>
      </c>
      <c r="O426" t="s">
        <v>112</v>
      </c>
      <c r="P426">
        <v>1</v>
      </c>
      <c r="R426">
        <v>1</v>
      </c>
      <c r="S426">
        <v>33</v>
      </c>
      <c r="T426" t="s">
        <v>112</v>
      </c>
      <c r="U426" t="s">
        <v>152</v>
      </c>
      <c r="V426" t="s">
        <v>153</v>
      </c>
      <c r="W426" t="s">
        <v>154</v>
      </c>
      <c r="X426" t="s">
        <v>119</v>
      </c>
      <c r="Y426" t="s">
        <v>112</v>
      </c>
      <c r="Z426" t="s">
        <v>112</v>
      </c>
      <c r="AA426" t="s">
        <v>152</v>
      </c>
      <c r="AB426" t="s">
        <v>153</v>
      </c>
      <c r="AC426" t="s">
        <v>154</v>
      </c>
      <c r="AD426" t="s">
        <v>119</v>
      </c>
      <c r="AE426" t="s">
        <v>112</v>
      </c>
      <c r="AF426" t="s">
        <v>121</v>
      </c>
      <c r="AG426" t="s">
        <v>122</v>
      </c>
      <c r="AH426">
        <v>5162028.49</v>
      </c>
      <c r="AI426" t="s">
        <v>112</v>
      </c>
      <c r="AJ426" t="s">
        <v>152</v>
      </c>
      <c r="AK426" t="s">
        <v>153</v>
      </c>
      <c r="AL426" t="s">
        <v>154</v>
      </c>
      <c r="AM426" t="s">
        <v>119</v>
      </c>
      <c r="AN426" t="s">
        <v>112</v>
      </c>
      <c r="AO426" t="s">
        <v>121</v>
      </c>
      <c r="AP426" t="s">
        <v>122</v>
      </c>
      <c r="AQ426" t="s">
        <v>122</v>
      </c>
      <c r="AR426" t="s">
        <v>124</v>
      </c>
      <c r="AS426" t="s">
        <v>125</v>
      </c>
      <c r="AT426">
        <v>2</v>
      </c>
      <c r="AU426" t="s">
        <v>126</v>
      </c>
      <c r="AV426" t="s">
        <v>155</v>
      </c>
      <c r="AW426" t="s">
        <v>156</v>
      </c>
      <c r="AY426" t="s">
        <v>129</v>
      </c>
      <c r="AZ426">
        <v>46247.4</v>
      </c>
      <c r="BC426">
        <v>102.7527</v>
      </c>
      <c r="BD426" t="s">
        <v>112</v>
      </c>
      <c r="BE426" t="s">
        <v>112</v>
      </c>
      <c r="BF426" t="s">
        <v>157</v>
      </c>
      <c r="BG426" t="s">
        <v>133</v>
      </c>
      <c r="BH426" t="s">
        <v>167</v>
      </c>
      <c r="BI426" t="s">
        <v>112</v>
      </c>
      <c r="BJ426" t="s">
        <v>112</v>
      </c>
      <c r="BK426" t="s">
        <v>112</v>
      </c>
      <c r="BL426" t="s">
        <v>158</v>
      </c>
      <c r="BM426" t="s">
        <v>159</v>
      </c>
      <c r="BN426" t="s">
        <v>160</v>
      </c>
      <c r="BO426" t="s">
        <v>161</v>
      </c>
      <c r="BQ426" t="s">
        <v>232</v>
      </c>
      <c r="BR426" s="45">
        <f>ISNUMBER(SEARCH($BR$1,Таблица1[[#This Row],[31_1 Описание и характеристика товара]]))*1</f>
        <v>1</v>
      </c>
      <c r="BT426" t="s">
        <v>150</v>
      </c>
      <c r="BU426">
        <v>33</v>
      </c>
      <c r="BV426">
        <v>0</v>
      </c>
      <c r="BW426">
        <v>0</v>
      </c>
      <c r="BY426">
        <v>0</v>
      </c>
      <c r="CA426" t="s">
        <v>106</v>
      </c>
      <c r="CB426" t="s">
        <v>142</v>
      </c>
      <c r="CC426" t="s">
        <v>112</v>
      </c>
      <c r="CD426" t="s">
        <v>112</v>
      </c>
      <c r="CE426" t="s">
        <v>121</v>
      </c>
      <c r="CF426">
        <v>16018.2</v>
      </c>
      <c r="CG426" t="s">
        <v>144</v>
      </c>
      <c r="CH426">
        <v>4000000</v>
      </c>
      <c r="CI426">
        <v>15845.4</v>
      </c>
      <c r="CJ426">
        <v>0</v>
      </c>
      <c r="CK426" t="s">
        <v>112</v>
      </c>
      <c r="CL426" t="s">
        <v>112</v>
      </c>
      <c r="CM426">
        <v>46247.4</v>
      </c>
      <c r="CO426">
        <v>0</v>
      </c>
      <c r="CP426">
        <v>1</v>
      </c>
      <c r="CQ426">
        <v>5162028.49</v>
      </c>
      <c r="CR426">
        <v>53027.75</v>
      </c>
      <c r="CS426" t="s">
        <v>145</v>
      </c>
      <c r="CT426">
        <v>53082.090000000004</v>
      </c>
      <c r="CU426">
        <v>3.35</v>
      </c>
      <c r="CV426">
        <v>45</v>
      </c>
      <c r="CX426" t="s">
        <v>206</v>
      </c>
      <c r="CY426">
        <v>314</v>
      </c>
    </row>
    <row r="427" spans="1:103" x14ac:dyDescent="0.25">
      <c r="A427" t="s">
        <v>106</v>
      </c>
      <c r="B427" s="38">
        <v>45013</v>
      </c>
      <c r="C427" s="43">
        <f>IF(YEAR(Таблица1[[#This Row],[Дата]])=2023,MONTH(Таблица1[[#This Row],[Дата]]),0)</f>
        <v>3</v>
      </c>
      <c r="D427" t="s">
        <v>1949</v>
      </c>
      <c r="E427" t="s">
        <v>108</v>
      </c>
      <c r="F427" t="s">
        <v>1950</v>
      </c>
      <c r="G427" t="s">
        <v>110</v>
      </c>
      <c r="H427" t="s">
        <v>111</v>
      </c>
      <c r="I427" t="s">
        <v>112</v>
      </c>
      <c r="J427" t="s">
        <v>112</v>
      </c>
      <c r="K427" t="s">
        <v>112</v>
      </c>
      <c r="L427" t="s">
        <v>150</v>
      </c>
      <c r="M427" t="s">
        <v>151</v>
      </c>
      <c r="N427" t="s">
        <v>112</v>
      </c>
      <c r="O427" t="s">
        <v>112</v>
      </c>
      <c r="P427">
        <v>1</v>
      </c>
      <c r="R427">
        <v>1</v>
      </c>
      <c r="S427">
        <v>33</v>
      </c>
      <c r="T427" t="s">
        <v>112</v>
      </c>
      <c r="U427" t="s">
        <v>152</v>
      </c>
      <c r="V427" t="s">
        <v>153</v>
      </c>
      <c r="W427" t="s">
        <v>154</v>
      </c>
      <c r="X427" t="s">
        <v>119</v>
      </c>
      <c r="Y427" t="s">
        <v>112</v>
      </c>
      <c r="Z427" t="s">
        <v>112</v>
      </c>
      <c r="AA427" t="s">
        <v>152</v>
      </c>
      <c r="AB427" t="s">
        <v>153</v>
      </c>
      <c r="AC427" t="s">
        <v>154</v>
      </c>
      <c r="AD427" t="s">
        <v>119</v>
      </c>
      <c r="AE427" t="s">
        <v>112</v>
      </c>
      <c r="AF427" t="s">
        <v>121</v>
      </c>
      <c r="AG427" t="s">
        <v>122</v>
      </c>
      <c r="AH427">
        <v>4367955.45</v>
      </c>
      <c r="AI427" t="s">
        <v>112</v>
      </c>
      <c r="AJ427" t="s">
        <v>152</v>
      </c>
      <c r="AK427" t="s">
        <v>153</v>
      </c>
      <c r="AL427" t="s">
        <v>154</v>
      </c>
      <c r="AM427" t="s">
        <v>119</v>
      </c>
      <c r="AN427" t="s">
        <v>112</v>
      </c>
      <c r="AO427" t="s">
        <v>121</v>
      </c>
      <c r="AP427" t="s">
        <v>122</v>
      </c>
      <c r="AQ427" t="s">
        <v>122</v>
      </c>
      <c r="AR427" t="s">
        <v>124</v>
      </c>
      <c r="AS427" t="s">
        <v>125</v>
      </c>
      <c r="AT427">
        <v>2</v>
      </c>
      <c r="AU427" t="s">
        <v>126</v>
      </c>
      <c r="AV427" t="s">
        <v>155</v>
      </c>
      <c r="AW427" t="s">
        <v>156</v>
      </c>
      <c r="AY427" t="s">
        <v>129</v>
      </c>
      <c r="AZ427">
        <v>38262.6</v>
      </c>
      <c r="BC427">
        <v>103.03579999999999</v>
      </c>
      <c r="BD427" t="s">
        <v>112</v>
      </c>
      <c r="BE427" t="s">
        <v>112</v>
      </c>
      <c r="BF427" t="s">
        <v>157</v>
      </c>
      <c r="BG427" t="s">
        <v>133</v>
      </c>
      <c r="BH427" t="s">
        <v>134</v>
      </c>
      <c r="BI427" t="s">
        <v>112</v>
      </c>
      <c r="BJ427" t="s">
        <v>112</v>
      </c>
      <c r="BK427" t="s">
        <v>112</v>
      </c>
      <c r="BL427" t="s">
        <v>169</v>
      </c>
      <c r="BM427" t="s">
        <v>159</v>
      </c>
      <c r="BN427" t="s">
        <v>212</v>
      </c>
      <c r="BO427" t="s">
        <v>161</v>
      </c>
      <c r="BQ427" t="s">
        <v>281</v>
      </c>
      <c r="BR427" s="45">
        <f>ISNUMBER(SEARCH($BR$1,Таблица1[[#This Row],[31_1 Описание и характеристика товара]]))*1</f>
        <v>1</v>
      </c>
      <c r="BT427" t="s">
        <v>150</v>
      </c>
      <c r="BU427">
        <v>33</v>
      </c>
      <c r="BV427">
        <v>0</v>
      </c>
      <c r="BW427">
        <v>0</v>
      </c>
      <c r="BY427">
        <v>0</v>
      </c>
      <c r="CA427" t="s">
        <v>106</v>
      </c>
      <c r="CB427" t="s">
        <v>142</v>
      </c>
      <c r="CC427" t="s">
        <v>112</v>
      </c>
      <c r="CD427" t="s">
        <v>112</v>
      </c>
      <c r="CE427" t="s">
        <v>121</v>
      </c>
      <c r="CF427">
        <v>16587.12</v>
      </c>
      <c r="CG427" t="s">
        <v>144</v>
      </c>
      <c r="CH427">
        <v>4000000</v>
      </c>
      <c r="CI427">
        <v>16435.919999999998</v>
      </c>
      <c r="CJ427">
        <v>0</v>
      </c>
      <c r="CK427" t="s">
        <v>112</v>
      </c>
      <c r="CL427" t="s">
        <v>112</v>
      </c>
      <c r="CM427">
        <v>38262.6</v>
      </c>
      <c r="CO427">
        <v>0</v>
      </c>
      <c r="CP427">
        <v>1</v>
      </c>
      <c r="CQ427">
        <v>4367955.45</v>
      </c>
      <c r="CR427">
        <v>45201.11</v>
      </c>
      <c r="CS427" t="s">
        <v>145</v>
      </c>
      <c r="CT427">
        <v>45198.78</v>
      </c>
      <c r="CU427">
        <v>2.75</v>
      </c>
      <c r="CV427">
        <v>45</v>
      </c>
      <c r="CX427" t="s">
        <v>233</v>
      </c>
      <c r="CY427">
        <v>65</v>
      </c>
    </row>
    <row r="428" spans="1:103" x14ac:dyDescent="0.25">
      <c r="A428" t="s">
        <v>106</v>
      </c>
      <c r="B428" s="38">
        <v>44673</v>
      </c>
      <c r="C428" s="43">
        <f>IF(YEAR(Таблица1[[#This Row],[Дата]])=2023,MONTH(Таблица1[[#This Row],[Дата]]),0)</f>
        <v>0</v>
      </c>
      <c r="D428" t="s">
        <v>1949</v>
      </c>
      <c r="E428" t="s">
        <v>108</v>
      </c>
      <c r="F428" t="s">
        <v>1950</v>
      </c>
      <c r="G428" t="s">
        <v>110</v>
      </c>
      <c r="H428" t="s">
        <v>111</v>
      </c>
      <c r="I428" t="s">
        <v>112</v>
      </c>
      <c r="J428" t="s">
        <v>112</v>
      </c>
      <c r="K428" t="s">
        <v>112</v>
      </c>
      <c r="L428" t="s">
        <v>150</v>
      </c>
      <c r="M428" t="s">
        <v>151</v>
      </c>
      <c r="N428" t="s">
        <v>112</v>
      </c>
      <c r="O428" t="s">
        <v>112</v>
      </c>
      <c r="P428">
        <v>1</v>
      </c>
      <c r="R428">
        <v>1</v>
      </c>
      <c r="S428">
        <v>33</v>
      </c>
      <c r="T428" t="s">
        <v>112</v>
      </c>
      <c r="U428" t="s">
        <v>152</v>
      </c>
      <c r="V428" t="s">
        <v>153</v>
      </c>
      <c r="W428" t="s">
        <v>154</v>
      </c>
      <c r="X428" t="s">
        <v>119</v>
      </c>
      <c r="Y428" t="s">
        <v>112</v>
      </c>
      <c r="Z428" t="s">
        <v>112</v>
      </c>
      <c r="AA428" t="s">
        <v>152</v>
      </c>
      <c r="AB428" t="s">
        <v>153</v>
      </c>
      <c r="AC428" t="s">
        <v>154</v>
      </c>
      <c r="AD428" t="s">
        <v>119</v>
      </c>
      <c r="AE428" t="s">
        <v>112</v>
      </c>
      <c r="AF428" t="s">
        <v>121</v>
      </c>
      <c r="AG428" t="s">
        <v>122</v>
      </c>
      <c r="AH428">
        <v>4367955.45</v>
      </c>
      <c r="AI428" t="s">
        <v>112</v>
      </c>
      <c r="AJ428" t="s">
        <v>152</v>
      </c>
      <c r="AK428" t="s">
        <v>153</v>
      </c>
      <c r="AL428" t="s">
        <v>154</v>
      </c>
      <c r="AM428" t="s">
        <v>119</v>
      </c>
      <c r="AN428" t="s">
        <v>112</v>
      </c>
      <c r="AO428" t="s">
        <v>121</v>
      </c>
      <c r="AP428" t="s">
        <v>122</v>
      </c>
      <c r="AQ428" t="s">
        <v>122</v>
      </c>
      <c r="AR428" t="s">
        <v>124</v>
      </c>
      <c r="AS428" t="s">
        <v>125</v>
      </c>
      <c r="AT428">
        <v>2</v>
      </c>
      <c r="AU428" t="s">
        <v>126</v>
      </c>
      <c r="AV428" t="s">
        <v>155</v>
      </c>
      <c r="AW428" t="s">
        <v>156</v>
      </c>
      <c r="AY428" t="s">
        <v>129</v>
      </c>
      <c r="AZ428">
        <v>38262.6</v>
      </c>
      <c r="BC428">
        <v>103.03579999999999</v>
      </c>
      <c r="BD428" t="s">
        <v>112</v>
      </c>
      <c r="BE428" t="s">
        <v>112</v>
      </c>
      <c r="BF428" t="s">
        <v>157</v>
      </c>
      <c r="BG428" t="s">
        <v>133</v>
      </c>
      <c r="BH428" t="s">
        <v>134</v>
      </c>
      <c r="BI428" t="s">
        <v>112</v>
      </c>
      <c r="BJ428" t="s">
        <v>112</v>
      </c>
      <c r="BK428" t="s">
        <v>112</v>
      </c>
      <c r="BL428" t="s">
        <v>169</v>
      </c>
      <c r="BM428" t="s">
        <v>159</v>
      </c>
      <c r="BN428" t="s">
        <v>212</v>
      </c>
      <c r="BO428" t="s">
        <v>161</v>
      </c>
      <c r="BQ428" t="s">
        <v>281</v>
      </c>
      <c r="BR428" s="45">
        <f>ISNUMBER(SEARCH($BR$1,Таблица1[[#This Row],[31_1 Описание и характеристика товара]]))*1</f>
        <v>1</v>
      </c>
      <c r="BT428" t="s">
        <v>150</v>
      </c>
      <c r="BU428">
        <v>33</v>
      </c>
      <c r="BV428">
        <v>0</v>
      </c>
      <c r="BW428">
        <v>0</v>
      </c>
      <c r="BY428">
        <v>0</v>
      </c>
      <c r="CA428" t="s">
        <v>106</v>
      </c>
      <c r="CB428" t="s">
        <v>142</v>
      </c>
      <c r="CC428" t="s">
        <v>112</v>
      </c>
      <c r="CD428" t="s">
        <v>112</v>
      </c>
      <c r="CE428" t="s">
        <v>121</v>
      </c>
      <c r="CF428">
        <v>16587.12</v>
      </c>
      <c r="CG428" t="s">
        <v>144</v>
      </c>
      <c r="CH428">
        <v>4000000</v>
      </c>
      <c r="CI428">
        <v>16435.919999999998</v>
      </c>
      <c r="CJ428">
        <v>0</v>
      </c>
      <c r="CK428" t="s">
        <v>112</v>
      </c>
      <c r="CL428" t="s">
        <v>112</v>
      </c>
      <c r="CM428">
        <v>38262.6</v>
      </c>
      <c r="CO428">
        <v>0</v>
      </c>
      <c r="CP428">
        <v>1</v>
      </c>
      <c r="CQ428">
        <v>4367955.45</v>
      </c>
      <c r="CR428">
        <v>45201.11</v>
      </c>
      <c r="CS428" t="s">
        <v>145</v>
      </c>
      <c r="CT428">
        <v>45198.78</v>
      </c>
      <c r="CU428">
        <v>2.75</v>
      </c>
      <c r="CV428">
        <v>45</v>
      </c>
      <c r="CX428" t="s">
        <v>233</v>
      </c>
      <c r="CY428">
        <v>65</v>
      </c>
    </row>
    <row r="429" spans="1:103" x14ac:dyDescent="0.25">
      <c r="A429" t="s">
        <v>106</v>
      </c>
      <c r="B429" s="38">
        <v>45213</v>
      </c>
      <c r="C429" s="43">
        <f>IF(YEAR(Таблица1[[#This Row],[Дата]])=2023,MONTH(Таблица1[[#This Row],[Дата]]),0)</f>
        <v>10</v>
      </c>
      <c r="D429" t="s">
        <v>1961</v>
      </c>
      <c r="E429" t="s">
        <v>108</v>
      </c>
      <c r="F429" t="s">
        <v>1962</v>
      </c>
      <c r="G429" t="s">
        <v>110</v>
      </c>
      <c r="H429" t="s">
        <v>111</v>
      </c>
      <c r="I429" t="s">
        <v>112</v>
      </c>
      <c r="J429" t="s">
        <v>112</v>
      </c>
      <c r="K429" t="s">
        <v>112</v>
      </c>
      <c r="L429" t="s">
        <v>150</v>
      </c>
      <c r="M429" t="s">
        <v>151</v>
      </c>
      <c r="N429" t="s">
        <v>112</v>
      </c>
      <c r="O429" t="s">
        <v>112</v>
      </c>
      <c r="P429">
        <v>1</v>
      </c>
      <c r="R429">
        <v>1</v>
      </c>
      <c r="S429">
        <v>33</v>
      </c>
      <c r="T429" t="s">
        <v>112</v>
      </c>
      <c r="U429" t="s">
        <v>152</v>
      </c>
      <c r="V429" t="s">
        <v>153</v>
      </c>
      <c r="W429" t="s">
        <v>154</v>
      </c>
      <c r="X429" t="s">
        <v>119</v>
      </c>
      <c r="Y429" t="s">
        <v>112</v>
      </c>
      <c r="Z429" t="s">
        <v>112</v>
      </c>
      <c r="AA429" t="s">
        <v>152</v>
      </c>
      <c r="AB429" t="s">
        <v>153</v>
      </c>
      <c r="AC429" t="s">
        <v>154</v>
      </c>
      <c r="AD429" t="s">
        <v>119</v>
      </c>
      <c r="AE429" t="s">
        <v>112</v>
      </c>
      <c r="AF429" t="s">
        <v>121</v>
      </c>
      <c r="AG429" t="s">
        <v>122</v>
      </c>
      <c r="AH429">
        <v>4969981.2699999996</v>
      </c>
      <c r="AI429" t="s">
        <v>112</v>
      </c>
      <c r="AJ429" t="s">
        <v>152</v>
      </c>
      <c r="AK429" t="s">
        <v>153</v>
      </c>
      <c r="AL429" t="s">
        <v>154</v>
      </c>
      <c r="AM429" t="s">
        <v>119</v>
      </c>
      <c r="AN429" t="s">
        <v>112</v>
      </c>
      <c r="AO429" t="s">
        <v>121</v>
      </c>
      <c r="AP429" t="s">
        <v>122</v>
      </c>
      <c r="AQ429" t="s">
        <v>122</v>
      </c>
      <c r="AR429" t="s">
        <v>124</v>
      </c>
      <c r="AS429" t="s">
        <v>125</v>
      </c>
      <c r="AT429">
        <v>2</v>
      </c>
      <c r="AU429" t="s">
        <v>126</v>
      </c>
      <c r="AV429" t="s">
        <v>155</v>
      </c>
      <c r="AW429" t="s">
        <v>156</v>
      </c>
      <c r="AY429" t="s">
        <v>129</v>
      </c>
      <c r="AZ429">
        <v>44105.48</v>
      </c>
      <c r="BC429">
        <v>103.03579999999999</v>
      </c>
      <c r="BD429" t="s">
        <v>112</v>
      </c>
      <c r="BE429" t="s">
        <v>112</v>
      </c>
      <c r="BF429" t="s">
        <v>157</v>
      </c>
      <c r="BG429" t="s">
        <v>133</v>
      </c>
      <c r="BH429" t="s">
        <v>134</v>
      </c>
      <c r="BI429" t="s">
        <v>112</v>
      </c>
      <c r="BJ429" t="s">
        <v>112</v>
      </c>
      <c r="BK429" t="s">
        <v>112</v>
      </c>
      <c r="BL429" t="s">
        <v>169</v>
      </c>
      <c r="BM429" t="s">
        <v>159</v>
      </c>
      <c r="BN429" t="s">
        <v>212</v>
      </c>
      <c r="BO429" t="s">
        <v>161</v>
      </c>
      <c r="BQ429" t="s">
        <v>232</v>
      </c>
      <c r="BR429" s="45">
        <f>ISNUMBER(SEARCH($BR$1,Таблица1[[#This Row],[31_1 Описание и характеристика товара]]))*1</f>
        <v>1</v>
      </c>
      <c r="BT429" t="s">
        <v>150</v>
      </c>
      <c r="BU429">
        <v>33</v>
      </c>
      <c r="BV429">
        <v>0</v>
      </c>
      <c r="BW429">
        <v>0</v>
      </c>
      <c r="BY429">
        <v>0</v>
      </c>
      <c r="CA429" t="s">
        <v>106</v>
      </c>
      <c r="CB429" t="s">
        <v>142</v>
      </c>
      <c r="CC429" t="s">
        <v>112</v>
      </c>
      <c r="CD429" t="s">
        <v>112</v>
      </c>
      <c r="CE429" t="s">
        <v>121</v>
      </c>
      <c r="CF429">
        <v>16312.82</v>
      </c>
      <c r="CG429" t="s">
        <v>144</v>
      </c>
      <c r="CH429">
        <v>4000000</v>
      </c>
      <c r="CI429">
        <v>16312.82</v>
      </c>
      <c r="CJ429">
        <v>0</v>
      </c>
      <c r="CK429" t="s">
        <v>112</v>
      </c>
      <c r="CL429" t="s">
        <v>112</v>
      </c>
      <c r="CM429">
        <v>44105.48</v>
      </c>
      <c r="CO429">
        <v>0</v>
      </c>
      <c r="CP429">
        <v>1</v>
      </c>
      <c r="CQ429">
        <v>4969981.2699999996</v>
      </c>
      <c r="CR429">
        <v>51431.09</v>
      </c>
      <c r="CS429" t="s">
        <v>145</v>
      </c>
      <c r="CT429">
        <v>51385.382999999994</v>
      </c>
      <c r="CU429">
        <v>3.15</v>
      </c>
      <c r="CV429">
        <v>45</v>
      </c>
      <c r="CX429" t="s">
        <v>163</v>
      </c>
      <c r="CY429">
        <v>134</v>
      </c>
    </row>
    <row r="430" spans="1:103" x14ac:dyDescent="0.25">
      <c r="A430" t="s">
        <v>106</v>
      </c>
      <c r="B430" s="38">
        <v>45168</v>
      </c>
      <c r="C430" s="43">
        <f>IF(YEAR(Таблица1[[#This Row],[Дата]])=2023,MONTH(Таблица1[[#This Row],[Дата]]),0)</f>
        <v>8</v>
      </c>
      <c r="D430" t="s">
        <v>1961</v>
      </c>
      <c r="E430" t="s">
        <v>108</v>
      </c>
      <c r="F430" t="s">
        <v>1962</v>
      </c>
      <c r="G430" t="s">
        <v>110</v>
      </c>
      <c r="H430" t="s">
        <v>111</v>
      </c>
      <c r="I430" t="s">
        <v>112</v>
      </c>
      <c r="J430" t="s">
        <v>112</v>
      </c>
      <c r="K430" t="s">
        <v>112</v>
      </c>
      <c r="L430" t="s">
        <v>150</v>
      </c>
      <c r="M430" t="s">
        <v>151</v>
      </c>
      <c r="N430" t="s">
        <v>112</v>
      </c>
      <c r="O430" t="s">
        <v>112</v>
      </c>
      <c r="P430">
        <v>1</v>
      </c>
      <c r="R430">
        <v>1</v>
      </c>
      <c r="S430">
        <v>33</v>
      </c>
      <c r="T430" t="s">
        <v>112</v>
      </c>
      <c r="U430" t="s">
        <v>152</v>
      </c>
      <c r="V430" t="s">
        <v>153</v>
      </c>
      <c r="W430" t="s">
        <v>154</v>
      </c>
      <c r="X430" t="s">
        <v>119</v>
      </c>
      <c r="Y430" t="s">
        <v>112</v>
      </c>
      <c r="Z430" t="s">
        <v>112</v>
      </c>
      <c r="AA430" t="s">
        <v>152</v>
      </c>
      <c r="AB430" t="s">
        <v>153</v>
      </c>
      <c r="AC430" t="s">
        <v>154</v>
      </c>
      <c r="AD430" t="s">
        <v>119</v>
      </c>
      <c r="AE430" t="s">
        <v>112</v>
      </c>
      <c r="AF430" t="s">
        <v>121</v>
      </c>
      <c r="AG430" t="s">
        <v>122</v>
      </c>
      <c r="AH430">
        <v>4969981.2699999996</v>
      </c>
      <c r="AI430" t="s">
        <v>112</v>
      </c>
      <c r="AJ430" t="s">
        <v>152</v>
      </c>
      <c r="AK430" t="s">
        <v>153</v>
      </c>
      <c r="AL430" t="s">
        <v>154</v>
      </c>
      <c r="AM430" t="s">
        <v>119</v>
      </c>
      <c r="AN430" t="s">
        <v>112</v>
      </c>
      <c r="AO430" t="s">
        <v>121</v>
      </c>
      <c r="AP430" t="s">
        <v>122</v>
      </c>
      <c r="AQ430" t="s">
        <v>122</v>
      </c>
      <c r="AR430" t="s">
        <v>124</v>
      </c>
      <c r="AS430" t="s">
        <v>125</v>
      </c>
      <c r="AT430">
        <v>2</v>
      </c>
      <c r="AU430" t="s">
        <v>126</v>
      </c>
      <c r="AV430" t="s">
        <v>155</v>
      </c>
      <c r="AW430" t="s">
        <v>156</v>
      </c>
      <c r="AY430" t="s">
        <v>129</v>
      </c>
      <c r="AZ430">
        <v>44105.48</v>
      </c>
      <c r="BC430">
        <v>103.03579999999999</v>
      </c>
      <c r="BD430" t="s">
        <v>112</v>
      </c>
      <c r="BE430" t="s">
        <v>112</v>
      </c>
      <c r="BF430" t="s">
        <v>157</v>
      </c>
      <c r="BG430" t="s">
        <v>133</v>
      </c>
      <c r="BH430" t="s">
        <v>134</v>
      </c>
      <c r="BI430" t="s">
        <v>112</v>
      </c>
      <c r="BJ430" t="s">
        <v>112</v>
      </c>
      <c r="BK430" t="s">
        <v>112</v>
      </c>
      <c r="BL430" t="s">
        <v>169</v>
      </c>
      <c r="BM430" t="s">
        <v>159</v>
      </c>
      <c r="BN430" t="s">
        <v>212</v>
      </c>
      <c r="BO430" t="s">
        <v>161</v>
      </c>
      <c r="BQ430" t="s">
        <v>232</v>
      </c>
      <c r="BR430" s="45">
        <f>ISNUMBER(SEARCH($BR$1,Таблица1[[#This Row],[31_1 Описание и характеристика товара]]))*1</f>
        <v>1</v>
      </c>
      <c r="BT430" t="s">
        <v>150</v>
      </c>
      <c r="BU430">
        <v>33</v>
      </c>
      <c r="BV430">
        <v>0</v>
      </c>
      <c r="BW430">
        <v>0</v>
      </c>
      <c r="BY430">
        <v>0</v>
      </c>
      <c r="CA430" t="s">
        <v>106</v>
      </c>
      <c r="CB430" t="s">
        <v>142</v>
      </c>
      <c r="CC430" t="s">
        <v>112</v>
      </c>
      <c r="CD430" t="s">
        <v>112</v>
      </c>
      <c r="CE430" t="s">
        <v>121</v>
      </c>
      <c r="CF430">
        <v>16312.82</v>
      </c>
      <c r="CG430" t="s">
        <v>144</v>
      </c>
      <c r="CH430">
        <v>4000000</v>
      </c>
      <c r="CI430">
        <v>16312.82</v>
      </c>
      <c r="CJ430">
        <v>0</v>
      </c>
      <c r="CK430" t="s">
        <v>112</v>
      </c>
      <c r="CL430" t="s">
        <v>112</v>
      </c>
      <c r="CM430">
        <v>44105.48</v>
      </c>
      <c r="CO430">
        <v>0</v>
      </c>
      <c r="CP430">
        <v>1</v>
      </c>
      <c r="CQ430">
        <v>4969981.2699999996</v>
      </c>
      <c r="CR430">
        <v>51431.09</v>
      </c>
      <c r="CS430" t="s">
        <v>145</v>
      </c>
      <c r="CT430">
        <v>51385.382999999994</v>
      </c>
      <c r="CU430">
        <v>3.15</v>
      </c>
      <c r="CV430">
        <v>45</v>
      </c>
      <c r="CX430" t="s">
        <v>163</v>
      </c>
      <c r="CY430">
        <v>134</v>
      </c>
    </row>
    <row r="431" spans="1:103" x14ac:dyDescent="0.25">
      <c r="A431" t="s">
        <v>106</v>
      </c>
      <c r="B431" s="38">
        <v>44975</v>
      </c>
      <c r="C431" s="43">
        <f>IF(YEAR(Таблица1[[#This Row],[Дата]])=2023,MONTH(Таблица1[[#This Row],[Дата]]),0)</f>
        <v>2</v>
      </c>
      <c r="D431" t="s">
        <v>1968</v>
      </c>
      <c r="E431" t="s">
        <v>108</v>
      </c>
      <c r="F431" t="s">
        <v>1969</v>
      </c>
      <c r="G431" t="s">
        <v>110</v>
      </c>
      <c r="H431" t="s">
        <v>111</v>
      </c>
      <c r="I431" t="s">
        <v>112</v>
      </c>
      <c r="J431" t="s">
        <v>112</v>
      </c>
      <c r="K431" t="s">
        <v>112</v>
      </c>
      <c r="L431" t="s">
        <v>150</v>
      </c>
      <c r="M431" t="s">
        <v>151</v>
      </c>
      <c r="N431" t="s">
        <v>112</v>
      </c>
      <c r="O431" t="s">
        <v>112</v>
      </c>
      <c r="P431">
        <v>1</v>
      </c>
      <c r="R431">
        <v>1</v>
      </c>
      <c r="S431">
        <v>33</v>
      </c>
      <c r="T431" t="s">
        <v>112</v>
      </c>
      <c r="U431" t="s">
        <v>152</v>
      </c>
      <c r="V431" t="s">
        <v>153</v>
      </c>
      <c r="W431" t="s">
        <v>154</v>
      </c>
      <c r="X431" t="s">
        <v>119</v>
      </c>
      <c r="Y431" t="s">
        <v>112</v>
      </c>
      <c r="Z431" t="s">
        <v>112</v>
      </c>
      <c r="AA431" t="s">
        <v>152</v>
      </c>
      <c r="AB431" t="s">
        <v>153</v>
      </c>
      <c r="AC431" t="s">
        <v>154</v>
      </c>
      <c r="AD431" t="s">
        <v>119</v>
      </c>
      <c r="AE431" t="s">
        <v>112</v>
      </c>
      <c r="AF431" t="s">
        <v>121</v>
      </c>
      <c r="AG431" t="s">
        <v>122</v>
      </c>
      <c r="AH431">
        <v>4089907.16</v>
      </c>
      <c r="AI431" t="s">
        <v>112</v>
      </c>
      <c r="AJ431" t="s">
        <v>152</v>
      </c>
      <c r="AK431" t="s">
        <v>153</v>
      </c>
      <c r="AL431" t="s">
        <v>154</v>
      </c>
      <c r="AM431" t="s">
        <v>119</v>
      </c>
      <c r="AN431" t="s">
        <v>112</v>
      </c>
      <c r="AO431" t="s">
        <v>121</v>
      </c>
      <c r="AP431" t="s">
        <v>122</v>
      </c>
      <c r="AQ431" t="s">
        <v>122</v>
      </c>
      <c r="AR431" t="s">
        <v>124</v>
      </c>
      <c r="AS431" t="s">
        <v>125</v>
      </c>
      <c r="AT431">
        <v>2</v>
      </c>
      <c r="AU431" t="s">
        <v>126</v>
      </c>
      <c r="AV431" t="s">
        <v>155</v>
      </c>
      <c r="AW431" t="s">
        <v>156</v>
      </c>
      <c r="AY431" t="s">
        <v>129</v>
      </c>
      <c r="AZ431">
        <v>35564.04</v>
      </c>
      <c r="BC431">
        <v>103.03579999999999</v>
      </c>
      <c r="BD431" t="s">
        <v>112</v>
      </c>
      <c r="BE431" t="s">
        <v>112</v>
      </c>
      <c r="BF431" t="s">
        <v>157</v>
      </c>
      <c r="BG431" t="s">
        <v>133</v>
      </c>
      <c r="BH431" t="s">
        <v>134</v>
      </c>
      <c r="BI431" t="s">
        <v>112</v>
      </c>
      <c r="BJ431" t="s">
        <v>112</v>
      </c>
      <c r="BK431" t="s">
        <v>112</v>
      </c>
      <c r="BL431" t="s">
        <v>169</v>
      </c>
      <c r="BM431" t="s">
        <v>159</v>
      </c>
      <c r="BN431" t="s">
        <v>212</v>
      </c>
      <c r="BO431" t="s">
        <v>161</v>
      </c>
      <c r="BQ431" t="s">
        <v>213</v>
      </c>
      <c r="BR431" s="45">
        <f>ISNUMBER(SEARCH($BR$1,Таблица1[[#This Row],[31_1 Описание и характеристика товара]]))*1</f>
        <v>1</v>
      </c>
      <c r="BT431" t="s">
        <v>150</v>
      </c>
      <c r="BU431">
        <v>33</v>
      </c>
      <c r="BV431">
        <v>0</v>
      </c>
      <c r="BW431">
        <v>0</v>
      </c>
      <c r="BY431">
        <v>0</v>
      </c>
      <c r="CA431" t="s">
        <v>106</v>
      </c>
      <c r="CB431" t="s">
        <v>142</v>
      </c>
      <c r="CC431" t="s">
        <v>112</v>
      </c>
      <c r="CD431" t="s">
        <v>112</v>
      </c>
      <c r="CE431" t="s">
        <v>121</v>
      </c>
      <c r="CF431">
        <v>16563.849999999999</v>
      </c>
      <c r="CG431" t="s">
        <v>144</v>
      </c>
      <c r="CH431">
        <v>4000000</v>
      </c>
      <c r="CI431">
        <v>16434.25</v>
      </c>
      <c r="CJ431">
        <v>0</v>
      </c>
      <c r="CK431" t="s">
        <v>112</v>
      </c>
      <c r="CL431" t="s">
        <v>112</v>
      </c>
      <c r="CM431">
        <v>35564.04</v>
      </c>
      <c r="CO431">
        <v>0</v>
      </c>
      <c r="CP431">
        <v>1</v>
      </c>
      <c r="CQ431">
        <v>4089907.16</v>
      </c>
      <c r="CR431">
        <v>42323.77</v>
      </c>
      <c r="CS431" t="s">
        <v>145</v>
      </c>
      <c r="CT431">
        <v>42400.364999999998</v>
      </c>
      <c r="CU431">
        <v>2.58</v>
      </c>
      <c r="CV431">
        <v>45</v>
      </c>
      <c r="CX431" t="s">
        <v>233</v>
      </c>
      <c r="CY431">
        <v>65</v>
      </c>
    </row>
    <row r="432" spans="1:103" x14ac:dyDescent="0.25">
      <c r="A432" t="s">
        <v>106</v>
      </c>
      <c r="B432" s="38">
        <v>45170</v>
      </c>
      <c r="C432" s="43">
        <f>IF(YEAR(Таблица1[[#This Row],[Дата]])=2023,MONTH(Таблица1[[#This Row],[Дата]]),0)</f>
        <v>9</v>
      </c>
      <c r="D432" t="s">
        <v>1968</v>
      </c>
      <c r="E432" t="s">
        <v>108</v>
      </c>
      <c r="F432" t="s">
        <v>1969</v>
      </c>
      <c r="G432" t="s">
        <v>110</v>
      </c>
      <c r="H432" t="s">
        <v>111</v>
      </c>
      <c r="I432" t="s">
        <v>112</v>
      </c>
      <c r="J432" t="s">
        <v>112</v>
      </c>
      <c r="K432" t="s">
        <v>112</v>
      </c>
      <c r="L432" t="s">
        <v>150</v>
      </c>
      <c r="M432" t="s">
        <v>151</v>
      </c>
      <c r="N432" t="s">
        <v>112</v>
      </c>
      <c r="O432" t="s">
        <v>112</v>
      </c>
      <c r="P432">
        <v>1</v>
      </c>
      <c r="R432">
        <v>1</v>
      </c>
      <c r="S432">
        <v>33</v>
      </c>
      <c r="T432" t="s">
        <v>112</v>
      </c>
      <c r="U432" t="s">
        <v>152</v>
      </c>
      <c r="V432" t="s">
        <v>153</v>
      </c>
      <c r="W432" t="s">
        <v>154</v>
      </c>
      <c r="X432" t="s">
        <v>119</v>
      </c>
      <c r="Y432" t="s">
        <v>112</v>
      </c>
      <c r="Z432" t="s">
        <v>112</v>
      </c>
      <c r="AA432" t="s">
        <v>152</v>
      </c>
      <c r="AB432" t="s">
        <v>153</v>
      </c>
      <c r="AC432" t="s">
        <v>154</v>
      </c>
      <c r="AD432" t="s">
        <v>119</v>
      </c>
      <c r="AE432" t="s">
        <v>112</v>
      </c>
      <c r="AF432" t="s">
        <v>121</v>
      </c>
      <c r="AG432" t="s">
        <v>122</v>
      </c>
      <c r="AH432">
        <v>4089907.16</v>
      </c>
      <c r="AI432" t="s">
        <v>112</v>
      </c>
      <c r="AJ432" t="s">
        <v>152</v>
      </c>
      <c r="AK432" t="s">
        <v>153</v>
      </c>
      <c r="AL432" t="s">
        <v>154</v>
      </c>
      <c r="AM432" t="s">
        <v>119</v>
      </c>
      <c r="AN432" t="s">
        <v>112</v>
      </c>
      <c r="AO432" t="s">
        <v>121</v>
      </c>
      <c r="AP432" t="s">
        <v>122</v>
      </c>
      <c r="AQ432" t="s">
        <v>122</v>
      </c>
      <c r="AR432" t="s">
        <v>124</v>
      </c>
      <c r="AS432" t="s">
        <v>125</v>
      </c>
      <c r="AT432">
        <v>2</v>
      </c>
      <c r="AU432" t="s">
        <v>126</v>
      </c>
      <c r="AV432" t="s">
        <v>155</v>
      </c>
      <c r="AW432" t="s">
        <v>156</v>
      </c>
      <c r="AY432" t="s">
        <v>129</v>
      </c>
      <c r="AZ432">
        <v>35564.04</v>
      </c>
      <c r="BC432">
        <v>103.03579999999999</v>
      </c>
      <c r="BD432" t="s">
        <v>112</v>
      </c>
      <c r="BE432" t="s">
        <v>112</v>
      </c>
      <c r="BF432" t="s">
        <v>157</v>
      </c>
      <c r="BG432" t="s">
        <v>133</v>
      </c>
      <c r="BH432" t="s">
        <v>134</v>
      </c>
      <c r="BI432" t="s">
        <v>112</v>
      </c>
      <c r="BJ432" t="s">
        <v>112</v>
      </c>
      <c r="BK432" t="s">
        <v>112</v>
      </c>
      <c r="BL432" t="s">
        <v>169</v>
      </c>
      <c r="BM432" t="s">
        <v>159</v>
      </c>
      <c r="BN432" t="s">
        <v>212</v>
      </c>
      <c r="BO432" t="s">
        <v>161</v>
      </c>
      <c r="BQ432" t="s">
        <v>213</v>
      </c>
      <c r="BR432" s="45">
        <f>ISNUMBER(SEARCH($BR$1,Таблица1[[#This Row],[31_1 Описание и характеристика товара]]))*1</f>
        <v>1</v>
      </c>
      <c r="BT432" t="s">
        <v>150</v>
      </c>
      <c r="BU432">
        <v>33</v>
      </c>
      <c r="BV432">
        <v>0</v>
      </c>
      <c r="BW432">
        <v>0</v>
      </c>
      <c r="BY432">
        <v>0</v>
      </c>
      <c r="CA432" t="s">
        <v>106</v>
      </c>
      <c r="CB432" t="s">
        <v>142</v>
      </c>
      <c r="CC432" t="s">
        <v>112</v>
      </c>
      <c r="CD432" t="s">
        <v>112</v>
      </c>
      <c r="CE432" t="s">
        <v>121</v>
      </c>
      <c r="CF432">
        <v>16563.849999999999</v>
      </c>
      <c r="CG432" t="s">
        <v>144</v>
      </c>
      <c r="CH432">
        <v>4000000</v>
      </c>
      <c r="CI432">
        <v>16434.25</v>
      </c>
      <c r="CJ432">
        <v>0</v>
      </c>
      <c r="CK432" t="s">
        <v>112</v>
      </c>
      <c r="CL432" t="s">
        <v>112</v>
      </c>
      <c r="CM432">
        <v>35564.04</v>
      </c>
      <c r="CO432">
        <v>0</v>
      </c>
      <c r="CP432">
        <v>1</v>
      </c>
      <c r="CQ432">
        <v>4089907.16</v>
      </c>
      <c r="CR432">
        <v>42323.77</v>
      </c>
      <c r="CS432" t="s">
        <v>145</v>
      </c>
      <c r="CT432">
        <v>42400.364999999998</v>
      </c>
      <c r="CU432">
        <v>2.58</v>
      </c>
      <c r="CV432">
        <v>45</v>
      </c>
      <c r="CX432" t="s">
        <v>233</v>
      </c>
      <c r="CY432">
        <v>65</v>
      </c>
    </row>
    <row r="433" spans="1:103" x14ac:dyDescent="0.25">
      <c r="A433" t="s">
        <v>106</v>
      </c>
      <c r="B433" s="38">
        <v>45090</v>
      </c>
      <c r="C433" s="43">
        <f>IF(YEAR(Таблица1[[#This Row],[Дата]])=2023,MONTH(Таблица1[[#This Row],[Дата]]),0)</f>
        <v>6</v>
      </c>
      <c r="D433" t="s">
        <v>1998</v>
      </c>
      <c r="E433" t="s">
        <v>108</v>
      </c>
      <c r="F433" t="s">
        <v>1999</v>
      </c>
      <c r="G433" t="s">
        <v>110</v>
      </c>
      <c r="H433" t="s">
        <v>111</v>
      </c>
      <c r="I433" t="s">
        <v>112</v>
      </c>
      <c r="J433" t="s">
        <v>112</v>
      </c>
      <c r="K433" t="s">
        <v>112</v>
      </c>
      <c r="L433" t="s">
        <v>150</v>
      </c>
      <c r="M433" t="s">
        <v>151</v>
      </c>
      <c r="N433" t="s">
        <v>112</v>
      </c>
      <c r="O433" t="s">
        <v>112</v>
      </c>
      <c r="P433">
        <v>1</v>
      </c>
      <c r="R433">
        <v>1</v>
      </c>
      <c r="S433">
        <v>33</v>
      </c>
      <c r="T433" t="s">
        <v>112</v>
      </c>
      <c r="U433" t="s">
        <v>152</v>
      </c>
      <c r="V433" t="s">
        <v>153</v>
      </c>
      <c r="W433" t="s">
        <v>154</v>
      </c>
      <c r="X433" t="s">
        <v>119</v>
      </c>
      <c r="Y433" t="s">
        <v>112</v>
      </c>
      <c r="Z433" t="s">
        <v>112</v>
      </c>
      <c r="AA433" t="s">
        <v>152</v>
      </c>
      <c r="AB433" t="s">
        <v>153</v>
      </c>
      <c r="AC433" t="s">
        <v>154</v>
      </c>
      <c r="AD433" t="s">
        <v>119</v>
      </c>
      <c r="AE433" t="s">
        <v>112</v>
      </c>
      <c r="AF433" t="s">
        <v>121</v>
      </c>
      <c r="AG433" t="s">
        <v>122</v>
      </c>
      <c r="AH433">
        <v>4973660.67</v>
      </c>
      <c r="AI433" t="s">
        <v>112</v>
      </c>
      <c r="AJ433" t="s">
        <v>152</v>
      </c>
      <c r="AK433" t="s">
        <v>153</v>
      </c>
      <c r="AL433" t="s">
        <v>154</v>
      </c>
      <c r="AM433" t="s">
        <v>119</v>
      </c>
      <c r="AN433" t="s">
        <v>112</v>
      </c>
      <c r="AO433" t="s">
        <v>121</v>
      </c>
      <c r="AP433" t="s">
        <v>122</v>
      </c>
      <c r="AQ433" t="s">
        <v>122</v>
      </c>
      <c r="AR433" t="s">
        <v>124</v>
      </c>
      <c r="AS433" t="s">
        <v>125</v>
      </c>
      <c r="AT433">
        <v>2</v>
      </c>
      <c r="AU433" t="s">
        <v>126</v>
      </c>
      <c r="AV433" t="s">
        <v>155</v>
      </c>
      <c r="AW433" t="s">
        <v>156</v>
      </c>
      <c r="AY433" t="s">
        <v>129</v>
      </c>
      <c r="AZ433">
        <v>44141.19</v>
      </c>
      <c r="BC433">
        <v>103.03579999999999</v>
      </c>
      <c r="BD433" t="s">
        <v>112</v>
      </c>
      <c r="BE433" t="s">
        <v>112</v>
      </c>
      <c r="BF433" t="s">
        <v>157</v>
      </c>
      <c r="BG433" t="s">
        <v>133</v>
      </c>
      <c r="BH433" t="s">
        <v>134</v>
      </c>
      <c r="BI433" t="s">
        <v>112</v>
      </c>
      <c r="BJ433" t="s">
        <v>112</v>
      </c>
      <c r="BK433" t="s">
        <v>112</v>
      </c>
      <c r="BL433" t="s">
        <v>169</v>
      </c>
      <c r="BM433" t="s">
        <v>159</v>
      </c>
      <c r="BN433" t="s">
        <v>212</v>
      </c>
      <c r="BO433" t="s">
        <v>161</v>
      </c>
      <c r="BQ433" t="s">
        <v>205</v>
      </c>
      <c r="BR433" s="45">
        <f>ISNUMBER(SEARCH($BR$1,Таблица1[[#This Row],[31_1 Описание и характеристика товара]]))*1</f>
        <v>1</v>
      </c>
      <c r="BT433" t="s">
        <v>150</v>
      </c>
      <c r="BU433">
        <v>33</v>
      </c>
      <c r="BV433">
        <v>0</v>
      </c>
      <c r="BW433">
        <v>0</v>
      </c>
      <c r="BY433">
        <v>0</v>
      </c>
      <c r="CA433" t="s">
        <v>106</v>
      </c>
      <c r="CB433" t="s">
        <v>142</v>
      </c>
      <c r="CC433" t="s">
        <v>112</v>
      </c>
      <c r="CD433" t="s">
        <v>112</v>
      </c>
      <c r="CE433" t="s">
        <v>121</v>
      </c>
      <c r="CF433">
        <v>17133.57</v>
      </c>
      <c r="CG433" t="s">
        <v>144</v>
      </c>
      <c r="CH433">
        <v>4000000</v>
      </c>
      <c r="CI433">
        <v>17133.57</v>
      </c>
      <c r="CJ433">
        <v>0</v>
      </c>
      <c r="CK433" t="s">
        <v>112</v>
      </c>
      <c r="CL433" t="s">
        <v>112</v>
      </c>
      <c r="CM433">
        <v>44141.19</v>
      </c>
      <c r="CO433">
        <v>0</v>
      </c>
      <c r="CP433">
        <v>1</v>
      </c>
      <c r="CQ433">
        <v>4973660.67</v>
      </c>
      <c r="CR433">
        <v>51469.16</v>
      </c>
      <c r="CS433" t="s">
        <v>145</v>
      </c>
      <c r="CT433">
        <v>51400.71</v>
      </c>
      <c r="CU433">
        <v>3</v>
      </c>
      <c r="CV433">
        <v>45</v>
      </c>
      <c r="CX433" t="s">
        <v>233</v>
      </c>
      <c r="CY433">
        <v>182</v>
      </c>
    </row>
    <row r="434" spans="1:103" x14ac:dyDescent="0.25">
      <c r="A434" t="s">
        <v>106</v>
      </c>
      <c r="B434" s="38">
        <v>45072</v>
      </c>
      <c r="C434" s="43">
        <f>IF(YEAR(Таблица1[[#This Row],[Дата]])=2023,MONTH(Таблица1[[#This Row],[Дата]]),0)</f>
        <v>5</v>
      </c>
      <c r="D434" t="s">
        <v>1965</v>
      </c>
      <c r="E434" t="s">
        <v>108</v>
      </c>
      <c r="F434" t="s">
        <v>1966</v>
      </c>
      <c r="G434" t="s">
        <v>110</v>
      </c>
      <c r="H434" t="s">
        <v>111</v>
      </c>
      <c r="I434" t="s">
        <v>112</v>
      </c>
      <c r="J434" t="s">
        <v>112</v>
      </c>
      <c r="K434" t="s">
        <v>112</v>
      </c>
      <c r="L434" t="s">
        <v>150</v>
      </c>
      <c r="M434" t="s">
        <v>151</v>
      </c>
      <c r="N434" t="s">
        <v>112</v>
      </c>
      <c r="O434" t="s">
        <v>112</v>
      </c>
      <c r="P434">
        <v>1</v>
      </c>
      <c r="R434">
        <v>1</v>
      </c>
      <c r="S434">
        <v>33</v>
      </c>
      <c r="T434" t="s">
        <v>112</v>
      </c>
      <c r="U434" t="s">
        <v>152</v>
      </c>
      <c r="V434" t="s">
        <v>153</v>
      </c>
      <c r="W434" t="s">
        <v>154</v>
      </c>
      <c r="X434" t="s">
        <v>119</v>
      </c>
      <c r="Y434" t="s">
        <v>112</v>
      </c>
      <c r="Z434" t="s">
        <v>112</v>
      </c>
      <c r="AA434" t="s">
        <v>152</v>
      </c>
      <c r="AB434" t="s">
        <v>153</v>
      </c>
      <c r="AC434" t="s">
        <v>154</v>
      </c>
      <c r="AD434" t="s">
        <v>119</v>
      </c>
      <c r="AE434" t="s">
        <v>112</v>
      </c>
      <c r="AF434" t="s">
        <v>121</v>
      </c>
      <c r="AG434" t="s">
        <v>122</v>
      </c>
      <c r="AH434">
        <v>4927498.58</v>
      </c>
      <c r="AI434" t="s">
        <v>112</v>
      </c>
      <c r="AJ434" t="s">
        <v>152</v>
      </c>
      <c r="AK434" t="s">
        <v>153</v>
      </c>
      <c r="AL434" t="s">
        <v>154</v>
      </c>
      <c r="AM434" t="s">
        <v>119</v>
      </c>
      <c r="AN434" t="s">
        <v>112</v>
      </c>
      <c r="AO434" t="s">
        <v>121</v>
      </c>
      <c r="AP434" t="s">
        <v>122</v>
      </c>
      <c r="AQ434" t="s">
        <v>122</v>
      </c>
      <c r="AR434" t="s">
        <v>124</v>
      </c>
      <c r="AS434" t="s">
        <v>125</v>
      </c>
      <c r="AT434">
        <v>2</v>
      </c>
      <c r="AU434" t="s">
        <v>126</v>
      </c>
      <c r="AV434" t="s">
        <v>155</v>
      </c>
      <c r="AW434" t="s">
        <v>156</v>
      </c>
      <c r="AY434" t="s">
        <v>129</v>
      </c>
      <c r="AZ434">
        <v>43693.17</v>
      </c>
      <c r="BC434">
        <v>103.03579999999999</v>
      </c>
      <c r="BD434" t="s">
        <v>112</v>
      </c>
      <c r="BE434" t="s">
        <v>112</v>
      </c>
      <c r="BF434" t="s">
        <v>157</v>
      </c>
      <c r="BG434" t="s">
        <v>133</v>
      </c>
      <c r="BH434" t="s">
        <v>167</v>
      </c>
      <c r="BI434" t="s">
        <v>112</v>
      </c>
      <c r="BJ434" t="s">
        <v>112</v>
      </c>
      <c r="BK434" t="s">
        <v>112</v>
      </c>
      <c r="BL434" t="s">
        <v>169</v>
      </c>
      <c r="BM434" t="s">
        <v>159</v>
      </c>
      <c r="BN434" t="s">
        <v>160</v>
      </c>
      <c r="BO434" t="s">
        <v>161</v>
      </c>
      <c r="BQ434" t="s">
        <v>1967</v>
      </c>
      <c r="BR434" s="45">
        <f>ISNUMBER(SEARCH($BR$1,Таблица1[[#This Row],[31_1 Описание и характеристика товара]]))*1</f>
        <v>1</v>
      </c>
      <c r="BT434" t="s">
        <v>150</v>
      </c>
      <c r="BU434">
        <v>33</v>
      </c>
      <c r="BV434">
        <v>0</v>
      </c>
      <c r="BW434">
        <v>0</v>
      </c>
      <c r="BY434">
        <v>0</v>
      </c>
      <c r="CA434" t="s">
        <v>106</v>
      </c>
      <c r="CB434" t="s">
        <v>142</v>
      </c>
      <c r="CC434" t="s">
        <v>112</v>
      </c>
      <c r="CD434" t="s">
        <v>112</v>
      </c>
      <c r="CE434" t="s">
        <v>121</v>
      </c>
      <c r="CF434">
        <v>16162.68</v>
      </c>
      <c r="CG434" t="s">
        <v>144</v>
      </c>
      <c r="CH434">
        <v>4000000</v>
      </c>
      <c r="CI434">
        <v>16162.68</v>
      </c>
      <c r="CJ434">
        <v>0</v>
      </c>
      <c r="CK434" t="s">
        <v>112</v>
      </c>
      <c r="CL434" t="s">
        <v>112</v>
      </c>
      <c r="CM434">
        <v>43693.17</v>
      </c>
      <c r="CO434">
        <v>0</v>
      </c>
      <c r="CP434">
        <v>1</v>
      </c>
      <c r="CQ434">
        <v>4927498.58</v>
      </c>
      <c r="CR434">
        <v>50991.46</v>
      </c>
      <c r="CS434" t="s">
        <v>145</v>
      </c>
      <c r="CT434">
        <v>50912.442000000003</v>
      </c>
      <c r="CU434">
        <v>3.15</v>
      </c>
      <c r="CV434">
        <v>45</v>
      </c>
      <c r="CX434" t="s">
        <v>729</v>
      </c>
      <c r="CY434">
        <v>96</v>
      </c>
    </row>
    <row r="435" spans="1:103" x14ac:dyDescent="0.25">
      <c r="A435" t="s">
        <v>106</v>
      </c>
      <c r="B435" s="38">
        <v>45274</v>
      </c>
      <c r="C435" s="43">
        <f>IF(YEAR(Таблица1[[#This Row],[Дата]])=2023,MONTH(Таблица1[[#This Row],[Дата]]),0)</f>
        <v>12</v>
      </c>
      <c r="D435" t="s">
        <v>1965</v>
      </c>
      <c r="E435" t="s">
        <v>108</v>
      </c>
      <c r="F435" t="s">
        <v>1966</v>
      </c>
      <c r="G435" t="s">
        <v>110</v>
      </c>
      <c r="H435" t="s">
        <v>111</v>
      </c>
      <c r="I435" t="s">
        <v>112</v>
      </c>
      <c r="J435" t="s">
        <v>112</v>
      </c>
      <c r="K435" t="s">
        <v>112</v>
      </c>
      <c r="L435" t="s">
        <v>150</v>
      </c>
      <c r="M435" t="s">
        <v>151</v>
      </c>
      <c r="N435" t="s">
        <v>112</v>
      </c>
      <c r="O435" t="s">
        <v>112</v>
      </c>
      <c r="P435">
        <v>1</v>
      </c>
      <c r="R435">
        <v>1</v>
      </c>
      <c r="S435">
        <v>33</v>
      </c>
      <c r="T435" t="s">
        <v>112</v>
      </c>
      <c r="U435" t="s">
        <v>152</v>
      </c>
      <c r="V435" t="s">
        <v>153</v>
      </c>
      <c r="W435" t="s">
        <v>154</v>
      </c>
      <c r="X435" t="s">
        <v>119</v>
      </c>
      <c r="Y435" t="s">
        <v>112</v>
      </c>
      <c r="Z435" t="s">
        <v>112</v>
      </c>
      <c r="AA435" t="s">
        <v>152</v>
      </c>
      <c r="AB435" t="s">
        <v>153</v>
      </c>
      <c r="AC435" t="s">
        <v>154</v>
      </c>
      <c r="AD435" t="s">
        <v>119</v>
      </c>
      <c r="AE435" t="s">
        <v>112</v>
      </c>
      <c r="AF435" t="s">
        <v>121</v>
      </c>
      <c r="AG435" t="s">
        <v>122</v>
      </c>
      <c r="AH435">
        <v>4927498.58</v>
      </c>
      <c r="AI435" t="s">
        <v>112</v>
      </c>
      <c r="AJ435" t="s">
        <v>152</v>
      </c>
      <c r="AK435" t="s">
        <v>153</v>
      </c>
      <c r="AL435" t="s">
        <v>154</v>
      </c>
      <c r="AM435" t="s">
        <v>119</v>
      </c>
      <c r="AN435" t="s">
        <v>112</v>
      </c>
      <c r="AO435" t="s">
        <v>121</v>
      </c>
      <c r="AP435" t="s">
        <v>122</v>
      </c>
      <c r="AQ435" t="s">
        <v>122</v>
      </c>
      <c r="AR435" t="s">
        <v>124</v>
      </c>
      <c r="AS435" t="s">
        <v>125</v>
      </c>
      <c r="AT435">
        <v>2</v>
      </c>
      <c r="AU435" t="s">
        <v>126</v>
      </c>
      <c r="AV435" t="s">
        <v>155</v>
      </c>
      <c r="AW435" t="s">
        <v>156</v>
      </c>
      <c r="AY435" t="s">
        <v>129</v>
      </c>
      <c r="AZ435">
        <v>43693.17</v>
      </c>
      <c r="BC435">
        <v>103.03579999999999</v>
      </c>
      <c r="BD435" t="s">
        <v>112</v>
      </c>
      <c r="BE435" t="s">
        <v>112</v>
      </c>
      <c r="BF435" t="s">
        <v>157</v>
      </c>
      <c r="BG435" t="s">
        <v>133</v>
      </c>
      <c r="BH435" t="s">
        <v>167</v>
      </c>
      <c r="BI435" t="s">
        <v>112</v>
      </c>
      <c r="BJ435" t="s">
        <v>112</v>
      </c>
      <c r="BK435" t="s">
        <v>112</v>
      </c>
      <c r="BL435" t="s">
        <v>169</v>
      </c>
      <c r="BM435" t="s">
        <v>159</v>
      </c>
      <c r="BN435" t="s">
        <v>160</v>
      </c>
      <c r="BO435" t="s">
        <v>161</v>
      </c>
      <c r="BQ435" t="s">
        <v>1967</v>
      </c>
      <c r="BR435" s="45">
        <f>ISNUMBER(SEARCH($BR$1,Таблица1[[#This Row],[31_1 Описание и характеристика товара]]))*1</f>
        <v>1</v>
      </c>
      <c r="BT435" t="s">
        <v>150</v>
      </c>
      <c r="BU435">
        <v>33</v>
      </c>
      <c r="BV435">
        <v>0</v>
      </c>
      <c r="BW435">
        <v>0</v>
      </c>
      <c r="BY435">
        <v>0</v>
      </c>
      <c r="CA435" t="s">
        <v>106</v>
      </c>
      <c r="CB435" t="s">
        <v>142</v>
      </c>
      <c r="CC435" t="s">
        <v>112</v>
      </c>
      <c r="CD435" t="s">
        <v>112</v>
      </c>
      <c r="CE435" t="s">
        <v>121</v>
      </c>
      <c r="CF435">
        <v>16162.68</v>
      </c>
      <c r="CG435" t="s">
        <v>144</v>
      </c>
      <c r="CH435">
        <v>4000000</v>
      </c>
      <c r="CI435">
        <v>16162.68</v>
      </c>
      <c r="CJ435">
        <v>0</v>
      </c>
      <c r="CK435" t="s">
        <v>112</v>
      </c>
      <c r="CL435" t="s">
        <v>112</v>
      </c>
      <c r="CM435">
        <v>43693.17</v>
      </c>
      <c r="CO435">
        <v>0</v>
      </c>
      <c r="CP435">
        <v>1</v>
      </c>
      <c r="CQ435">
        <v>4927498.58</v>
      </c>
      <c r="CR435">
        <v>50991.46</v>
      </c>
      <c r="CS435" t="s">
        <v>145</v>
      </c>
      <c r="CT435">
        <v>50912.442000000003</v>
      </c>
      <c r="CU435">
        <v>3.15</v>
      </c>
      <c r="CV435">
        <v>45</v>
      </c>
      <c r="CX435" t="s">
        <v>729</v>
      </c>
      <c r="CY435">
        <v>96</v>
      </c>
    </row>
    <row r="436" spans="1:103" x14ac:dyDescent="0.25">
      <c r="A436" t="s">
        <v>106</v>
      </c>
      <c r="B436" s="38">
        <v>45000</v>
      </c>
      <c r="C436" s="43">
        <f>IF(YEAR(Таблица1[[#This Row],[Дата]])=2023,MONTH(Таблица1[[#This Row],[Дата]]),0)</f>
        <v>3</v>
      </c>
      <c r="D436" t="s">
        <v>1996</v>
      </c>
      <c r="E436" t="s">
        <v>108</v>
      </c>
      <c r="F436" t="s">
        <v>1997</v>
      </c>
      <c r="G436" t="s">
        <v>110</v>
      </c>
      <c r="H436" t="s">
        <v>111</v>
      </c>
      <c r="I436" t="s">
        <v>112</v>
      </c>
      <c r="J436" t="s">
        <v>112</v>
      </c>
      <c r="K436" t="s">
        <v>112</v>
      </c>
      <c r="L436" t="s">
        <v>150</v>
      </c>
      <c r="M436" t="s">
        <v>151</v>
      </c>
      <c r="N436" t="s">
        <v>112</v>
      </c>
      <c r="O436" t="s">
        <v>112</v>
      </c>
      <c r="P436">
        <v>1</v>
      </c>
      <c r="R436">
        <v>1</v>
      </c>
      <c r="S436">
        <v>33</v>
      </c>
      <c r="T436" t="s">
        <v>112</v>
      </c>
      <c r="U436" t="s">
        <v>152</v>
      </c>
      <c r="V436" t="s">
        <v>153</v>
      </c>
      <c r="W436" t="s">
        <v>154</v>
      </c>
      <c r="X436" t="s">
        <v>119</v>
      </c>
      <c r="Y436" t="s">
        <v>112</v>
      </c>
      <c r="Z436" t="s">
        <v>112</v>
      </c>
      <c r="AA436" t="s">
        <v>152</v>
      </c>
      <c r="AB436" t="s">
        <v>153</v>
      </c>
      <c r="AC436" t="s">
        <v>154</v>
      </c>
      <c r="AD436" t="s">
        <v>119</v>
      </c>
      <c r="AE436" t="s">
        <v>112</v>
      </c>
      <c r="AF436" t="s">
        <v>121</v>
      </c>
      <c r="AG436" t="s">
        <v>122</v>
      </c>
      <c r="AH436">
        <v>4089907.16</v>
      </c>
      <c r="AI436" t="s">
        <v>112</v>
      </c>
      <c r="AJ436" t="s">
        <v>152</v>
      </c>
      <c r="AK436" t="s">
        <v>153</v>
      </c>
      <c r="AL436" t="s">
        <v>154</v>
      </c>
      <c r="AM436" t="s">
        <v>119</v>
      </c>
      <c r="AN436" t="s">
        <v>112</v>
      </c>
      <c r="AO436" t="s">
        <v>121</v>
      </c>
      <c r="AP436" t="s">
        <v>122</v>
      </c>
      <c r="AQ436" t="s">
        <v>122</v>
      </c>
      <c r="AR436" t="s">
        <v>124</v>
      </c>
      <c r="AS436" t="s">
        <v>125</v>
      </c>
      <c r="AT436">
        <v>2</v>
      </c>
      <c r="AU436" t="s">
        <v>126</v>
      </c>
      <c r="AV436" t="s">
        <v>155</v>
      </c>
      <c r="AW436" t="s">
        <v>156</v>
      </c>
      <c r="AY436" t="s">
        <v>129</v>
      </c>
      <c r="AZ436">
        <v>35564.04</v>
      </c>
      <c r="BC436">
        <v>103.03579999999999</v>
      </c>
      <c r="BD436" t="s">
        <v>112</v>
      </c>
      <c r="BE436" t="s">
        <v>112</v>
      </c>
      <c r="BF436" t="s">
        <v>157</v>
      </c>
      <c r="BG436" t="s">
        <v>133</v>
      </c>
      <c r="BH436" t="s">
        <v>167</v>
      </c>
      <c r="BI436" t="s">
        <v>112</v>
      </c>
      <c r="BJ436" t="s">
        <v>112</v>
      </c>
      <c r="BK436" t="s">
        <v>112</v>
      </c>
      <c r="BL436" t="s">
        <v>169</v>
      </c>
      <c r="BM436" t="s">
        <v>159</v>
      </c>
      <c r="BN436" t="s">
        <v>160</v>
      </c>
      <c r="BO436" t="s">
        <v>161</v>
      </c>
      <c r="BQ436" t="s">
        <v>616</v>
      </c>
      <c r="BR436" s="45">
        <f>ISNUMBER(SEARCH($BR$1,Таблица1[[#This Row],[31_1 Описание и характеристика товара]]))*1</f>
        <v>1</v>
      </c>
      <c r="BT436" t="s">
        <v>150</v>
      </c>
      <c r="BU436">
        <v>33</v>
      </c>
      <c r="BV436">
        <v>0</v>
      </c>
      <c r="BW436">
        <v>0</v>
      </c>
      <c r="BY436">
        <v>0</v>
      </c>
      <c r="CA436" t="s">
        <v>106</v>
      </c>
      <c r="CB436" t="s">
        <v>142</v>
      </c>
      <c r="CC436" t="s">
        <v>112</v>
      </c>
      <c r="CD436" t="s">
        <v>112</v>
      </c>
      <c r="CE436" t="s">
        <v>121</v>
      </c>
      <c r="CF436">
        <v>16563.849999999999</v>
      </c>
      <c r="CG436" t="s">
        <v>144</v>
      </c>
      <c r="CH436">
        <v>4000000</v>
      </c>
      <c r="CI436">
        <v>16434.25</v>
      </c>
      <c r="CJ436">
        <v>0</v>
      </c>
      <c r="CK436" t="s">
        <v>112</v>
      </c>
      <c r="CL436" t="s">
        <v>112</v>
      </c>
      <c r="CM436">
        <v>35564.04</v>
      </c>
      <c r="CO436">
        <v>0</v>
      </c>
      <c r="CP436">
        <v>1</v>
      </c>
      <c r="CQ436">
        <v>4089907.16</v>
      </c>
      <c r="CR436">
        <v>42323.77</v>
      </c>
      <c r="CS436" t="s">
        <v>145</v>
      </c>
      <c r="CT436">
        <v>42400.364999999998</v>
      </c>
      <c r="CU436">
        <v>2.58</v>
      </c>
      <c r="CV436">
        <v>45</v>
      </c>
      <c r="CX436" t="s">
        <v>163</v>
      </c>
      <c r="CY436">
        <v>180</v>
      </c>
    </row>
    <row r="437" spans="1:103" x14ac:dyDescent="0.25">
      <c r="A437" t="s">
        <v>106</v>
      </c>
      <c r="B437" s="38">
        <v>45289</v>
      </c>
      <c r="C437" s="43">
        <f>IF(YEAR(Таблица1[[#This Row],[Дата]])=2023,MONTH(Таблица1[[#This Row],[Дата]]),0)</f>
        <v>12</v>
      </c>
      <c r="D437" t="s">
        <v>1963</v>
      </c>
      <c r="E437" t="s">
        <v>108</v>
      </c>
      <c r="F437" t="s">
        <v>1964</v>
      </c>
      <c r="G437" t="s">
        <v>110</v>
      </c>
      <c r="H437" t="s">
        <v>111</v>
      </c>
      <c r="I437" t="s">
        <v>112</v>
      </c>
      <c r="J437" t="s">
        <v>112</v>
      </c>
      <c r="K437" t="s">
        <v>112</v>
      </c>
      <c r="L437" t="s">
        <v>150</v>
      </c>
      <c r="M437" t="s">
        <v>151</v>
      </c>
      <c r="N437" t="s">
        <v>112</v>
      </c>
      <c r="O437" t="s">
        <v>112</v>
      </c>
      <c r="P437">
        <v>1</v>
      </c>
      <c r="R437">
        <v>1</v>
      </c>
      <c r="S437">
        <v>33</v>
      </c>
      <c r="T437" t="s">
        <v>112</v>
      </c>
      <c r="U437" t="s">
        <v>152</v>
      </c>
      <c r="V437" t="s">
        <v>153</v>
      </c>
      <c r="W437" t="s">
        <v>154</v>
      </c>
      <c r="X437" t="s">
        <v>119</v>
      </c>
      <c r="Y437" t="s">
        <v>112</v>
      </c>
      <c r="Z437" t="s">
        <v>112</v>
      </c>
      <c r="AA437" t="s">
        <v>152</v>
      </c>
      <c r="AB437" t="s">
        <v>153</v>
      </c>
      <c r="AC437" t="s">
        <v>154</v>
      </c>
      <c r="AD437" t="s">
        <v>119</v>
      </c>
      <c r="AE437" t="s">
        <v>112</v>
      </c>
      <c r="AF437" t="s">
        <v>121</v>
      </c>
      <c r="AG437" t="s">
        <v>122</v>
      </c>
      <c r="AH437">
        <v>4685252.1399999997</v>
      </c>
      <c r="AI437" t="s">
        <v>112</v>
      </c>
      <c r="AJ437" t="s">
        <v>152</v>
      </c>
      <c r="AK437" t="s">
        <v>153</v>
      </c>
      <c r="AL437" t="s">
        <v>154</v>
      </c>
      <c r="AM437" t="s">
        <v>119</v>
      </c>
      <c r="AN437" t="s">
        <v>112</v>
      </c>
      <c r="AO437" t="s">
        <v>121</v>
      </c>
      <c r="AP437" t="s">
        <v>122</v>
      </c>
      <c r="AQ437" t="s">
        <v>122</v>
      </c>
      <c r="AR437" t="s">
        <v>124</v>
      </c>
      <c r="AS437" t="s">
        <v>125</v>
      </c>
      <c r="AT437">
        <v>2</v>
      </c>
      <c r="AU437" t="s">
        <v>126</v>
      </c>
      <c r="AV437" t="s">
        <v>155</v>
      </c>
      <c r="AW437" t="s">
        <v>156</v>
      </c>
      <c r="AY437" t="s">
        <v>129</v>
      </c>
      <c r="AZ437">
        <v>41342.080000000002</v>
      </c>
      <c r="BC437">
        <v>103.03579999999999</v>
      </c>
      <c r="BD437" t="s">
        <v>112</v>
      </c>
      <c r="BE437" t="s">
        <v>112</v>
      </c>
      <c r="BF437" t="s">
        <v>157</v>
      </c>
      <c r="BG437" t="s">
        <v>133</v>
      </c>
      <c r="BH437" t="s">
        <v>167</v>
      </c>
      <c r="BI437" t="s">
        <v>112</v>
      </c>
      <c r="BJ437" t="s">
        <v>112</v>
      </c>
      <c r="BK437" t="s">
        <v>112</v>
      </c>
      <c r="BL437" t="s">
        <v>169</v>
      </c>
      <c r="BM437" t="s">
        <v>159</v>
      </c>
      <c r="BN437" t="s">
        <v>160</v>
      </c>
      <c r="BO437" t="s">
        <v>161</v>
      </c>
      <c r="BQ437" t="s">
        <v>616</v>
      </c>
      <c r="BR437" s="45">
        <f>ISNUMBER(SEARCH($BR$1,Таблица1[[#This Row],[31_1 Описание и характеристика товара]]))*1</f>
        <v>1</v>
      </c>
      <c r="BT437" t="s">
        <v>150</v>
      </c>
      <c r="BU437">
        <v>33</v>
      </c>
      <c r="BV437">
        <v>0</v>
      </c>
      <c r="BW437">
        <v>0</v>
      </c>
      <c r="BY437">
        <v>0</v>
      </c>
      <c r="CA437" t="s">
        <v>106</v>
      </c>
      <c r="CB437" t="s">
        <v>142</v>
      </c>
      <c r="CC437" t="s">
        <v>112</v>
      </c>
      <c r="CD437" t="s">
        <v>112</v>
      </c>
      <c r="CE437" t="s">
        <v>121</v>
      </c>
      <c r="CF437">
        <v>15976.88</v>
      </c>
      <c r="CG437" t="s">
        <v>144</v>
      </c>
      <c r="CH437">
        <v>4000000</v>
      </c>
      <c r="CI437">
        <v>15804.08</v>
      </c>
      <c r="CJ437">
        <v>0</v>
      </c>
      <c r="CK437" t="s">
        <v>112</v>
      </c>
      <c r="CL437" t="s">
        <v>112</v>
      </c>
      <c r="CM437">
        <v>41342.080000000002</v>
      </c>
      <c r="CO437">
        <v>0</v>
      </c>
      <c r="CP437">
        <v>1</v>
      </c>
      <c r="CQ437">
        <v>4685252.1399999997</v>
      </c>
      <c r="CR437">
        <v>48484.61</v>
      </c>
      <c r="CS437" t="s">
        <v>145</v>
      </c>
      <c r="CT437">
        <v>48518.525600000001</v>
      </c>
      <c r="CU437">
        <v>3.07</v>
      </c>
      <c r="CV437">
        <v>45</v>
      </c>
      <c r="CX437" t="s">
        <v>163</v>
      </c>
      <c r="CY437">
        <v>296</v>
      </c>
    </row>
    <row r="438" spans="1:103" x14ac:dyDescent="0.25">
      <c r="A438" t="s">
        <v>106</v>
      </c>
      <c r="B438" s="38">
        <v>45081</v>
      </c>
      <c r="C438" s="43">
        <f>IF(YEAR(Таблица1[[#This Row],[Дата]])=2023,MONTH(Таблица1[[#This Row],[Дата]]),0)</f>
        <v>6</v>
      </c>
      <c r="D438" t="s">
        <v>1963</v>
      </c>
      <c r="E438" t="s">
        <v>108</v>
      </c>
      <c r="F438" t="s">
        <v>1964</v>
      </c>
      <c r="G438" t="s">
        <v>110</v>
      </c>
      <c r="H438" t="s">
        <v>111</v>
      </c>
      <c r="I438" t="s">
        <v>112</v>
      </c>
      <c r="J438" t="s">
        <v>112</v>
      </c>
      <c r="K438" t="s">
        <v>112</v>
      </c>
      <c r="L438" t="s">
        <v>150</v>
      </c>
      <c r="M438" t="s">
        <v>151</v>
      </c>
      <c r="N438" t="s">
        <v>112</v>
      </c>
      <c r="O438" t="s">
        <v>112</v>
      </c>
      <c r="P438">
        <v>1</v>
      </c>
      <c r="R438">
        <v>1</v>
      </c>
      <c r="S438">
        <v>33</v>
      </c>
      <c r="T438" t="s">
        <v>112</v>
      </c>
      <c r="U438" t="s">
        <v>152</v>
      </c>
      <c r="V438" t="s">
        <v>153</v>
      </c>
      <c r="W438" t="s">
        <v>154</v>
      </c>
      <c r="X438" t="s">
        <v>119</v>
      </c>
      <c r="Y438" t="s">
        <v>112</v>
      </c>
      <c r="Z438" t="s">
        <v>112</v>
      </c>
      <c r="AA438" t="s">
        <v>152</v>
      </c>
      <c r="AB438" t="s">
        <v>153</v>
      </c>
      <c r="AC438" t="s">
        <v>154</v>
      </c>
      <c r="AD438" t="s">
        <v>119</v>
      </c>
      <c r="AE438" t="s">
        <v>112</v>
      </c>
      <c r="AF438" t="s">
        <v>121</v>
      </c>
      <c r="AG438" t="s">
        <v>122</v>
      </c>
      <c r="AH438">
        <v>4685252.1399999997</v>
      </c>
      <c r="AI438" t="s">
        <v>112</v>
      </c>
      <c r="AJ438" t="s">
        <v>152</v>
      </c>
      <c r="AK438" t="s">
        <v>153</v>
      </c>
      <c r="AL438" t="s">
        <v>154</v>
      </c>
      <c r="AM438" t="s">
        <v>119</v>
      </c>
      <c r="AN438" t="s">
        <v>112</v>
      </c>
      <c r="AO438" t="s">
        <v>121</v>
      </c>
      <c r="AP438" t="s">
        <v>122</v>
      </c>
      <c r="AQ438" t="s">
        <v>122</v>
      </c>
      <c r="AR438" t="s">
        <v>124</v>
      </c>
      <c r="AS438" t="s">
        <v>125</v>
      </c>
      <c r="AT438">
        <v>2</v>
      </c>
      <c r="AU438" t="s">
        <v>126</v>
      </c>
      <c r="AV438" t="s">
        <v>155</v>
      </c>
      <c r="AW438" t="s">
        <v>156</v>
      </c>
      <c r="AY438" t="s">
        <v>129</v>
      </c>
      <c r="AZ438">
        <v>41342.080000000002</v>
      </c>
      <c r="BC438">
        <v>103.03579999999999</v>
      </c>
      <c r="BD438" t="s">
        <v>112</v>
      </c>
      <c r="BE438" t="s">
        <v>112</v>
      </c>
      <c r="BF438" t="s">
        <v>157</v>
      </c>
      <c r="BG438" t="s">
        <v>133</v>
      </c>
      <c r="BH438" t="s">
        <v>167</v>
      </c>
      <c r="BI438" t="s">
        <v>112</v>
      </c>
      <c r="BJ438" t="s">
        <v>112</v>
      </c>
      <c r="BK438" t="s">
        <v>112</v>
      </c>
      <c r="BL438" t="s">
        <v>169</v>
      </c>
      <c r="BM438" t="s">
        <v>159</v>
      </c>
      <c r="BN438" t="s">
        <v>160</v>
      </c>
      <c r="BO438" t="s">
        <v>161</v>
      </c>
      <c r="BQ438" t="s">
        <v>616</v>
      </c>
      <c r="BR438" s="45">
        <f>ISNUMBER(SEARCH($BR$1,Таблица1[[#This Row],[31_1 Описание и характеристика товара]]))*1</f>
        <v>1</v>
      </c>
      <c r="BT438" t="s">
        <v>150</v>
      </c>
      <c r="BU438">
        <v>33</v>
      </c>
      <c r="BV438">
        <v>0</v>
      </c>
      <c r="BW438">
        <v>0</v>
      </c>
      <c r="BY438">
        <v>0</v>
      </c>
      <c r="CA438" t="s">
        <v>106</v>
      </c>
      <c r="CB438" t="s">
        <v>142</v>
      </c>
      <c r="CC438" t="s">
        <v>112</v>
      </c>
      <c r="CD438" t="s">
        <v>112</v>
      </c>
      <c r="CE438" t="s">
        <v>121</v>
      </c>
      <c r="CF438">
        <v>15976.88</v>
      </c>
      <c r="CG438" t="s">
        <v>144</v>
      </c>
      <c r="CH438">
        <v>4000000</v>
      </c>
      <c r="CI438">
        <v>15804.08</v>
      </c>
      <c r="CJ438">
        <v>0</v>
      </c>
      <c r="CK438" t="s">
        <v>112</v>
      </c>
      <c r="CL438" t="s">
        <v>112</v>
      </c>
      <c r="CM438">
        <v>41342.080000000002</v>
      </c>
      <c r="CO438">
        <v>0</v>
      </c>
      <c r="CP438">
        <v>1</v>
      </c>
      <c r="CQ438">
        <v>4685252.1399999997</v>
      </c>
      <c r="CR438">
        <v>48484.61</v>
      </c>
      <c r="CS438" t="s">
        <v>145</v>
      </c>
      <c r="CT438">
        <v>48518.525600000001</v>
      </c>
      <c r="CU438">
        <v>3.07</v>
      </c>
      <c r="CV438">
        <v>45</v>
      </c>
      <c r="CX438" t="s">
        <v>163</v>
      </c>
      <c r="CY438">
        <v>296</v>
      </c>
    </row>
    <row r="439" spans="1:103" x14ac:dyDescent="0.25">
      <c r="A439" t="s">
        <v>106</v>
      </c>
      <c r="B439" s="38">
        <v>44951</v>
      </c>
      <c r="C439" s="43">
        <f>IF(YEAR(Таблица1[[#This Row],[Дата]])=2023,MONTH(Таблица1[[#This Row],[Дата]]),0)</f>
        <v>1</v>
      </c>
      <c r="D439" t="s">
        <v>1970</v>
      </c>
      <c r="E439" t="s">
        <v>108</v>
      </c>
      <c r="F439" t="s">
        <v>1971</v>
      </c>
      <c r="G439" t="s">
        <v>110</v>
      </c>
      <c r="H439" t="s">
        <v>111</v>
      </c>
      <c r="I439" t="s">
        <v>112</v>
      </c>
      <c r="J439" t="s">
        <v>112</v>
      </c>
      <c r="K439" t="s">
        <v>112</v>
      </c>
      <c r="L439" t="s">
        <v>150</v>
      </c>
      <c r="M439" t="s">
        <v>151</v>
      </c>
      <c r="N439" t="s">
        <v>112</v>
      </c>
      <c r="O439" t="s">
        <v>112</v>
      </c>
      <c r="P439">
        <v>1</v>
      </c>
      <c r="R439">
        <v>1</v>
      </c>
      <c r="S439">
        <v>33</v>
      </c>
      <c r="T439" t="s">
        <v>112</v>
      </c>
      <c r="U439" t="s">
        <v>152</v>
      </c>
      <c r="V439" t="s">
        <v>153</v>
      </c>
      <c r="W439" t="s">
        <v>154</v>
      </c>
      <c r="X439" t="s">
        <v>119</v>
      </c>
      <c r="Y439" t="s">
        <v>112</v>
      </c>
      <c r="Z439" t="s">
        <v>112</v>
      </c>
      <c r="AA439" t="s">
        <v>152</v>
      </c>
      <c r="AB439" t="s">
        <v>153</v>
      </c>
      <c r="AC439" t="s">
        <v>154</v>
      </c>
      <c r="AD439" t="s">
        <v>119</v>
      </c>
      <c r="AE439" t="s">
        <v>112</v>
      </c>
      <c r="AF439" t="s">
        <v>121</v>
      </c>
      <c r="AG439" t="s">
        <v>122</v>
      </c>
      <c r="AH439">
        <v>4668852.96</v>
      </c>
      <c r="AI439" t="s">
        <v>112</v>
      </c>
      <c r="AJ439" t="s">
        <v>152</v>
      </c>
      <c r="AK439" t="s">
        <v>153</v>
      </c>
      <c r="AL439" t="s">
        <v>154</v>
      </c>
      <c r="AM439" t="s">
        <v>119</v>
      </c>
      <c r="AN439" t="s">
        <v>112</v>
      </c>
      <c r="AO439" t="s">
        <v>121</v>
      </c>
      <c r="AP439" t="s">
        <v>122</v>
      </c>
      <c r="AQ439" t="s">
        <v>122</v>
      </c>
      <c r="AR439" t="s">
        <v>124</v>
      </c>
      <c r="AS439" t="s">
        <v>125</v>
      </c>
      <c r="AT439">
        <v>2</v>
      </c>
      <c r="AU439" t="s">
        <v>126</v>
      </c>
      <c r="AV439" t="s">
        <v>155</v>
      </c>
      <c r="AW439" t="s">
        <v>156</v>
      </c>
      <c r="AY439" t="s">
        <v>129</v>
      </c>
      <c r="AZ439">
        <v>41182.92</v>
      </c>
      <c r="BC439">
        <v>103.03579999999999</v>
      </c>
      <c r="BD439" t="s">
        <v>112</v>
      </c>
      <c r="BE439" t="s">
        <v>112</v>
      </c>
      <c r="BF439" t="s">
        <v>157</v>
      </c>
      <c r="BG439" t="s">
        <v>133</v>
      </c>
      <c r="BH439" t="s">
        <v>134</v>
      </c>
      <c r="BI439" t="s">
        <v>112</v>
      </c>
      <c r="BJ439" t="s">
        <v>112</v>
      </c>
      <c r="BK439" t="s">
        <v>112</v>
      </c>
      <c r="BL439" t="s">
        <v>169</v>
      </c>
      <c r="BM439" t="s">
        <v>159</v>
      </c>
      <c r="BN439" t="s">
        <v>212</v>
      </c>
      <c r="BO439" t="s">
        <v>161</v>
      </c>
      <c r="BQ439" t="s">
        <v>232</v>
      </c>
      <c r="BR439" s="45">
        <f>ISNUMBER(SEARCH($BR$1,Таблица1[[#This Row],[31_1 Описание и характеристика товара]]))*1</f>
        <v>1</v>
      </c>
      <c r="BT439" t="s">
        <v>150</v>
      </c>
      <c r="BU439">
        <v>33</v>
      </c>
      <c r="BV439">
        <v>0</v>
      </c>
      <c r="BW439">
        <v>0</v>
      </c>
      <c r="BY439">
        <v>0</v>
      </c>
      <c r="CA439" t="s">
        <v>106</v>
      </c>
      <c r="CB439" t="s">
        <v>142</v>
      </c>
      <c r="CC439" t="s">
        <v>112</v>
      </c>
      <c r="CD439" t="s">
        <v>112</v>
      </c>
      <c r="CE439" t="s">
        <v>121</v>
      </c>
      <c r="CF439">
        <v>17030.2</v>
      </c>
      <c r="CG439" t="s">
        <v>144</v>
      </c>
      <c r="CH439">
        <v>4000000</v>
      </c>
      <c r="CI439">
        <v>16958.2</v>
      </c>
      <c r="CJ439">
        <v>0</v>
      </c>
      <c r="CK439" t="s">
        <v>112</v>
      </c>
      <c r="CL439" t="s">
        <v>112</v>
      </c>
      <c r="CM439">
        <v>41182.92</v>
      </c>
      <c r="CO439">
        <v>0</v>
      </c>
      <c r="CP439">
        <v>1</v>
      </c>
      <c r="CQ439">
        <v>4668852.96</v>
      </c>
      <c r="CR439">
        <v>48314.91</v>
      </c>
      <c r="CS439" t="s">
        <v>145</v>
      </c>
      <c r="CT439">
        <v>48330.87</v>
      </c>
      <c r="CU439">
        <v>2.85</v>
      </c>
      <c r="CV439">
        <v>45</v>
      </c>
      <c r="CX439" t="s">
        <v>1140</v>
      </c>
      <c r="CY439">
        <v>182</v>
      </c>
    </row>
    <row r="440" spans="1:103" x14ac:dyDescent="0.25">
      <c r="A440" t="s">
        <v>106</v>
      </c>
      <c r="B440" s="38">
        <v>45185</v>
      </c>
      <c r="C440" s="43">
        <f>IF(YEAR(Таблица1[[#This Row],[Дата]])=2023,MONTH(Таблица1[[#This Row],[Дата]]),0)</f>
        <v>9</v>
      </c>
      <c r="D440" t="s">
        <v>1970</v>
      </c>
      <c r="E440" t="s">
        <v>108</v>
      </c>
      <c r="F440" t="s">
        <v>1971</v>
      </c>
      <c r="G440" t="s">
        <v>110</v>
      </c>
      <c r="H440" t="s">
        <v>111</v>
      </c>
      <c r="I440" t="s">
        <v>112</v>
      </c>
      <c r="J440" t="s">
        <v>112</v>
      </c>
      <c r="K440" t="s">
        <v>112</v>
      </c>
      <c r="L440" t="s">
        <v>150</v>
      </c>
      <c r="M440" t="s">
        <v>151</v>
      </c>
      <c r="N440" t="s">
        <v>112</v>
      </c>
      <c r="O440" t="s">
        <v>112</v>
      </c>
      <c r="P440">
        <v>1</v>
      </c>
      <c r="R440">
        <v>1</v>
      </c>
      <c r="S440">
        <v>33</v>
      </c>
      <c r="T440" t="s">
        <v>112</v>
      </c>
      <c r="U440" t="s">
        <v>152</v>
      </c>
      <c r="V440" t="s">
        <v>153</v>
      </c>
      <c r="W440" t="s">
        <v>154</v>
      </c>
      <c r="X440" t="s">
        <v>119</v>
      </c>
      <c r="Y440" t="s">
        <v>112</v>
      </c>
      <c r="Z440" t="s">
        <v>112</v>
      </c>
      <c r="AA440" t="s">
        <v>152</v>
      </c>
      <c r="AB440" t="s">
        <v>153</v>
      </c>
      <c r="AC440" t="s">
        <v>154</v>
      </c>
      <c r="AD440" t="s">
        <v>119</v>
      </c>
      <c r="AE440" t="s">
        <v>112</v>
      </c>
      <c r="AF440" t="s">
        <v>121</v>
      </c>
      <c r="AG440" t="s">
        <v>122</v>
      </c>
      <c r="AH440">
        <v>4668852.96</v>
      </c>
      <c r="AI440" t="s">
        <v>112</v>
      </c>
      <c r="AJ440" t="s">
        <v>152</v>
      </c>
      <c r="AK440" t="s">
        <v>153</v>
      </c>
      <c r="AL440" t="s">
        <v>154</v>
      </c>
      <c r="AM440" t="s">
        <v>119</v>
      </c>
      <c r="AN440" t="s">
        <v>112</v>
      </c>
      <c r="AO440" t="s">
        <v>121</v>
      </c>
      <c r="AP440" t="s">
        <v>122</v>
      </c>
      <c r="AQ440" t="s">
        <v>122</v>
      </c>
      <c r="AR440" t="s">
        <v>124</v>
      </c>
      <c r="AS440" t="s">
        <v>125</v>
      </c>
      <c r="AT440">
        <v>2</v>
      </c>
      <c r="AU440" t="s">
        <v>126</v>
      </c>
      <c r="AV440" t="s">
        <v>155</v>
      </c>
      <c r="AW440" t="s">
        <v>156</v>
      </c>
      <c r="AY440" t="s">
        <v>129</v>
      </c>
      <c r="AZ440">
        <v>41182.92</v>
      </c>
      <c r="BC440">
        <v>103.03579999999999</v>
      </c>
      <c r="BD440" t="s">
        <v>112</v>
      </c>
      <c r="BE440" t="s">
        <v>112</v>
      </c>
      <c r="BF440" t="s">
        <v>157</v>
      </c>
      <c r="BG440" t="s">
        <v>133</v>
      </c>
      <c r="BH440" t="s">
        <v>134</v>
      </c>
      <c r="BI440" t="s">
        <v>112</v>
      </c>
      <c r="BJ440" t="s">
        <v>112</v>
      </c>
      <c r="BK440" t="s">
        <v>112</v>
      </c>
      <c r="BL440" t="s">
        <v>169</v>
      </c>
      <c r="BM440" t="s">
        <v>159</v>
      </c>
      <c r="BN440" t="s">
        <v>212</v>
      </c>
      <c r="BO440" t="s">
        <v>161</v>
      </c>
      <c r="BQ440" t="s">
        <v>232</v>
      </c>
      <c r="BR440" s="45">
        <f>ISNUMBER(SEARCH($BR$1,Таблица1[[#This Row],[31_1 Описание и характеристика товара]]))*1</f>
        <v>1</v>
      </c>
      <c r="BT440" t="s">
        <v>150</v>
      </c>
      <c r="BU440">
        <v>33</v>
      </c>
      <c r="BV440">
        <v>0</v>
      </c>
      <c r="BW440">
        <v>0</v>
      </c>
      <c r="BY440">
        <v>0</v>
      </c>
      <c r="CA440" t="s">
        <v>106</v>
      </c>
      <c r="CB440" t="s">
        <v>142</v>
      </c>
      <c r="CC440" t="s">
        <v>112</v>
      </c>
      <c r="CD440" t="s">
        <v>112</v>
      </c>
      <c r="CE440" t="s">
        <v>121</v>
      </c>
      <c r="CF440">
        <v>17030.2</v>
      </c>
      <c r="CG440" t="s">
        <v>144</v>
      </c>
      <c r="CH440">
        <v>4000000</v>
      </c>
      <c r="CI440">
        <v>16958.2</v>
      </c>
      <c r="CJ440">
        <v>0</v>
      </c>
      <c r="CK440" t="s">
        <v>112</v>
      </c>
      <c r="CL440" t="s">
        <v>112</v>
      </c>
      <c r="CM440">
        <v>41182.92</v>
      </c>
      <c r="CO440">
        <v>0</v>
      </c>
      <c r="CP440">
        <v>1</v>
      </c>
      <c r="CQ440">
        <v>4668852.96</v>
      </c>
      <c r="CR440">
        <v>48314.91</v>
      </c>
      <c r="CS440" t="s">
        <v>145</v>
      </c>
      <c r="CT440">
        <v>48330.87</v>
      </c>
      <c r="CU440">
        <v>2.85</v>
      </c>
      <c r="CV440">
        <v>45</v>
      </c>
      <c r="CX440" t="s">
        <v>1140</v>
      </c>
      <c r="CY440">
        <v>182</v>
      </c>
    </row>
    <row r="441" spans="1:103" x14ac:dyDescent="0.25">
      <c r="A441" t="s">
        <v>106</v>
      </c>
      <c r="B441" s="38">
        <v>44818</v>
      </c>
      <c r="C441" s="43">
        <f>IF(YEAR(Таблица1[[#This Row],[Дата]])=2023,MONTH(Таблица1[[#This Row],[Дата]]),0)</f>
        <v>0</v>
      </c>
      <c r="D441" t="s">
        <v>1766</v>
      </c>
      <c r="E441" t="s">
        <v>108</v>
      </c>
      <c r="F441" t="s">
        <v>1767</v>
      </c>
      <c r="G441" t="s">
        <v>110</v>
      </c>
      <c r="H441" t="s">
        <v>111</v>
      </c>
      <c r="I441" t="s">
        <v>112</v>
      </c>
      <c r="J441" t="s">
        <v>112</v>
      </c>
      <c r="K441" t="s">
        <v>112</v>
      </c>
      <c r="L441" t="s">
        <v>150</v>
      </c>
      <c r="M441" t="s">
        <v>151</v>
      </c>
      <c r="N441" t="s">
        <v>112</v>
      </c>
      <c r="O441" t="s">
        <v>112</v>
      </c>
      <c r="R441">
        <v>1</v>
      </c>
      <c r="S441">
        <v>33</v>
      </c>
      <c r="T441" t="s">
        <v>166</v>
      </c>
      <c r="U441" t="s">
        <v>152</v>
      </c>
      <c r="V441" t="s">
        <v>153</v>
      </c>
      <c r="W441" t="s">
        <v>154</v>
      </c>
      <c r="X441" t="s">
        <v>119</v>
      </c>
      <c r="Y441" t="s">
        <v>112</v>
      </c>
      <c r="Z441" t="s">
        <v>166</v>
      </c>
      <c r="AA441" t="s">
        <v>152</v>
      </c>
      <c r="AB441" t="s">
        <v>153</v>
      </c>
      <c r="AC441" t="s">
        <v>154</v>
      </c>
      <c r="AD441" t="s">
        <v>119</v>
      </c>
      <c r="AE441" t="s">
        <v>112</v>
      </c>
      <c r="AF441" t="s">
        <v>121</v>
      </c>
      <c r="AG441" t="s">
        <v>122</v>
      </c>
      <c r="AH441">
        <v>4833422.88</v>
      </c>
      <c r="AI441" t="s">
        <v>166</v>
      </c>
      <c r="AJ441" t="s">
        <v>152</v>
      </c>
      <c r="AK441" t="s">
        <v>153</v>
      </c>
      <c r="AL441" t="s">
        <v>154</v>
      </c>
      <c r="AM441" t="s">
        <v>119</v>
      </c>
      <c r="AN441" t="s">
        <v>112</v>
      </c>
      <c r="AO441" t="s">
        <v>121</v>
      </c>
      <c r="AP441" t="s">
        <v>122</v>
      </c>
      <c r="AQ441" t="s">
        <v>122</v>
      </c>
      <c r="AR441" t="s">
        <v>124</v>
      </c>
      <c r="AS441" t="s">
        <v>125</v>
      </c>
      <c r="AU441" t="s">
        <v>126</v>
      </c>
      <c r="AV441" t="s">
        <v>155</v>
      </c>
      <c r="AW441" t="s">
        <v>156</v>
      </c>
      <c r="AY441" t="s">
        <v>129</v>
      </c>
      <c r="AZ441">
        <v>43172.56</v>
      </c>
      <c r="BC441">
        <v>102.181</v>
      </c>
      <c r="BD441" t="s">
        <v>112</v>
      </c>
      <c r="BE441" t="s">
        <v>112</v>
      </c>
      <c r="BF441" t="s">
        <v>112</v>
      </c>
      <c r="BG441" t="s">
        <v>133</v>
      </c>
      <c r="BH441" t="s">
        <v>167</v>
      </c>
      <c r="BI441" t="s">
        <v>112</v>
      </c>
      <c r="BJ441" t="s">
        <v>112</v>
      </c>
      <c r="BK441" t="s">
        <v>112</v>
      </c>
      <c r="BL441" t="s">
        <v>112</v>
      </c>
      <c r="BM441" t="s">
        <v>112</v>
      </c>
      <c r="BN441" t="s">
        <v>112</v>
      </c>
      <c r="BO441" t="s">
        <v>161</v>
      </c>
      <c r="BQ441" t="s">
        <v>281</v>
      </c>
      <c r="BR441" s="45">
        <f>ISNUMBER(SEARCH($BR$1,Таблица1[[#This Row],[31_1 Описание и характеристика товара]]))*1</f>
        <v>1</v>
      </c>
      <c r="BT441" t="s">
        <v>150</v>
      </c>
      <c r="BU441">
        <v>33</v>
      </c>
      <c r="BV441">
        <v>0</v>
      </c>
      <c r="BW441">
        <v>0</v>
      </c>
      <c r="CA441" t="s">
        <v>106</v>
      </c>
      <c r="CB441" t="s">
        <v>142</v>
      </c>
      <c r="CC441" t="s">
        <v>112</v>
      </c>
      <c r="CD441" t="s">
        <v>112</v>
      </c>
      <c r="CE441" t="s">
        <v>121</v>
      </c>
      <c r="CF441">
        <v>16452.89</v>
      </c>
      <c r="CG441" t="s">
        <v>144</v>
      </c>
      <c r="CH441">
        <v>4000000</v>
      </c>
      <c r="CI441">
        <v>16258.49</v>
      </c>
      <c r="CJ441">
        <v>0</v>
      </c>
      <c r="CK441" t="s">
        <v>112</v>
      </c>
      <c r="CL441" t="s">
        <v>112</v>
      </c>
      <c r="CM441">
        <v>43172.56</v>
      </c>
      <c r="CO441">
        <v>0</v>
      </c>
      <c r="CP441">
        <v>1</v>
      </c>
      <c r="CQ441">
        <v>4833422.88</v>
      </c>
      <c r="CR441">
        <v>51558.71</v>
      </c>
      <c r="CS441" t="s">
        <v>145</v>
      </c>
      <c r="CT441">
        <v>51539.4133</v>
      </c>
      <c r="CU441">
        <v>3.17</v>
      </c>
      <c r="CY441">
        <v>314</v>
      </c>
    </row>
    <row r="442" spans="1:103" x14ac:dyDescent="0.25">
      <c r="A442" t="s">
        <v>106</v>
      </c>
      <c r="B442" s="38">
        <v>44656</v>
      </c>
      <c r="C442" s="43">
        <f>IF(YEAR(Таблица1[[#This Row],[Дата]])=2023,MONTH(Таблица1[[#This Row],[Дата]]),0)</f>
        <v>0</v>
      </c>
      <c r="D442" t="s">
        <v>1762</v>
      </c>
      <c r="E442" t="s">
        <v>108</v>
      </c>
      <c r="F442" t="s">
        <v>1763</v>
      </c>
      <c r="G442" t="s">
        <v>110</v>
      </c>
      <c r="H442" t="s">
        <v>111</v>
      </c>
      <c r="I442" t="s">
        <v>112</v>
      </c>
      <c r="J442" t="s">
        <v>112</v>
      </c>
      <c r="K442" t="s">
        <v>112</v>
      </c>
      <c r="L442" t="s">
        <v>150</v>
      </c>
      <c r="M442" t="s">
        <v>151</v>
      </c>
      <c r="N442" t="s">
        <v>112</v>
      </c>
      <c r="O442" t="s">
        <v>112</v>
      </c>
      <c r="R442">
        <v>1</v>
      </c>
      <c r="S442">
        <v>33</v>
      </c>
      <c r="T442" t="s">
        <v>166</v>
      </c>
      <c r="U442" t="s">
        <v>152</v>
      </c>
      <c r="V442" t="s">
        <v>153</v>
      </c>
      <c r="W442" t="s">
        <v>154</v>
      </c>
      <c r="X442" t="s">
        <v>119</v>
      </c>
      <c r="Y442" t="s">
        <v>112</v>
      </c>
      <c r="Z442" t="s">
        <v>166</v>
      </c>
      <c r="AA442" t="s">
        <v>152</v>
      </c>
      <c r="AB442" t="s">
        <v>153</v>
      </c>
      <c r="AC442" t="s">
        <v>154</v>
      </c>
      <c r="AD442" t="s">
        <v>119</v>
      </c>
      <c r="AE442" t="s">
        <v>112</v>
      </c>
      <c r="AF442" t="s">
        <v>121</v>
      </c>
      <c r="AG442" t="s">
        <v>122</v>
      </c>
      <c r="AH442">
        <v>4788859.71</v>
      </c>
      <c r="AI442" t="s">
        <v>166</v>
      </c>
      <c r="AJ442" t="s">
        <v>152</v>
      </c>
      <c r="AK442" t="s">
        <v>153</v>
      </c>
      <c r="AL442" t="s">
        <v>154</v>
      </c>
      <c r="AM442" t="s">
        <v>119</v>
      </c>
      <c r="AN442" t="s">
        <v>112</v>
      </c>
      <c r="AO442" t="s">
        <v>121</v>
      </c>
      <c r="AP442" t="s">
        <v>122</v>
      </c>
      <c r="AQ442" t="s">
        <v>122</v>
      </c>
      <c r="AR442" t="s">
        <v>124</v>
      </c>
      <c r="AS442" t="s">
        <v>125</v>
      </c>
      <c r="AU442" t="s">
        <v>126</v>
      </c>
      <c r="AV442" t="s">
        <v>155</v>
      </c>
      <c r="AW442" t="s">
        <v>156</v>
      </c>
      <c r="AY442" t="s">
        <v>129</v>
      </c>
      <c r="AZ442">
        <v>42736.44</v>
      </c>
      <c r="BC442">
        <v>102.181</v>
      </c>
      <c r="BD442" t="s">
        <v>112</v>
      </c>
      <c r="BE442" t="s">
        <v>112</v>
      </c>
      <c r="BF442" t="s">
        <v>112</v>
      </c>
      <c r="BG442" t="s">
        <v>133</v>
      </c>
      <c r="BH442" t="s">
        <v>134</v>
      </c>
      <c r="BI442" t="s">
        <v>112</v>
      </c>
      <c r="BJ442" t="s">
        <v>112</v>
      </c>
      <c r="BK442" t="s">
        <v>112</v>
      </c>
      <c r="BL442" t="s">
        <v>112</v>
      </c>
      <c r="BM442" t="s">
        <v>112</v>
      </c>
      <c r="BN442" t="s">
        <v>112</v>
      </c>
      <c r="BO442" t="s">
        <v>161</v>
      </c>
      <c r="BQ442" t="s">
        <v>205</v>
      </c>
      <c r="BR442" s="45">
        <f>ISNUMBER(SEARCH($BR$1,Таблица1[[#This Row],[31_1 Описание и характеристика товара]]))*1</f>
        <v>1</v>
      </c>
      <c r="BT442" t="s">
        <v>150</v>
      </c>
      <c r="BU442">
        <v>33</v>
      </c>
      <c r="BV442">
        <v>0</v>
      </c>
      <c r="BW442">
        <v>0</v>
      </c>
      <c r="CA442" t="s">
        <v>106</v>
      </c>
      <c r="CB442" t="s">
        <v>142</v>
      </c>
      <c r="CC442" t="s">
        <v>112</v>
      </c>
      <c r="CD442" t="s">
        <v>112</v>
      </c>
      <c r="CE442" t="s">
        <v>121</v>
      </c>
      <c r="CF442">
        <v>17000.21</v>
      </c>
      <c r="CG442" t="s">
        <v>144</v>
      </c>
      <c r="CH442">
        <v>4000000</v>
      </c>
      <c r="CI442">
        <v>16964.21</v>
      </c>
      <c r="CJ442">
        <v>0</v>
      </c>
      <c r="CK442" t="s">
        <v>112</v>
      </c>
      <c r="CL442" t="s">
        <v>112</v>
      </c>
      <c r="CM442">
        <v>42736.44</v>
      </c>
      <c r="CO442">
        <v>0</v>
      </c>
      <c r="CP442">
        <v>1</v>
      </c>
      <c r="CQ442">
        <v>4788859.71</v>
      </c>
      <c r="CR442">
        <v>51083.35</v>
      </c>
      <c r="CS442" t="s">
        <v>145</v>
      </c>
      <c r="CT442">
        <v>51062.272099999995</v>
      </c>
      <c r="CU442">
        <v>3.01</v>
      </c>
      <c r="CY442">
        <v>314</v>
      </c>
    </row>
    <row r="443" spans="1:103" x14ac:dyDescent="0.25">
      <c r="A443" t="s">
        <v>106</v>
      </c>
      <c r="B443" s="38">
        <v>44606</v>
      </c>
      <c r="C443" s="43">
        <f>IF(YEAR(Таблица1[[#This Row],[Дата]])=2023,MONTH(Таблица1[[#This Row],[Дата]]),0)</f>
        <v>0</v>
      </c>
      <c r="D443" t="s">
        <v>1760</v>
      </c>
      <c r="E443" t="s">
        <v>108</v>
      </c>
      <c r="F443" t="s">
        <v>1761</v>
      </c>
      <c r="G443" t="s">
        <v>110</v>
      </c>
      <c r="H443" t="s">
        <v>111</v>
      </c>
      <c r="I443" t="s">
        <v>112</v>
      </c>
      <c r="J443" t="s">
        <v>112</v>
      </c>
      <c r="K443" t="s">
        <v>112</v>
      </c>
      <c r="L443" t="s">
        <v>150</v>
      </c>
      <c r="M443" t="s">
        <v>151</v>
      </c>
      <c r="N443" t="s">
        <v>112</v>
      </c>
      <c r="O443" t="s">
        <v>112</v>
      </c>
      <c r="R443">
        <v>1</v>
      </c>
      <c r="S443">
        <v>32</v>
      </c>
      <c r="T443" t="s">
        <v>166</v>
      </c>
      <c r="U443" t="s">
        <v>152</v>
      </c>
      <c r="V443" t="s">
        <v>153</v>
      </c>
      <c r="W443" t="s">
        <v>154</v>
      </c>
      <c r="X443" t="s">
        <v>119</v>
      </c>
      <c r="Y443" t="s">
        <v>112</v>
      </c>
      <c r="Z443" t="s">
        <v>166</v>
      </c>
      <c r="AA443" t="s">
        <v>152</v>
      </c>
      <c r="AB443" t="s">
        <v>153</v>
      </c>
      <c r="AC443" t="s">
        <v>154</v>
      </c>
      <c r="AD443" t="s">
        <v>119</v>
      </c>
      <c r="AE443" t="s">
        <v>112</v>
      </c>
      <c r="AF443" t="s">
        <v>121</v>
      </c>
      <c r="AG443" t="s">
        <v>122</v>
      </c>
      <c r="AH443">
        <v>4878055.54</v>
      </c>
      <c r="AI443" t="s">
        <v>166</v>
      </c>
      <c r="AJ443" t="s">
        <v>152</v>
      </c>
      <c r="AK443" t="s">
        <v>153</v>
      </c>
      <c r="AL443" t="s">
        <v>154</v>
      </c>
      <c r="AM443" t="s">
        <v>119</v>
      </c>
      <c r="AN443" t="s">
        <v>112</v>
      </c>
      <c r="AO443" t="s">
        <v>121</v>
      </c>
      <c r="AP443" t="s">
        <v>122</v>
      </c>
      <c r="AQ443" t="s">
        <v>122</v>
      </c>
      <c r="AR443" t="s">
        <v>124</v>
      </c>
      <c r="AS443" t="s">
        <v>125</v>
      </c>
      <c r="AU443" t="s">
        <v>126</v>
      </c>
      <c r="AV443" t="s">
        <v>155</v>
      </c>
      <c r="AW443" t="s">
        <v>156</v>
      </c>
      <c r="AY443" t="s">
        <v>129</v>
      </c>
      <c r="AZ443">
        <v>43609.36</v>
      </c>
      <c r="BC443">
        <v>102.181</v>
      </c>
      <c r="BD443" t="s">
        <v>112</v>
      </c>
      <c r="BE443" t="s">
        <v>112</v>
      </c>
      <c r="BF443" t="s">
        <v>112</v>
      </c>
      <c r="BG443" t="s">
        <v>133</v>
      </c>
      <c r="BH443" t="s">
        <v>134</v>
      </c>
      <c r="BI443" t="s">
        <v>112</v>
      </c>
      <c r="BJ443" t="s">
        <v>112</v>
      </c>
      <c r="BK443" t="s">
        <v>112</v>
      </c>
      <c r="BL443" t="s">
        <v>112</v>
      </c>
      <c r="BM443" t="s">
        <v>112</v>
      </c>
      <c r="BN443" t="s">
        <v>112</v>
      </c>
      <c r="BO443" t="s">
        <v>161</v>
      </c>
      <c r="BQ443" t="s">
        <v>232</v>
      </c>
      <c r="BR443" s="45">
        <f>ISNUMBER(SEARCH($BR$1,Таблица1[[#This Row],[31_1 Описание и характеристика товара]]))*1</f>
        <v>1</v>
      </c>
      <c r="BT443" t="s">
        <v>150</v>
      </c>
      <c r="BU443">
        <v>32</v>
      </c>
      <c r="BV443">
        <v>0</v>
      </c>
      <c r="BW443">
        <v>0</v>
      </c>
      <c r="CA443" t="s">
        <v>106</v>
      </c>
      <c r="CB443" t="s">
        <v>142</v>
      </c>
      <c r="CC443" t="s">
        <v>112</v>
      </c>
      <c r="CD443" t="s">
        <v>112</v>
      </c>
      <c r="CE443" t="s">
        <v>121</v>
      </c>
      <c r="CF443">
        <v>16131.93</v>
      </c>
      <c r="CG443" t="s">
        <v>144</v>
      </c>
      <c r="CH443">
        <v>4000000</v>
      </c>
      <c r="CI443">
        <v>16002.33</v>
      </c>
      <c r="CJ443">
        <v>0</v>
      </c>
      <c r="CK443" t="s">
        <v>112</v>
      </c>
      <c r="CL443" t="s">
        <v>112</v>
      </c>
      <c r="CM443">
        <v>43609.36</v>
      </c>
      <c r="CO443">
        <v>0</v>
      </c>
      <c r="CP443">
        <v>1</v>
      </c>
      <c r="CQ443">
        <v>4878055.54</v>
      </c>
      <c r="CR443">
        <v>52034.81</v>
      </c>
      <c r="CS443" t="s">
        <v>145</v>
      </c>
      <c r="CT443">
        <v>52007.572500000002</v>
      </c>
      <c r="CU443">
        <v>3.25</v>
      </c>
      <c r="CY443">
        <v>257</v>
      </c>
    </row>
    <row r="444" spans="1:103" x14ac:dyDescent="0.25">
      <c r="A444" t="s">
        <v>106</v>
      </c>
      <c r="B444" s="38">
        <v>45039</v>
      </c>
      <c r="C444" s="43">
        <f>IF(YEAR(Таблица1[[#This Row],[Дата]])=2023,MONTH(Таблица1[[#This Row],[Дата]]),0)</f>
        <v>4</v>
      </c>
      <c r="D444" t="s">
        <v>1752</v>
      </c>
      <c r="E444" t="s">
        <v>108</v>
      </c>
      <c r="F444" t="s">
        <v>1753</v>
      </c>
      <c r="G444" t="s">
        <v>110</v>
      </c>
      <c r="H444" t="s">
        <v>111</v>
      </c>
      <c r="I444" t="s">
        <v>112</v>
      </c>
      <c r="J444" t="s">
        <v>112</v>
      </c>
      <c r="K444" t="s">
        <v>112</v>
      </c>
      <c r="L444" t="s">
        <v>150</v>
      </c>
      <c r="M444" t="s">
        <v>151</v>
      </c>
      <c r="N444" t="s">
        <v>112</v>
      </c>
      <c r="O444" t="s">
        <v>112</v>
      </c>
      <c r="R444">
        <v>1</v>
      </c>
      <c r="S444">
        <v>33</v>
      </c>
      <c r="T444" t="s">
        <v>166</v>
      </c>
      <c r="U444" t="s">
        <v>152</v>
      </c>
      <c r="V444" t="s">
        <v>153</v>
      </c>
      <c r="W444" t="s">
        <v>154</v>
      </c>
      <c r="X444" t="s">
        <v>119</v>
      </c>
      <c r="Y444" t="s">
        <v>112</v>
      </c>
      <c r="Z444" t="s">
        <v>166</v>
      </c>
      <c r="AA444" t="s">
        <v>152</v>
      </c>
      <c r="AB444" t="s">
        <v>153</v>
      </c>
      <c r="AC444" t="s">
        <v>154</v>
      </c>
      <c r="AD444" t="s">
        <v>119</v>
      </c>
      <c r="AE444" t="s">
        <v>112</v>
      </c>
      <c r="AF444" t="s">
        <v>121</v>
      </c>
      <c r="AG444" t="s">
        <v>122</v>
      </c>
      <c r="AH444">
        <v>4605546.99</v>
      </c>
      <c r="AI444" t="s">
        <v>166</v>
      </c>
      <c r="AJ444" t="s">
        <v>152</v>
      </c>
      <c r="AK444" t="s">
        <v>153</v>
      </c>
      <c r="AL444" t="s">
        <v>154</v>
      </c>
      <c r="AM444" t="s">
        <v>119</v>
      </c>
      <c r="AN444" t="s">
        <v>112</v>
      </c>
      <c r="AO444" t="s">
        <v>121</v>
      </c>
      <c r="AP444" t="s">
        <v>122</v>
      </c>
      <c r="AQ444" t="s">
        <v>122</v>
      </c>
      <c r="AR444" t="s">
        <v>124</v>
      </c>
      <c r="AS444" t="s">
        <v>125</v>
      </c>
      <c r="AU444" t="s">
        <v>126</v>
      </c>
      <c r="AV444" t="s">
        <v>155</v>
      </c>
      <c r="AW444" t="s">
        <v>156</v>
      </c>
      <c r="AY444" t="s">
        <v>129</v>
      </c>
      <c r="AZ444">
        <v>40942.44</v>
      </c>
      <c r="BC444">
        <v>102.181</v>
      </c>
      <c r="BD444" t="s">
        <v>112</v>
      </c>
      <c r="BE444" t="s">
        <v>112</v>
      </c>
      <c r="BF444" t="s">
        <v>112</v>
      </c>
      <c r="BG444" t="s">
        <v>133</v>
      </c>
      <c r="BH444" t="s">
        <v>134</v>
      </c>
      <c r="BI444" t="s">
        <v>112</v>
      </c>
      <c r="BJ444" t="s">
        <v>112</v>
      </c>
      <c r="BK444" t="s">
        <v>112</v>
      </c>
      <c r="BL444" t="s">
        <v>112</v>
      </c>
      <c r="BM444" t="s">
        <v>112</v>
      </c>
      <c r="BN444" t="s">
        <v>112</v>
      </c>
      <c r="BO444" t="s">
        <v>161</v>
      </c>
      <c r="BQ444" t="s">
        <v>205</v>
      </c>
      <c r="BR444" s="45">
        <f>ISNUMBER(SEARCH($BR$1,Таблица1[[#This Row],[31_1 Описание и характеристика товара]]))*1</f>
        <v>1</v>
      </c>
      <c r="BT444" t="s">
        <v>150</v>
      </c>
      <c r="BU444">
        <v>33</v>
      </c>
      <c r="BV444">
        <v>0</v>
      </c>
      <c r="BW444">
        <v>0</v>
      </c>
      <c r="CA444" t="s">
        <v>106</v>
      </c>
      <c r="CB444" t="s">
        <v>142</v>
      </c>
      <c r="CC444" t="s">
        <v>112</v>
      </c>
      <c r="CD444" t="s">
        <v>112</v>
      </c>
      <c r="CE444" t="s">
        <v>121</v>
      </c>
      <c r="CF444">
        <v>16497.07</v>
      </c>
      <c r="CG444" t="s">
        <v>144</v>
      </c>
      <c r="CH444">
        <v>4000000</v>
      </c>
      <c r="CI444">
        <v>16417.87</v>
      </c>
      <c r="CJ444">
        <v>0</v>
      </c>
      <c r="CK444" t="s">
        <v>112</v>
      </c>
      <c r="CL444" t="s">
        <v>112</v>
      </c>
      <c r="CM444">
        <v>40942.44</v>
      </c>
      <c r="CO444">
        <v>0</v>
      </c>
      <c r="CP444">
        <v>1</v>
      </c>
      <c r="CQ444">
        <v>4605546.99</v>
      </c>
      <c r="CR444">
        <v>49127.93</v>
      </c>
      <c r="CS444" t="s">
        <v>145</v>
      </c>
      <c r="CT444">
        <v>49089.431300000004</v>
      </c>
      <c r="CU444">
        <v>2.99</v>
      </c>
      <c r="CY444">
        <v>211</v>
      </c>
    </row>
    <row r="445" spans="1:103" x14ac:dyDescent="0.25">
      <c r="A445" t="s">
        <v>106</v>
      </c>
      <c r="B445" s="38">
        <v>44815</v>
      </c>
      <c r="C445" s="43">
        <f>IF(YEAR(Таблица1[[#This Row],[Дата]])=2023,MONTH(Таблица1[[#This Row],[Дата]]),0)</f>
        <v>0</v>
      </c>
      <c r="D445" t="s">
        <v>1758</v>
      </c>
      <c r="E445" t="s">
        <v>108</v>
      </c>
      <c r="F445" t="s">
        <v>1759</v>
      </c>
      <c r="G445" t="s">
        <v>110</v>
      </c>
      <c r="H445" t="s">
        <v>111</v>
      </c>
      <c r="I445" t="s">
        <v>112</v>
      </c>
      <c r="J445" t="s">
        <v>112</v>
      </c>
      <c r="K445" t="s">
        <v>112</v>
      </c>
      <c r="L445" t="s">
        <v>150</v>
      </c>
      <c r="M445" t="s">
        <v>151</v>
      </c>
      <c r="N445" t="s">
        <v>112</v>
      </c>
      <c r="O445" t="s">
        <v>112</v>
      </c>
      <c r="R445">
        <v>1</v>
      </c>
      <c r="S445">
        <v>33</v>
      </c>
      <c r="T445" t="s">
        <v>166</v>
      </c>
      <c r="U445" t="s">
        <v>152</v>
      </c>
      <c r="V445" t="s">
        <v>153</v>
      </c>
      <c r="W445" t="s">
        <v>154</v>
      </c>
      <c r="X445" t="s">
        <v>119</v>
      </c>
      <c r="Y445" t="s">
        <v>112</v>
      </c>
      <c r="Z445" t="s">
        <v>166</v>
      </c>
      <c r="AA445" t="s">
        <v>152</v>
      </c>
      <c r="AB445" t="s">
        <v>153</v>
      </c>
      <c r="AC445" t="s">
        <v>154</v>
      </c>
      <c r="AD445" t="s">
        <v>119</v>
      </c>
      <c r="AE445" t="s">
        <v>112</v>
      </c>
      <c r="AF445" t="s">
        <v>121</v>
      </c>
      <c r="AG445" t="s">
        <v>122</v>
      </c>
      <c r="AH445">
        <v>4847887.63</v>
      </c>
      <c r="AI445" t="s">
        <v>166</v>
      </c>
      <c r="AJ445" t="s">
        <v>152</v>
      </c>
      <c r="AK445" t="s">
        <v>153</v>
      </c>
      <c r="AL445" t="s">
        <v>154</v>
      </c>
      <c r="AM445" t="s">
        <v>119</v>
      </c>
      <c r="AN445" t="s">
        <v>112</v>
      </c>
      <c r="AO445" t="s">
        <v>121</v>
      </c>
      <c r="AP445" t="s">
        <v>122</v>
      </c>
      <c r="AQ445" t="s">
        <v>122</v>
      </c>
      <c r="AR445" t="s">
        <v>124</v>
      </c>
      <c r="AS445" t="s">
        <v>125</v>
      </c>
      <c r="AU445" t="s">
        <v>126</v>
      </c>
      <c r="AV445" t="s">
        <v>155</v>
      </c>
      <c r="AW445" t="s">
        <v>156</v>
      </c>
      <c r="AY445" t="s">
        <v>129</v>
      </c>
      <c r="AZ445">
        <v>42614.12</v>
      </c>
      <c r="BC445">
        <v>102.181</v>
      </c>
      <c r="BD445" t="s">
        <v>112</v>
      </c>
      <c r="BE445" t="s">
        <v>112</v>
      </c>
      <c r="BF445" t="s">
        <v>112</v>
      </c>
      <c r="BG445" t="s">
        <v>133</v>
      </c>
      <c r="BH445" t="s">
        <v>134</v>
      </c>
      <c r="BI445" t="s">
        <v>112</v>
      </c>
      <c r="BJ445" t="s">
        <v>112</v>
      </c>
      <c r="BK445" t="s">
        <v>112</v>
      </c>
      <c r="BL445" t="s">
        <v>112</v>
      </c>
      <c r="BM445" t="s">
        <v>112</v>
      </c>
      <c r="BN445" t="s">
        <v>112</v>
      </c>
      <c r="BO445" t="s">
        <v>161</v>
      </c>
      <c r="BQ445" t="s">
        <v>205</v>
      </c>
      <c r="BR445" s="45">
        <f>ISNUMBER(SEARCH($BR$1,Таблица1[[#This Row],[31_1 Описание и характеристика товара]]))*1</f>
        <v>1</v>
      </c>
      <c r="BT445" t="s">
        <v>150</v>
      </c>
      <c r="BU445">
        <v>33</v>
      </c>
      <c r="BV445">
        <v>0</v>
      </c>
      <c r="BW445">
        <v>0</v>
      </c>
      <c r="CA445" t="s">
        <v>106</v>
      </c>
      <c r="CB445" t="s">
        <v>142</v>
      </c>
      <c r="CC445" t="s">
        <v>112</v>
      </c>
      <c r="CD445" t="s">
        <v>112</v>
      </c>
      <c r="CE445" t="s">
        <v>121</v>
      </c>
      <c r="CF445">
        <v>17131.34</v>
      </c>
      <c r="CG445" t="s">
        <v>144</v>
      </c>
      <c r="CH445">
        <v>4000000</v>
      </c>
      <c r="CI445">
        <v>17109.740000000002</v>
      </c>
      <c r="CJ445">
        <v>0</v>
      </c>
      <c r="CK445" t="s">
        <v>112</v>
      </c>
      <c r="CL445" t="s">
        <v>112</v>
      </c>
      <c r="CM445">
        <v>42614.12</v>
      </c>
      <c r="CO445">
        <v>0</v>
      </c>
      <c r="CP445">
        <v>1</v>
      </c>
      <c r="CQ445">
        <v>4847887.63</v>
      </c>
      <c r="CR445">
        <v>51713.01</v>
      </c>
      <c r="CS445" t="s">
        <v>145</v>
      </c>
      <c r="CT445">
        <v>51671.414800000006</v>
      </c>
      <c r="CU445">
        <v>3.02</v>
      </c>
      <c r="CY445">
        <v>249</v>
      </c>
    </row>
    <row r="446" spans="1:103" x14ac:dyDescent="0.25">
      <c r="A446" t="s">
        <v>106</v>
      </c>
      <c r="B446" s="38">
        <v>45172</v>
      </c>
      <c r="C446" s="43">
        <f>IF(YEAR(Таблица1[[#This Row],[Дата]])=2023,MONTH(Таблица1[[#This Row],[Дата]]),0)</f>
        <v>9</v>
      </c>
      <c r="D446" t="s">
        <v>1756</v>
      </c>
      <c r="E446" t="s">
        <v>108</v>
      </c>
      <c r="F446" t="s">
        <v>1757</v>
      </c>
      <c r="G446" t="s">
        <v>110</v>
      </c>
      <c r="H446" t="s">
        <v>111</v>
      </c>
      <c r="I446" t="s">
        <v>112</v>
      </c>
      <c r="J446" t="s">
        <v>112</v>
      </c>
      <c r="K446" t="s">
        <v>112</v>
      </c>
      <c r="L446" t="s">
        <v>150</v>
      </c>
      <c r="M446" t="s">
        <v>151</v>
      </c>
      <c r="N446" t="s">
        <v>112</v>
      </c>
      <c r="O446" t="s">
        <v>112</v>
      </c>
      <c r="R446">
        <v>1</v>
      </c>
      <c r="S446">
        <v>33</v>
      </c>
      <c r="T446" t="s">
        <v>166</v>
      </c>
      <c r="U446" t="s">
        <v>152</v>
      </c>
      <c r="V446" t="s">
        <v>153</v>
      </c>
      <c r="W446" t="s">
        <v>154</v>
      </c>
      <c r="X446" t="s">
        <v>119</v>
      </c>
      <c r="Y446" t="s">
        <v>112</v>
      </c>
      <c r="Z446" t="s">
        <v>166</v>
      </c>
      <c r="AA446" t="s">
        <v>152</v>
      </c>
      <c r="AB446" t="s">
        <v>153</v>
      </c>
      <c r="AC446" t="s">
        <v>154</v>
      </c>
      <c r="AD446" t="s">
        <v>119</v>
      </c>
      <c r="AE446" t="s">
        <v>112</v>
      </c>
      <c r="AF446" t="s">
        <v>121</v>
      </c>
      <c r="AG446" t="s">
        <v>122</v>
      </c>
      <c r="AH446">
        <v>4742081.24</v>
      </c>
      <c r="AI446" t="s">
        <v>166</v>
      </c>
      <c r="AJ446" t="s">
        <v>152</v>
      </c>
      <c r="AK446" t="s">
        <v>153</v>
      </c>
      <c r="AL446" t="s">
        <v>154</v>
      </c>
      <c r="AM446" t="s">
        <v>119</v>
      </c>
      <c r="AN446" t="s">
        <v>112</v>
      </c>
      <c r="AO446" t="s">
        <v>121</v>
      </c>
      <c r="AP446" t="s">
        <v>122</v>
      </c>
      <c r="AQ446" t="s">
        <v>122</v>
      </c>
      <c r="AR446" t="s">
        <v>124</v>
      </c>
      <c r="AS446" t="s">
        <v>125</v>
      </c>
      <c r="AU446" t="s">
        <v>126</v>
      </c>
      <c r="AV446" t="s">
        <v>155</v>
      </c>
      <c r="AW446" t="s">
        <v>156</v>
      </c>
      <c r="AY446" t="s">
        <v>129</v>
      </c>
      <c r="AZ446">
        <v>42278.64</v>
      </c>
      <c r="BC446">
        <v>102.181</v>
      </c>
      <c r="BD446" t="s">
        <v>112</v>
      </c>
      <c r="BE446" t="s">
        <v>112</v>
      </c>
      <c r="BF446" t="s">
        <v>112</v>
      </c>
      <c r="BG446" t="s">
        <v>133</v>
      </c>
      <c r="BH446" t="s">
        <v>134</v>
      </c>
      <c r="BI446" t="s">
        <v>112</v>
      </c>
      <c r="BJ446" t="s">
        <v>112</v>
      </c>
      <c r="BK446" t="s">
        <v>112</v>
      </c>
      <c r="BL446" t="s">
        <v>112</v>
      </c>
      <c r="BM446" t="s">
        <v>112</v>
      </c>
      <c r="BN446" t="s">
        <v>112</v>
      </c>
      <c r="BO446" t="s">
        <v>161</v>
      </c>
      <c r="BQ446" t="s">
        <v>232</v>
      </c>
      <c r="BR446" s="45">
        <f>ISNUMBER(SEARCH($BR$1,Таблица1[[#This Row],[31_1 Описание и характеристика товара]]))*1</f>
        <v>1</v>
      </c>
      <c r="BT446" t="s">
        <v>150</v>
      </c>
      <c r="BU446">
        <v>33</v>
      </c>
      <c r="BV446">
        <v>0</v>
      </c>
      <c r="BW446">
        <v>0</v>
      </c>
      <c r="CA446" t="s">
        <v>106</v>
      </c>
      <c r="CB446" t="s">
        <v>142</v>
      </c>
      <c r="CC446" t="s">
        <v>112</v>
      </c>
      <c r="CD446" t="s">
        <v>112</v>
      </c>
      <c r="CE446" t="s">
        <v>121</v>
      </c>
      <c r="CF446">
        <v>16665.29</v>
      </c>
      <c r="CG446" t="s">
        <v>144</v>
      </c>
      <c r="CH446">
        <v>4000000</v>
      </c>
      <c r="CI446">
        <v>16577.689999999999</v>
      </c>
      <c r="CJ446">
        <v>0</v>
      </c>
      <c r="CK446" t="s">
        <v>112</v>
      </c>
      <c r="CL446" t="s">
        <v>112</v>
      </c>
      <c r="CM446">
        <v>42278.64</v>
      </c>
      <c r="CO446">
        <v>0</v>
      </c>
      <c r="CP446">
        <v>1</v>
      </c>
      <c r="CQ446">
        <v>4742081.24</v>
      </c>
      <c r="CR446">
        <v>50584.36</v>
      </c>
      <c r="CS446" t="s">
        <v>145</v>
      </c>
      <c r="CT446">
        <v>50561.954499999993</v>
      </c>
      <c r="CU446">
        <v>3.05</v>
      </c>
      <c r="CY446">
        <v>319</v>
      </c>
    </row>
    <row r="447" spans="1:103" x14ac:dyDescent="0.25">
      <c r="A447" t="s">
        <v>106</v>
      </c>
      <c r="B447" s="38">
        <v>44953</v>
      </c>
      <c r="C447" s="43">
        <f>IF(YEAR(Таблица1[[#This Row],[Дата]])=2023,MONTH(Таблица1[[#This Row],[Дата]]),0)</f>
        <v>1</v>
      </c>
      <c r="D447" t="s">
        <v>1754</v>
      </c>
      <c r="E447" t="s">
        <v>108</v>
      </c>
      <c r="F447" t="s">
        <v>1755</v>
      </c>
      <c r="G447" t="s">
        <v>110</v>
      </c>
      <c r="H447" t="s">
        <v>111</v>
      </c>
      <c r="I447" t="s">
        <v>112</v>
      </c>
      <c r="J447" t="s">
        <v>112</v>
      </c>
      <c r="K447" t="s">
        <v>112</v>
      </c>
      <c r="L447" t="s">
        <v>150</v>
      </c>
      <c r="M447" t="s">
        <v>151</v>
      </c>
      <c r="N447" t="s">
        <v>112</v>
      </c>
      <c r="O447" t="s">
        <v>112</v>
      </c>
      <c r="R447">
        <v>1</v>
      </c>
      <c r="S447">
        <v>33</v>
      </c>
      <c r="T447" t="s">
        <v>166</v>
      </c>
      <c r="U447" t="s">
        <v>152</v>
      </c>
      <c r="V447" t="s">
        <v>153</v>
      </c>
      <c r="W447" t="s">
        <v>154</v>
      </c>
      <c r="X447" t="s">
        <v>119</v>
      </c>
      <c r="Y447" t="s">
        <v>112</v>
      </c>
      <c r="Z447" t="s">
        <v>166</v>
      </c>
      <c r="AA447" t="s">
        <v>152</v>
      </c>
      <c r="AB447" t="s">
        <v>153</v>
      </c>
      <c r="AC447" t="s">
        <v>154</v>
      </c>
      <c r="AD447" t="s">
        <v>119</v>
      </c>
      <c r="AE447" t="s">
        <v>112</v>
      </c>
      <c r="AF447" t="s">
        <v>121</v>
      </c>
      <c r="AG447" t="s">
        <v>122</v>
      </c>
      <c r="AH447">
        <v>4733117.93</v>
      </c>
      <c r="AI447" t="s">
        <v>166</v>
      </c>
      <c r="AJ447" t="s">
        <v>152</v>
      </c>
      <c r="AK447" t="s">
        <v>153</v>
      </c>
      <c r="AL447" t="s">
        <v>154</v>
      </c>
      <c r="AM447" t="s">
        <v>119</v>
      </c>
      <c r="AN447" t="s">
        <v>112</v>
      </c>
      <c r="AO447" t="s">
        <v>121</v>
      </c>
      <c r="AP447" t="s">
        <v>122</v>
      </c>
      <c r="AQ447" t="s">
        <v>122</v>
      </c>
      <c r="AR447" t="s">
        <v>124</v>
      </c>
      <c r="AS447" t="s">
        <v>125</v>
      </c>
      <c r="AU447" t="s">
        <v>126</v>
      </c>
      <c r="AV447" t="s">
        <v>155</v>
      </c>
      <c r="AW447" t="s">
        <v>156</v>
      </c>
      <c r="AY447" t="s">
        <v>129</v>
      </c>
      <c r="AZ447">
        <v>42190.92</v>
      </c>
      <c r="BC447">
        <v>102.181</v>
      </c>
      <c r="BD447" t="s">
        <v>112</v>
      </c>
      <c r="BE447" t="s">
        <v>112</v>
      </c>
      <c r="BF447" t="s">
        <v>112</v>
      </c>
      <c r="BG447" t="s">
        <v>133</v>
      </c>
      <c r="BH447" t="s">
        <v>134</v>
      </c>
      <c r="BI447" t="s">
        <v>112</v>
      </c>
      <c r="BJ447" t="s">
        <v>112</v>
      </c>
      <c r="BK447" t="s">
        <v>112</v>
      </c>
      <c r="BL447" t="s">
        <v>112</v>
      </c>
      <c r="BM447" t="s">
        <v>112</v>
      </c>
      <c r="BN447" t="s">
        <v>112</v>
      </c>
      <c r="BO447" t="s">
        <v>161</v>
      </c>
      <c r="BQ447" t="s">
        <v>232</v>
      </c>
      <c r="BR447" s="45">
        <f>ISNUMBER(SEARCH($BR$1,Таблица1[[#This Row],[31_1 Описание и характеристика товара]]))*1</f>
        <v>1</v>
      </c>
      <c r="BT447" t="s">
        <v>150</v>
      </c>
      <c r="BU447">
        <v>33</v>
      </c>
      <c r="BV447">
        <v>0</v>
      </c>
      <c r="BW447">
        <v>0</v>
      </c>
      <c r="CA447" t="s">
        <v>106</v>
      </c>
      <c r="CB447" t="s">
        <v>142</v>
      </c>
      <c r="CC447" t="s">
        <v>112</v>
      </c>
      <c r="CD447" t="s">
        <v>112</v>
      </c>
      <c r="CE447" t="s">
        <v>121</v>
      </c>
      <c r="CF447">
        <v>16726.919999999998</v>
      </c>
      <c r="CG447" t="s">
        <v>144</v>
      </c>
      <c r="CH447">
        <v>4000000</v>
      </c>
      <c r="CI447">
        <v>16636.919999999998</v>
      </c>
      <c r="CJ447">
        <v>0</v>
      </c>
      <c r="CK447" t="s">
        <v>112</v>
      </c>
      <c r="CL447" t="s">
        <v>112</v>
      </c>
      <c r="CM447">
        <v>42190.92</v>
      </c>
      <c r="CO447">
        <v>0</v>
      </c>
      <c r="CP447">
        <v>1</v>
      </c>
      <c r="CQ447">
        <v>4733117.93</v>
      </c>
      <c r="CR447">
        <v>50488.75</v>
      </c>
      <c r="CS447" t="s">
        <v>145</v>
      </c>
      <c r="CT447">
        <v>50409.86759999999</v>
      </c>
      <c r="CU447">
        <v>3.03</v>
      </c>
      <c r="CY447">
        <v>300</v>
      </c>
    </row>
    <row r="448" spans="1:103" x14ac:dyDescent="0.25">
      <c r="A448" t="s">
        <v>106</v>
      </c>
      <c r="B448" s="38">
        <v>45263</v>
      </c>
      <c r="C448" s="43">
        <f>IF(YEAR(Таблица1[[#This Row],[Дата]])=2023,MONTH(Таблица1[[#This Row],[Дата]]),0)</f>
        <v>12</v>
      </c>
      <c r="D448" t="s">
        <v>1510</v>
      </c>
      <c r="E448" t="s">
        <v>108</v>
      </c>
      <c r="F448" t="s">
        <v>1511</v>
      </c>
      <c r="G448" t="s">
        <v>110</v>
      </c>
      <c r="H448" t="s">
        <v>111</v>
      </c>
      <c r="I448" t="s">
        <v>112</v>
      </c>
      <c r="J448" t="s">
        <v>112</v>
      </c>
      <c r="K448" t="s">
        <v>112</v>
      </c>
      <c r="L448" t="s">
        <v>150</v>
      </c>
      <c r="M448" t="s">
        <v>1060</v>
      </c>
      <c r="N448" t="s">
        <v>112</v>
      </c>
      <c r="O448" t="s">
        <v>112</v>
      </c>
      <c r="P448">
        <v>1</v>
      </c>
      <c r="Q448">
        <v>0</v>
      </c>
      <c r="R448">
        <v>1</v>
      </c>
      <c r="S448">
        <v>33</v>
      </c>
      <c r="T448" t="s">
        <v>166</v>
      </c>
      <c r="U448" t="s">
        <v>152</v>
      </c>
      <c r="V448" t="s">
        <v>153</v>
      </c>
      <c r="W448" t="s">
        <v>154</v>
      </c>
      <c r="X448" t="s">
        <v>119</v>
      </c>
      <c r="Y448" t="s">
        <v>112</v>
      </c>
      <c r="Z448" t="s">
        <v>166</v>
      </c>
      <c r="AA448" t="s">
        <v>152</v>
      </c>
      <c r="AB448" t="s">
        <v>153</v>
      </c>
      <c r="AC448" t="s">
        <v>154</v>
      </c>
      <c r="AD448" t="s">
        <v>119</v>
      </c>
      <c r="AE448" t="s">
        <v>112</v>
      </c>
      <c r="AF448" t="s">
        <v>121</v>
      </c>
      <c r="AG448" t="s">
        <v>122</v>
      </c>
      <c r="AH448">
        <v>4905721.51</v>
      </c>
      <c r="AI448" t="s">
        <v>166</v>
      </c>
      <c r="AJ448" t="s">
        <v>152</v>
      </c>
      <c r="AK448" t="s">
        <v>153</v>
      </c>
      <c r="AL448" t="s">
        <v>154</v>
      </c>
      <c r="AM448" t="s">
        <v>119</v>
      </c>
      <c r="AN448" t="s">
        <v>112</v>
      </c>
      <c r="AO448" t="s">
        <v>121</v>
      </c>
      <c r="AP448" t="s">
        <v>122</v>
      </c>
      <c r="AQ448" t="s">
        <v>122</v>
      </c>
      <c r="AR448" t="s">
        <v>124</v>
      </c>
      <c r="AS448" t="s">
        <v>125</v>
      </c>
      <c r="AT448">
        <v>2</v>
      </c>
      <c r="AU448" t="s">
        <v>126</v>
      </c>
      <c r="AV448" t="s">
        <v>155</v>
      </c>
      <c r="AW448" t="s">
        <v>156</v>
      </c>
      <c r="AX448">
        <v>1</v>
      </c>
      <c r="AY448" t="s">
        <v>129</v>
      </c>
      <c r="AZ448">
        <v>43431.1</v>
      </c>
      <c r="BA448">
        <v>4414754</v>
      </c>
      <c r="BB448">
        <v>54253.81</v>
      </c>
      <c r="BC448">
        <v>101.64960000000001</v>
      </c>
      <c r="BD448" t="s">
        <v>130</v>
      </c>
      <c r="BE448" t="s">
        <v>112</v>
      </c>
      <c r="BF448" t="s">
        <v>157</v>
      </c>
      <c r="BG448" t="s">
        <v>133</v>
      </c>
      <c r="BH448" t="s">
        <v>134</v>
      </c>
      <c r="BI448" t="s">
        <v>112</v>
      </c>
      <c r="BJ448" t="s">
        <v>112</v>
      </c>
      <c r="BK448" t="s">
        <v>112</v>
      </c>
      <c r="BL448" t="s">
        <v>169</v>
      </c>
      <c r="BM448" t="s">
        <v>159</v>
      </c>
      <c r="BN448" t="s">
        <v>722</v>
      </c>
      <c r="BO448" t="s">
        <v>161</v>
      </c>
      <c r="BP448">
        <v>1</v>
      </c>
      <c r="BQ448" t="s">
        <v>205</v>
      </c>
      <c r="BR448" s="45">
        <f>ISNUMBER(SEARCH($BR$1,Таблица1[[#This Row],[31_1 Описание и характеристика товара]]))*1</f>
        <v>1</v>
      </c>
      <c r="BT448" t="s">
        <v>150</v>
      </c>
      <c r="BU448">
        <v>33</v>
      </c>
      <c r="BV448">
        <v>0</v>
      </c>
      <c r="BW448">
        <v>0</v>
      </c>
      <c r="BY448">
        <v>0</v>
      </c>
      <c r="CA448" t="s">
        <v>106</v>
      </c>
      <c r="CB448" t="s">
        <v>142</v>
      </c>
      <c r="CC448" t="s">
        <v>112</v>
      </c>
      <c r="CD448" t="s">
        <v>112</v>
      </c>
      <c r="CE448" t="s">
        <v>121</v>
      </c>
      <c r="CF448">
        <v>15404.21</v>
      </c>
      <c r="CG448" t="s">
        <v>144</v>
      </c>
      <c r="CH448">
        <v>4000000</v>
      </c>
      <c r="CI448">
        <v>15285.41</v>
      </c>
      <c r="CJ448">
        <v>0</v>
      </c>
      <c r="CK448" t="s">
        <v>112</v>
      </c>
      <c r="CL448" t="s">
        <v>112</v>
      </c>
      <c r="CM448">
        <v>43431.1</v>
      </c>
      <c r="CN448">
        <v>4414754</v>
      </c>
      <c r="CO448">
        <v>0</v>
      </c>
      <c r="CP448">
        <v>1</v>
      </c>
      <c r="CQ448">
        <v>4905721.51</v>
      </c>
      <c r="CR448">
        <v>54253.81</v>
      </c>
      <c r="CS448" t="s">
        <v>145</v>
      </c>
      <c r="CT448">
        <v>54263.205499999996</v>
      </c>
      <c r="CU448">
        <v>3.55</v>
      </c>
      <c r="CV448">
        <v>45</v>
      </c>
      <c r="CW448" t="s">
        <v>171</v>
      </c>
      <c r="CX448" t="s">
        <v>369</v>
      </c>
      <c r="CY448">
        <v>172</v>
      </c>
    </row>
    <row r="449" spans="1:103" x14ac:dyDescent="0.25">
      <c r="A449" t="s">
        <v>106</v>
      </c>
      <c r="B449" s="38">
        <v>45183</v>
      </c>
      <c r="C449" s="43">
        <f>IF(YEAR(Таблица1[[#This Row],[Дата]])=2023,MONTH(Таблица1[[#This Row],[Дата]]),0)</f>
        <v>9</v>
      </c>
      <c r="D449" t="s">
        <v>1187</v>
      </c>
      <c r="E449" t="s">
        <v>108</v>
      </c>
      <c r="F449" t="s">
        <v>1188</v>
      </c>
      <c r="G449" t="s">
        <v>110</v>
      </c>
      <c r="H449" t="s">
        <v>111</v>
      </c>
      <c r="I449" t="s">
        <v>112</v>
      </c>
      <c r="J449" t="s">
        <v>112</v>
      </c>
      <c r="K449" t="s">
        <v>112</v>
      </c>
      <c r="L449" t="s">
        <v>150</v>
      </c>
      <c r="M449" t="s">
        <v>1176</v>
      </c>
      <c r="N449" t="s">
        <v>112</v>
      </c>
      <c r="O449" t="s">
        <v>112</v>
      </c>
      <c r="P449">
        <v>1</v>
      </c>
      <c r="Q449">
        <v>0</v>
      </c>
      <c r="R449">
        <v>1</v>
      </c>
      <c r="S449">
        <v>33</v>
      </c>
      <c r="T449" t="s">
        <v>166</v>
      </c>
      <c r="U449" t="s">
        <v>152</v>
      </c>
      <c r="V449" t="s">
        <v>153</v>
      </c>
      <c r="W449" t="s">
        <v>154</v>
      </c>
      <c r="X449" t="s">
        <v>119</v>
      </c>
      <c r="Y449" t="s">
        <v>112</v>
      </c>
      <c r="Z449" t="s">
        <v>166</v>
      </c>
      <c r="AA449" t="s">
        <v>152</v>
      </c>
      <c r="AB449" t="s">
        <v>153</v>
      </c>
      <c r="AC449" t="s">
        <v>154</v>
      </c>
      <c r="AD449" t="s">
        <v>119</v>
      </c>
      <c r="AE449" t="s">
        <v>112</v>
      </c>
      <c r="AF449" t="s">
        <v>121</v>
      </c>
      <c r="AG449" t="s">
        <v>122</v>
      </c>
      <c r="AH449">
        <v>4465685.8600000003</v>
      </c>
      <c r="AI449" t="s">
        <v>166</v>
      </c>
      <c r="AJ449" t="s">
        <v>152</v>
      </c>
      <c r="AK449" t="s">
        <v>153</v>
      </c>
      <c r="AL449" t="s">
        <v>154</v>
      </c>
      <c r="AM449" t="s">
        <v>119</v>
      </c>
      <c r="AN449" t="s">
        <v>112</v>
      </c>
      <c r="AO449" t="s">
        <v>121</v>
      </c>
      <c r="AP449" t="s">
        <v>122</v>
      </c>
      <c r="AQ449" t="s">
        <v>122</v>
      </c>
      <c r="AR449" t="s">
        <v>124</v>
      </c>
      <c r="AS449" t="s">
        <v>125</v>
      </c>
      <c r="AT449">
        <v>2</v>
      </c>
      <c r="AU449" t="s">
        <v>126</v>
      </c>
      <c r="AV449" t="s">
        <v>155</v>
      </c>
      <c r="AW449" t="s">
        <v>156</v>
      </c>
      <c r="AX449">
        <v>1</v>
      </c>
      <c r="AY449" t="s">
        <v>129</v>
      </c>
      <c r="AZ449">
        <v>46862.76</v>
      </c>
      <c r="BA449">
        <v>4104002</v>
      </c>
      <c r="BB449">
        <v>55292.89</v>
      </c>
      <c r="BC449">
        <v>87.5749</v>
      </c>
      <c r="BD449" t="s">
        <v>130</v>
      </c>
      <c r="BE449" t="s">
        <v>112</v>
      </c>
      <c r="BF449" t="s">
        <v>157</v>
      </c>
      <c r="BG449" t="s">
        <v>133</v>
      </c>
      <c r="BH449" t="s">
        <v>134</v>
      </c>
      <c r="BI449" t="s">
        <v>112</v>
      </c>
      <c r="BJ449" t="s">
        <v>112</v>
      </c>
      <c r="BK449" t="s">
        <v>112</v>
      </c>
      <c r="BL449" t="s">
        <v>169</v>
      </c>
      <c r="BM449" t="s">
        <v>159</v>
      </c>
      <c r="BN449" t="s">
        <v>722</v>
      </c>
      <c r="BO449" t="s">
        <v>161</v>
      </c>
      <c r="BP449">
        <v>1</v>
      </c>
      <c r="BQ449" t="s">
        <v>232</v>
      </c>
      <c r="BR449" s="45">
        <f>ISNUMBER(SEARCH($BR$1,Таблица1[[#This Row],[31_1 Описание и характеристика товара]]))*1</f>
        <v>1</v>
      </c>
      <c r="BT449" t="s">
        <v>150</v>
      </c>
      <c r="BU449">
        <v>33</v>
      </c>
      <c r="BV449">
        <v>0</v>
      </c>
      <c r="BW449">
        <v>0</v>
      </c>
      <c r="BY449">
        <v>0</v>
      </c>
      <c r="CA449" t="s">
        <v>106</v>
      </c>
      <c r="CB449" t="s">
        <v>142</v>
      </c>
      <c r="CC449" t="s">
        <v>112</v>
      </c>
      <c r="CD449" t="s">
        <v>112</v>
      </c>
      <c r="CE449" t="s">
        <v>121</v>
      </c>
      <c r="CF449">
        <v>16680.03</v>
      </c>
      <c r="CG449" t="s">
        <v>144</v>
      </c>
      <c r="CH449">
        <v>4000000</v>
      </c>
      <c r="CI449">
        <v>16680.03</v>
      </c>
      <c r="CJ449">
        <v>0</v>
      </c>
      <c r="CK449" t="s">
        <v>112</v>
      </c>
      <c r="CL449" t="s">
        <v>112</v>
      </c>
      <c r="CM449">
        <v>46862.76</v>
      </c>
      <c r="CN449">
        <v>4104002</v>
      </c>
      <c r="CO449">
        <v>0</v>
      </c>
      <c r="CP449">
        <v>1</v>
      </c>
      <c r="CQ449">
        <v>4465685.8600000003</v>
      </c>
      <c r="CR449">
        <v>55292.89</v>
      </c>
      <c r="CS449" t="s">
        <v>145</v>
      </c>
      <c r="CT449">
        <v>55292.631447</v>
      </c>
      <c r="CU449">
        <v>3.3149000000000002</v>
      </c>
      <c r="CV449">
        <v>45</v>
      </c>
      <c r="CW449" t="s">
        <v>171</v>
      </c>
      <c r="CX449" t="s">
        <v>372</v>
      </c>
      <c r="CY449">
        <v>249</v>
      </c>
    </row>
    <row r="450" spans="1:103" x14ac:dyDescent="0.25">
      <c r="A450" t="s">
        <v>106</v>
      </c>
      <c r="B450" s="38">
        <v>45105</v>
      </c>
      <c r="C450" s="43">
        <f>IF(YEAR(Таблица1[[#This Row],[Дата]])=2023,MONTH(Таблица1[[#This Row],[Дата]]),0)</f>
        <v>6</v>
      </c>
      <c r="D450" t="s">
        <v>1183</v>
      </c>
      <c r="E450" t="s">
        <v>108</v>
      </c>
      <c r="F450" t="s">
        <v>1184</v>
      </c>
      <c r="G450" t="s">
        <v>110</v>
      </c>
      <c r="H450" t="s">
        <v>111</v>
      </c>
      <c r="I450" t="s">
        <v>112</v>
      </c>
      <c r="J450" t="s">
        <v>112</v>
      </c>
      <c r="K450" t="s">
        <v>112</v>
      </c>
      <c r="L450" t="s">
        <v>150</v>
      </c>
      <c r="M450" t="s">
        <v>1176</v>
      </c>
      <c r="N450" t="s">
        <v>112</v>
      </c>
      <c r="O450" t="s">
        <v>112</v>
      </c>
      <c r="P450">
        <v>1</v>
      </c>
      <c r="Q450">
        <v>0</v>
      </c>
      <c r="R450">
        <v>1</v>
      </c>
      <c r="S450">
        <v>38</v>
      </c>
      <c r="T450" t="s">
        <v>166</v>
      </c>
      <c r="U450" t="s">
        <v>152</v>
      </c>
      <c r="V450" t="s">
        <v>153</v>
      </c>
      <c r="W450" t="s">
        <v>154</v>
      </c>
      <c r="X450" t="s">
        <v>119</v>
      </c>
      <c r="Y450" t="s">
        <v>112</v>
      </c>
      <c r="Z450" t="s">
        <v>166</v>
      </c>
      <c r="AA450" t="s">
        <v>152</v>
      </c>
      <c r="AB450" t="s">
        <v>153</v>
      </c>
      <c r="AC450" t="s">
        <v>154</v>
      </c>
      <c r="AD450" t="s">
        <v>119</v>
      </c>
      <c r="AE450" t="s">
        <v>112</v>
      </c>
      <c r="AF450" t="s">
        <v>121</v>
      </c>
      <c r="AG450" t="s">
        <v>122</v>
      </c>
      <c r="AH450">
        <v>4308772.66</v>
      </c>
      <c r="AI450" t="s">
        <v>166</v>
      </c>
      <c r="AJ450" t="s">
        <v>152</v>
      </c>
      <c r="AK450" t="s">
        <v>153</v>
      </c>
      <c r="AL450" t="s">
        <v>154</v>
      </c>
      <c r="AM450" t="s">
        <v>119</v>
      </c>
      <c r="AN450" t="s">
        <v>112</v>
      </c>
      <c r="AO450" t="s">
        <v>121</v>
      </c>
      <c r="AP450" t="s">
        <v>122</v>
      </c>
      <c r="AQ450" t="s">
        <v>122</v>
      </c>
      <c r="AR450" t="s">
        <v>124</v>
      </c>
      <c r="AS450" t="s">
        <v>125</v>
      </c>
      <c r="AT450">
        <v>2</v>
      </c>
      <c r="AU450" t="s">
        <v>126</v>
      </c>
      <c r="AV450" t="s">
        <v>155</v>
      </c>
      <c r="AW450" t="s">
        <v>156</v>
      </c>
      <c r="AX450">
        <v>1</v>
      </c>
      <c r="AY450" t="s">
        <v>129</v>
      </c>
      <c r="AZ450">
        <v>45071</v>
      </c>
      <c r="BA450">
        <v>3947088</v>
      </c>
      <c r="BB450">
        <v>53350.03</v>
      </c>
      <c r="BC450">
        <v>87.5749</v>
      </c>
      <c r="BD450" t="s">
        <v>130</v>
      </c>
      <c r="BE450" t="s">
        <v>112</v>
      </c>
      <c r="BF450" t="s">
        <v>157</v>
      </c>
      <c r="BG450" t="s">
        <v>133</v>
      </c>
      <c r="BH450" t="s">
        <v>134</v>
      </c>
      <c r="BI450" t="s">
        <v>112</v>
      </c>
      <c r="BJ450" t="s">
        <v>112</v>
      </c>
      <c r="BK450" t="s">
        <v>112</v>
      </c>
      <c r="BL450" t="s">
        <v>169</v>
      </c>
      <c r="BM450" t="s">
        <v>159</v>
      </c>
      <c r="BN450" t="s">
        <v>722</v>
      </c>
      <c r="BO450" t="s">
        <v>161</v>
      </c>
      <c r="BP450">
        <v>1</v>
      </c>
      <c r="BQ450" t="s">
        <v>205</v>
      </c>
      <c r="BR450" s="45">
        <f>ISNUMBER(SEARCH($BR$1,Таблица1[[#This Row],[31_1 Описание и характеристика товара]]))*1</f>
        <v>1</v>
      </c>
      <c r="BT450" t="s">
        <v>150</v>
      </c>
      <c r="BU450">
        <v>38</v>
      </c>
      <c r="BV450">
        <v>0</v>
      </c>
      <c r="BW450">
        <v>0</v>
      </c>
      <c r="BY450">
        <v>0</v>
      </c>
      <c r="CA450" t="s">
        <v>106</v>
      </c>
      <c r="CB450" t="s">
        <v>142</v>
      </c>
      <c r="CC450" t="s">
        <v>112</v>
      </c>
      <c r="CD450" t="s">
        <v>112</v>
      </c>
      <c r="CE450" t="s">
        <v>121</v>
      </c>
      <c r="CF450">
        <v>18268.8</v>
      </c>
      <c r="CG450" t="s">
        <v>144</v>
      </c>
      <c r="CH450">
        <v>4000000</v>
      </c>
      <c r="CI450">
        <v>17998.8</v>
      </c>
      <c r="CJ450">
        <v>0</v>
      </c>
      <c r="CK450" t="s">
        <v>112</v>
      </c>
      <c r="CL450" t="s">
        <v>112</v>
      </c>
      <c r="CM450">
        <v>45071</v>
      </c>
      <c r="CN450">
        <v>3947088</v>
      </c>
      <c r="CO450">
        <v>0</v>
      </c>
      <c r="CP450">
        <v>1</v>
      </c>
      <c r="CQ450">
        <v>4308772.66</v>
      </c>
      <c r="CR450">
        <v>53350.03</v>
      </c>
      <c r="CS450" t="s">
        <v>145</v>
      </c>
      <c r="CT450">
        <v>53350.24308</v>
      </c>
      <c r="CU450">
        <v>2.9641000000000002</v>
      </c>
      <c r="CV450">
        <v>45</v>
      </c>
      <c r="CW450" t="s">
        <v>171</v>
      </c>
      <c r="CX450" t="s">
        <v>172</v>
      </c>
      <c r="CY450">
        <v>70</v>
      </c>
    </row>
    <row r="451" spans="1:103" x14ac:dyDescent="0.25">
      <c r="A451" t="s">
        <v>106</v>
      </c>
      <c r="B451" s="38">
        <v>45007</v>
      </c>
      <c r="C451" s="43">
        <f>IF(YEAR(Таблица1[[#This Row],[Дата]])=2023,MONTH(Таблица1[[#This Row],[Дата]]),0)</f>
        <v>3</v>
      </c>
      <c r="D451" t="s">
        <v>1189</v>
      </c>
      <c r="E451" t="s">
        <v>108</v>
      </c>
      <c r="F451" t="s">
        <v>1190</v>
      </c>
      <c r="G451" t="s">
        <v>110</v>
      </c>
      <c r="H451" t="s">
        <v>111</v>
      </c>
      <c r="I451" t="s">
        <v>112</v>
      </c>
      <c r="J451" t="s">
        <v>112</v>
      </c>
      <c r="K451" t="s">
        <v>112</v>
      </c>
      <c r="L451" t="s">
        <v>150</v>
      </c>
      <c r="M451" t="s">
        <v>1176</v>
      </c>
      <c r="N451" t="s">
        <v>112</v>
      </c>
      <c r="O451" t="s">
        <v>112</v>
      </c>
      <c r="P451">
        <v>1</v>
      </c>
      <c r="Q451">
        <v>0</v>
      </c>
      <c r="R451">
        <v>1</v>
      </c>
      <c r="S451">
        <v>33</v>
      </c>
      <c r="T451" t="s">
        <v>166</v>
      </c>
      <c r="U451" t="s">
        <v>152</v>
      </c>
      <c r="V451" t="s">
        <v>153</v>
      </c>
      <c r="W451" t="s">
        <v>154</v>
      </c>
      <c r="X451" t="s">
        <v>119</v>
      </c>
      <c r="Y451" t="s">
        <v>112</v>
      </c>
      <c r="Z451" t="s">
        <v>166</v>
      </c>
      <c r="AA451" t="s">
        <v>152</v>
      </c>
      <c r="AB451" t="s">
        <v>153</v>
      </c>
      <c r="AC451" t="s">
        <v>154</v>
      </c>
      <c r="AD451" t="s">
        <v>119</v>
      </c>
      <c r="AE451" t="s">
        <v>112</v>
      </c>
      <c r="AF451" t="s">
        <v>121</v>
      </c>
      <c r="AG451" t="s">
        <v>122</v>
      </c>
      <c r="AH451">
        <v>3786878.8</v>
      </c>
      <c r="AI451" t="s">
        <v>166</v>
      </c>
      <c r="AJ451" t="s">
        <v>152</v>
      </c>
      <c r="AK451" t="s">
        <v>153</v>
      </c>
      <c r="AL451" t="s">
        <v>154</v>
      </c>
      <c r="AM451" t="s">
        <v>119</v>
      </c>
      <c r="AN451" t="s">
        <v>112</v>
      </c>
      <c r="AO451" t="s">
        <v>121</v>
      </c>
      <c r="AP451" t="s">
        <v>122</v>
      </c>
      <c r="AQ451" t="s">
        <v>122</v>
      </c>
      <c r="AR451" t="s">
        <v>124</v>
      </c>
      <c r="AS451" t="s">
        <v>125</v>
      </c>
      <c r="AT451">
        <v>2</v>
      </c>
      <c r="AU451" t="s">
        <v>126</v>
      </c>
      <c r="AV451" t="s">
        <v>155</v>
      </c>
      <c r="AW451" t="s">
        <v>156</v>
      </c>
      <c r="AX451">
        <v>1</v>
      </c>
      <c r="AY451" t="s">
        <v>129</v>
      </c>
      <c r="AZ451">
        <v>39111.599999999999</v>
      </c>
      <c r="BA451">
        <v>3425194</v>
      </c>
      <c r="BB451">
        <v>46888.09</v>
      </c>
      <c r="BC451">
        <v>87.5749</v>
      </c>
      <c r="BD451" t="s">
        <v>130</v>
      </c>
      <c r="BE451" t="s">
        <v>112</v>
      </c>
      <c r="BF451" t="s">
        <v>157</v>
      </c>
      <c r="BG451" t="s">
        <v>133</v>
      </c>
      <c r="BH451" t="s">
        <v>134</v>
      </c>
      <c r="BI451" t="s">
        <v>112</v>
      </c>
      <c r="BJ451" t="s">
        <v>112</v>
      </c>
      <c r="BK451" t="s">
        <v>112</v>
      </c>
      <c r="BL451" t="s">
        <v>169</v>
      </c>
      <c r="BM451" t="s">
        <v>159</v>
      </c>
      <c r="BN451" t="s">
        <v>722</v>
      </c>
      <c r="BO451" t="s">
        <v>161</v>
      </c>
      <c r="BP451">
        <v>1</v>
      </c>
      <c r="BQ451" t="s">
        <v>232</v>
      </c>
      <c r="BR451" s="45">
        <f>ISNUMBER(SEARCH($BR$1,Таблица1[[#This Row],[31_1 Описание и характеристика товара]]))*1</f>
        <v>1</v>
      </c>
      <c r="BT451" t="s">
        <v>150</v>
      </c>
      <c r="BU451">
        <v>33</v>
      </c>
      <c r="BV451">
        <v>0</v>
      </c>
      <c r="BW451">
        <v>0</v>
      </c>
      <c r="BY451">
        <v>0</v>
      </c>
      <c r="CA451" t="s">
        <v>106</v>
      </c>
      <c r="CB451" t="s">
        <v>142</v>
      </c>
      <c r="CC451" t="s">
        <v>112</v>
      </c>
      <c r="CD451" t="s">
        <v>112</v>
      </c>
      <c r="CE451" t="s">
        <v>121</v>
      </c>
      <c r="CF451">
        <v>16990.41</v>
      </c>
      <c r="CG451" t="s">
        <v>144</v>
      </c>
      <c r="CH451">
        <v>4000000</v>
      </c>
      <c r="CI451">
        <v>16990.41</v>
      </c>
      <c r="CJ451">
        <v>0</v>
      </c>
      <c r="CK451" t="s">
        <v>112</v>
      </c>
      <c r="CL451" t="s">
        <v>112</v>
      </c>
      <c r="CM451">
        <v>39111.599999999999</v>
      </c>
      <c r="CN451">
        <v>3425194</v>
      </c>
      <c r="CO451">
        <v>0</v>
      </c>
      <c r="CP451">
        <v>1</v>
      </c>
      <c r="CQ451">
        <v>3786878.8</v>
      </c>
      <c r="CR451">
        <v>46888.09</v>
      </c>
      <c r="CS451" t="s">
        <v>145</v>
      </c>
      <c r="CT451">
        <v>46888.434477000003</v>
      </c>
      <c r="CU451">
        <v>2.7597</v>
      </c>
      <c r="CV451">
        <v>45</v>
      </c>
      <c r="CW451" t="s">
        <v>171</v>
      </c>
      <c r="CX451" t="s">
        <v>463</v>
      </c>
      <c r="CY451">
        <v>248</v>
      </c>
    </row>
    <row r="452" spans="1:103" x14ac:dyDescent="0.25">
      <c r="A452" t="s">
        <v>106</v>
      </c>
      <c r="B452" s="38">
        <v>44999</v>
      </c>
      <c r="C452" s="43">
        <f>IF(YEAR(Таблица1[[#This Row],[Дата]])=2023,MONTH(Таблица1[[#This Row],[Дата]]),0)</f>
        <v>3</v>
      </c>
      <c r="D452" t="s">
        <v>1071</v>
      </c>
      <c r="E452" t="s">
        <v>108</v>
      </c>
      <c r="F452" t="s">
        <v>1072</v>
      </c>
      <c r="G452" t="s">
        <v>110</v>
      </c>
      <c r="H452" t="s">
        <v>111</v>
      </c>
      <c r="I452" t="s">
        <v>112</v>
      </c>
      <c r="J452" t="s">
        <v>112</v>
      </c>
      <c r="K452" t="s">
        <v>112</v>
      </c>
      <c r="L452" t="s">
        <v>150</v>
      </c>
      <c r="M452" t="s">
        <v>1060</v>
      </c>
      <c r="N452" t="s">
        <v>112</v>
      </c>
      <c r="O452" t="s">
        <v>112</v>
      </c>
      <c r="P452">
        <v>1</v>
      </c>
      <c r="Q452">
        <v>0</v>
      </c>
      <c r="R452">
        <v>1</v>
      </c>
      <c r="S452">
        <v>33</v>
      </c>
      <c r="T452" t="s">
        <v>166</v>
      </c>
      <c r="U452" t="s">
        <v>152</v>
      </c>
      <c r="V452" t="s">
        <v>153</v>
      </c>
      <c r="W452" t="s">
        <v>154</v>
      </c>
      <c r="X452" t="s">
        <v>119</v>
      </c>
      <c r="Y452" t="s">
        <v>112</v>
      </c>
      <c r="Z452" t="s">
        <v>166</v>
      </c>
      <c r="AA452" t="s">
        <v>152</v>
      </c>
      <c r="AB452" t="s">
        <v>153</v>
      </c>
      <c r="AC452" t="s">
        <v>154</v>
      </c>
      <c r="AD452" t="s">
        <v>119</v>
      </c>
      <c r="AE452" t="s">
        <v>112</v>
      </c>
      <c r="AF452" t="s">
        <v>121</v>
      </c>
      <c r="AG452" t="s">
        <v>122</v>
      </c>
      <c r="AH452">
        <v>4342420.28</v>
      </c>
      <c r="AI452" t="s">
        <v>166</v>
      </c>
      <c r="AJ452" t="s">
        <v>152</v>
      </c>
      <c r="AK452" t="s">
        <v>153</v>
      </c>
      <c r="AL452" t="s">
        <v>154</v>
      </c>
      <c r="AM452" t="s">
        <v>119</v>
      </c>
      <c r="AN452" t="s">
        <v>112</v>
      </c>
      <c r="AO452" t="s">
        <v>121</v>
      </c>
      <c r="AP452" t="s">
        <v>122</v>
      </c>
      <c r="AQ452" t="s">
        <v>122</v>
      </c>
      <c r="AR452" t="s">
        <v>124</v>
      </c>
      <c r="AS452" t="s">
        <v>125</v>
      </c>
      <c r="AT452">
        <v>2</v>
      </c>
      <c r="AU452" t="s">
        <v>126</v>
      </c>
      <c r="AV452" t="s">
        <v>155</v>
      </c>
      <c r="AW452" t="s">
        <v>156</v>
      </c>
      <c r="AX452">
        <v>1</v>
      </c>
      <c r="AY452" t="s">
        <v>129</v>
      </c>
      <c r="AZ452">
        <v>43582.62</v>
      </c>
      <c r="BA452">
        <v>3907574</v>
      </c>
      <c r="BB452">
        <v>53197.75</v>
      </c>
      <c r="BC452">
        <v>89.659000000000006</v>
      </c>
      <c r="BD452" t="s">
        <v>130</v>
      </c>
      <c r="BE452" t="s">
        <v>112</v>
      </c>
      <c r="BF452" t="s">
        <v>157</v>
      </c>
      <c r="BG452" t="s">
        <v>133</v>
      </c>
      <c r="BH452" t="s">
        <v>134</v>
      </c>
      <c r="BI452" t="s">
        <v>112</v>
      </c>
      <c r="BJ452" t="s">
        <v>112</v>
      </c>
      <c r="BK452" t="s">
        <v>112</v>
      </c>
      <c r="BL452" t="s">
        <v>169</v>
      </c>
      <c r="BM452" t="s">
        <v>159</v>
      </c>
      <c r="BN452" t="s">
        <v>722</v>
      </c>
      <c r="BO452" t="s">
        <v>161</v>
      </c>
      <c r="BP452">
        <v>1</v>
      </c>
      <c r="BQ452" t="s">
        <v>162</v>
      </c>
      <c r="BR452" s="45">
        <f>ISNUMBER(SEARCH($BR$1,Таблица1[[#This Row],[31_1 Описание и характеристика товара]]))*1</f>
        <v>1</v>
      </c>
      <c r="BT452" t="s">
        <v>150</v>
      </c>
      <c r="BU452">
        <v>33</v>
      </c>
      <c r="BV452">
        <v>0</v>
      </c>
      <c r="BW452">
        <v>0</v>
      </c>
      <c r="BY452">
        <v>0</v>
      </c>
      <c r="CA452" t="s">
        <v>106</v>
      </c>
      <c r="CB452" t="s">
        <v>142</v>
      </c>
      <c r="CC452" t="s">
        <v>112</v>
      </c>
      <c r="CD452" t="s">
        <v>112</v>
      </c>
      <c r="CE452" t="s">
        <v>121</v>
      </c>
      <c r="CF452">
        <v>16544.88</v>
      </c>
      <c r="CG452" t="s">
        <v>144</v>
      </c>
      <c r="CH452">
        <v>4000000</v>
      </c>
      <c r="CI452">
        <v>16544.88</v>
      </c>
      <c r="CJ452">
        <v>0</v>
      </c>
      <c r="CK452" t="s">
        <v>112</v>
      </c>
      <c r="CL452" t="s">
        <v>112</v>
      </c>
      <c r="CM452">
        <v>43582.62</v>
      </c>
      <c r="CN452">
        <v>3907574</v>
      </c>
      <c r="CO452">
        <v>0</v>
      </c>
      <c r="CP452">
        <v>1</v>
      </c>
      <c r="CQ452">
        <v>4342420.28</v>
      </c>
      <c r="CR452">
        <v>53197.75</v>
      </c>
      <c r="CS452" t="s">
        <v>145</v>
      </c>
      <c r="CT452">
        <v>53198.407152</v>
      </c>
      <c r="CU452">
        <v>3.2153999999999998</v>
      </c>
      <c r="CV452">
        <v>45</v>
      </c>
      <c r="CW452" t="s">
        <v>171</v>
      </c>
      <c r="CX452" t="s">
        <v>350</v>
      </c>
      <c r="CY452">
        <v>9</v>
      </c>
    </row>
    <row r="453" spans="1:103" x14ac:dyDescent="0.25">
      <c r="A453" t="s">
        <v>106</v>
      </c>
      <c r="B453" s="38">
        <v>44832</v>
      </c>
      <c r="C453" s="43">
        <f>IF(YEAR(Таблица1[[#This Row],[Дата]])=2023,MONTH(Таблица1[[#This Row],[Дата]]),0)</f>
        <v>0</v>
      </c>
      <c r="D453" t="s">
        <v>268</v>
      </c>
      <c r="E453" t="s">
        <v>108</v>
      </c>
      <c r="F453" t="s">
        <v>269</v>
      </c>
      <c r="G453" t="s">
        <v>110</v>
      </c>
      <c r="H453" t="s">
        <v>111</v>
      </c>
      <c r="I453" t="s">
        <v>112</v>
      </c>
      <c r="J453" t="s">
        <v>112</v>
      </c>
      <c r="K453" t="s">
        <v>112</v>
      </c>
      <c r="L453" t="s">
        <v>113</v>
      </c>
      <c r="M453" t="s">
        <v>114</v>
      </c>
      <c r="N453" t="s">
        <v>112</v>
      </c>
      <c r="O453" t="s">
        <v>112</v>
      </c>
      <c r="P453">
        <v>1</v>
      </c>
      <c r="Q453">
        <v>0</v>
      </c>
      <c r="R453">
        <v>1</v>
      </c>
      <c r="S453">
        <v>33</v>
      </c>
      <c r="T453" t="s">
        <v>115</v>
      </c>
      <c r="U453" t="s">
        <v>116</v>
      </c>
      <c r="V453" t="s">
        <v>117</v>
      </c>
      <c r="W453" t="s">
        <v>118</v>
      </c>
      <c r="X453" t="s">
        <v>119</v>
      </c>
      <c r="Y453" t="s">
        <v>120</v>
      </c>
      <c r="Z453" t="s">
        <v>115</v>
      </c>
      <c r="AA453" t="s">
        <v>116</v>
      </c>
      <c r="AB453" t="s">
        <v>117</v>
      </c>
      <c r="AC453" t="s">
        <v>118</v>
      </c>
      <c r="AD453" t="s">
        <v>119</v>
      </c>
      <c r="AE453" t="s">
        <v>120</v>
      </c>
      <c r="AF453" t="s">
        <v>121</v>
      </c>
      <c r="AG453" t="s">
        <v>122</v>
      </c>
      <c r="AH453">
        <v>3724377.86</v>
      </c>
      <c r="AI453" t="s">
        <v>115</v>
      </c>
      <c r="AJ453" t="s">
        <v>116</v>
      </c>
      <c r="AK453" t="s">
        <v>117</v>
      </c>
      <c r="AL453" t="s">
        <v>118</v>
      </c>
      <c r="AM453" t="s">
        <v>119</v>
      </c>
      <c r="AN453" t="s">
        <v>120</v>
      </c>
      <c r="AO453" t="s">
        <v>121</v>
      </c>
      <c r="AP453" t="s">
        <v>122</v>
      </c>
      <c r="AQ453" t="s">
        <v>123</v>
      </c>
      <c r="AR453" t="s">
        <v>124</v>
      </c>
      <c r="AS453" t="s">
        <v>125</v>
      </c>
      <c r="AT453">
        <v>2</v>
      </c>
      <c r="AU453" t="s">
        <v>126</v>
      </c>
      <c r="AV453" t="s">
        <v>127</v>
      </c>
      <c r="AW453" t="s">
        <v>128</v>
      </c>
      <c r="AX453">
        <v>1</v>
      </c>
      <c r="AY453" t="s">
        <v>129</v>
      </c>
      <c r="AZ453">
        <v>46490.11</v>
      </c>
      <c r="BA453">
        <v>3452569</v>
      </c>
      <c r="BB453">
        <v>54240.3</v>
      </c>
      <c r="BC453">
        <v>74.264600000000002</v>
      </c>
      <c r="BD453" t="s">
        <v>130</v>
      </c>
      <c r="BE453" t="s">
        <v>131</v>
      </c>
      <c r="BF453" t="s">
        <v>132</v>
      </c>
      <c r="BG453" t="s">
        <v>133</v>
      </c>
      <c r="BH453" t="s">
        <v>134</v>
      </c>
      <c r="BI453" t="s">
        <v>112</v>
      </c>
      <c r="BJ453" t="s">
        <v>135</v>
      </c>
      <c r="BK453" t="s">
        <v>112</v>
      </c>
      <c r="BL453" t="s">
        <v>136</v>
      </c>
      <c r="BM453" t="s">
        <v>137</v>
      </c>
      <c r="BN453" t="s">
        <v>138</v>
      </c>
      <c r="BO453" t="s">
        <v>139</v>
      </c>
      <c r="BP453">
        <v>1</v>
      </c>
      <c r="BQ453" t="s">
        <v>267</v>
      </c>
      <c r="BR453" s="45">
        <f>ISNUMBER(SEARCH($BR$1,Таблица1[[#This Row],[31_1 Описание и характеристика товара]]))*1</f>
        <v>1</v>
      </c>
      <c r="BT453" t="s">
        <v>141</v>
      </c>
      <c r="BU453">
        <v>33</v>
      </c>
      <c r="BV453">
        <v>0</v>
      </c>
      <c r="BW453">
        <v>0</v>
      </c>
      <c r="BY453">
        <v>0</v>
      </c>
      <c r="CA453" t="s">
        <v>106</v>
      </c>
      <c r="CB453" t="s">
        <v>142</v>
      </c>
      <c r="CC453" t="s">
        <v>112</v>
      </c>
      <c r="CD453" t="s">
        <v>112</v>
      </c>
      <c r="CE453" t="s">
        <v>143</v>
      </c>
      <c r="CF453">
        <v>15339.52</v>
      </c>
      <c r="CG453" t="s">
        <v>144</v>
      </c>
      <c r="CH453">
        <v>4000000</v>
      </c>
      <c r="CI453">
        <v>15263.8</v>
      </c>
      <c r="CJ453">
        <v>0</v>
      </c>
      <c r="CK453" t="s">
        <v>112</v>
      </c>
      <c r="CL453" t="s">
        <v>112</v>
      </c>
      <c r="CM453">
        <v>46490.11</v>
      </c>
      <c r="CN453">
        <v>3452569</v>
      </c>
      <c r="CO453">
        <v>0</v>
      </c>
      <c r="CP453">
        <v>1</v>
      </c>
      <c r="CQ453">
        <v>3724377.86</v>
      </c>
      <c r="CR453">
        <v>54240.3</v>
      </c>
      <c r="CS453" t="s">
        <v>145</v>
      </c>
      <c r="CT453">
        <v>54239.9133</v>
      </c>
      <c r="CU453">
        <v>3.5535000000000001</v>
      </c>
      <c r="CV453">
        <v>941</v>
      </c>
      <c r="CW453" t="s">
        <v>146</v>
      </c>
      <c r="CX453" t="s">
        <v>147</v>
      </c>
      <c r="CY453">
        <v>152</v>
      </c>
    </row>
    <row r="454" spans="1:103" x14ac:dyDescent="0.25">
      <c r="A454" t="s">
        <v>106</v>
      </c>
      <c r="B454" s="38">
        <v>45093</v>
      </c>
      <c r="C454" s="43">
        <f>IF(YEAR(Таблица1[[#This Row],[Дата]])=2023,MONTH(Таблица1[[#This Row],[Дата]]),0)</f>
        <v>6</v>
      </c>
      <c r="D454" t="s">
        <v>1461</v>
      </c>
      <c r="E454" t="s">
        <v>108</v>
      </c>
      <c r="F454" t="s">
        <v>1462</v>
      </c>
      <c r="G454" t="s">
        <v>110</v>
      </c>
      <c r="H454" t="s">
        <v>111</v>
      </c>
      <c r="I454" t="s">
        <v>112</v>
      </c>
      <c r="J454" t="s">
        <v>112</v>
      </c>
      <c r="K454" t="s">
        <v>112</v>
      </c>
      <c r="L454" t="s">
        <v>150</v>
      </c>
      <c r="M454" t="s">
        <v>151</v>
      </c>
      <c r="N454" t="s">
        <v>112</v>
      </c>
      <c r="O454" t="s">
        <v>112</v>
      </c>
      <c r="P454">
        <v>1</v>
      </c>
      <c r="R454">
        <v>1</v>
      </c>
      <c r="S454">
        <v>33</v>
      </c>
      <c r="T454" t="s">
        <v>112</v>
      </c>
      <c r="U454" t="s">
        <v>152</v>
      </c>
      <c r="V454" t="s">
        <v>153</v>
      </c>
      <c r="W454" t="s">
        <v>154</v>
      </c>
      <c r="X454" t="s">
        <v>119</v>
      </c>
      <c r="Y454" t="s">
        <v>112</v>
      </c>
      <c r="Z454" t="s">
        <v>112</v>
      </c>
      <c r="AA454" t="s">
        <v>152</v>
      </c>
      <c r="AB454" t="s">
        <v>153</v>
      </c>
      <c r="AC454" t="s">
        <v>154</v>
      </c>
      <c r="AD454" t="s">
        <v>119</v>
      </c>
      <c r="AE454" t="s">
        <v>112</v>
      </c>
      <c r="AF454" t="s">
        <v>121</v>
      </c>
      <c r="AG454" t="s">
        <v>122</v>
      </c>
      <c r="AH454">
        <v>4765216.71</v>
      </c>
      <c r="AI454" t="s">
        <v>112</v>
      </c>
      <c r="AJ454" t="s">
        <v>152</v>
      </c>
      <c r="AK454" t="s">
        <v>153</v>
      </c>
      <c r="AL454" t="s">
        <v>154</v>
      </c>
      <c r="AM454" t="s">
        <v>119</v>
      </c>
      <c r="AN454" t="s">
        <v>112</v>
      </c>
      <c r="AO454" t="s">
        <v>121</v>
      </c>
      <c r="AP454" t="s">
        <v>122</v>
      </c>
      <c r="AQ454" t="s">
        <v>122</v>
      </c>
      <c r="AR454" t="s">
        <v>124</v>
      </c>
      <c r="AS454" t="s">
        <v>125</v>
      </c>
      <c r="AT454">
        <v>2</v>
      </c>
      <c r="AU454" t="s">
        <v>126</v>
      </c>
      <c r="AV454" t="s">
        <v>155</v>
      </c>
      <c r="AW454" t="s">
        <v>156</v>
      </c>
      <c r="AY454" t="s">
        <v>129</v>
      </c>
      <c r="AZ454">
        <v>44643.4</v>
      </c>
      <c r="BC454">
        <v>96.592100000000002</v>
      </c>
      <c r="BD454" t="s">
        <v>112</v>
      </c>
      <c r="BE454" t="s">
        <v>112</v>
      </c>
      <c r="BF454" t="s">
        <v>157</v>
      </c>
      <c r="BG454" t="s">
        <v>133</v>
      </c>
      <c r="BH454" t="s">
        <v>167</v>
      </c>
      <c r="BI454" t="s">
        <v>112</v>
      </c>
      <c r="BJ454" t="s">
        <v>112</v>
      </c>
      <c r="BK454" t="s">
        <v>112</v>
      </c>
      <c r="BL454" t="s">
        <v>158</v>
      </c>
      <c r="BM454" t="s">
        <v>159</v>
      </c>
      <c r="BN454" t="s">
        <v>160</v>
      </c>
      <c r="BO454" t="s">
        <v>161</v>
      </c>
      <c r="BQ454" t="s">
        <v>205</v>
      </c>
      <c r="BR454" s="45">
        <f>ISNUMBER(SEARCH($BR$1,Таблица1[[#This Row],[31_1 Описание и характеристика товара]]))*1</f>
        <v>1</v>
      </c>
      <c r="BT454" t="s">
        <v>150</v>
      </c>
      <c r="BU454">
        <v>33</v>
      </c>
      <c r="BV454">
        <v>0</v>
      </c>
      <c r="BW454">
        <v>0</v>
      </c>
      <c r="BY454">
        <v>0</v>
      </c>
      <c r="CA454" t="s">
        <v>106</v>
      </c>
      <c r="CB454" t="s">
        <v>142</v>
      </c>
      <c r="CC454" t="s">
        <v>112</v>
      </c>
      <c r="CD454" t="s">
        <v>112</v>
      </c>
      <c r="CE454" t="s">
        <v>121</v>
      </c>
      <c r="CF454">
        <v>15788.5</v>
      </c>
      <c r="CG454" t="s">
        <v>144</v>
      </c>
      <c r="CH454">
        <v>4000000</v>
      </c>
      <c r="CI454">
        <v>15601.3</v>
      </c>
      <c r="CJ454">
        <v>0</v>
      </c>
      <c r="CK454" t="s">
        <v>112</v>
      </c>
      <c r="CL454" t="s">
        <v>112</v>
      </c>
      <c r="CM454">
        <v>44643.4</v>
      </c>
      <c r="CO454">
        <v>0</v>
      </c>
      <c r="CP454">
        <v>1</v>
      </c>
      <c r="CQ454">
        <v>4765216.71</v>
      </c>
      <c r="CR454">
        <v>53573.91</v>
      </c>
      <c r="CS454" t="s">
        <v>145</v>
      </c>
      <c r="CT454">
        <v>53512.459000000003</v>
      </c>
      <c r="CU454">
        <v>3.43</v>
      </c>
      <c r="CV454">
        <v>45</v>
      </c>
      <c r="CX454" t="s">
        <v>729</v>
      </c>
      <c r="CY454">
        <v>593</v>
      </c>
    </row>
    <row r="455" spans="1:103" x14ac:dyDescent="0.25">
      <c r="A455" t="s">
        <v>106</v>
      </c>
      <c r="B455" s="38">
        <v>45141</v>
      </c>
      <c r="C455" s="43">
        <f>IF(YEAR(Таблица1[[#This Row],[Дата]])=2023,MONTH(Таблица1[[#This Row],[Дата]]),0)</f>
        <v>8</v>
      </c>
      <c r="D455" t="s">
        <v>1406</v>
      </c>
      <c r="E455" t="s">
        <v>108</v>
      </c>
      <c r="F455" t="s">
        <v>1407</v>
      </c>
      <c r="G455" t="s">
        <v>110</v>
      </c>
      <c r="H455" t="s">
        <v>111</v>
      </c>
      <c r="I455" t="s">
        <v>112</v>
      </c>
      <c r="J455" t="s">
        <v>112</v>
      </c>
      <c r="K455" t="s">
        <v>112</v>
      </c>
      <c r="L455" t="s">
        <v>150</v>
      </c>
      <c r="M455" t="s">
        <v>151</v>
      </c>
      <c r="N455" t="s">
        <v>112</v>
      </c>
      <c r="O455" t="s">
        <v>112</v>
      </c>
      <c r="P455">
        <v>1</v>
      </c>
      <c r="R455">
        <v>1</v>
      </c>
      <c r="S455">
        <v>33</v>
      </c>
      <c r="T455" t="s">
        <v>112</v>
      </c>
      <c r="U455" t="s">
        <v>152</v>
      </c>
      <c r="V455" t="s">
        <v>153</v>
      </c>
      <c r="W455" t="s">
        <v>154</v>
      </c>
      <c r="X455" t="s">
        <v>119</v>
      </c>
      <c r="Y455" t="s">
        <v>112</v>
      </c>
      <c r="Z455" t="s">
        <v>112</v>
      </c>
      <c r="AA455" t="s">
        <v>152</v>
      </c>
      <c r="AB455" t="s">
        <v>153</v>
      </c>
      <c r="AC455" t="s">
        <v>154</v>
      </c>
      <c r="AD455" t="s">
        <v>119</v>
      </c>
      <c r="AE455" t="s">
        <v>112</v>
      </c>
      <c r="AF455" t="s">
        <v>121</v>
      </c>
      <c r="AG455" t="s">
        <v>122</v>
      </c>
      <c r="AH455">
        <v>4901048.38</v>
      </c>
      <c r="AI455" t="s">
        <v>112</v>
      </c>
      <c r="AJ455" t="s">
        <v>152</v>
      </c>
      <c r="AK455" t="s">
        <v>153</v>
      </c>
      <c r="AL455" t="s">
        <v>154</v>
      </c>
      <c r="AM455" t="s">
        <v>119</v>
      </c>
      <c r="AN455" t="s">
        <v>112</v>
      </c>
      <c r="AO455" t="s">
        <v>121</v>
      </c>
      <c r="AP455" t="s">
        <v>122</v>
      </c>
      <c r="AQ455" t="s">
        <v>122</v>
      </c>
      <c r="AR455" t="s">
        <v>124</v>
      </c>
      <c r="AS455" t="s">
        <v>125</v>
      </c>
      <c r="AT455">
        <v>2</v>
      </c>
      <c r="AU455" t="s">
        <v>126</v>
      </c>
      <c r="AV455" t="s">
        <v>155</v>
      </c>
      <c r="AW455" t="s">
        <v>156</v>
      </c>
      <c r="AY455" t="s">
        <v>129</v>
      </c>
      <c r="AZ455">
        <v>46219.64</v>
      </c>
      <c r="BC455">
        <v>96.592100000000002</v>
      </c>
      <c r="BD455" t="s">
        <v>112</v>
      </c>
      <c r="BE455" t="s">
        <v>112</v>
      </c>
      <c r="BF455" t="s">
        <v>157</v>
      </c>
      <c r="BG455" t="s">
        <v>133</v>
      </c>
      <c r="BH455" t="s">
        <v>134</v>
      </c>
      <c r="BI455" t="s">
        <v>112</v>
      </c>
      <c r="BJ455" t="s">
        <v>112</v>
      </c>
      <c r="BK455" t="s">
        <v>112</v>
      </c>
      <c r="BL455" t="s">
        <v>158</v>
      </c>
      <c r="BM455" t="s">
        <v>159</v>
      </c>
      <c r="BN455" t="s">
        <v>212</v>
      </c>
      <c r="BO455" t="s">
        <v>161</v>
      </c>
      <c r="BQ455" t="s">
        <v>232</v>
      </c>
      <c r="BR455" s="45">
        <f>ISNUMBER(SEARCH($BR$1,Таблица1[[#This Row],[31_1 Описание и характеристика товара]]))*1</f>
        <v>1</v>
      </c>
      <c r="BT455" t="s">
        <v>150</v>
      </c>
      <c r="BU455">
        <v>33</v>
      </c>
      <c r="BV455">
        <v>0</v>
      </c>
      <c r="BW455">
        <v>0</v>
      </c>
      <c r="BY455">
        <v>0</v>
      </c>
      <c r="CA455" t="s">
        <v>106</v>
      </c>
      <c r="CB455" t="s">
        <v>142</v>
      </c>
      <c r="CC455" t="s">
        <v>112</v>
      </c>
      <c r="CD455" t="s">
        <v>112</v>
      </c>
      <c r="CE455" t="s">
        <v>121</v>
      </c>
      <c r="CF455">
        <v>16722.900000000001</v>
      </c>
      <c r="CG455" t="s">
        <v>144</v>
      </c>
      <c r="CH455">
        <v>4000000</v>
      </c>
      <c r="CI455">
        <v>16668.900000000001</v>
      </c>
      <c r="CJ455">
        <v>0</v>
      </c>
      <c r="CK455" t="s">
        <v>112</v>
      </c>
      <c r="CL455" t="s">
        <v>112</v>
      </c>
      <c r="CM455">
        <v>46219.64</v>
      </c>
      <c r="CO455">
        <v>0</v>
      </c>
      <c r="CP455">
        <v>1</v>
      </c>
      <c r="CQ455">
        <v>4901048.38</v>
      </c>
      <c r="CR455">
        <v>55101.02</v>
      </c>
      <c r="CS455" t="s">
        <v>145</v>
      </c>
      <c r="CT455">
        <v>55174.059000000008</v>
      </c>
      <c r="CU455">
        <v>3.31</v>
      </c>
      <c r="CV455">
        <v>45</v>
      </c>
      <c r="CX455" t="s">
        <v>233</v>
      </c>
      <c r="CY455">
        <v>124</v>
      </c>
    </row>
    <row r="456" spans="1:103" x14ac:dyDescent="0.25">
      <c r="A456" t="s">
        <v>106</v>
      </c>
      <c r="B456" s="38">
        <v>45119</v>
      </c>
      <c r="C456" s="43">
        <f>IF(YEAR(Таблица1[[#This Row],[Дата]])=2023,MONTH(Таблица1[[#This Row],[Дата]]),0)</f>
        <v>7</v>
      </c>
      <c r="D456" t="s">
        <v>2126</v>
      </c>
      <c r="E456" t="s">
        <v>108</v>
      </c>
      <c r="F456" t="s">
        <v>2127</v>
      </c>
      <c r="G456" t="s">
        <v>110</v>
      </c>
      <c r="H456" t="s">
        <v>111</v>
      </c>
      <c r="I456" t="s">
        <v>112</v>
      </c>
      <c r="J456" t="s">
        <v>112</v>
      </c>
      <c r="K456" t="s">
        <v>112</v>
      </c>
      <c r="L456" t="s">
        <v>175</v>
      </c>
      <c r="M456" t="s">
        <v>448</v>
      </c>
      <c r="N456" t="s">
        <v>112</v>
      </c>
      <c r="O456" t="s">
        <v>112</v>
      </c>
      <c r="P456">
        <v>1</v>
      </c>
      <c r="R456">
        <v>1</v>
      </c>
      <c r="S456">
        <v>33</v>
      </c>
      <c r="T456" t="s">
        <v>112</v>
      </c>
      <c r="U456" t="s">
        <v>152</v>
      </c>
      <c r="V456" t="s">
        <v>153</v>
      </c>
      <c r="W456" t="s">
        <v>154</v>
      </c>
      <c r="X456" t="s">
        <v>119</v>
      </c>
      <c r="Y456" t="s">
        <v>112</v>
      </c>
      <c r="Z456" t="s">
        <v>112</v>
      </c>
      <c r="AA456" t="s">
        <v>152</v>
      </c>
      <c r="AB456" t="s">
        <v>153</v>
      </c>
      <c r="AC456" t="s">
        <v>154</v>
      </c>
      <c r="AD456" t="s">
        <v>119</v>
      </c>
      <c r="AE456" t="s">
        <v>112</v>
      </c>
      <c r="AF456" t="s">
        <v>121</v>
      </c>
      <c r="AG456" t="s">
        <v>122</v>
      </c>
      <c r="AH456">
        <v>4862070.46</v>
      </c>
      <c r="AI456" t="s">
        <v>112</v>
      </c>
      <c r="AJ456" t="s">
        <v>152</v>
      </c>
      <c r="AK456" t="s">
        <v>153</v>
      </c>
      <c r="AL456" t="s">
        <v>154</v>
      </c>
      <c r="AM456" t="s">
        <v>119</v>
      </c>
      <c r="AN456" t="s">
        <v>112</v>
      </c>
      <c r="AO456" t="s">
        <v>121</v>
      </c>
      <c r="AP456" t="s">
        <v>122</v>
      </c>
      <c r="AQ456" t="s">
        <v>122</v>
      </c>
      <c r="AR456" t="s">
        <v>124</v>
      </c>
      <c r="AS456" t="s">
        <v>125</v>
      </c>
      <c r="AT456">
        <v>2</v>
      </c>
      <c r="AU456" t="s">
        <v>126</v>
      </c>
      <c r="AV456" t="s">
        <v>155</v>
      </c>
      <c r="AW456" t="s">
        <v>156</v>
      </c>
      <c r="AY456" t="s">
        <v>129</v>
      </c>
      <c r="AZ456">
        <v>43435.58</v>
      </c>
      <c r="BC456">
        <v>102.52</v>
      </c>
      <c r="BD456" t="s">
        <v>112</v>
      </c>
      <c r="BE456" t="s">
        <v>112</v>
      </c>
      <c r="BF456" t="s">
        <v>157</v>
      </c>
      <c r="BG456" t="s">
        <v>133</v>
      </c>
      <c r="BH456" t="s">
        <v>167</v>
      </c>
      <c r="BI456" t="s">
        <v>112</v>
      </c>
      <c r="BJ456" t="s">
        <v>112</v>
      </c>
      <c r="BK456" t="s">
        <v>112</v>
      </c>
      <c r="BL456" t="s">
        <v>158</v>
      </c>
      <c r="BM456" t="s">
        <v>159</v>
      </c>
      <c r="BN456" t="s">
        <v>160</v>
      </c>
      <c r="BO456" t="s">
        <v>161</v>
      </c>
      <c r="BQ456" t="s">
        <v>205</v>
      </c>
      <c r="BR456" s="45">
        <f>ISNUMBER(SEARCH($BR$1,Таблица1[[#This Row],[31_1 Описание и характеристика товара]]))*1</f>
        <v>1</v>
      </c>
      <c r="BT456" t="s">
        <v>150</v>
      </c>
      <c r="BU456">
        <v>33</v>
      </c>
      <c r="BV456">
        <v>0</v>
      </c>
      <c r="BW456">
        <v>0</v>
      </c>
      <c r="BY456">
        <v>0</v>
      </c>
      <c r="CA456" t="s">
        <v>106</v>
      </c>
      <c r="CB456" t="s">
        <v>142</v>
      </c>
      <c r="CC456" t="s">
        <v>112</v>
      </c>
      <c r="CD456" t="s">
        <v>112</v>
      </c>
      <c r="CE456" t="s">
        <v>121</v>
      </c>
      <c r="CF456">
        <v>16140.6</v>
      </c>
      <c r="CG456" t="s">
        <v>144</v>
      </c>
      <c r="CH456">
        <v>4000000</v>
      </c>
      <c r="CI456">
        <v>15967.8</v>
      </c>
      <c r="CJ456">
        <v>0</v>
      </c>
      <c r="CK456" t="s">
        <v>112</v>
      </c>
      <c r="CL456" t="s">
        <v>112</v>
      </c>
      <c r="CM456">
        <v>43435.58</v>
      </c>
      <c r="CO456">
        <v>0</v>
      </c>
      <c r="CP456">
        <v>1</v>
      </c>
      <c r="CQ456">
        <v>4862070.46</v>
      </c>
      <c r="CR456">
        <v>49976.83</v>
      </c>
      <c r="CS456" t="s">
        <v>145</v>
      </c>
      <c r="CT456">
        <v>49979.213999999993</v>
      </c>
      <c r="CU456">
        <v>3.13</v>
      </c>
      <c r="CV456">
        <v>45</v>
      </c>
      <c r="CX456" t="s">
        <v>233</v>
      </c>
      <c r="CY456">
        <v>278</v>
      </c>
    </row>
    <row r="457" spans="1:103" x14ac:dyDescent="0.25">
      <c r="A457" t="s">
        <v>106</v>
      </c>
      <c r="B457" s="38">
        <v>44571</v>
      </c>
      <c r="C457" s="43">
        <f>IF(YEAR(Таблица1[[#This Row],[Дата]])=2023,MONTH(Таблица1[[#This Row],[Дата]]),0)</f>
        <v>0</v>
      </c>
      <c r="D457" t="s">
        <v>2126</v>
      </c>
      <c r="E457" t="s">
        <v>108</v>
      </c>
      <c r="F457" t="s">
        <v>2127</v>
      </c>
      <c r="G457" t="s">
        <v>110</v>
      </c>
      <c r="H457" t="s">
        <v>111</v>
      </c>
      <c r="I457" t="s">
        <v>112</v>
      </c>
      <c r="J457" t="s">
        <v>112</v>
      </c>
      <c r="K457" t="s">
        <v>112</v>
      </c>
      <c r="L457" t="s">
        <v>175</v>
      </c>
      <c r="M457" t="s">
        <v>448</v>
      </c>
      <c r="N457" t="s">
        <v>112</v>
      </c>
      <c r="O457" t="s">
        <v>112</v>
      </c>
      <c r="P457">
        <v>1</v>
      </c>
      <c r="R457">
        <v>1</v>
      </c>
      <c r="S457">
        <v>33</v>
      </c>
      <c r="T457" t="s">
        <v>112</v>
      </c>
      <c r="U457" t="s">
        <v>152</v>
      </c>
      <c r="V457" t="s">
        <v>153</v>
      </c>
      <c r="W457" t="s">
        <v>154</v>
      </c>
      <c r="X457" t="s">
        <v>119</v>
      </c>
      <c r="Y457" t="s">
        <v>112</v>
      </c>
      <c r="Z457" t="s">
        <v>112</v>
      </c>
      <c r="AA457" t="s">
        <v>152</v>
      </c>
      <c r="AB457" t="s">
        <v>153</v>
      </c>
      <c r="AC457" t="s">
        <v>154</v>
      </c>
      <c r="AD457" t="s">
        <v>119</v>
      </c>
      <c r="AE457" t="s">
        <v>112</v>
      </c>
      <c r="AF457" t="s">
        <v>121</v>
      </c>
      <c r="AG457" t="s">
        <v>122</v>
      </c>
      <c r="AH457">
        <v>4862070.46</v>
      </c>
      <c r="AI457" t="s">
        <v>112</v>
      </c>
      <c r="AJ457" t="s">
        <v>152</v>
      </c>
      <c r="AK457" t="s">
        <v>153</v>
      </c>
      <c r="AL457" t="s">
        <v>154</v>
      </c>
      <c r="AM457" t="s">
        <v>119</v>
      </c>
      <c r="AN457" t="s">
        <v>112</v>
      </c>
      <c r="AO457" t="s">
        <v>121</v>
      </c>
      <c r="AP457" t="s">
        <v>122</v>
      </c>
      <c r="AQ457" t="s">
        <v>122</v>
      </c>
      <c r="AR457" t="s">
        <v>124</v>
      </c>
      <c r="AS457" t="s">
        <v>125</v>
      </c>
      <c r="AT457">
        <v>2</v>
      </c>
      <c r="AU457" t="s">
        <v>126</v>
      </c>
      <c r="AV457" t="s">
        <v>155</v>
      </c>
      <c r="AW457" t="s">
        <v>156</v>
      </c>
      <c r="AY457" t="s">
        <v>129</v>
      </c>
      <c r="AZ457">
        <v>43435.58</v>
      </c>
      <c r="BC457">
        <v>102.52</v>
      </c>
      <c r="BD457" t="s">
        <v>112</v>
      </c>
      <c r="BE457" t="s">
        <v>112</v>
      </c>
      <c r="BF457" t="s">
        <v>157</v>
      </c>
      <c r="BG457" t="s">
        <v>133</v>
      </c>
      <c r="BH457" t="s">
        <v>167</v>
      </c>
      <c r="BI457" t="s">
        <v>112</v>
      </c>
      <c r="BJ457" t="s">
        <v>112</v>
      </c>
      <c r="BK457" t="s">
        <v>112</v>
      </c>
      <c r="BL457" t="s">
        <v>158</v>
      </c>
      <c r="BM457" t="s">
        <v>159</v>
      </c>
      <c r="BN457" t="s">
        <v>160</v>
      </c>
      <c r="BO457" t="s">
        <v>161</v>
      </c>
      <c r="BQ457" t="s">
        <v>205</v>
      </c>
      <c r="BR457" s="45">
        <f>ISNUMBER(SEARCH($BR$1,Таблица1[[#This Row],[31_1 Описание и характеристика товара]]))*1</f>
        <v>1</v>
      </c>
      <c r="BT457" t="s">
        <v>150</v>
      </c>
      <c r="BU457">
        <v>33</v>
      </c>
      <c r="BV457">
        <v>0</v>
      </c>
      <c r="BW457">
        <v>0</v>
      </c>
      <c r="BY457">
        <v>0</v>
      </c>
      <c r="CA457" t="s">
        <v>106</v>
      </c>
      <c r="CB457" t="s">
        <v>142</v>
      </c>
      <c r="CC457" t="s">
        <v>112</v>
      </c>
      <c r="CD457" t="s">
        <v>112</v>
      </c>
      <c r="CE457" t="s">
        <v>121</v>
      </c>
      <c r="CF457">
        <v>16140.6</v>
      </c>
      <c r="CG457" t="s">
        <v>144</v>
      </c>
      <c r="CH457">
        <v>4000000</v>
      </c>
      <c r="CI457">
        <v>15967.8</v>
      </c>
      <c r="CJ457">
        <v>0</v>
      </c>
      <c r="CK457" t="s">
        <v>112</v>
      </c>
      <c r="CL457" t="s">
        <v>112</v>
      </c>
      <c r="CM457">
        <v>43435.58</v>
      </c>
      <c r="CO457">
        <v>0</v>
      </c>
      <c r="CP457">
        <v>1</v>
      </c>
      <c r="CQ457">
        <v>4862070.46</v>
      </c>
      <c r="CR457">
        <v>49976.83</v>
      </c>
      <c r="CS457" t="s">
        <v>145</v>
      </c>
      <c r="CT457">
        <v>49979.213999999993</v>
      </c>
      <c r="CU457">
        <v>3.13</v>
      </c>
      <c r="CV457">
        <v>45</v>
      </c>
      <c r="CX457" t="s">
        <v>233</v>
      </c>
      <c r="CY457">
        <v>278</v>
      </c>
    </row>
    <row r="458" spans="1:103" x14ac:dyDescent="0.25">
      <c r="A458" t="s">
        <v>106</v>
      </c>
      <c r="B458" s="38">
        <v>45188</v>
      </c>
      <c r="C458" s="43">
        <f>IF(YEAR(Таблица1[[#This Row],[Дата]])=2023,MONTH(Таблица1[[#This Row],[Дата]]),0)</f>
        <v>9</v>
      </c>
      <c r="D458" t="s">
        <v>2124</v>
      </c>
      <c r="E458" t="s">
        <v>108</v>
      </c>
      <c r="F458" t="s">
        <v>2125</v>
      </c>
      <c r="G458" t="s">
        <v>110</v>
      </c>
      <c r="H458" t="s">
        <v>111</v>
      </c>
      <c r="I458" t="s">
        <v>112</v>
      </c>
      <c r="J458" t="s">
        <v>112</v>
      </c>
      <c r="K458" t="s">
        <v>112</v>
      </c>
      <c r="L458" t="s">
        <v>150</v>
      </c>
      <c r="M458" t="s">
        <v>151</v>
      </c>
      <c r="N458" t="s">
        <v>112</v>
      </c>
      <c r="O458" t="s">
        <v>112</v>
      </c>
      <c r="P458">
        <v>1</v>
      </c>
      <c r="R458">
        <v>1</v>
      </c>
      <c r="S458">
        <v>33</v>
      </c>
      <c r="T458" t="s">
        <v>112</v>
      </c>
      <c r="U458" t="s">
        <v>152</v>
      </c>
      <c r="V458" t="s">
        <v>153</v>
      </c>
      <c r="W458" t="s">
        <v>154</v>
      </c>
      <c r="X458" t="s">
        <v>119</v>
      </c>
      <c r="Y458" t="s">
        <v>112</v>
      </c>
      <c r="Z458" t="s">
        <v>112</v>
      </c>
      <c r="AA458" t="s">
        <v>152</v>
      </c>
      <c r="AB458" t="s">
        <v>153</v>
      </c>
      <c r="AC458" t="s">
        <v>154</v>
      </c>
      <c r="AD458" t="s">
        <v>119</v>
      </c>
      <c r="AE458" t="s">
        <v>112</v>
      </c>
      <c r="AF458" t="s">
        <v>121</v>
      </c>
      <c r="AG458" t="s">
        <v>122</v>
      </c>
      <c r="AH458">
        <v>4966893.0599999996</v>
      </c>
      <c r="AI458" t="s">
        <v>112</v>
      </c>
      <c r="AJ458" t="s">
        <v>152</v>
      </c>
      <c r="AK458" t="s">
        <v>153</v>
      </c>
      <c r="AL458" t="s">
        <v>154</v>
      </c>
      <c r="AM458" t="s">
        <v>119</v>
      </c>
      <c r="AN458" t="s">
        <v>112</v>
      </c>
      <c r="AO458" t="s">
        <v>121</v>
      </c>
      <c r="AP458" t="s">
        <v>122</v>
      </c>
      <c r="AQ458" t="s">
        <v>122</v>
      </c>
      <c r="AR458" t="s">
        <v>124</v>
      </c>
      <c r="AS458" t="s">
        <v>125</v>
      </c>
      <c r="AT458">
        <v>2</v>
      </c>
      <c r="AU458" t="s">
        <v>126</v>
      </c>
      <c r="AV458" t="s">
        <v>155</v>
      </c>
      <c r="AW458" t="s">
        <v>156</v>
      </c>
      <c r="AY458" t="s">
        <v>129</v>
      </c>
      <c r="AZ458">
        <v>43758.04</v>
      </c>
      <c r="BC458">
        <v>102.52</v>
      </c>
      <c r="BD458" t="s">
        <v>112</v>
      </c>
      <c r="BE458" t="s">
        <v>112</v>
      </c>
      <c r="BF458" t="s">
        <v>157</v>
      </c>
      <c r="BG458" t="s">
        <v>133</v>
      </c>
      <c r="BH458" t="s">
        <v>134</v>
      </c>
      <c r="BI458" t="s">
        <v>112</v>
      </c>
      <c r="BJ458" t="s">
        <v>112</v>
      </c>
      <c r="BK458" t="s">
        <v>112</v>
      </c>
      <c r="BL458" t="s">
        <v>158</v>
      </c>
      <c r="BM458" t="s">
        <v>159</v>
      </c>
      <c r="BN458" t="s">
        <v>212</v>
      </c>
      <c r="BO458" t="s">
        <v>161</v>
      </c>
      <c r="BQ458" t="s">
        <v>205</v>
      </c>
      <c r="BR458" s="45">
        <f>ISNUMBER(SEARCH($BR$1,Таблица1[[#This Row],[31_1 Описание и характеристика товара]]))*1</f>
        <v>1</v>
      </c>
      <c r="BT458" t="s">
        <v>150</v>
      </c>
      <c r="BU458">
        <v>33</v>
      </c>
      <c r="BV458">
        <v>0</v>
      </c>
      <c r="BW458">
        <v>0</v>
      </c>
      <c r="BY458">
        <v>0</v>
      </c>
      <c r="CA458" t="s">
        <v>106</v>
      </c>
      <c r="CB458" t="s">
        <v>142</v>
      </c>
      <c r="CC458" t="s">
        <v>112</v>
      </c>
      <c r="CD458" t="s">
        <v>112</v>
      </c>
      <c r="CE458" t="s">
        <v>121</v>
      </c>
      <c r="CF458">
        <v>14825.84</v>
      </c>
      <c r="CG458" t="s">
        <v>144</v>
      </c>
      <c r="CH458">
        <v>4000000</v>
      </c>
      <c r="CI458">
        <v>14577.44</v>
      </c>
      <c r="CJ458">
        <v>0</v>
      </c>
      <c r="CK458" t="s">
        <v>112</v>
      </c>
      <c r="CL458" t="s">
        <v>112</v>
      </c>
      <c r="CM458">
        <v>43758.04</v>
      </c>
      <c r="CO458">
        <v>0</v>
      </c>
      <c r="CP458">
        <v>1</v>
      </c>
      <c r="CQ458">
        <v>4966893.0599999996</v>
      </c>
      <c r="CR458">
        <v>51054.29</v>
      </c>
      <c r="CS458" t="s">
        <v>145</v>
      </c>
      <c r="CT458">
        <v>51021.04</v>
      </c>
      <c r="CU458">
        <v>3.5</v>
      </c>
      <c r="CV458">
        <v>45</v>
      </c>
      <c r="CX458" t="s">
        <v>729</v>
      </c>
      <c r="CY458">
        <v>109</v>
      </c>
    </row>
    <row r="459" spans="1:103" x14ac:dyDescent="0.25">
      <c r="A459" t="s">
        <v>106</v>
      </c>
      <c r="B459" s="38">
        <v>44942</v>
      </c>
      <c r="C459" s="43">
        <f>IF(YEAR(Таблица1[[#This Row],[Дата]])=2023,MONTH(Таблица1[[#This Row],[Дата]]),0)</f>
        <v>1</v>
      </c>
      <c r="D459" t="s">
        <v>2124</v>
      </c>
      <c r="E459" t="s">
        <v>108</v>
      </c>
      <c r="F459" t="s">
        <v>2125</v>
      </c>
      <c r="G459" t="s">
        <v>110</v>
      </c>
      <c r="H459" t="s">
        <v>111</v>
      </c>
      <c r="I459" t="s">
        <v>112</v>
      </c>
      <c r="J459" t="s">
        <v>112</v>
      </c>
      <c r="K459" t="s">
        <v>112</v>
      </c>
      <c r="L459" t="s">
        <v>150</v>
      </c>
      <c r="M459" t="s">
        <v>151</v>
      </c>
      <c r="N459" t="s">
        <v>112</v>
      </c>
      <c r="O459" t="s">
        <v>112</v>
      </c>
      <c r="P459">
        <v>1</v>
      </c>
      <c r="R459">
        <v>1</v>
      </c>
      <c r="S459">
        <v>33</v>
      </c>
      <c r="T459" t="s">
        <v>112</v>
      </c>
      <c r="U459" t="s">
        <v>152</v>
      </c>
      <c r="V459" t="s">
        <v>153</v>
      </c>
      <c r="W459" t="s">
        <v>154</v>
      </c>
      <c r="X459" t="s">
        <v>119</v>
      </c>
      <c r="Y459" t="s">
        <v>112</v>
      </c>
      <c r="Z459" t="s">
        <v>112</v>
      </c>
      <c r="AA459" t="s">
        <v>152</v>
      </c>
      <c r="AB459" t="s">
        <v>153</v>
      </c>
      <c r="AC459" t="s">
        <v>154</v>
      </c>
      <c r="AD459" t="s">
        <v>119</v>
      </c>
      <c r="AE459" t="s">
        <v>112</v>
      </c>
      <c r="AF459" t="s">
        <v>121</v>
      </c>
      <c r="AG459" t="s">
        <v>122</v>
      </c>
      <c r="AH459">
        <v>4966893.0599999996</v>
      </c>
      <c r="AI459" t="s">
        <v>112</v>
      </c>
      <c r="AJ459" t="s">
        <v>152</v>
      </c>
      <c r="AK459" t="s">
        <v>153</v>
      </c>
      <c r="AL459" t="s">
        <v>154</v>
      </c>
      <c r="AM459" t="s">
        <v>119</v>
      </c>
      <c r="AN459" t="s">
        <v>112</v>
      </c>
      <c r="AO459" t="s">
        <v>121</v>
      </c>
      <c r="AP459" t="s">
        <v>122</v>
      </c>
      <c r="AQ459" t="s">
        <v>122</v>
      </c>
      <c r="AR459" t="s">
        <v>124</v>
      </c>
      <c r="AS459" t="s">
        <v>125</v>
      </c>
      <c r="AT459">
        <v>2</v>
      </c>
      <c r="AU459" t="s">
        <v>126</v>
      </c>
      <c r="AV459" t="s">
        <v>155</v>
      </c>
      <c r="AW459" t="s">
        <v>156</v>
      </c>
      <c r="AY459" t="s">
        <v>129</v>
      </c>
      <c r="AZ459">
        <v>43758.04</v>
      </c>
      <c r="BC459">
        <v>102.52</v>
      </c>
      <c r="BD459" t="s">
        <v>112</v>
      </c>
      <c r="BE459" t="s">
        <v>112</v>
      </c>
      <c r="BF459" t="s">
        <v>157</v>
      </c>
      <c r="BG459" t="s">
        <v>133</v>
      </c>
      <c r="BH459" t="s">
        <v>134</v>
      </c>
      <c r="BI459" t="s">
        <v>112</v>
      </c>
      <c r="BJ459" t="s">
        <v>112</v>
      </c>
      <c r="BK459" t="s">
        <v>112</v>
      </c>
      <c r="BL459" t="s">
        <v>158</v>
      </c>
      <c r="BM459" t="s">
        <v>159</v>
      </c>
      <c r="BN459" t="s">
        <v>212</v>
      </c>
      <c r="BO459" t="s">
        <v>161</v>
      </c>
      <c r="BQ459" t="s">
        <v>205</v>
      </c>
      <c r="BR459" s="45">
        <f>ISNUMBER(SEARCH($BR$1,Таблица1[[#This Row],[31_1 Описание и характеристика товара]]))*1</f>
        <v>1</v>
      </c>
      <c r="BT459" t="s">
        <v>150</v>
      </c>
      <c r="BU459">
        <v>33</v>
      </c>
      <c r="BV459">
        <v>0</v>
      </c>
      <c r="BW459">
        <v>0</v>
      </c>
      <c r="BY459">
        <v>0</v>
      </c>
      <c r="CA459" t="s">
        <v>106</v>
      </c>
      <c r="CB459" t="s">
        <v>142</v>
      </c>
      <c r="CC459" t="s">
        <v>112</v>
      </c>
      <c r="CD459" t="s">
        <v>112</v>
      </c>
      <c r="CE459" t="s">
        <v>121</v>
      </c>
      <c r="CF459">
        <v>14825.84</v>
      </c>
      <c r="CG459" t="s">
        <v>144</v>
      </c>
      <c r="CH459">
        <v>4000000</v>
      </c>
      <c r="CI459">
        <v>14577.44</v>
      </c>
      <c r="CJ459">
        <v>0</v>
      </c>
      <c r="CK459" t="s">
        <v>112</v>
      </c>
      <c r="CL459" t="s">
        <v>112</v>
      </c>
      <c r="CM459">
        <v>43758.04</v>
      </c>
      <c r="CO459">
        <v>0</v>
      </c>
      <c r="CP459">
        <v>1</v>
      </c>
      <c r="CQ459">
        <v>4966893.0599999996</v>
      </c>
      <c r="CR459">
        <v>51054.29</v>
      </c>
      <c r="CS459" t="s">
        <v>145</v>
      </c>
      <c r="CT459">
        <v>51021.04</v>
      </c>
      <c r="CU459">
        <v>3.5</v>
      </c>
      <c r="CV459">
        <v>45</v>
      </c>
      <c r="CX459" t="s">
        <v>729</v>
      </c>
      <c r="CY459">
        <v>109</v>
      </c>
    </row>
    <row r="460" spans="1:103" x14ac:dyDescent="0.25">
      <c r="A460" t="s">
        <v>106</v>
      </c>
      <c r="B460" s="38">
        <v>45096</v>
      </c>
      <c r="C460" s="43">
        <f>IF(YEAR(Таблица1[[#This Row],[Дата]])=2023,MONTH(Таблица1[[#This Row],[Дата]]),0)</f>
        <v>6</v>
      </c>
      <c r="D460" t="s">
        <v>1750</v>
      </c>
      <c r="E460" t="s">
        <v>108</v>
      </c>
      <c r="F460" t="s">
        <v>1751</v>
      </c>
      <c r="G460" t="s">
        <v>110</v>
      </c>
      <c r="H460" t="s">
        <v>111</v>
      </c>
      <c r="I460" t="s">
        <v>112</v>
      </c>
      <c r="J460" t="s">
        <v>112</v>
      </c>
      <c r="K460" t="s">
        <v>112</v>
      </c>
      <c r="L460" t="s">
        <v>150</v>
      </c>
      <c r="M460" t="s">
        <v>151</v>
      </c>
      <c r="N460" t="s">
        <v>112</v>
      </c>
      <c r="O460" t="s">
        <v>112</v>
      </c>
      <c r="R460">
        <v>1</v>
      </c>
      <c r="S460">
        <v>33</v>
      </c>
      <c r="T460" t="s">
        <v>166</v>
      </c>
      <c r="U460" t="s">
        <v>152</v>
      </c>
      <c r="V460" t="s">
        <v>153</v>
      </c>
      <c r="W460" t="s">
        <v>154</v>
      </c>
      <c r="X460" t="s">
        <v>119</v>
      </c>
      <c r="Y460" t="s">
        <v>112</v>
      </c>
      <c r="Z460" t="s">
        <v>166</v>
      </c>
      <c r="AA460" t="s">
        <v>152</v>
      </c>
      <c r="AB460" t="s">
        <v>153</v>
      </c>
      <c r="AC460" t="s">
        <v>154</v>
      </c>
      <c r="AD460" t="s">
        <v>119</v>
      </c>
      <c r="AE460" t="s">
        <v>112</v>
      </c>
      <c r="AF460" t="s">
        <v>121</v>
      </c>
      <c r="AG460" t="s">
        <v>122</v>
      </c>
      <c r="AH460">
        <v>4854072.03</v>
      </c>
      <c r="AI460" t="s">
        <v>166</v>
      </c>
      <c r="AJ460" t="s">
        <v>152</v>
      </c>
      <c r="AK460" t="s">
        <v>153</v>
      </c>
      <c r="AL460" t="s">
        <v>154</v>
      </c>
      <c r="AM460" t="s">
        <v>119</v>
      </c>
      <c r="AN460" t="s">
        <v>112</v>
      </c>
      <c r="AO460" t="s">
        <v>121</v>
      </c>
      <c r="AP460" t="s">
        <v>122</v>
      </c>
      <c r="AQ460" t="s">
        <v>122</v>
      </c>
      <c r="AR460" t="s">
        <v>124</v>
      </c>
      <c r="AS460" t="s">
        <v>125</v>
      </c>
      <c r="AU460" t="s">
        <v>126</v>
      </c>
      <c r="AV460" t="s">
        <v>155</v>
      </c>
      <c r="AW460" t="s">
        <v>156</v>
      </c>
      <c r="AY460" t="s">
        <v>129</v>
      </c>
      <c r="AZ460">
        <v>41810.879999999997</v>
      </c>
      <c r="BC460">
        <v>105.6591</v>
      </c>
      <c r="BD460" t="s">
        <v>112</v>
      </c>
      <c r="BE460" t="s">
        <v>112</v>
      </c>
      <c r="BF460" t="s">
        <v>112</v>
      </c>
      <c r="BG460" t="s">
        <v>133</v>
      </c>
      <c r="BH460" t="s">
        <v>134</v>
      </c>
      <c r="BI460" t="s">
        <v>112</v>
      </c>
      <c r="BJ460" t="s">
        <v>112</v>
      </c>
      <c r="BK460" t="s">
        <v>112</v>
      </c>
      <c r="BL460" t="s">
        <v>112</v>
      </c>
      <c r="BM460" t="s">
        <v>112</v>
      </c>
      <c r="BN460" t="s">
        <v>112</v>
      </c>
      <c r="BO460" t="s">
        <v>161</v>
      </c>
      <c r="BQ460" t="s">
        <v>466</v>
      </c>
      <c r="BR460" s="45">
        <f>ISNUMBER(SEARCH($BR$1,Таблица1[[#This Row],[31_1 Описание и характеристика товара]]))*1</f>
        <v>1</v>
      </c>
      <c r="BT460" t="s">
        <v>150</v>
      </c>
      <c r="BU460">
        <v>33</v>
      </c>
      <c r="BV460">
        <v>0</v>
      </c>
      <c r="BW460">
        <v>0</v>
      </c>
      <c r="CA460" t="s">
        <v>106</v>
      </c>
      <c r="CB460" t="s">
        <v>142</v>
      </c>
      <c r="CC460" t="s">
        <v>112</v>
      </c>
      <c r="CD460" t="s">
        <v>112</v>
      </c>
      <c r="CE460" t="s">
        <v>121</v>
      </c>
      <c r="CF460">
        <v>16711.599999999999</v>
      </c>
      <c r="CG460" t="s">
        <v>144</v>
      </c>
      <c r="CH460">
        <v>4000000</v>
      </c>
      <c r="CI460">
        <v>16621.599999999999</v>
      </c>
      <c r="CJ460">
        <v>0</v>
      </c>
      <c r="CK460" t="s">
        <v>112</v>
      </c>
      <c r="CL460" t="s">
        <v>112</v>
      </c>
      <c r="CM460">
        <v>41810.879999999997</v>
      </c>
      <c r="CO460">
        <v>0</v>
      </c>
      <c r="CP460">
        <v>1</v>
      </c>
      <c r="CQ460">
        <v>4854072.03</v>
      </c>
      <c r="CR460">
        <v>50194.89</v>
      </c>
      <c r="CS460" t="s">
        <v>145</v>
      </c>
      <c r="CT460">
        <v>50197.231999999996</v>
      </c>
      <c r="CU460">
        <v>3.02</v>
      </c>
      <c r="CY460">
        <v>547</v>
      </c>
    </row>
    <row r="461" spans="1:103" x14ac:dyDescent="0.25">
      <c r="A461" t="s">
        <v>106</v>
      </c>
      <c r="B461" s="38">
        <v>45001</v>
      </c>
      <c r="C461" s="43">
        <f>IF(YEAR(Таблица1[[#This Row],[Дата]])=2023,MONTH(Таблица1[[#This Row],[Дата]]),0)</f>
        <v>3</v>
      </c>
      <c r="D461" t="s">
        <v>1748</v>
      </c>
      <c r="E461" t="s">
        <v>108</v>
      </c>
      <c r="F461" t="s">
        <v>1749</v>
      </c>
      <c r="G461" t="s">
        <v>110</v>
      </c>
      <c r="H461" t="s">
        <v>111</v>
      </c>
      <c r="I461" t="s">
        <v>112</v>
      </c>
      <c r="J461" t="s">
        <v>112</v>
      </c>
      <c r="K461" t="s">
        <v>112</v>
      </c>
      <c r="L461" t="s">
        <v>150</v>
      </c>
      <c r="M461" t="s">
        <v>151</v>
      </c>
      <c r="N461" t="s">
        <v>112</v>
      </c>
      <c r="O461" t="s">
        <v>112</v>
      </c>
      <c r="R461">
        <v>1</v>
      </c>
      <c r="S461">
        <v>33</v>
      </c>
      <c r="T461" t="s">
        <v>166</v>
      </c>
      <c r="U461" t="s">
        <v>152</v>
      </c>
      <c r="V461" t="s">
        <v>153</v>
      </c>
      <c r="W461" t="s">
        <v>154</v>
      </c>
      <c r="X461" t="s">
        <v>119</v>
      </c>
      <c r="Y461" t="s">
        <v>112</v>
      </c>
      <c r="Z461" t="s">
        <v>166</v>
      </c>
      <c r="AA461" t="s">
        <v>152</v>
      </c>
      <c r="AB461" t="s">
        <v>153</v>
      </c>
      <c r="AC461" t="s">
        <v>154</v>
      </c>
      <c r="AD461" t="s">
        <v>119</v>
      </c>
      <c r="AE461" t="s">
        <v>112</v>
      </c>
      <c r="AF461" t="s">
        <v>121</v>
      </c>
      <c r="AG461" t="s">
        <v>122</v>
      </c>
      <c r="AH461">
        <v>5035925.08</v>
      </c>
      <c r="AI461" t="s">
        <v>166</v>
      </c>
      <c r="AJ461" t="s">
        <v>152</v>
      </c>
      <c r="AK461" t="s">
        <v>153</v>
      </c>
      <c r="AL461" t="s">
        <v>154</v>
      </c>
      <c r="AM461" t="s">
        <v>119</v>
      </c>
      <c r="AN461" t="s">
        <v>112</v>
      </c>
      <c r="AO461" t="s">
        <v>121</v>
      </c>
      <c r="AP461" t="s">
        <v>122</v>
      </c>
      <c r="AQ461" t="s">
        <v>122</v>
      </c>
      <c r="AR461" t="s">
        <v>124</v>
      </c>
      <c r="AS461" t="s">
        <v>125</v>
      </c>
      <c r="AU461" t="s">
        <v>126</v>
      </c>
      <c r="AV461" t="s">
        <v>155</v>
      </c>
      <c r="AW461" t="s">
        <v>156</v>
      </c>
      <c r="AY461" t="s">
        <v>129</v>
      </c>
      <c r="AZ461">
        <v>43532.01</v>
      </c>
      <c r="BC461">
        <v>105.6591</v>
      </c>
      <c r="BD461" t="s">
        <v>112</v>
      </c>
      <c r="BE461" t="s">
        <v>112</v>
      </c>
      <c r="BF461" t="s">
        <v>112</v>
      </c>
      <c r="BG461" t="s">
        <v>133</v>
      </c>
      <c r="BH461" t="s">
        <v>134</v>
      </c>
      <c r="BI461" t="s">
        <v>112</v>
      </c>
      <c r="BJ461" t="s">
        <v>112</v>
      </c>
      <c r="BK461" t="s">
        <v>112</v>
      </c>
      <c r="BL461" t="s">
        <v>112</v>
      </c>
      <c r="BM461" t="s">
        <v>112</v>
      </c>
      <c r="BN461" t="s">
        <v>112</v>
      </c>
      <c r="BO461" t="s">
        <v>161</v>
      </c>
      <c r="BQ461" t="s">
        <v>162</v>
      </c>
      <c r="BR461" s="45">
        <f>ISNUMBER(SEARCH($BR$1,Таблица1[[#This Row],[31_1 Описание и характеристика товара]]))*1</f>
        <v>1</v>
      </c>
      <c r="BT461" t="s">
        <v>150</v>
      </c>
      <c r="BU461">
        <v>33</v>
      </c>
      <c r="BV461">
        <v>0</v>
      </c>
      <c r="BW461">
        <v>0</v>
      </c>
      <c r="CA461" t="s">
        <v>106</v>
      </c>
      <c r="CB461" t="s">
        <v>142</v>
      </c>
      <c r="CC461" t="s">
        <v>112</v>
      </c>
      <c r="CD461" t="s">
        <v>112</v>
      </c>
      <c r="CE461" t="s">
        <v>121</v>
      </c>
      <c r="CF461">
        <v>16081.35</v>
      </c>
      <c r="CG461" t="s">
        <v>144</v>
      </c>
      <c r="CH461">
        <v>4000000</v>
      </c>
      <c r="CI461">
        <v>15951.76</v>
      </c>
      <c r="CJ461">
        <v>0</v>
      </c>
      <c r="CK461" t="s">
        <v>112</v>
      </c>
      <c r="CL461" t="s">
        <v>112</v>
      </c>
      <c r="CM461">
        <v>43532.01</v>
      </c>
      <c r="CO461">
        <v>0</v>
      </c>
      <c r="CP461">
        <v>1</v>
      </c>
      <c r="CQ461">
        <v>5035925.08</v>
      </c>
      <c r="CR461">
        <v>52075.4</v>
      </c>
      <c r="CS461" t="s">
        <v>145</v>
      </c>
      <c r="CT461">
        <v>52002.7376</v>
      </c>
      <c r="CU461">
        <v>3.26</v>
      </c>
      <c r="CY461">
        <v>174</v>
      </c>
    </row>
    <row r="462" spans="1:103" x14ac:dyDescent="0.25">
      <c r="A462" t="s">
        <v>106</v>
      </c>
      <c r="B462" s="38">
        <v>45097</v>
      </c>
      <c r="C462" s="43">
        <f>IF(YEAR(Таблица1[[#This Row],[Дата]])=2023,MONTH(Таблица1[[#This Row],[Дата]]),0)</f>
        <v>6</v>
      </c>
      <c r="D462" t="s">
        <v>1746</v>
      </c>
      <c r="E462" t="s">
        <v>108</v>
      </c>
      <c r="F462" t="s">
        <v>1747</v>
      </c>
      <c r="G462" t="s">
        <v>110</v>
      </c>
      <c r="H462" t="s">
        <v>111</v>
      </c>
      <c r="I462" t="s">
        <v>112</v>
      </c>
      <c r="J462" t="s">
        <v>112</v>
      </c>
      <c r="K462" t="s">
        <v>112</v>
      </c>
      <c r="L462" t="s">
        <v>150</v>
      </c>
      <c r="M462" t="s">
        <v>151</v>
      </c>
      <c r="N462" t="s">
        <v>112</v>
      </c>
      <c r="O462" t="s">
        <v>112</v>
      </c>
      <c r="R462">
        <v>1</v>
      </c>
      <c r="S462">
        <v>33</v>
      </c>
      <c r="T462" t="s">
        <v>166</v>
      </c>
      <c r="U462" t="s">
        <v>152</v>
      </c>
      <c r="V462" t="s">
        <v>153</v>
      </c>
      <c r="W462" t="s">
        <v>154</v>
      </c>
      <c r="X462" t="s">
        <v>119</v>
      </c>
      <c r="Y462" t="s">
        <v>112</v>
      </c>
      <c r="Z462" t="s">
        <v>166</v>
      </c>
      <c r="AA462" t="s">
        <v>152</v>
      </c>
      <c r="AB462" t="s">
        <v>153</v>
      </c>
      <c r="AC462" t="s">
        <v>154</v>
      </c>
      <c r="AD462" t="s">
        <v>119</v>
      </c>
      <c r="AE462" t="s">
        <v>112</v>
      </c>
      <c r="AF462" t="s">
        <v>121</v>
      </c>
      <c r="AG462" t="s">
        <v>122</v>
      </c>
      <c r="AH462">
        <v>4858163.1500000004</v>
      </c>
      <c r="AI462" t="s">
        <v>166</v>
      </c>
      <c r="AJ462" t="s">
        <v>152</v>
      </c>
      <c r="AK462" t="s">
        <v>153</v>
      </c>
      <c r="AL462" t="s">
        <v>154</v>
      </c>
      <c r="AM462" t="s">
        <v>119</v>
      </c>
      <c r="AN462" t="s">
        <v>112</v>
      </c>
      <c r="AO462" t="s">
        <v>121</v>
      </c>
      <c r="AP462" t="s">
        <v>122</v>
      </c>
      <c r="AQ462" t="s">
        <v>122</v>
      </c>
      <c r="AR462" t="s">
        <v>124</v>
      </c>
      <c r="AS462" t="s">
        <v>125</v>
      </c>
      <c r="AU462" t="s">
        <v>126</v>
      </c>
      <c r="AV462" t="s">
        <v>155</v>
      </c>
      <c r="AW462" t="s">
        <v>156</v>
      </c>
      <c r="AY462" t="s">
        <v>129</v>
      </c>
      <c r="AZ462">
        <v>41849.599999999999</v>
      </c>
      <c r="BC462">
        <v>105.6591</v>
      </c>
      <c r="BD462" t="s">
        <v>112</v>
      </c>
      <c r="BE462" t="s">
        <v>112</v>
      </c>
      <c r="BF462" t="s">
        <v>112</v>
      </c>
      <c r="BG462" t="s">
        <v>133</v>
      </c>
      <c r="BH462" t="s">
        <v>134</v>
      </c>
      <c r="BI462" t="s">
        <v>112</v>
      </c>
      <c r="BJ462" t="s">
        <v>112</v>
      </c>
      <c r="BK462" t="s">
        <v>112</v>
      </c>
      <c r="BL462" t="s">
        <v>112</v>
      </c>
      <c r="BM462" t="s">
        <v>112</v>
      </c>
      <c r="BN462" t="s">
        <v>112</v>
      </c>
      <c r="BO462" t="s">
        <v>161</v>
      </c>
      <c r="BQ462" t="s">
        <v>232</v>
      </c>
      <c r="BR462" s="45">
        <f>ISNUMBER(SEARCH($BR$1,Таблица1[[#This Row],[31_1 Описание и характеристика товара]]))*1</f>
        <v>1</v>
      </c>
      <c r="BT462" t="s">
        <v>150</v>
      </c>
      <c r="BU462">
        <v>33</v>
      </c>
      <c r="BV462">
        <v>0</v>
      </c>
      <c r="BW462">
        <v>0</v>
      </c>
      <c r="CA462" t="s">
        <v>106</v>
      </c>
      <c r="CB462" t="s">
        <v>142</v>
      </c>
      <c r="CC462" t="s">
        <v>112</v>
      </c>
      <c r="CD462" t="s">
        <v>112</v>
      </c>
      <c r="CE462" t="s">
        <v>121</v>
      </c>
      <c r="CF462">
        <v>15958.98</v>
      </c>
      <c r="CG462" t="s">
        <v>144</v>
      </c>
      <c r="CH462">
        <v>4000000</v>
      </c>
      <c r="CI462">
        <v>15810.78</v>
      </c>
      <c r="CJ462">
        <v>0</v>
      </c>
      <c r="CK462" t="s">
        <v>112</v>
      </c>
      <c r="CL462" t="s">
        <v>112</v>
      </c>
      <c r="CM462">
        <v>41849.599999999999</v>
      </c>
      <c r="CO462">
        <v>0</v>
      </c>
      <c r="CP462">
        <v>1</v>
      </c>
      <c r="CQ462">
        <v>4858163.1500000004</v>
      </c>
      <c r="CR462">
        <v>50237.2</v>
      </c>
      <c r="CS462" t="s">
        <v>145</v>
      </c>
      <c r="CT462">
        <v>50278.280400000003</v>
      </c>
      <c r="CU462">
        <v>3.18</v>
      </c>
      <c r="CY462">
        <v>278</v>
      </c>
    </row>
    <row r="463" spans="1:103" x14ac:dyDescent="0.25">
      <c r="A463" t="s">
        <v>106</v>
      </c>
      <c r="B463" s="38">
        <v>45275</v>
      </c>
      <c r="C463" s="43">
        <f>IF(YEAR(Таблица1[[#This Row],[Дата]])=2023,MONTH(Таблица1[[#This Row],[Дата]]),0)</f>
        <v>12</v>
      </c>
      <c r="D463" t="s">
        <v>1744</v>
      </c>
      <c r="E463" t="s">
        <v>108</v>
      </c>
      <c r="F463" t="s">
        <v>1745</v>
      </c>
      <c r="G463" t="s">
        <v>110</v>
      </c>
      <c r="H463" t="s">
        <v>111</v>
      </c>
      <c r="I463" t="s">
        <v>112</v>
      </c>
      <c r="J463" t="s">
        <v>112</v>
      </c>
      <c r="K463" t="s">
        <v>112</v>
      </c>
      <c r="L463" t="s">
        <v>150</v>
      </c>
      <c r="M463" t="s">
        <v>151</v>
      </c>
      <c r="N463" t="s">
        <v>112</v>
      </c>
      <c r="O463" t="s">
        <v>112</v>
      </c>
      <c r="R463">
        <v>1</v>
      </c>
      <c r="S463">
        <v>33</v>
      </c>
      <c r="T463" t="s">
        <v>166</v>
      </c>
      <c r="U463" t="s">
        <v>152</v>
      </c>
      <c r="V463" t="s">
        <v>153</v>
      </c>
      <c r="W463" t="s">
        <v>154</v>
      </c>
      <c r="X463" t="s">
        <v>119</v>
      </c>
      <c r="Y463" t="s">
        <v>112</v>
      </c>
      <c r="Z463" t="s">
        <v>166</v>
      </c>
      <c r="AA463" t="s">
        <v>152</v>
      </c>
      <c r="AB463" t="s">
        <v>153</v>
      </c>
      <c r="AC463" t="s">
        <v>154</v>
      </c>
      <c r="AD463" t="s">
        <v>119</v>
      </c>
      <c r="AE463" t="s">
        <v>112</v>
      </c>
      <c r="AF463" t="s">
        <v>121</v>
      </c>
      <c r="AG463" t="s">
        <v>122</v>
      </c>
      <c r="AH463">
        <v>4914859.82</v>
      </c>
      <c r="AI463" t="s">
        <v>166</v>
      </c>
      <c r="AJ463" t="s">
        <v>152</v>
      </c>
      <c r="AK463" t="s">
        <v>153</v>
      </c>
      <c r="AL463" t="s">
        <v>154</v>
      </c>
      <c r="AM463" t="s">
        <v>119</v>
      </c>
      <c r="AN463" t="s">
        <v>112</v>
      </c>
      <c r="AO463" t="s">
        <v>121</v>
      </c>
      <c r="AP463" t="s">
        <v>122</v>
      </c>
      <c r="AQ463" t="s">
        <v>122</v>
      </c>
      <c r="AR463" t="s">
        <v>124</v>
      </c>
      <c r="AS463" t="s">
        <v>125</v>
      </c>
      <c r="AU463" t="s">
        <v>126</v>
      </c>
      <c r="AV463" t="s">
        <v>155</v>
      </c>
      <c r="AW463" t="s">
        <v>156</v>
      </c>
      <c r="AY463" t="s">
        <v>129</v>
      </c>
      <c r="AZ463">
        <v>42386.2</v>
      </c>
      <c r="BC463">
        <v>105.6591</v>
      </c>
      <c r="BD463" t="s">
        <v>112</v>
      </c>
      <c r="BE463" t="s">
        <v>112</v>
      </c>
      <c r="BF463" t="s">
        <v>112</v>
      </c>
      <c r="BG463" t="s">
        <v>133</v>
      </c>
      <c r="BH463" t="s">
        <v>134</v>
      </c>
      <c r="BI463" t="s">
        <v>112</v>
      </c>
      <c r="BJ463" t="s">
        <v>112</v>
      </c>
      <c r="BK463" t="s">
        <v>112</v>
      </c>
      <c r="BL463" t="s">
        <v>112</v>
      </c>
      <c r="BM463" t="s">
        <v>112</v>
      </c>
      <c r="BN463" t="s">
        <v>112</v>
      </c>
      <c r="BO463" t="s">
        <v>161</v>
      </c>
      <c r="BQ463" t="s">
        <v>162</v>
      </c>
      <c r="BR463" s="45">
        <f>ISNUMBER(SEARCH($BR$1,Таблица1[[#This Row],[31_1 Описание и характеристика товара]]))*1</f>
        <v>1</v>
      </c>
      <c r="BT463" t="s">
        <v>150</v>
      </c>
      <c r="BU463">
        <v>33</v>
      </c>
      <c r="BV463">
        <v>0</v>
      </c>
      <c r="BW463">
        <v>0</v>
      </c>
      <c r="CA463" t="s">
        <v>106</v>
      </c>
      <c r="CB463" t="s">
        <v>142</v>
      </c>
      <c r="CC463" t="s">
        <v>112</v>
      </c>
      <c r="CD463" t="s">
        <v>112</v>
      </c>
      <c r="CE463" t="s">
        <v>121</v>
      </c>
      <c r="CF463">
        <v>16089.54</v>
      </c>
      <c r="CG463" t="s">
        <v>144</v>
      </c>
      <c r="CH463">
        <v>4000000</v>
      </c>
      <c r="CI463">
        <v>15999.54</v>
      </c>
      <c r="CJ463">
        <v>0</v>
      </c>
      <c r="CK463" t="s">
        <v>112</v>
      </c>
      <c r="CL463" t="s">
        <v>112</v>
      </c>
      <c r="CM463">
        <v>42386.2</v>
      </c>
      <c r="CO463">
        <v>0</v>
      </c>
      <c r="CP463">
        <v>1</v>
      </c>
      <c r="CQ463">
        <v>4914859.82</v>
      </c>
      <c r="CR463">
        <v>50823.49</v>
      </c>
      <c r="CS463" t="s">
        <v>145</v>
      </c>
      <c r="CT463">
        <v>50878.537200000006</v>
      </c>
      <c r="CU463">
        <v>3.18</v>
      </c>
      <c r="CY463">
        <v>313</v>
      </c>
    </row>
    <row r="464" spans="1:103" x14ac:dyDescent="0.25">
      <c r="A464" t="s">
        <v>106</v>
      </c>
      <c r="B464" s="38">
        <v>45131</v>
      </c>
      <c r="C464" s="43">
        <f>IF(YEAR(Таблица1[[#This Row],[Дата]])=2023,MONTH(Таблица1[[#This Row],[Дата]]),0)</f>
        <v>7</v>
      </c>
      <c r="D464" t="s">
        <v>1742</v>
      </c>
      <c r="E464" t="s">
        <v>108</v>
      </c>
      <c r="F464" t="s">
        <v>1743</v>
      </c>
      <c r="G464" t="s">
        <v>110</v>
      </c>
      <c r="H464" t="s">
        <v>111</v>
      </c>
      <c r="I464" t="s">
        <v>112</v>
      </c>
      <c r="J464" t="s">
        <v>112</v>
      </c>
      <c r="K464" t="s">
        <v>112</v>
      </c>
      <c r="L464" t="s">
        <v>150</v>
      </c>
      <c r="M464" t="s">
        <v>151</v>
      </c>
      <c r="N464" t="s">
        <v>112</v>
      </c>
      <c r="O464" t="s">
        <v>112</v>
      </c>
      <c r="R464">
        <v>1</v>
      </c>
      <c r="S464">
        <v>33</v>
      </c>
      <c r="T464" t="s">
        <v>166</v>
      </c>
      <c r="U464" t="s">
        <v>152</v>
      </c>
      <c r="V464" t="s">
        <v>153</v>
      </c>
      <c r="W464" t="s">
        <v>154</v>
      </c>
      <c r="X464" t="s">
        <v>119</v>
      </c>
      <c r="Y464" t="s">
        <v>112</v>
      </c>
      <c r="Z464" t="s">
        <v>166</v>
      </c>
      <c r="AA464" t="s">
        <v>152</v>
      </c>
      <c r="AB464" t="s">
        <v>153</v>
      </c>
      <c r="AC464" t="s">
        <v>154</v>
      </c>
      <c r="AD464" t="s">
        <v>119</v>
      </c>
      <c r="AE464" t="s">
        <v>112</v>
      </c>
      <c r="AF464" t="s">
        <v>121</v>
      </c>
      <c r="AG464" t="s">
        <v>122</v>
      </c>
      <c r="AH464">
        <v>4776962.03</v>
      </c>
      <c r="AI464" t="s">
        <v>166</v>
      </c>
      <c r="AJ464" t="s">
        <v>152</v>
      </c>
      <c r="AK464" t="s">
        <v>153</v>
      </c>
      <c r="AL464" t="s">
        <v>154</v>
      </c>
      <c r="AM464" t="s">
        <v>119</v>
      </c>
      <c r="AN464" t="s">
        <v>112</v>
      </c>
      <c r="AO464" t="s">
        <v>121</v>
      </c>
      <c r="AP464" t="s">
        <v>122</v>
      </c>
      <c r="AQ464" t="s">
        <v>122</v>
      </c>
      <c r="AR464" t="s">
        <v>124</v>
      </c>
      <c r="AS464" t="s">
        <v>125</v>
      </c>
      <c r="AU464" t="s">
        <v>126</v>
      </c>
      <c r="AV464" t="s">
        <v>155</v>
      </c>
      <c r="AW464" t="s">
        <v>156</v>
      </c>
      <c r="AY464" t="s">
        <v>129</v>
      </c>
      <c r="AZ464">
        <v>40561.08</v>
      </c>
      <c r="BC464">
        <v>105.6591</v>
      </c>
      <c r="BD464" t="s">
        <v>112</v>
      </c>
      <c r="BE464" t="s">
        <v>112</v>
      </c>
      <c r="BF464" t="s">
        <v>112</v>
      </c>
      <c r="BG464" t="s">
        <v>133</v>
      </c>
      <c r="BH464" t="s">
        <v>134</v>
      </c>
      <c r="BI464" t="s">
        <v>112</v>
      </c>
      <c r="BJ464" t="s">
        <v>112</v>
      </c>
      <c r="BK464" t="s">
        <v>112</v>
      </c>
      <c r="BL464" t="s">
        <v>112</v>
      </c>
      <c r="BM464" t="s">
        <v>112</v>
      </c>
      <c r="BN464" t="s">
        <v>112</v>
      </c>
      <c r="BO464" t="s">
        <v>161</v>
      </c>
      <c r="BQ464" t="s">
        <v>466</v>
      </c>
      <c r="BR464" s="45">
        <f>ISNUMBER(SEARCH($BR$1,Таблица1[[#This Row],[31_1 Описание и характеристика товара]]))*1</f>
        <v>1</v>
      </c>
      <c r="BT464" t="s">
        <v>150</v>
      </c>
      <c r="BU464">
        <v>33</v>
      </c>
      <c r="BV464">
        <v>0</v>
      </c>
      <c r="BW464">
        <v>0</v>
      </c>
      <c r="CA464" t="s">
        <v>106</v>
      </c>
      <c r="CB464" t="s">
        <v>142</v>
      </c>
      <c r="CC464" t="s">
        <v>112</v>
      </c>
      <c r="CD464" t="s">
        <v>112</v>
      </c>
      <c r="CE464" t="s">
        <v>121</v>
      </c>
      <c r="CF464">
        <v>17219.650000000001</v>
      </c>
      <c r="CG464" t="s">
        <v>144</v>
      </c>
      <c r="CH464">
        <v>4000000</v>
      </c>
      <c r="CI464">
        <v>17219.650000000001</v>
      </c>
      <c r="CJ464">
        <v>0</v>
      </c>
      <c r="CK464" t="s">
        <v>112</v>
      </c>
      <c r="CL464" t="s">
        <v>112</v>
      </c>
      <c r="CM464">
        <v>40561.08</v>
      </c>
      <c r="CO464">
        <v>0</v>
      </c>
      <c r="CP464">
        <v>1</v>
      </c>
      <c r="CQ464">
        <v>4776962.03</v>
      </c>
      <c r="CR464">
        <v>49397.52</v>
      </c>
      <c r="CS464" t="s">
        <v>145</v>
      </c>
      <c r="CT464">
        <v>49420.395500000006</v>
      </c>
      <c r="CU464">
        <v>2.87</v>
      </c>
      <c r="CY464">
        <v>182</v>
      </c>
    </row>
    <row r="465" spans="1:103" x14ac:dyDescent="0.25">
      <c r="A465" t="s">
        <v>106</v>
      </c>
      <c r="B465" s="38">
        <v>45224</v>
      </c>
      <c r="C465" s="43">
        <f>IF(YEAR(Таблица1[[#This Row],[Дата]])=2023,MONTH(Таблица1[[#This Row],[Дата]]),0)</f>
        <v>10</v>
      </c>
      <c r="D465" t="s">
        <v>1740</v>
      </c>
      <c r="E465" t="s">
        <v>108</v>
      </c>
      <c r="F465" t="s">
        <v>1741</v>
      </c>
      <c r="G465" t="s">
        <v>110</v>
      </c>
      <c r="H465" t="s">
        <v>111</v>
      </c>
      <c r="I465" t="s">
        <v>112</v>
      </c>
      <c r="J465" t="s">
        <v>112</v>
      </c>
      <c r="K465" t="s">
        <v>112</v>
      </c>
      <c r="L465" t="s">
        <v>150</v>
      </c>
      <c r="M465" t="s">
        <v>151</v>
      </c>
      <c r="N465" t="s">
        <v>112</v>
      </c>
      <c r="O465" t="s">
        <v>112</v>
      </c>
      <c r="R465">
        <v>1</v>
      </c>
      <c r="S465">
        <v>33</v>
      </c>
      <c r="T465" t="s">
        <v>166</v>
      </c>
      <c r="U465" t="s">
        <v>152</v>
      </c>
      <c r="V465" t="s">
        <v>153</v>
      </c>
      <c r="W465" t="s">
        <v>154</v>
      </c>
      <c r="X465" t="s">
        <v>119</v>
      </c>
      <c r="Y465" t="s">
        <v>112</v>
      </c>
      <c r="Z465" t="s">
        <v>166</v>
      </c>
      <c r="AA465" t="s">
        <v>152</v>
      </c>
      <c r="AB465" t="s">
        <v>153</v>
      </c>
      <c r="AC465" t="s">
        <v>154</v>
      </c>
      <c r="AD465" t="s">
        <v>119</v>
      </c>
      <c r="AE465" t="s">
        <v>112</v>
      </c>
      <c r="AF465" t="s">
        <v>121</v>
      </c>
      <c r="AG465" t="s">
        <v>122</v>
      </c>
      <c r="AH465">
        <v>5369593.3499999996</v>
      </c>
      <c r="AI465" t="s">
        <v>166</v>
      </c>
      <c r="AJ465" t="s">
        <v>152</v>
      </c>
      <c r="AK465" t="s">
        <v>153</v>
      </c>
      <c r="AL465" t="s">
        <v>154</v>
      </c>
      <c r="AM465" t="s">
        <v>119</v>
      </c>
      <c r="AN465" t="s">
        <v>112</v>
      </c>
      <c r="AO465" t="s">
        <v>121</v>
      </c>
      <c r="AP465" t="s">
        <v>122</v>
      </c>
      <c r="AQ465" t="s">
        <v>122</v>
      </c>
      <c r="AR465" t="s">
        <v>124</v>
      </c>
      <c r="AS465" t="s">
        <v>125</v>
      </c>
      <c r="AU465" t="s">
        <v>126</v>
      </c>
      <c r="AV465" t="s">
        <v>155</v>
      </c>
      <c r="AW465" t="s">
        <v>156</v>
      </c>
      <c r="AY465" t="s">
        <v>129</v>
      </c>
      <c r="AZ465">
        <v>46169.98</v>
      </c>
      <c r="BC465">
        <v>105.6591</v>
      </c>
      <c r="BD465" t="s">
        <v>112</v>
      </c>
      <c r="BE465" t="s">
        <v>112</v>
      </c>
      <c r="BF465" t="s">
        <v>112</v>
      </c>
      <c r="BG465" t="s">
        <v>133</v>
      </c>
      <c r="BH465" t="s">
        <v>134</v>
      </c>
      <c r="BI465" t="s">
        <v>112</v>
      </c>
      <c r="BJ465" t="s">
        <v>112</v>
      </c>
      <c r="BK465" t="s">
        <v>112</v>
      </c>
      <c r="BL465" t="s">
        <v>112</v>
      </c>
      <c r="BM465" t="s">
        <v>112</v>
      </c>
      <c r="BN465" t="s">
        <v>112</v>
      </c>
      <c r="BO465" t="s">
        <v>161</v>
      </c>
      <c r="BQ465" t="s">
        <v>232</v>
      </c>
      <c r="BR465" s="45">
        <f>ISNUMBER(SEARCH($BR$1,Таблица1[[#This Row],[31_1 Описание и характеристика товара]]))*1</f>
        <v>1</v>
      </c>
      <c r="BT465" t="s">
        <v>150</v>
      </c>
      <c r="BU465">
        <v>33</v>
      </c>
      <c r="BV465">
        <v>0</v>
      </c>
      <c r="BW465">
        <v>0</v>
      </c>
      <c r="CA465" t="s">
        <v>106</v>
      </c>
      <c r="CB465" t="s">
        <v>142</v>
      </c>
      <c r="CC465" t="s">
        <v>112</v>
      </c>
      <c r="CD465" t="s">
        <v>112</v>
      </c>
      <c r="CE465" t="s">
        <v>121</v>
      </c>
      <c r="CF465">
        <v>17000.900000000001</v>
      </c>
      <c r="CG465" t="s">
        <v>144</v>
      </c>
      <c r="CH465">
        <v>4000000</v>
      </c>
      <c r="CI465">
        <v>16947.5</v>
      </c>
      <c r="CJ465">
        <v>0</v>
      </c>
      <c r="CK465" t="s">
        <v>112</v>
      </c>
      <c r="CL465" t="s">
        <v>112</v>
      </c>
      <c r="CM465">
        <v>46169.98</v>
      </c>
      <c r="CO465">
        <v>0</v>
      </c>
      <c r="CP465">
        <v>1</v>
      </c>
      <c r="CQ465">
        <v>5369593.3499999996</v>
      </c>
      <c r="CR465">
        <v>55525.79</v>
      </c>
      <c r="CS465" t="s">
        <v>145</v>
      </c>
      <c r="CT465">
        <v>55587.799999999996</v>
      </c>
      <c r="CU465">
        <v>3.28</v>
      </c>
      <c r="CY465">
        <v>296</v>
      </c>
    </row>
    <row r="466" spans="1:103" x14ac:dyDescent="0.25">
      <c r="A466" t="s">
        <v>106</v>
      </c>
      <c r="B466" s="38">
        <v>45056</v>
      </c>
      <c r="C466" s="43">
        <f>IF(YEAR(Таблица1[[#This Row],[Дата]])=2023,MONTH(Таблица1[[#This Row],[Дата]]),0)</f>
        <v>5</v>
      </c>
      <c r="D466" t="s">
        <v>1492</v>
      </c>
      <c r="E466" t="s">
        <v>108</v>
      </c>
      <c r="F466" t="s">
        <v>1493</v>
      </c>
      <c r="G466" t="s">
        <v>110</v>
      </c>
      <c r="H466" t="s">
        <v>111</v>
      </c>
      <c r="I466" t="s">
        <v>112</v>
      </c>
      <c r="J466" t="s">
        <v>112</v>
      </c>
      <c r="K466" t="s">
        <v>112</v>
      </c>
      <c r="L466" t="s">
        <v>150</v>
      </c>
      <c r="M466" t="s">
        <v>1060</v>
      </c>
      <c r="N466" t="s">
        <v>112</v>
      </c>
      <c r="O466" t="s">
        <v>112</v>
      </c>
      <c r="P466">
        <v>1</v>
      </c>
      <c r="Q466">
        <v>0</v>
      </c>
      <c r="R466">
        <v>1</v>
      </c>
      <c r="S466">
        <v>33</v>
      </c>
      <c r="T466" t="s">
        <v>166</v>
      </c>
      <c r="U466" t="s">
        <v>152</v>
      </c>
      <c r="V466" t="s">
        <v>153</v>
      </c>
      <c r="W466" t="s">
        <v>154</v>
      </c>
      <c r="X466" t="s">
        <v>119</v>
      </c>
      <c r="Y466" t="s">
        <v>112</v>
      </c>
      <c r="Z466" t="s">
        <v>166</v>
      </c>
      <c r="AA466" t="s">
        <v>152</v>
      </c>
      <c r="AB466" t="s">
        <v>153</v>
      </c>
      <c r="AC466" t="s">
        <v>154</v>
      </c>
      <c r="AD466" t="s">
        <v>119</v>
      </c>
      <c r="AE466" t="s">
        <v>112</v>
      </c>
      <c r="AF466" t="s">
        <v>121</v>
      </c>
      <c r="AG466" t="s">
        <v>122</v>
      </c>
      <c r="AH466">
        <v>4798630.2699999996</v>
      </c>
      <c r="AI466" t="s">
        <v>166</v>
      </c>
      <c r="AJ466" t="s">
        <v>152</v>
      </c>
      <c r="AK466" t="s">
        <v>153</v>
      </c>
      <c r="AL466" t="s">
        <v>154</v>
      </c>
      <c r="AM466" t="s">
        <v>119</v>
      </c>
      <c r="AN466" t="s">
        <v>112</v>
      </c>
      <c r="AO466" t="s">
        <v>121</v>
      </c>
      <c r="AP466" t="s">
        <v>122</v>
      </c>
      <c r="AQ466" t="s">
        <v>122</v>
      </c>
      <c r="AR466" t="s">
        <v>124</v>
      </c>
      <c r="AS466" t="s">
        <v>125</v>
      </c>
      <c r="AT466">
        <v>2</v>
      </c>
      <c r="AU466" t="s">
        <v>126</v>
      </c>
      <c r="AV466" t="s">
        <v>155</v>
      </c>
      <c r="AW466" t="s">
        <v>156</v>
      </c>
      <c r="AX466">
        <v>1</v>
      </c>
      <c r="AY466" t="s">
        <v>129</v>
      </c>
      <c r="AZ466">
        <v>42767.67</v>
      </c>
      <c r="BA466">
        <v>4328054</v>
      </c>
      <c r="BB466">
        <v>53247.71</v>
      </c>
      <c r="BC466">
        <v>101.1992</v>
      </c>
      <c r="BD466" t="s">
        <v>130</v>
      </c>
      <c r="BE466" t="s">
        <v>112</v>
      </c>
      <c r="BF466" t="s">
        <v>157</v>
      </c>
      <c r="BG466" t="s">
        <v>133</v>
      </c>
      <c r="BH466" t="s">
        <v>134</v>
      </c>
      <c r="BI466" t="s">
        <v>112</v>
      </c>
      <c r="BJ466" t="s">
        <v>112</v>
      </c>
      <c r="BK466" t="s">
        <v>112</v>
      </c>
      <c r="BL466" t="s">
        <v>169</v>
      </c>
      <c r="BM466" t="s">
        <v>159</v>
      </c>
      <c r="BN466" t="s">
        <v>722</v>
      </c>
      <c r="BO466" t="s">
        <v>161</v>
      </c>
      <c r="BP466">
        <v>1</v>
      </c>
      <c r="BQ466" t="s">
        <v>205</v>
      </c>
      <c r="BR466" s="45">
        <f>ISNUMBER(SEARCH($BR$1,Таблица1[[#This Row],[31_1 Описание и характеристика товара]]))*1</f>
        <v>1</v>
      </c>
      <c r="BT466" t="s">
        <v>150</v>
      </c>
      <c r="BU466">
        <v>33</v>
      </c>
      <c r="BV466">
        <v>0</v>
      </c>
      <c r="BW466">
        <v>0</v>
      </c>
      <c r="BY466">
        <v>0</v>
      </c>
      <c r="CA466" t="s">
        <v>106</v>
      </c>
      <c r="CB466" t="s">
        <v>142</v>
      </c>
      <c r="CC466" t="s">
        <v>112</v>
      </c>
      <c r="CD466" t="s">
        <v>112</v>
      </c>
      <c r="CE466" t="s">
        <v>121</v>
      </c>
      <c r="CF466">
        <v>16949.099999999999</v>
      </c>
      <c r="CG466" t="s">
        <v>144</v>
      </c>
      <c r="CH466">
        <v>4000000</v>
      </c>
      <c r="CI466">
        <v>16869.89</v>
      </c>
      <c r="CJ466">
        <v>0</v>
      </c>
      <c r="CK466" t="s">
        <v>112</v>
      </c>
      <c r="CL466" t="s">
        <v>112</v>
      </c>
      <c r="CM466">
        <v>42767.67</v>
      </c>
      <c r="CN466">
        <v>4328054</v>
      </c>
      <c r="CO466">
        <v>0</v>
      </c>
      <c r="CP466">
        <v>1</v>
      </c>
      <c r="CQ466">
        <v>4798630.2699999996</v>
      </c>
      <c r="CR466">
        <v>53247.71</v>
      </c>
      <c r="CS466" t="s">
        <v>145</v>
      </c>
      <c r="CT466">
        <v>53308.852400000003</v>
      </c>
      <c r="CU466">
        <v>3.16</v>
      </c>
      <c r="CV466">
        <v>45</v>
      </c>
      <c r="CW466" t="s">
        <v>171</v>
      </c>
      <c r="CX466" t="s">
        <v>172</v>
      </c>
      <c r="CY466">
        <v>212</v>
      </c>
    </row>
    <row r="467" spans="1:103" x14ac:dyDescent="0.25">
      <c r="A467" t="s">
        <v>106</v>
      </c>
      <c r="B467" s="38">
        <v>45039</v>
      </c>
      <c r="C467" s="43">
        <f>IF(YEAR(Таблица1[[#This Row],[Дата]])=2023,MONTH(Таблица1[[#This Row],[Дата]]),0)</f>
        <v>4</v>
      </c>
      <c r="D467" t="s">
        <v>1496</v>
      </c>
      <c r="E467" t="s">
        <v>108</v>
      </c>
      <c r="F467" t="s">
        <v>1497</v>
      </c>
      <c r="G467" t="s">
        <v>110</v>
      </c>
      <c r="H467" t="s">
        <v>111</v>
      </c>
      <c r="I467" t="s">
        <v>112</v>
      </c>
      <c r="J467" t="s">
        <v>112</v>
      </c>
      <c r="K467" t="s">
        <v>112</v>
      </c>
      <c r="L467" t="s">
        <v>150</v>
      </c>
      <c r="M467" t="s">
        <v>1060</v>
      </c>
      <c r="N467" t="s">
        <v>112</v>
      </c>
      <c r="O467" t="s">
        <v>112</v>
      </c>
      <c r="P467">
        <v>1</v>
      </c>
      <c r="Q467">
        <v>0</v>
      </c>
      <c r="R467">
        <v>1</v>
      </c>
      <c r="S467">
        <v>33</v>
      </c>
      <c r="T467" t="s">
        <v>166</v>
      </c>
      <c r="U467" t="s">
        <v>152</v>
      </c>
      <c r="V467" t="s">
        <v>153</v>
      </c>
      <c r="W467" t="s">
        <v>154</v>
      </c>
      <c r="X467" t="s">
        <v>119</v>
      </c>
      <c r="Y467" t="s">
        <v>112</v>
      </c>
      <c r="Z467" t="s">
        <v>166</v>
      </c>
      <c r="AA467" t="s">
        <v>152</v>
      </c>
      <c r="AB467" t="s">
        <v>153</v>
      </c>
      <c r="AC467" t="s">
        <v>154</v>
      </c>
      <c r="AD467" t="s">
        <v>119</v>
      </c>
      <c r="AE467" t="s">
        <v>112</v>
      </c>
      <c r="AF467" t="s">
        <v>121</v>
      </c>
      <c r="AG467" t="s">
        <v>122</v>
      </c>
      <c r="AH467">
        <v>4511800.37</v>
      </c>
      <c r="AI467" t="s">
        <v>166</v>
      </c>
      <c r="AJ467" t="s">
        <v>152</v>
      </c>
      <c r="AK467" t="s">
        <v>153</v>
      </c>
      <c r="AL467" t="s">
        <v>154</v>
      </c>
      <c r="AM467" t="s">
        <v>119</v>
      </c>
      <c r="AN467" t="s">
        <v>112</v>
      </c>
      <c r="AO467" t="s">
        <v>121</v>
      </c>
      <c r="AP467" t="s">
        <v>122</v>
      </c>
      <c r="AQ467" t="s">
        <v>122</v>
      </c>
      <c r="AR467" t="s">
        <v>124</v>
      </c>
      <c r="AS467" t="s">
        <v>125</v>
      </c>
      <c r="AT467">
        <v>2</v>
      </c>
      <c r="AU467" t="s">
        <v>126</v>
      </c>
      <c r="AV467" t="s">
        <v>155</v>
      </c>
      <c r="AW467" t="s">
        <v>156</v>
      </c>
      <c r="AX467">
        <v>1</v>
      </c>
      <c r="AY467" t="s">
        <v>129</v>
      </c>
      <c r="AZ467">
        <v>40453.360000000001</v>
      </c>
      <c r="BA467">
        <v>4093848</v>
      </c>
      <c r="BB467">
        <v>50064.92</v>
      </c>
      <c r="BC467">
        <v>101.1992</v>
      </c>
      <c r="BD467" t="s">
        <v>130</v>
      </c>
      <c r="BE467" t="s">
        <v>112</v>
      </c>
      <c r="BF467" t="s">
        <v>157</v>
      </c>
      <c r="BG467" t="s">
        <v>133</v>
      </c>
      <c r="BH467" t="s">
        <v>134</v>
      </c>
      <c r="BI467" t="s">
        <v>112</v>
      </c>
      <c r="BJ467" t="s">
        <v>112</v>
      </c>
      <c r="BK467" t="s">
        <v>112</v>
      </c>
      <c r="BL467" t="s">
        <v>169</v>
      </c>
      <c r="BM467" t="s">
        <v>159</v>
      </c>
      <c r="BN467" t="s">
        <v>722</v>
      </c>
      <c r="BO467" t="s">
        <v>161</v>
      </c>
      <c r="BP467">
        <v>1</v>
      </c>
      <c r="BQ467" t="s">
        <v>1498</v>
      </c>
      <c r="BR467" s="45">
        <f>ISNUMBER(SEARCH($BR$1,Таблица1[[#This Row],[31_1 Описание и характеристика товара]]))*1</f>
        <v>1</v>
      </c>
      <c r="BT467" t="s">
        <v>150</v>
      </c>
      <c r="BU467">
        <v>33</v>
      </c>
      <c r="BV467">
        <v>0</v>
      </c>
      <c r="BW467">
        <v>0</v>
      </c>
      <c r="BY467">
        <v>0</v>
      </c>
      <c r="CA467" t="s">
        <v>106</v>
      </c>
      <c r="CB467" t="s">
        <v>142</v>
      </c>
      <c r="CC467" t="s">
        <v>112</v>
      </c>
      <c r="CD467" t="s">
        <v>112</v>
      </c>
      <c r="CE467" t="s">
        <v>121</v>
      </c>
      <c r="CF467">
        <v>16161.11</v>
      </c>
      <c r="CG467" t="s">
        <v>144</v>
      </c>
      <c r="CH467">
        <v>4000000</v>
      </c>
      <c r="CI467">
        <v>15972.11</v>
      </c>
      <c r="CJ467">
        <v>0</v>
      </c>
      <c r="CK467" t="s">
        <v>112</v>
      </c>
      <c r="CL467" t="s">
        <v>112</v>
      </c>
      <c r="CM467">
        <v>40453.360000000001</v>
      </c>
      <c r="CN467">
        <v>4093848</v>
      </c>
      <c r="CO467">
        <v>0</v>
      </c>
      <c r="CP467">
        <v>1</v>
      </c>
      <c r="CQ467">
        <v>4511800.37</v>
      </c>
      <c r="CR467">
        <v>50064.92</v>
      </c>
      <c r="CS467" t="s">
        <v>145</v>
      </c>
      <c r="CT467">
        <v>49992.704299999998</v>
      </c>
      <c r="CU467">
        <v>3.13</v>
      </c>
      <c r="CV467">
        <v>45</v>
      </c>
      <c r="CW467" t="s">
        <v>171</v>
      </c>
      <c r="CX467" t="s">
        <v>172</v>
      </c>
      <c r="CY467">
        <v>287</v>
      </c>
    </row>
    <row r="468" spans="1:103" x14ac:dyDescent="0.25">
      <c r="A468" t="s">
        <v>106</v>
      </c>
      <c r="B468" s="38">
        <v>45071</v>
      </c>
      <c r="C468" s="43">
        <f>IF(YEAR(Таблица1[[#This Row],[Дата]])=2023,MONTH(Таблица1[[#This Row],[Дата]]),0)</f>
        <v>5</v>
      </c>
      <c r="D468" t="s">
        <v>1504</v>
      </c>
      <c r="E468" t="s">
        <v>108</v>
      </c>
      <c r="F468" t="s">
        <v>1505</v>
      </c>
      <c r="G468" t="s">
        <v>110</v>
      </c>
      <c r="H468" t="s">
        <v>111</v>
      </c>
      <c r="I468" t="s">
        <v>112</v>
      </c>
      <c r="J468" t="s">
        <v>112</v>
      </c>
      <c r="K468" t="s">
        <v>112</v>
      </c>
      <c r="L468" t="s">
        <v>150</v>
      </c>
      <c r="M468" t="s">
        <v>1060</v>
      </c>
      <c r="N468" t="s">
        <v>112</v>
      </c>
      <c r="O468" t="s">
        <v>112</v>
      </c>
      <c r="P468">
        <v>1</v>
      </c>
      <c r="Q468">
        <v>0</v>
      </c>
      <c r="R468">
        <v>1</v>
      </c>
      <c r="S468">
        <v>33</v>
      </c>
      <c r="T468" t="s">
        <v>166</v>
      </c>
      <c r="U468" t="s">
        <v>152</v>
      </c>
      <c r="V468" t="s">
        <v>153</v>
      </c>
      <c r="W468" t="s">
        <v>154</v>
      </c>
      <c r="X468" t="s">
        <v>119</v>
      </c>
      <c r="Y468" t="s">
        <v>112</v>
      </c>
      <c r="Z468" t="s">
        <v>166</v>
      </c>
      <c r="AA468" t="s">
        <v>152</v>
      </c>
      <c r="AB468" t="s">
        <v>153</v>
      </c>
      <c r="AC468" t="s">
        <v>154</v>
      </c>
      <c r="AD468" t="s">
        <v>119</v>
      </c>
      <c r="AE468" t="s">
        <v>112</v>
      </c>
      <c r="AF468" t="s">
        <v>121</v>
      </c>
      <c r="AG468" t="s">
        <v>122</v>
      </c>
      <c r="AH468">
        <v>4771764.92</v>
      </c>
      <c r="AI468" t="s">
        <v>166</v>
      </c>
      <c r="AJ468" t="s">
        <v>152</v>
      </c>
      <c r="AK468" t="s">
        <v>153</v>
      </c>
      <c r="AL468" t="s">
        <v>154</v>
      </c>
      <c r="AM468" t="s">
        <v>119</v>
      </c>
      <c r="AN468" t="s">
        <v>112</v>
      </c>
      <c r="AO468" t="s">
        <v>121</v>
      </c>
      <c r="AP468" t="s">
        <v>122</v>
      </c>
      <c r="AQ468" t="s">
        <v>122</v>
      </c>
      <c r="AR468" t="s">
        <v>124</v>
      </c>
      <c r="AS468" t="s">
        <v>125</v>
      </c>
      <c r="AT468">
        <v>2</v>
      </c>
      <c r="AU468" t="s">
        <v>126</v>
      </c>
      <c r="AV468" t="s">
        <v>155</v>
      </c>
      <c r="AW468" t="s">
        <v>156</v>
      </c>
      <c r="AX468">
        <v>1</v>
      </c>
      <c r="AY468" t="s">
        <v>129</v>
      </c>
      <c r="AZ468">
        <v>43022.2</v>
      </c>
      <c r="BA468">
        <v>4353812</v>
      </c>
      <c r="BB468">
        <v>52949.599999999999</v>
      </c>
      <c r="BC468">
        <v>101.1992</v>
      </c>
      <c r="BD468" t="s">
        <v>130</v>
      </c>
      <c r="BE468" t="s">
        <v>112</v>
      </c>
      <c r="BF468" t="s">
        <v>157</v>
      </c>
      <c r="BG468" t="s">
        <v>133</v>
      </c>
      <c r="BH468" t="s">
        <v>134</v>
      </c>
      <c r="BI468" t="s">
        <v>112</v>
      </c>
      <c r="BJ468" t="s">
        <v>112</v>
      </c>
      <c r="BK468" t="s">
        <v>112</v>
      </c>
      <c r="BL468" t="s">
        <v>169</v>
      </c>
      <c r="BM468" t="s">
        <v>159</v>
      </c>
      <c r="BN468" t="s">
        <v>722</v>
      </c>
      <c r="BO468" t="s">
        <v>161</v>
      </c>
      <c r="BP468">
        <v>1</v>
      </c>
      <c r="BQ468" t="s">
        <v>232</v>
      </c>
      <c r="BR468" s="45">
        <f>ISNUMBER(SEARCH($BR$1,Таблица1[[#This Row],[31_1 Описание и характеристика товара]]))*1</f>
        <v>1</v>
      </c>
      <c r="BT468" t="s">
        <v>150</v>
      </c>
      <c r="BU468">
        <v>33</v>
      </c>
      <c r="BV468">
        <v>0</v>
      </c>
      <c r="BW468">
        <v>0</v>
      </c>
      <c r="BY468">
        <v>0</v>
      </c>
      <c r="CA468" t="s">
        <v>106</v>
      </c>
      <c r="CB468" t="s">
        <v>142</v>
      </c>
      <c r="CC468" t="s">
        <v>112</v>
      </c>
      <c r="CD468" t="s">
        <v>112</v>
      </c>
      <c r="CE468" t="s">
        <v>121</v>
      </c>
      <c r="CF468">
        <v>15618.32</v>
      </c>
      <c r="CG468" t="s">
        <v>144</v>
      </c>
      <c r="CH468">
        <v>4000000</v>
      </c>
      <c r="CI468">
        <v>15345.92</v>
      </c>
      <c r="CJ468">
        <v>0</v>
      </c>
      <c r="CK468" t="s">
        <v>112</v>
      </c>
      <c r="CL468" t="s">
        <v>112</v>
      </c>
      <c r="CM468">
        <v>43022.2</v>
      </c>
      <c r="CN468">
        <v>4353812</v>
      </c>
      <c r="CO468">
        <v>0</v>
      </c>
      <c r="CP468">
        <v>1</v>
      </c>
      <c r="CQ468">
        <v>4771764.92</v>
      </c>
      <c r="CR468">
        <v>52949.599999999999</v>
      </c>
      <c r="CS468" t="s">
        <v>145</v>
      </c>
      <c r="CT468">
        <v>52943.424000000006</v>
      </c>
      <c r="CU468">
        <v>3.45</v>
      </c>
      <c r="CV468">
        <v>45</v>
      </c>
      <c r="CW468" t="s">
        <v>171</v>
      </c>
      <c r="CX468" t="s">
        <v>372</v>
      </c>
      <c r="CY468">
        <v>314</v>
      </c>
    </row>
    <row r="469" spans="1:103" x14ac:dyDescent="0.25">
      <c r="A469" t="s">
        <v>106</v>
      </c>
      <c r="B469" s="38">
        <v>45193</v>
      </c>
      <c r="C469" s="43">
        <f>IF(YEAR(Таблица1[[#This Row],[Дата]])=2023,MONTH(Таблица1[[#This Row],[Дата]]),0)</f>
        <v>9</v>
      </c>
      <c r="D469" t="s">
        <v>1502</v>
      </c>
      <c r="E469" t="s">
        <v>108</v>
      </c>
      <c r="F469" t="s">
        <v>1503</v>
      </c>
      <c r="G469" t="s">
        <v>110</v>
      </c>
      <c r="H469" t="s">
        <v>111</v>
      </c>
      <c r="I469" t="s">
        <v>112</v>
      </c>
      <c r="J469" t="s">
        <v>112</v>
      </c>
      <c r="K469" t="s">
        <v>112</v>
      </c>
      <c r="L469" t="s">
        <v>150</v>
      </c>
      <c r="M469" t="s">
        <v>1060</v>
      </c>
      <c r="N469" t="s">
        <v>112</v>
      </c>
      <c r="O469" t="s">
        <v>112</v>
      </c>
      <c r="P469">
        <v>1</v>
      </c>
      <c r="Q469">
        <v>0</v>
      </c>
      <c r="R469">
        <v>1</v>
      </c>
      <c r="S469">
        <v>33</v>
      </c>
      <c r="T469" t="s">
        <v>166</v>
      </c>
      <c r="U469" t="s">
        <v>152</v>
      </c>
      <c r="V469" t="s">
        <v>153</v>
      </c>
      <c r="W469" t="s">
        <v>154</v>
      </c>
      <c r="X469" t="s">
        <v>119</v>
      </c>
      <c r="Y469" t="s">
        <v>112</v>
      </c>
      <c r="Z469" t="s">
        <v>166</v>
      </c>
      <c r="AA469" t="s">
        <v>152</v>
      </c>
      <c r="AB469" t="s">
        <v>153</v>
      </c>
      <c r="AC469" t="s">
        <v>154</v>
      </c>
      <c r="AD469" t="s">
        <v>119</v>
      </c>
      <c r="AE469" t="s">
        <v>112</v>
      </c>
      <c r="AF469" t="s">
        <v>121</v>
      </c>
      <c r="AG469" t="s">
        <v>122</v>
      </c>
      <c r="AH469">
        <v>4734412.3</v>
      </c>
      <c r="AI469" t="s">
        <v>166</v>
      </c>
      <c r="AJ469" t="s">
        <v>152</v>
      </c>
      <c r="AK469" t="s">
        <v>153</v>
      </c>
      <c r="AL469" t="s">
        <v>154</v>
      </c>
      <c r="AM469" t="s">
        <v>119</v>
      </c>
      <c r="AN469" t="s">
        <v>112</v>
      </c>
      <c r="AO469" t="s">
        <v>121</v>
      </c>
      <c r="AP469" t="s">
        <v>122</v>
      </c>
      <c r="AQ469" t="s">
        <v>122</v>
      </c>
      <c r="AR469" t="s">
        <v>124</v>
      </c>
      <c r="AS469" t="s">
        <v>125</v>
      </c>
      <c r="AT469">
        <v>2</v>
      </c>
      <c r="AU469" t="s">
        <v>126</v>
      </c>
      <c r="AV469" t="s">
        <v>155</v>
      </c>
      <c r="AW469" t="s">
        <v>156</v>
      </c>
      <c r="AX469">
        <v>1</v>
      </c>
      <c r="AY469" t="s">
        <v>129</v>
      </c>
      <c r="AZ469">
        <v>42653.1</v>
      </c>
      <c r="BA469">
        <v>4316460</v>
      </c>
      <c r="BB469">
        <v>52535.12</v>
      </c>
      <c r="BC469">
        <v>101.1992</v>
      </c>
      <c r="BD469" t="s">
        <v>130</v>
      </c>
      <c r="BE469" t="s">
        <v>112</v>
      </c>
      <c r="BF469" t="s">
        <v>157</v>
      </c>
      <c r="BG469" t="s">
        <v>133</v>
      </c>
      <c r="BH469" t="s">
        <v>134</v>
      </c>
      <c r="BI469" t="s">
        <v>112</v>
      </c>
      <c r="BJ469" t="s">
        <v>112</v>
      </c>
      <c r="BK469" t="s">
        <v>112</v>
      </c>
      <c r="BL469" t="s">
        <v>169</v>
      </c>
      <c r="BM469" t="s">
        <v>159</v>
      </c>
      <c r="BN469" t="s">
        <v>722</v>
      </c>
      <c r="BO469" t="s">
        <v>161</v>
      </c>
      <c r="BP469">
        <v>1</v>
      </c>
      <c r="BQ469" t="s">
        <v>232</v>
      </c>
      <c r="BR469" s="45">
        <f>ISNUMBER(SEARCH($BR$1,Таблица1[[#This Row],[31_1 Описание и характеристика товара]]))*1</f>
        <v>1</v>
      </c>
      <c r="BT469" t="s">
        <v>150</v>
      </c>
      <c r="BU469">
        <v>33</v>
      </c>
      <c r="BV469">
        <v>0</v>
      </c>
      <c r="BW469">
        <v>0</v>
      </c>
      <c r="BY469">
        <v>0</v>
      </c>
      <c r="CA469" t="s">
        <v>106</v>
      </c>
      <c r="CB469" t="s">
        <v>142</v>
      </c>
      <c r="CC469" t="s">
        <v>112</v>
      </c>
      <c r="CD469" t="s">
        <v>112</v>
      </c>
      <c r="CE469" t="s">
        <v>121</v>
      </c>
      <c r="CF469">
        <v>16857.990000000002</v>
      </c>
      <c r="CG469" t="s">
        <v>144</v>
      </c>
      <c r="CH469">
        <v>4000000</v>
      </c>
      <c r="CI469">
        <v>16771.59</v>
      </c>
      <c r="CJ469">
        <v>0</v>
      </c>
      <c r="CK469" t="s">
        <v>112</v>
      </c>
      <c r="CL469" t="s">
        <v>112</v>
      </c>
      <c r="CM469">
        <v>42653.1</v>
      </c>
      <c r="CN469">
        <v>4316460</v>
      </c>
      <c r="CO469">
        <v>0</v>
      </c>
      <c r="CP469">
        <v>1</v>
      </c>
      <c r="CQ469">
        <v>4734412.3</v>
      </c>
      <c r="CR469">
        <v>52535.12</v>
      </c>
      <c r="CS469" t="s">
        <v>145</v>
      </c>
      <c r="CT469">
        <v>52495.076699999998</v>
      </c>
      <c r="CU469">
        <v>3.13</v>
      </c>
      <c r="CV469">
        <v>45</v>
      </c>
      <c r="CW469" t="s">
        <v>171</v>
      </c>
      <c r="CX469" t="s">
        <v>463</v>
      </c>
      <c r="CY469">
        <v>583</v>
      </c>
    </row>
    <row r="470" spans="1:103" x14ac:dyDescent="0.25">
      <c r="A470" t="s">
        <v>106</v>
      </c>
      <c r="B470" s="38">
        <v>45193</v>
      </c>
      <c r="C470" s="43">
        <f>IF(YEAR(Таблица1[[#This Row],[Дата]])=2023,MONTH(Таблица1[[#This Row],[Дата]]),0)</f>
        <v>9</v>
      </c>
      <c r="D470" t="s">
        <v>1499</v>
      </c>
      <c r="E470" t="s">
        <v>108</v>
      </c>
      <c r="F470" t="s">
        <v>1500</v>
      </c>
      <c r="G470" t="s">
        <v>110</v>
      </c>
      <c r="H470" t="s">
        <v>111</v>
      </c>
      <c r="I470" t="s">
        <v>112</v>
      </c>
      <c r="J470" t="s">
        <v>112</v>
      </c>
      <c r="K470" t="s">
        <v>112</v>
      </c>
      <c r="L470" t="s">
        <v>150</v>
      </c>
      <c r="M470" t="s">
        <v>1060</v>
      </c>
      <c r="N470" t="s">
        <v>112</v>
      </c>
      <c r="O470" t="s">
        <v>112</v>
      </c>
      <c r="P470">
        <v>1</v>
      </c>
      <c r="Q470">
        <v>0</v>
      </c>
      <c r="R470">
        <v>1</v>
      </c>
      <c r="S470">
        <v>33</v>
      </c>
      <c r="T470" t="s">
        <v>166</v>
      </c>
      <c r="U470" t="s">
        <v>152</v>
      </c>
      <c r="V470" t="s">
        <v>153</v>
      </c>
      <c r="W470" t="s">
        <v>154</v>
      </c>
      <c r="X470" t="s">
        <v>119</v>
      </c>
      <c r="Y470" t="s">
        <v>112</v>
      </c>
      <c r="Z470" t="s">
        <v>166</v>
      </c>
      <c r="AA470" t="s">
        <v>152</v>
      </c>
      <c r="AB470" t="s">
        <v>153</v>
      </c>
      <c r="AC470" t="s">
        <v>154</v>
      </c>
      <c r="AD470" t="s">
        <v>119</v>
      </c>
      <c r="AE470" t="s">
        <v>112</v>
      </c>
      <c r="AF470" t="s">
        <v>121</v>
      </c>
      <c r="AG470" t="s">
        <v>122</v>
      </c>
      <c r="AH470">
        <v>4638181.9800000004</v>
      </c>
      <c r="AI470" t="s">
        <v>166</v>
      </c>
      <c r="AJ470" t="s">
        <v>152</v>
      </c>
      <c r="AK470" t="s">
        <v>153</v>
      </c>
      <c r="AL470" t="s">
        <v>154</v>
      </c>
      <c r="AM470" t="s">
        <v>119</v>
      </c>
      <c r="AN470" t="s">
        <v>112</v>
      </c>
      <c r="AO470" t="s">
        <v>121</v>
      </c>
      <c r="AP470" t="s">
        <v>122</v>
      </c>
      <c r="AQ470" t="s">
        <v>122</v>
      </c>
      <c r="AR470" t="s">
        <v>124</v>
      </c>
      <c r="AS470" t="s">
        <v>125</v>
      </c>
      <c r="AT470">
        <v>2</v>
      </c>
      <c r="AU470" t="s">
        <v>126</v>
      </c>
      <c r="AV470" t="s">
        <v>155</v>
      </c>
      <c r="AW470" t="s">
        <v>156</v>
      </c>
      <c r="AX470">
        <v>1</v>
      </c>
      <c r="AY470" t="s">
        <v>129</v>
      </c>
      <c r="AZ470">
        <v>41702.199999999997</v>
      </c>
      <c r="BA470">
        <v>4220229</v>
      </c>
      <c r="BB470">
        <v>51467.3</v>
      </c>
      <c r="BC470">
        <v>101.1992</v>
      </c>
      <c r="BD470" t="s">
        <v>130</v>
      </c>
      <c r="BE470" t="s">
        <v>112</v>
      </c>
      <c r="BF470" t="s">
        <v>157</v>
      </c>
      <c r="BG470" t="s">
        <v>133</v>
      </c>
      <c r="BH470" t="s">
        <v>167</v>
      </c>
      <c r="BI470" t="s">
        <v>168</v>
      </c>
      <c r="BJ470" t="s">
        <v>112</v>
      </c>
      <c r="BK470" t="s">
        <v>112</v>
      </c>
      <c r="BL470" t="s">
        <v>169</v>
      </c>
      <c r="BM470" t="s">
        <v>159</v>
      </c>
      <c r="BN470" t="s">
        <v>726</v>
      </c>
      <c r="BO470" t="s">
        <v>161</v>
      </c>
      <c r="BP470">
        <v>1</v>
      </c>
      <c r="BQ470" t="s">
        <v>1501</v>
      </c>
      <c r="BR470" s="45">
        <f>ISNUMBER(SEARCH($BR$1,Таблица1[[#This Row],[31_1 Описание и характеристика товара]]))*1</f>
        <v>1</v>
      </c>
      <c r="BT470" t="s">
        <v>150</v>
      </c>
      <c r="BU470">
        <v>33</v>
      </c>
      <c r="BV470">
        <v>0</v>
      </c>
      <c r="BW470">
        <v>0</v>
      </c>
      <c r="BY470">
        <v>0</v>
      </c>
      <c r="CA470" t="s">
        <v>106</v>
      </c>
      <c r="CB470" t="s">
        <v>142</v>
      </c>
      <c r="CC470" t="s">
        <v>112</v>
      </c>
      <c r="CD470" t="s">
        <v>112</v>
      </c>
      <c r="CE470" t="s">
        <v>121</v>
      </c>
      <c r="CF470">
        <v>16721.939999999999</v>
      </c>
      <c r="CG470" t="s">
        <v>144</v>
      </c>
      <c r="CH470">
        <v>4000000</v>
      </c>
      <c r="CI470">
        <v>16613.939999999999</v>
      </c>
      <c r="CJ470">
        <v>0</v>
      </c>
      <c r="CK470" t="s">
        <v>112</v>
      </c>
      <c r="CL470" t="s">
        <v>112</v>
      </c>
      <c r="CM470">
        <v>41702.199999999997</v>
      </c>
      <c r="CN470">
        <v>4220229</v>
      </c>
      <c r="CO470">
        <v>0</v>
      </c>
      <c r="CP470">
        <v>1</v>
      </c>
      <c r="CQ470">
        <v>4638181.9800000004</v>
      </c>
      <c r="CR470">
        <v>51467.3</v>
      </c>
      <c r="CS470" t="s">
        <v>145</v>
      </c>
      <c r="CT470">
        <v>51503.214</v>
      </c>
      <c r="CU470">
        <v>3.1</v>
      </c>
      <c r="CV470">
        <v>45</v>
      </c>
      <c r="CW470" t="s">
        <v>171</v>
      </c>
      <c r="CX470" t="s">
        <v>369</v>
      </c>
      <c r="CY470">
        <v>248</v>
      </c>
    </row>
    <row r="471" spans="1:103" x14ac:dyDescent="0.25">
      <c r="A471" t="s">
        <v>106</v>
      </c>
      <c r="B471" s="38">
        <v>45150</v>
      </c>
      <c r="C471" s="43">
        <f>IF(YEAR(Таблица1[[#This Row],[Дата]])=2023,MONTH(Таблица1[[#This Row],[Дата]]),0)</f>
        <v>8</v>
      </c>
      <c r="D471" t="s">
        <v>1065</v>
      </c>
      <c r="E471" t="s">
        <v>108</v>
      </c>
      <c r="F471" t="s">
        <v>1066</v>
      </c>
      <c r="G471" t="s">
        <v>110</v>
      </c>
      <c r="H471" t="s">
        <v>111</v>
      </c>
      <c r="I471" t="s">
        <v>112</v>
      </c>
      <c r="J471" t="s">
        <v>112</v>
      </c>
      <c r="K471" t="s">
        <v>112</v>
      </c>
      <c r="L471" t="s">
        <v>150</v>
      </c>
      <c r="M471" t="s">
        <v>1060</v>
      </c>
      <c r="N471" t="s">
        <v>112</v>
      </c>
      <c r="O471" t="s">
        <v>112</v>
      </c>
      <c r="P471">
        <v>1</v>
      </c>
      <c r="Q471">
        <v>0</v>
      </c>
      <c r="R471">
        <v>1</v>
      </c>
      <c r="S471">
        <v>33</v>
      </c>
      <c r="T471" t="s">
        <v>166</v>
      </c>
      <c r="U471" t="s">
        <v>152</v>
      </c>
      <c r="V471" t="s">
        <v>153</v>
      </c>
      <c r="W471" t="s">
        <v>154</v>
      </c>
      <c r="X471" t="s">
        <v>119</v>
      </c>
      <c r="Y471" t="s">
        <v>112</v>
      </c>
      <c r="Z471" t="s">
        <v>166</v>
      </c>
      <c r="AA471" t="s">
        <v>152</v>
      </c>
      <c r="AB471" t="s">
        <v>153</v>
      </c>
      <c r="AC471" t="s">
        <v>154</v>
      </c>
      <c r="AD471" t="s">
        <v>119</v>
      </c>
      <c r="AE471" t="s">
        <v>112</v>
      </c>
      <c r="AF471" t="s">
        <v>121</v>
      </c>
      <c r="AG471" t="s">
        <v>122</v>
      </c>
      <c r="AH471">
        <v>4129263.04</v>
      </c>
      <c r="AI471" t="s">
        <v>166</v>
      </c>
      <c r="AJ471" t="s">
        <v>152</v>
      </c>
      <c r="AK471" t="s">
        <v>153</v>
      </c>
      <c r="AL471" t="s">
        <v>154</v>
      </c>
      <c r="AM471" t="s">
        <v>119</v>
      </c>
      <c r="AN471" t="s">
        <v>112</v>
      </c>
      <c r="AO471" t="s">
        <v>121</v>
      </c>
      <c r="AP471" t="s">
        <v>122</v>
      </c>
      <c r="AQ471" t="s">
        <v>122</v>
      </c>
      <c r="AR471" t="s">
        <v>124</v>
      </c>
      <c r="AS471" t="s">
        <v>125</v>
      </c>
      <c r="AT471">
        <v>2</v>
      </c>
      <c r="AU471" t="s">
        <v>126</v>
      </c>
      <c r="AV471" t="s">
        <v>155</v>
      </c>
      <c r="AW471" t="s">
        <v>156</v>
      </c>
      <c r="AX471">
        <v>1</v>
      </c>
      <c r="AY471" t="s">
        <v>129</v>
      </c>
      <c r="AZ471">
        <v>41447.4</v>
      </c>
      <c r="BA471">
        <v>3737051</v>
      </c>
      <c r="BB471">
        <v>50663.01</v>
      </c>
      <c r="BC471">
        <v>90.163700000000006</v>
      </c>
      <c r="BD471" t="s">
        <v>130</v>
      </c>
      <c r="BE471" t="s">
        <v>112</v>
      </c>
      <c r="BF471" t="s">
        <v>157</v>
      </c>
      <c r="BG471" t="s">
        <v>133</v>
      </c>
      <c r="BH471" t="s">
        <v>134</v>
      </c>
      <c r="BI471" t="s">
        <v>112</v>
      </c>
      <c r="BJ471" t="s">
        <v>112</v>
      </c>
      <c r="BK471" t="s">
        <v>112</v>
      </c>
      <c r="BL471" t="s">
        <v>169</v>
      </c>
      <c r="BM471" t="s">
        <v>159</v>
      </c>
      <c r="BN471" t="s">
        <v>722</v>
      </c>
      <c r="BO471" t="s">
        <v>161</v>
      </c>
      <c r="BP471">
        <v>1</v>
      </c>
      <c r="BQ471" t="s">
        <v>232</v>
      </c>
      <c r="BR471" s="45">
        <f>ISNUMBER(SEARCH($BR$1,Таблица1[[#This Row],[31_1 Описание и характеристика товара]]))*1</f>
        <v>1</v>
      </c>
      <c r="BT471" t="s">
        <v>150</v>
      </c>
      <c r="BU471">
        <v>33</v>
      </c>
      <c r="BV471">
        <v>0</v>
      </c>
      <c r="BW471">
        <v>0</v>
      </c>
      <c r="BY471">
        <v>0</v>
      </c>
      <c r="CA471" t="s">
        <v>106</v>
      </c>
      <c r="CB471" t="s">
        <v>142</v>
      </c>
      <c r="CC471" t="s">
        <v>112</v>
      </c>
      <c r="CD471" t="s">
        <v>112</v>
      </c>
      <c r="CE471" t="s">
        <v>121</v>
      </c>
      <c r="CF471">
        <v>16882.32</v>
      </c>
      <c r="CG471" t="s">
        <v>144</v>
      </c>
      <c r="CH471">
        <v>4000000</v>
      </c>
      <c r="CI471">
        <v>16817.52</v>
      </c>
      <c r="CJ471">
        <v>0</v>
      </c>
      <c r="CK471" t="s">
        <v>112</v>
      </c>
      <c r="CL471" t="s">
        <v>112</v>
      </c>
      <c r="CM471">
        <v>41447.4</v>
      </c>
      <c r="CN471">
        <v>3737051</v>
      </c>
      <c r="CO471">
        <v>0</v>
      </c>
      <c r="CP471">
        <v>1</v>
      </c>
      <c r="CQ471">
        <v>4129263.04</v>
      </c>
      <c r="CR471">
        <v>50663.01</v>
      </c>
      <c r="CS471" t="s">
        <v>145</v>
      </c>
      <c r="CT471">
        <v>50662.779000000002</v>
      </c>
      <c r="CU471">
        <v>3.0125000000000002</v>
      </c>
      <c r="CV471">
        <v>45</v>
      </c>
      <c r="CW471" t="s">
        <v>171</v>
      </c>
      <c r="CX471" t="s">
        <v>463</v>
      </c>
      <c r="CY471">
        <v>174</v>
      </c>
    </row>
    <row r="472" spans="1:103" x14ac:dyDescent="0.25">
      <c r="A472" t="s">
        <v>106</v>
      </c>
      <c r="B472" s="38">
        <v>45048</v>
      </c>
      <c r="C472" s="43">
        <f>IF(YEAR(Таблица1[[#This Row],[Дата]])=2023,MONTH(Таблица1[[#This Row],[Дата]]),0)</f>
        <v>5</v>
      </c>
      <c r="D472" t="s">
        <v>1067</v>
      </c>
      <c r="E472" t="s">
        <v>108</v>
      </c>
      <c r="F472" t="s">
        <v>1068</v>
      </c>
      <c r="G472" t="s">
        <v>110</v>
      </c>
      <c r="H472" t="s">
        <v>111</v>
      </c>
      <c r="I472" t="s">
        <v>112</v>
      </c>
      <c r="J472" t="s">
        <v>112</v>
      </c>
      <c r="K472" t="s">
        <v>112</v>
      </c>
      <c r="L472" t="s">
        <v>150</v>
      </c>
      <c r="M472" t="s">
        <v>1060</v>
      </c>
      <c r="N472" t="s">
        <v>112</v>
      </c>
      <c r="O472" t="s">
        <v>112</v>
      </c>
      <c r="P472">
        <v>1</v>
      </c>
      <c r="Q472">
        <v>0</v>
      </c>
      <c r="R472">
        <v>1</v>
      </c>
      <c r="S472">
        <v>33</v>
      </c>
      <c r="T472" t="s">
        <v>166</v>
      </c>
      <c r="U472" t="s">
        <v>152</v>
      </c>
      <c r="V472" t="s">
        <v>153</v>
      </c>
      <c r="W472" t="s">
        <v>154</v>
      </c>
      <c r="X472" t="s">
        <v>119</v>
      </c>
      <c r="Y472" t="s">
        <v>112</v>
      </c>
      <c r="Z472" t="s">
        <v>166</v>
      </c>
      <c r="AA472" t="s">
        <v>152</v>
      </c>
      <c r="AB472" t="s">
        <v>153</v>
      </c>
      <c r="AC472" t="s">
        <v>154</v>
      </c>
      <c r="AD472" t="s">
        <v>119</v>
      </c>
      <c r="AE472" t="s">
        <v>112</v>
      </c>
      <c r="AF472" t="s">
        <v>121</v>
      </c>
      <c r="AG472" t="s">
        <v>122</v>
      </c>
      <c r="AH472">
        <v>4010344.33</v>
      </c>
      <c r="AI472" t="s">
        <v>166</v>
      </c>
      <c r="AJ472" t="s">
        <v>152</v>
      </c>
      <c r="AK472" t="s">
        <v>153</v>
      </c>
      <c r="AL472" t="s">
        <v>154</v>
      </c>
      <c r="AM472" t="s">
        <v>119</v>
      </c>
      <c r="AN472" t="s">
        <v>112</v>
      </c>
      <c r="AO472" t="s">
        <v>121</v>
      </c>
      <c r="AP472" t="s">
        <v>122</v>
      </c>
      <c r="AQ472" t="s">
        <v>122</v>
      </c>
      <c r="AR472" t="s">
        <v>124</v>
      </c>
      <c r="AS472" t="s">
        <v>125</v>
      </c>
      <c r="AT472">
        <v>2</v>
      </c>
      <c r="AU472" t="s">
        <v>126</v>
      </c>
      <c r="AV472" t="s">
        <v>155</v>
      </c>
      <c r="AW472" t="s">
        <v>156</v>
      </c>
      <c r="AX472">
        <v>1</v>
      </c>
      <c r="AY472" t="s">
        <v>129</v>
      </c>
      <c r="AZ472">
        <v>40128.480000000003</v>
      </c>
      <c r="BA472">
        <v>3618132</v>
      </c>
      <c r="BB472">
        <v>49203.96</v>
      </c>
      <c r="BC472">
        <v>90.163700000000006</v>
      </c>
      <c r="BD472" t="s">
        <v>130</v>
      </c>
      <c r="BE472" t="s">
        <v>112</v>
      </c>
      <c r="BF472" t="s">
        <v>157</v>
      </c>
      <c r="BG472" t="s">
        <v>133</v>
      </c>
      <c r="BH472" t="s">
        <v>134</v>
      </c>
      <c r="BI472" t="s">
        <v>112</v>
      </c>
      <c r="BJ472" t="s">
        <v>112</v>
      </c>
      <c r="BK472" t="s">
        <v>112</v>
      </c>
      <c r="BL472" t="s">
        <v>169</v>
      </c>
      <c r="BM472" t="s">
        <v>159</v>
      </c>
      <c r="BN472" t="s">
        <v>726</v>
      </c>
      <c r="BO472" t="s">
        <v>161</v>
      </c>
      <c r="BP472">
        <v>1</v>
      </c>
      <c r="BQ472" t="s">
        <v>466</v>
      </c>
      <c r="BR472" s="45">
        <f>ISNUMBER(SEARCH($BR$1,Таблица1[[#This Row],[31_1 Описание и характеристика товара]]))*1</f>
        <v>1</v>
      </c>
      <c r="BT472" t="s">
        <v>150</v>
      </c>
      <c r="BU472">
        <v>33</v>
      </c>
      <c r="BV472">
        <v>0</v>
      </c>
      <c r="BW472">
        <v>0</v>
      </c>
      <c r="BY472">
        <v>0</v>
      </c>
      <c r="CA472" t="s">
        <v>106</v>
      </c>
      <c r="CB472" t="s">
        <v>142</v>
      </c>
      <c r="CC472" t="s">
        <v>112</v>
      </c>
      <c r="CD472" t="s">
        <v>112</v>
      </c>
      <c r="CE472" t="s">
        <v>121</v>
      </c>
      <c r="CF472">
        <v>16562.48</v>
      </c>
      <c r="CG472" t="s">
        <v>144</v>
      </c>
      <c r="CH472">
        <v>4000000</v>
      </c>
      <c r="CI472">
        <v>16497.68</v>
      </c>
      <c r="CJ472">
        <v>0</v>
      </c>
      <c r="CK472" t="s">
        <v>112</v>
      </c>
      <c r="CL472" t="s">
        <v>112</v>
      </c>
      <c r="CM472">
        <v>40128.480000000003</v>
      </c>
      <c r="CN472">
        <v>3618132</v>
      </c>
      <c r="CO472">
        <v>0</v>
      </c>
      <c r="CP472">
        <v>1</v>
      </c>
      <c r="CQ472">
        <v>4010344.33</v>
      </c>
      <c r="CR472">
        <v>49203.96</v>
      </c>
      <c r="CS472" t="s">
        <v>145</v>
      </c>
      <c r="CT472">
        <v>49204.330600000001</v>
      </c>
      <c r="CU472">
        <v>2.9824999999999999</v>
      </c>
      <c r="CV472">
        <v>45</v>
      </c>
      <c r="CW472" t="s">
        <v>171</v>
      </c>
      <c r="CX472" t="s">
        <v>369</v>
      </c>
      <c r="CY472">
        <v>210</v>
      </c>
    </row>
    <row r="473" spans="1:103" x14ac:dyDescent="0.25">
      <c r="A473" t="s">
        <v>106</v>
      </c>
      <c r="B473" s="38">
        <v>45252</v>
      </c>
      <c r="C473" s="43">
        <f>IF(YEAR(Таблица1[[#This Row],[Дата]])=2023,MONTH(Таблица1[[#This Row],[Дата]]),0)</f>
        <v>11</v>
      </c>
      <c r="D473" t="s">
        <v>1058</v>
      </c>
      <c r="E473" t="s">
        <v>108</v>
      </c>
      <c r="F473" t="s">
        <v>1059</v>
      </c>
      <c r="G473" t="s">
        <v>110</v>
      </c>
      <c r="H473" t="s">
        <v>111</v>
      </c>
      <c r="I473" t="s">
        <v>112</v>
      </c>
      <c r="J473" t="s">
        <v>112</v>
      </c>
      <c r="K473" t="s">
        <v>112</v>
      </c>
      <c r="L473" t="s">
        <v>150</v>
      </c>
      <c r="M473" t="s">
        <v>1060</v>
      </c>
      <c r="N473" t="s">
        <v>112</v>
      </c>
      <c r="O473" t="s">
        <v>112</v>
      </c>
      <c r="P473">
        <v>1</v>
      </c>
      <c r="Q473">
        <v>0</v>
      </c>
      <c r="R473">
        <v>1</v>
      </c>
      <c r="S473">
        <v>33</v>
      </c>
      <c r="T473" t="s">
        <v>166</v>
      </c>
      <c r="U473" t="s">
        <v>152</v>
      </c>
      <c r="V473" t="s">
        <v>153</v>
      </c>
      <c r="W473" t="s">
        <v>154</v>
      </c>
      <c r="X473" t="s">
        <v>119</v>
      </c>
      <c r="Y473" t="s">
        <v>112</v>
      </c>
      <c r="Z473" t="s">
        <v>166</v>
      </c>
      <c r="AA473" t="s">
        <v>152</v>
      </c>
      <c r="AB473" t="s">
        <v>153</v>
      </c>
      <c r="AC473" t="s">
        <v>154</v>
      </c>
      <c r="AD473" t="s">
        <v>119</v>
      </c>
      <c r="AE473" t="s">
        <v>112</v>
      </c>
      <c r="AF473" t="s">
        <v>121</v>
      </c>
      <c r="AG473" t="s">
        <v>122</v>
      </c>
      <c r="AH473">
        <v>4666076.97</v>
      </c>
      <c r="AI473" t="s">
        <v>166</v>
      </c>
      <c r="AJ473" t="s">
        <v>152</v>
      </c>
      <c r="AK473" t="s">
        <v>153</v>
      </c>
      <c r="AL473" t="s">
        <v>154</v>
      </c>
      <c r="AM473" t="s">
        <v>119</v>
      </c>
      <c r="AN473" t="s">
        <v>112</v>
      </c>
      <c r="AO473" t="s">
        <v>121</v>
      </c>
      <c r="AP473" t="s">
        <v>122</v>
      </c>
      <c r="AQ473" t="s">
        <v>122</v>
      </c>
      <c r="AR473" t="s">
        <v>124</v>
      </c>
      <c r="AS473" t="s">
        <v>125</v>
      </c>
      <c r="AT473">
        <v>2</v>
      </c>
      <c r="AU473" t="s">
        <v>126</v>
      </c>
      <c r="AV473" t="s">
        <v>155</v>
      </c>
      <c r="AW473" t="s">
        <v>156</v>
      </c>
      <c r="AX473">
        <v>1</v>
      </c>
      <c r="AY473" t="s">
        <v>129</v>
      </c>
      <c r="AZ473">
        <v>47401.17</v>
      </c>
      <c r="BA473">
        <v>4273865</v>
      </c>
      <c r="BB473">
        <v>57249.32</v>
      </c>
      <c r="BC473">
        <v>90.163700000000006</v>
      </c>
      <c r="BD473" t="s">
        <v>130</v>
      </c>
      <c r="BE473" t="s">
        <v>112</v>
      </c>
      <c r="BF473" t="s">
        <v>157</v>
      </c>
      <c r="BG473" t="s">
        <v>133</v>
      </c>
      <c r="BH473" t="s">
        <v>134</v>
      </c>
      <c r="BI473" t="s">
        <v>112</v>
      </c>
      <c r="BJ473" t="s">
        <v>112</v>
      </c>
      <c r="BK473" t="s">
        <v>112</v>
      </c>
      <c r="BL473" t="s">
        <v>169</v>
      </c>
      <c r="BM473" t="s">
        <v>159</v>
      </c>
      <c r="BN473" t="s">
        <v>722</v>
      </c>
      <c r="BO473" t="s">
        <v>161</v>
      </c>
      <c r="BP473">
        <v>1</v>
      </c>
      <c r="BQ473" t="s">
        <v>466</v>
      </c>
      <c r="BR473" s="45">
        <f>ISNUMBER(SEARCH($BR$1,Таблица1[[#This Row],[31_1 Описание и характеристика товара]]))*1</f>
        <v>1</v>
      </c>
      <c r="BT473" t="s">
        <v>150</v>
      </c>
      <c r="BU473">
        <v>33</v>
      </c>
      <c r="BV473">
        <v>0</v>
      </c>
      <c r="BW473">
        <v>0</v>
      </c>
      <c r="BY473">
        <v>0</v>
      </c>
      <c r="CA473" t="s">
        <v>106</v>
      </c>
      <c r="CB473" t="s">
        <v>142</v>
      </c>
      <c r="CC473" t="s">
        <v>112</v>
      </c>
      <c r="CD473" t="s">
        <v>112</v>
      </c>
      <c r="CE473" t="s">
        <v>121</v>
      </c>
      <c r="CF473">
        <v>16133.81</v>
      </c>
      <c r="CG473" t="s">
        <v>144</v>
      </c>
      <c r="CH473">
        <v>4000000</v>
      </c>
      <c r="CI473">
        <v>16133.81</v>
      </c>
      <c r="CJ473">
        <v>0</v>
      </c>
      <c r="CK473" t="s">
        <v>112</v>
      </c>
      <c r="CL473" t="s">
        <v>112</v>
      </c>
      <c r="CM473">
        <v>47401.17</v>
      </c>
      <c r="CN473">
        <v>4273865</v>
      </c>
      <c r="CO473">
        <v>0</v>
      </c>
      <c r="CP473">
        <v>1</v>
      </c>
      <c r="CQ473">
        <v>4666076.97</v>
      </c>
      <c r="CR473">
        <v>57249.32</v>
      </c>
      <c r="CS473" t="s">
        <v>145</v>
      </c>
      <c r="CT473">
        <v>57249.211404000001</v>
      </c>
      <c r="CU473">
        <v>3.5484</v>
      </c>
      <c r="CV473">
        <v>45</v>
      </c>
      <c r="CW473" t="s">
        <v>171</v>
      </c>
      <c r="CX473" t="s">
        <v>369</v>
      </c>
      <c r="CY473">
        <v>278</v>
      </c>
    </row>
    <row r="474" spans="1:103" x14ac:dyDescent="0.25">
      <c r="A474" t="s">
        <v>106</v>
      </c>
      <c r="B474" s="38">
        <v>44999</v>
      </c>
      <c r="C474" s="43">
        <f>IF(YEAR(Таблица1[[#This Row],[Дата]])=2023,MONTH(Таблица1[[#This Row],[Дата]]),0)</f>
        <v>3</v>
      </c>
      <c r="D474" t="s">
        <v>1061</v>
      </c>
      <c r="E474" t="s">
        <v>108</v>
      </c>
      <c r="F474" t="s">
        <v>1062</v>
      </c>
      <c r="G474" t="s">
        <v>110</v>
      </c>
      <c r="H474" t="s">
        <v>111</v>
      </c>
      <c r="I474" t="s">
        <v>112</v>
      </c>
      <c r="J474" t="s">
        <v>112</v>
      </c>
      <c r="K474" t="s">
        <v>112</v>
      </c>
      <c r="L474" t="s">
        <v>150</v>
      </c>
      <c r="M474" t="s">
        <v>1060</v>
      </c>
      <c r="N474" t="s">
        <v>112</v>
      </c>
      <c r="O474" t="s">
        <v>112</v>
      </c>
      <c r="P474">
        <v>1</v>
      </c>
      <c r="Q474">
        <v>0</v>
      </c>
      <c r="R474">
        <v>1</v>
      </c>
      <c r="S474">
        <v>33</v>
      </c>
      <c r="T474" t="s">
        <v>166</v>
      </c>
      <c r="U474" t="s">
        <v>152</v>
      </c>
      <c r="V474" t="s">
        <v>153</v>
      </c>
      <c r="W474" t="s">
        <v>154</v>
      </c>
      <c r="X474" t="s">
        <v>119</v>
      </c>
      <c r="Y474" t="s">
        <v>112</v>
      </c>
      <c r="Z474" t="s">
        <v>166</v>
      </c>
      <c r="AA474" t="s">
        <v>152</v>
      </c>
      <c r="AB474" t="s">
        <v>153</v>
      </c>
      <c r="AC474" t="s">
        <v>154</v>
      </c>
      <c r="AD474" t="s">
        <v>119</v>
      </c>
      <c r="AE474" t="s">
        <v>112</v>
      </c>
      <c r="AF474" t="s">
        <v>121</v>
      </c>
      <c r="AG474" t="s">
        <v>122</v>
      </c>
      <c r="AH474">
        <v>4298319.9800000004</v>
      </c>
      <c r="AI474" t="s">
        <v>166</v>
      </c>
      <c r="AJ474" t="s">
        <v>152</v>
      </c>
      <c r="AK474" t="s">
        <v>153</v>
      </c>
      <c r="AL474" t="s">
        <v>154</v>
      </c>
      <c r="AM474" t="s">
        <v>119</v>
      </c>
      <c r="AN474" t="s">
        <v>112</v>
      </c>
      <c r="AO474" t="s">
        <v>121</v>
      </c>
      <c r="AP474" t="s">
        <v>122</v>
      </c>
      <c r="AQ474" t="s">
        <v>122</v>
      </c>
      <c r="AR474" t="s">
        <v>124</v>
      </c>
      <c r="AS474" t="s">
        <v>125</v>
      </c>
      <c r="AT474">
        <v>2</v>
      </c>
      <c r="AU474" t="s">
        <v>126</v>
      </c>
      <c r="AV474" t="s">
        <v>155</v>
      </c>
      <c r="AW474" t="s">
        <v>156</v>
      </c>
      <c r="AX474">
        <v>1</v>
      </c>
      <c r="AY474" t="s">
        <v>129</v>
      </c>
      <c r="AZ474">
        <v>43322.400000000001</v>
      </c>
      <c r="BA474">
        <v>3906108</v>
      </c>
      <c r="BB474">
        <v>52737.21</v>
      </c>
      <c r="BC474">
        <v>90.163700000000006</v>
      </c>
      <c r="BD474" t="s">
        <v>130</v>
      </c>
      <c r="BE474" t="s">
        <v>112</v>
      </c>
      <c r="BF474" t="s">
        <v>157</v>
      </c>
      <c r="BG474" t="s">
        <v>133</v>
      </c>
      <c r="BH474" t="s">
        <v>134</v>
      </c>
      <c r="BI474" t="s">
        <v>112</v>
      </c>
      <c r="BJ474" t="s">
        <v>112</v>
      </c>
      <c r="BK474" t="s">
        <v>112</v>
      </c>
      <c r="BL474" t="s">
        <v>169</v>
      </c>
      <c r="BM474" t="s">
        <v>159</v>
      </c>
      <c r="BN474" t="s">
        <v>722</v>
      </c>
      <c r="BO474" t="s">
        <v>161</v>
      </c>
      <c r="BP474">
        <v>1</v>
      </c>
      <c r="BQ474" t="s">
        <v>232</v>
      </c>
      <c r="BR474" s="45">
        <f>ISNUMBER(SEARCH($BR$1,Таблица1[[#This Row],[31_1 Описание и характеристика товара]]))*1</f>
        <v>1</v>
      </c>
      <c r="BT474" t="s">
        <v>150</v>
      </c>
      <c r="BU474">
        <v>33</v>
      </c>
      <c r="BV474">
        <v>0</v>
      </c>
      <c r="BW474">
        <v>0</v>
      </c>
      <c r="BY474">
        <v>0</v>
      </c>
      <c r="CA474" t="s">
        <v>106</v>
      </c>
      <c r="CB474" t="s">
        <v>142</v>
      </c>
      <c r="CC474" t="s">
        <v>112</v>
      </c>
      <c r="CD474" t="s">
        <v>112</v>
      </c>
      <c r="CE474" t="s">
        <v>121</v>
      </c>
      <c r="CF474">
        <v>16727.34</v>
      </c>
      <c r="CG474" t="s">
        <v>144</v>
      </c>
      <c r="CH474">
        <v>4000000</v>
      </c>
      <c r="CI474">
        <v>16619.34</v>
      </c>
      <c r="CJ474">
        <v>0</v>
      </c>
      <c r="CK474" t="s">
        <v>112</v>
      </c>
      <c r="CL474" t="s">
        <v>112</v>
      </c>
      <c r="CM474">
        <v>43322.400000000001</v>
      </c>
      <c r="CN474">
        <v>3906108</v>
      </c>
      <c r="CO474">
        <v>0</v>
      </c>
      <c r="CP474">
        <v>1</v>
      </c>
      <c r="CQ474">
        <v>4298319.9800000004</v>
      </c>
      <c r="CR474">
        <v>52737.21</v>
      </c>
      <c r="CS474" t="s">
        <v>145</v>
      </c>
      <c r="CT474">
        <v>52736.489688000001</v>
      </c>
      <c r="CU474">
        <v>3.1732</v>
      </c>
      <c r="CV474">
        <v>45</v>
      </c>
      <c r="CW474" t="s">
        <v>171</v>
      </c>
      <c r="CX474" t="s">
        <v>463</v>
      </c>
      <c r="CY474">
        <v>9</v>
      </c>
    </row>
    <row r="475" spans="1:103" x14ac:dyDescent="0.25">
      <c r="A475" t="s">
        <v>106</v>
      </c>
      <c r="B475" s="38">
        <v>45209</v>
      </c>
      <c r="C475" s="43">
        <f>IF(YEAR(Таблица1[[#This Row],[Дата]])=2023,MONTH(Таблица1[[#This Row],[Дата]]),0)</f>
        <v>10</v>
      </c>
      <c r="D475" t="s">
        <v>1069</v>
      </c>
      <c r="E475" t="s">
        <v>108</v>
      </c>
      <c r="F475" t="s">
        <v>1070</v>
      </c>
      <c r="G475" t="s">
        <v>110</v>
      </c>
      <c r="H475" t="s">
        <v>111</v>
      </c>
      <c r="I475" t="s">
        <v>112</v>
      </c>
      <c r="J475" t="s">
        <v>112</v>
      </c>
      <c r="K475" t="s">
        <v>112</v>
      </c>
      <c r="L475" t="s">
        <v>150</v>
      </c>
      <c r="M475" t="s">
        <v>1060</v>
      </c>
      <c r="N475" t="s">
        <v>112</v>
      </c>
      <c r="O475" t="s">
        <v>112</v>
      </c>
      <c r="P475">
        <v>1</v>
      </c>
      <c r="Q475">
        <v>0</v>
      </c>
      <c r="R475">
        <v>1</v>
      </c>
      <c r="S475">
        <v>33</v>
      </c>
      <c r="T475" t="s">
        <v>166</v>
      </c>
      <c r="U475" t="s">
        <v>152</v>
      </c>
      <c r="V475" t="s">
        <v>153</v>
      </c>
      <c r="W475" t="s">
        <v>154</v>
      </c>
      <c r="X475" t="s">
        <v>119</v>
      </c>
      <c r="Y475" t="s">
        <v>112</v>
      </c>
      <c r="Z475" t="s">
        <v>166</v>
      </c>
      <c r="AA475" t="s">
        <v>152</v>
      </c>
      <c r="AB475" t="s">
        <v>153</v>
      </c>
      <c r="AC475" t="s">
        <v>154</v>
      </c>
      <c r="AD475" t="s">
        <v>119</v>
      </c>
      <c r="AE475" t="s">
        <v>112</v>
      </c>
      <c r="AF475" t="s">
        <v>121</v>
      </c>
      <c r="AG475" t="s">
        <v>122</v>
      </c>
      <c r="AH475">
        <v>4370942.33</v>
      </c>
      <c r="AI475" t="s">
        <v>166</v>
      </c>
      <c r="AJ475" t="s">
        <v>152</v>
      </c>
      <c r="AK475" t="s">
        <v>153</v>
      </c>
      <c r="AL475" t="s">
        <v>154</v>
      </c>
      <c r="AM475" t="s">
        <v>119</v>
      </c>
      <c r="AN475" t="s">
        <v>112</v>
      </c>
      <c r="AO475" t="s">
        <v>121</v>
      </c>
      <c r="AP475" t="s">
        <v>122</v>
      </c>
      <c r="AQ475" t="s">
        <v>122</v>
      </c>
      <c r="AR475" t="s">
        <v>124</v>
      </c>
      <c r="AS475" t="s">
        <v>125</v>
      </c>
      <c r="AT475">
        <v>2</v>
      </c>
      <c r="AU475" t="s">
        <v>126</v>
      </c>
      <c r="AV475" t="s">
        <v>155</v>
      </c>
      <c r="AW475" t="s">
        <v>156</v>
      </c>
      <c r="AX475">
        <v>1</v>
      </c>
      <c r="AY475" t="s">
        <v>129</v>
      </c>
      <c r="AZ475">
        <v>43627.85</v>
      </c>
      <c r="BA475">
        <v>3933648</v>
      </c>
      <c r="BB475">
        <v>53628.23</v>
      </c>
      <c r="BC475">
        <v>90.163700000000006</v>
      </c>
      <c r="BD475" t="s">
        <v>130</v>
      </c>
      <c r="BE475" t="s">
        <v>112</v>
      </c>
      <c r="BF475" t="s">
        <v>157</v>
      </c>
      <c r="BG475" t="s">
        <v>133</v>
      </c>
      <c r="BH475" t="s">
        <v>167</v>
      </c>
      <c r="BI475" t="s">
        <v>168</v>
      </c>
      <c r="BJ475" t="s">
        <v>112</v>
      </c>
      <c r="BK475" t="s">
        <v>112</v>
      </c>
      <c r="BL475" t="s">
        <v>169</v>
      </c>
      <c r="BM475" t="s">
        <v>159</v>
      </c>
      <c r="BN475" t="s">
        <v>726</v>
      </c>
      <c r="BO475" t="s">
        <v>161</v>
      </c>
      <c r="BP475">
        <v>1</v>
      </c>
      <c r="BQ475" t="s">
        <v>205</v>
      </c>
      <c r="BR475" s="45">
        <f>ISNUMBER(SEARCH($BR$1,Таблица1[[#This Row],[31_1 Описание и характеристика товара]]))*1</f>
        <v>1</v>
      </c>
      <c r="BT475" t="s">
        <v>112</v>
      </c>
      <c r="BU475">
        <v>33</v>
      </c>
      <c r="BV475">
        <v>0</v>
      </c>
      <c r="BW475">
        <v>0</v>
      </c>
      <c r="BY475">
        <v>0</v>
      </c>
      <c r="CA475" t="s">
        <v>106</v>
      </c>
      <c r="CB475" t="s">
        <v>142</v>
      </c>
      <c r="CC475" t="s">
        <v>112</v>
      </c>
      <c r="CD475" t="s">
        <v>112</v>
      </c>
      <c r="CE475" t="s">
        <v>121</v>
      </c>
      <c r="CF475">
        <v>17258.490000000002</v>
      </c>
      <c r="CG475" t="s">
        <v>144</v>
      </c>
      <c r="CH475">
        <v>4000000</v>
      </c>
      <c r="CI475">
        <v>17258.490000000002</v>
      </c>
      <c r="CJ475">
        <v>0</v>
      </c>
      <c r="CK475" t="s">
        <v>112</v>
      </c>
      <c r="CL475" t="s">
        <v>112</v>
      </c>
      <c r="CM475">
        <v>43627.85</v>
      </c>
      <c r="CN475">
        <v>3933648</v>
      </c>
      <c r="CO475">
        <v>0</v>
      </c>
      <c r="CP475">
        <v>1</v>
      </c>
      <c r="CQ475">
        <v>4370942.33</v>
      </c>
      <c r="CR475">
        <v>53628.23</v>
      </c>
      <c r="CS475" t="s">
        <v>145</v>
      </c>
      <c r="CT475">
        <v>53629.031826000006</v>
      </c>
      <c r="CU475">
        <v>3.1074000000000002</v>
      </c>
      <c r="CV475">
        <v>45</v>
      </c>
      <c r="CW475" t="s">
        <v>171</v>
      </c>
      <c r="CX475" t="s">
        <v>369</v>
      </c>
      <c r="CY475">
        <v>366</v>
      </c>
    </row>
    <row r="476" spans="1:103" x14ac:dyDescent="0.25">
      <c r="A476" t="s">
        <v>106</v>
      </c>
      <c r="B476" s="38">
        <v>44939</v>
      </c>
      <c r="C476" s="43">
        <f>IF(YEAR(Таблица1[[#This Row],[Дата]])=2023,MONTH(Таблица1[[#This Row],[Дата]]),0)</f>
        <v>1</v>
      </c>
      <c r="D476" t="s">
        <v>949</v>
      </c>
      <c r="E476" t="s">
        <v>108</v>
      </c>
      <c r="F476" t="s">
        <v>950</v>
      </c>
      <c r="G476" t="s">
        <v>110</v>
      </c>
      <c r="H476" t="s">
        <v>111</v>
      </c>
      <c r="I476" t="s">
        <v>112</v>
      </c>
      <c r="J476" t="s">
        <v>112</v>
      </c>
      <c r="K476" t="s">
        <v>112</v>
      </c>
      <c r="L476" t="s">
        <v>150</v>
      </c>
      <c r="M476" t="s">
        <v>151</v>
      </c>
      <c r="N476" t="s">
        <v>112</v>
      </c>
      <c r="O476" t="s">
        <v>112</v>
      </c>
      <c r="P476">
        <v>1</v>
      </c>
      <c r="Q476">
        <v>0</v>
      </c>
      <c r="R476">
        <v>1</v>
      </c>
      <c r="S476">
        <v>33</v>
      </c>
      <c r="T476" t="s">
        <v>166</v>
      </c>
      <c r="U476" t="s">
        <v>152</v>
      </c>
      <c r="V476" t="s">
        <v>153</v>
      </c>
      <c r="W476" t="s">
        <v>154</v>
      </c>
      <c r="X476" t="s">
        <v>119</v>
      </c>
      <c r="Y476" t="s">
        <v>112</v>
      </c>
      <c r="Z476" t="s">
        <v>166</v>
      </c>
      <c r="AA476" t="s">
        <v>152</v>
      </c>
      <c r="AB476" t="s">
        <v>153</v>
      </c>
      <c r="AC476" t="s">
        <v>154</v>
      </c>
      <c r="AD476" t="s">
        <v>119</v>
      </c>
      <c r="AE476" t="s">
        <v>112</v>
      </c>
      <c r="AF476" t="s">
        <v>121</v>
      </c>
      <c r="AG476" t="s">
        <v>122</v>
      </c>
      <c r="AH476">
        <v>3460428.38</v>
      </c>
      <c r="AI476" t="s">
        <v>166</v>
      </c>
      <c r="AJ476" t="s">
        <v>152</v>
      </c>
      <c r="AK476" t="s">
        <v>153</v>
      </c>
      <c r="AL476" t="s">
        <v>154</v>
      </c>
      <c r="AM476" t="s">
        <v>119</v>
      </c>
      <c r="AN476" t="s">
        <v>112</v>
      </c>
      <c r="AO476" t="s">
        <v>121</v>
      </c>
      <c r="AP476" t="s">
        <v>122</v>
      </c>
      <c r="AQ476" t="s">
        <v>122</v>
      </c>
      <c r="AR476" t="s">
        <v>124</v>
      </c>
      <c r="AS476" t="s">
        <v>125</v>
      </c>
      <c r="AT476">
        <v>2</v>
      </c>
      <c r="AU476" t="s">
        <v>126</v>
      </c>
      <c r="AV476" t="s">
        <v>155</v>
      </c>
      <c r="AW476" t="s">
        <v>156</v>
      </c>
      <c r="AX476">
        <v>1</v>
      </c>
      <c r="AY476" t="s">
        <v>129</v>
      </c>
      <c r="AZ476">
        <v>38296.68</v>
      </c>
      <c r="BA476">
        <v>3107462</v>
      </c>
      <c r="BB476">
        <v>45287.93</v>
      </c>
      <c r="BC476">
        <v>81.141800000000003</v>
      </c>
      <c r="BD476" t="s">
        <v>130</v>
      </c>
      <c r="BE476" t="s">
        <v>112</v>
      </c>
      <c r="BF476" t="s">
        <v>157</v>
      </c>
      <c r="BG476" t="s">
        <v>133</v>
      </c>
      <c r="BH476" t="s">
        <v>134</v>
      </c>
      <c r="BI476" t="s">
        <v>112</v>
      </c>
      <c r="BJ476" t="s">
        <v>112</v>
      </c>
      <c r="BK476" t="s">
        <v>112</v>
      </c>
      <c r="BL476" t="s">
        <v>169</v>
      </c>
      <c r="BM476" t="s">
        <v>159</v>
      </c>
      <c r="BN476" t="s">
        <v>212</v>
      </c>
      <c r="BO476" t="s">
        <v>161</v>
      </c>
      <c r="BP476">
        <v>1</v>
      </c>
      <c r="BQ476" t="s">
        <v>951</v>
      </c>
      <c r="BR476" s="45">
        <f>ISNUMBER(SEARCH($BR$1,Таблица1[[#This Row],[31_1 Описание и характеристика товара]]))*1</f>
        <v>1</v>
      </c>
      <c r="BT476" t="s">
        <v>150</v>
      </c>
      <c r="BU476">
        <v>33</v>
      </c>
      <c r="BV476">
        <v>0</v>
      </c>
      <c r="BW476">
        <v>0</v>
      </c>
      <c r="BY476">
        <v>0</v>
      </c>
      <c r="CA476" t="s">
        <v>106</v>
      </c>
      <c r="CB476" t="s">
        <v>142</v>
      </c>
      <c r="CC476" t="s">
        <v>112</v>
      </c>
      <c r="CD476" t="s">
        <v>112</v>
      </c>
      <c r="CE476" t="s">
        <v>121</v>
      </c>
      <c r="CF476">
        <v>14942.44</v>
      </c>
      <c r="CG476" t="s">
        <v>144</v>
      </c>
      <c r="CH476">
        <v>4000000</v>
      </c>
      <c r="CI476">
        <v>14784.04</v>
      </c>
      <c r="CJ476">
        <v>0</v>
      </c>
      <c r="CK476" t="s">
        <v>112</v>
      </c>
      <c r="CL476" t="s">
        <v>112</v>
      </c>
      <c r="CM476">
        <v>38296.68</v>
      </c>
      <c r="CN476">
        <v>3107462</v>
      </c>
      <c r="CO476">
        <v>0</v>
      </c>
      <c r="CP476">
        <v>1</v>
      </c>
      <c r="CQ476">
        <v>3460428.38</v>
      </c>
      <c r="CR476">
        <v>45287.93</v>
      </c>
      <c r="CS476" t="s">
        <v>145</v>
      </c>
      <c r="CT476">
        <v>45287.949732000001</v>
      </c>
      <c r="CU476">
        <v>3.0632999999999999</v>
      </c>
      <c r="CV476">
        <v>45</v>
      </c>
      <c r="CW476" t="s">
        <v>171</v>
      </c>
      <c r="CX476" t="s">
        <v>372</v>
      </c>
      <c r="CY476">
        <v>568</v>
      </c>
    </row>
    <row r="477" spans="1:103" x14ac:dyDescent="0.25">
      <c r="A477" t="s">
        <v>106</v>
      </c>
      <c r="B477" s="38">
        <v>45013</v>
      </c>
      <c r="C477" s="43">
        <f>IF(YEAR(Таблица1[[#This Row],[Дата]])=2023,MONTH(Таблица1[[#This Row],[Дата]]),0)</f>
        <v>3</v>
      </c>
      <c r="D477" t="s">
        <v>944</v>
      </c>
      <c r="E477" t="s">
        <v>108</v>
      </c>
      <c r="F477" t="s">
        <v>945</v>
      </c>
      <c r="G477" t="s">
        <v>110</v>
      </c>
      <c r="H477" t="s">
        <v>111</v>
      </c>
      <c r="I477" t="s">
        <v>112</v>
      </c>
      <c r="J477" t="s">
        <v>112</v>
      </c>
      <c r="K477" t="s">
        <v>112</v>
      </c>
      <c r="L477" t="s">
        <v>150</v>
      </c>
      <c r="M477" t="s">
        <v>151</v>
      </c>
      <c r="N477" t="s">
        <v>112</v>
      </c>
      <c r="O477" t="s">
        <v>112</v>
      </c>
      <c r="P477">
        <v>1</v>
      </c>
      <c r="Q477">
        <v>0</v>
      </c>
      <c r="R477">
        <v>1</v>
      </c>
      <c r="S477">
        <v>38</v>
      </c>
      <c r="T477" t="s">
        <v>166</v>
      </c>
      <c r="U477" t="s">
        <v>152</v>
      </c>
      <c r="V477" t="s">
        <v>153</v>
      </c>
      <c r="W477" t="s">
        <v>154</v>
      </c>
      <c r="X477" t="s">
        <v>119</v>
      </c>
      <c r="Y477" t="s">
        <v>112</v>
      </c>
      <c r="Z477" t="s">
        <v>166</v>
      </c>
      <c r="AA477" t="s">
        <v>152</v>
      </c>
      <c r="AB477" t="s">
        <v>153</v>
      </c>
      <c r="AC477" t="s">
        <v>154</v>
      </c>
      <c r="AD477" t="s">
        <v>119</v>
      </c>
      <c r="AE477" t="s">
        <v>112</v>
      </c>
      <c r="AF477" t="s">
        <v>121</v>
      </c>
      <c r="AG477" t="s">
        <v>122</v>
      </c>
      <c r="AH477">
        <v>3839100.93</v>
      </c>
      <c r="AI477" t="s">
        <v>166</v>
      </c>
      <c r="AJ477" t="s">
        <v>152</v>
      </c>
      <c r="AK477" t="s">
        <v>153</v>
      </c>
      <c r="AL477" t="s">
        <v>154</v>
      </c>
      <c r="AM477" t="s">
        <v>119</v>
      </c>
      <c r="AN477" t="s">
        <v>112</v>
      </c>
      <c r="AO477" t="s">
        <v>121</v>
      </c>
      <c r="AP477" t="s">
        <v>122</v>
      </c>
      <c r="AQ477" t="s">
        <v>122</v>
      </c>
      <c r="AR477" t="s">
        <v>124</v>
      </c>
      <c r="AS477" t="s">
        <v>125</v>
      </c>
      <c r="AT477">
        <v>2</v>
      </c>
      <c r="AU477" t="s">
        <v>126</v>
      </c>
      <c r="AV477" t="s">
        <v>155</v>
      </c>
      <c r="AW477" t="s">
        <v>156</v>
      </c>
      <c r="AX477">
        <v>1</v>
      </c>
      <c r="AY477" t="s">
        <v>129</v>
      </c>
      <c r="AZ477">
        <v>42963.48</v>
      </c>
      <c r="BA477">
        <v>3486134</v>
      </c>
      <c r="BB477">
        <v>50243.76</v>
      </c>
      <c r="BC477">
        <v>81.141800000000003</v>
      </c>
      <c r="BD477" t="s">
        <v>130</v>
      </c>
      <c r="BE477" t="s">
        <v>112</v>
      </c>
      <c r="BF477" t="s">
        <v>157</v>
      </c>
      <c r="BG477" t="s">
        <v>133</v>
      </c>
      <c r="BH477" t="s">
        <v>134</v>
      </c>
      <c r="BI477" t="s">
        <v>112</v>
      </c>
      <c r="BJ477" t="s">
        <v>112</v>
      </c>
      <c r="BK477" t="s">
        <v>112</v>
      </c>
      <c r="BL477" t="s">
        <v>169</v>
      </c>
      <c r="BM477" t="s">
        <v>159</v>
      </c>
      <c r="BN477" t="s">
        <v>212</v>
      </c>
      <c r="BO477" t="s">
        <v>161</v>
      </c>
      <c r="BP477">
        <v>1</v>
      </c>
      <c r="BQ477" t="s">
        <v>946</v>
      </c>
      <c r="BR477" s="45">
        <f>ISNUMBER(SEARCH($BR$1,Таблица1[[#This Row],[31_1 Описание и характеристика товара]]))*1</f>
        <v>1</v>
      </c>
      <c r="BT477" t="s">
        <v>150</v>
      </c>
      <c r="BU477">
        <v>38</v>
      </c>
      <c r="BV477">
        <v>0</v>
      </c>
      <c r="BW477">
        <v>0</v>
      </c>
      <c r="BY477">
        <v>0</v>
      </c>
      <c r="CA477" t="s">
        <v>106</v>
      </c>
      <c r="CB477" t="s">
        <v>142</v>
      </c>
      <c r="CC477" t="s">
        <v>112</v>
      </c>
      <c r="CD477" t="s">
        <v>112</v>
      </c>
      <c r="CE477" t="s">
        <v>121</v>
      </c>
      <c r="CF477">
        <v>17669.099999999999</v>
      </c>
      <c r="CG477" t="s">
        <v>144</v>
      </c>
      <c r="CH477">
        <v>4000000</v>
      </c>
      <c r="CI477">
        <v>17424.3</v>
      </c>
      <c r="CJ477">
        <v>0</v>
      </c>
      <c r="CK477" t="s">
        <v>112</v>
      </c>
      <c r="CL477" t="s">
        <v>112</v>
      </c>
      <c r="CM477">
        <v>42963.48</v>
      </c>
      <c r="CN477">
        <v>3486134</v>
      </c>
      <c r="CO477">
        <v>0</v>
      </c>
      <c r="CP477">
        <v>1</v>
      </c>
      <c r="CQ477">
        <v>3839100.93</v>
      </c>
      <c r="CR477">
        <v>50243.76</v>
      </c>
      <c r="CS477" t="s">
        <v>145</v>
      </c>
      <c r="CT477">
        <v>50242.96905</v>
      </c>
      <c r="CU477">
        <v>2.8835000000000002</v>
      </c>
      <c r="CV477">
        <v>45</v>
      </c>
      <c r="CW477" t="s">
        <v>171</v>
      </c>
      <c r="CX477" t="s">
        <v>369</v>
      </c>
      <c r="CY477">
        <v>94</v>
      </c>
    </row>
    <row r="478" spans="1:103" x14ac:dyDescent="0.25">
      <c r="A478" t="s">
        <v>106</v>
      </c>
      <c r="B478" s="38">
        <v>45263</v>
      </c>
      <c r="C478" s="43">
        <f>IF(YEAR(Таблица1[[#This Row],[Дата]])=2023,MONTH(Таблица1[[#This Row],[Дата]]),0)</f>
        <v>12</v>
      </c>
      <c r="D478" t="s">
        <v>947</v>
      </c>
      <c r="E478" t="s">
        <v>108</v>
      </c>
      <c r="F478" t="s">
        <v>948</v>
      </c>
      <c r="G478" t="s">
        <v>110</v>
      </c>
      <c r="H478" t="s">
        <v>111</v>
      </c>
      <c r="I478" t="s">
        <v>112</v>
      </c>
      <c r="J478" t="s">
        <v>112</v>
      </c>
      <c r="K478" t="s">
        <v>112</v>
      </c>
      <c r="L478" t="s">
        <v>150</v>
      </c>
      <c r="M478" t="s">
        <v>151</v>
      </c>
      <c r="N478" t="s">
        <v>112</v>
      </c>
      <c r="O478" t="s">
        <v>112</v>
      </c>
      <c r="P478">
        <v>1</v>
      </c>
      <c r="Q478">
        <v>0</v>
      </c>
      <c r="R478">
        <v>1</v>
      </c>
      <c r="S478">
        <v>33</v>
      </c>
      <c r="T478" t="s">
        <v>166</v>
      </c>
      <c r="U478" t="s">
        <v>152</v>
      </c>
      <c r="V478" t="s">
        <v>153</v>
      </c>
      <c r="W478" t="s">
        <v>154</v>
      </c>
      <c r="X478" t="s">
        <v>119</v>
      </c>
      <c r="Y478" t="s">
        <v>112</v>
      </c>
      <c r="Z478" t="s">
        <v>166</v>
      </c>
      <c r="AA478" t="s">
        <v>152</v>
      </c>
      <c r="AB478" t="s">
        <v>153</v>
      </c>
      <c r="AC478" t="s">
        <v>154</v>
      </c>
      <c r="AD478" t="s">
        <v>119</v>
      </c>
      <c r="AE478" t="s">
        <v>112</v>
      </c>
      <c r="AF478" t="s">
        <v>121</v>
      </c>
      <c r="AG478" t="s">
        <v>122</v>
      </c>
      <c r="AH478">
        <v>3990420.65</v>
      </c>
      <c r="AI478" t="s">
        <v>166</v>
      </c>
      <c r="AJ478" t="s">
        <v>152</v>
      </c>
      <c r="AK478" t="s">
        <v>153</v>
      </c>
      <c r="AL478" t="s">
        <v>154</v>
      </c>
      <c r="AM478" t="s">
        <v>119</v>
      </c>
      <c r="AN478" t="s">
        <v>112</v>
      </c>
      <c r="AO478" t="s">
        <v>121</v>
      </c>
      <c r="AP478" t="s">
        <v>122</v>
      </c>
      <c r="AQ478" t="s">
        <v>122</v>
      </c>
      <c r="AR478" t="s">
        <v>124</v>
      </c>
      <c r="AS478" t="s">
        <v>125</v>
      </c>
      <c r="AT478">
        <v>2</v>
      </c>
      <c r="AU478" t="s">
        <v>126</v>
      </c>
      <c r="AV478" t="s">
        <v>155</v>
      </c>
      <c r="AW478" t="s">
        <v>156</v>
      </c>
      <c r="AX478">
        <v>1</v>
      </c>
      <c r="AY478" t="s">
        <v>129</v>
      </c>
      <c r="AZ478">
        <v>44828.36</v>
      </c>
      <c r="BA478">
        <v>3637454</v>
      </c>
      <c r="BB478">
        <v>52224.14</v>
      </c>
      <c r="BC478">
        <v>81.141800000000003</v>
      </c>
      <c r="BD478" t="s">
        <v>130</v>
      </c>
      <c r="BE478" t="s">
        <v>112</v>
      </c>
      <c r="BF478" t="s">
        <v>157</v>
      </c>
      <c r="BG478" t="s">
        <v>133</v>
      </c>
      <c r="BH478" t="s">
        <v>167</v>
      </c>
      <c r="BI478" t="s">
        <v>168</v>
      </c>
      <c r="BJ478" t="s">
        <v>112</v>
      </c>
      <c r="BK478" t="s">
        <v>112</v>
      </c>
      <c r="BL478" t="s">
        <v>169</v>
      </c>
      <c r="BM478" t="s">
        <v>159</v>
      </c>
      <c r="BN478" t="s">
        <v>160</v>
      </c>
      <c r="BO478" t="s">
        <v>161</v>
      </c>
      <c r="BP478">
        <v>1</v>
      </c>
      <c r="BQ478" t="s">
        <v>894</v>
      </c>
      <c r="BR478" s="45">
        <f>ISNUMBER(SEARCH($BR$1,Таблица1[[#This Row],[31_1 Описание и характеристика товара]]))*1</f>
        <v>1</v>
      </c>
      <c r="BT478" t="s">
        <v>150</v>
      </c>
      <c r="BU478">
        <v>33</v>
      </c>
      <c r="BV478">
        <v>0</v>
      </c>
      <c r="BW478">
        <v>0</v>
      </c>
      <c r="BY478">
        <v>0</v>
      </c>
      <c r="CA478" t="s">
        <v>106</v>
      </c>
      <c r="CB478" t="s">
        <v>142</v>
      </c>
      <c r="CC478" t="s">
        <v>112</v>
      </c>
      <c r="CD478" t="s">
        <v>112</v>
      </c>
      <c r="CE478" t="s">
        <v>121</v>
      </c>
      <c r="CF478">
        <v>16965.25</v>
      </c>
      <c r="CG478" t="s">
        <v>144</v>
      </c>
      <c r="CH478">
        <v>4000000</v>
      </c>
      <c r="CI478">
        <v>16965.25</v>
      </c>
      <c r="CJ478">
        <v>0</v>
      </c>
      <c r="CK478" t="s">
        <v>112</v>
      </c>
      <c r="CL478" t="s">
        <v>112</v>
      </c>
      <c r="CM478">
        <v>44828.36</v>
      </c>
      <c r="CN478">
        <v>3637454</v>
      </c>
      <c r="CO478">
        <v>0</v>
      </c>
      <c r="CP478">
        <v>1</v>
      </c>
      <c r="CQ478">
        <v>3990420.65</v>
      </c>
      <c r="CR478">
        <v>52224.14</v>
      </c>
      <c r="CS478" t="s">
        <v>145</v>
      </c>
      <c r="CT478">
        <v>52224.129074999997</v>
      </c>
      <c r="CU478">
        <v>3.0783</v>
      </c>
      <c r="CV478">
        <v>45</v>
      </c>
      <c r="CW478" t="s">
        <v>171</v>
      </c>
      <c r="CX478" t="s">
        <v>350</v>
      </c>
      <c r="CY478">
        <v>68</v>
      </c>
    </row>
    <row r="479" spans="1:103" x14ac:dyDescent="0.25">
      <c r="A479" t="s">
        <v>106</v>
      </c>
      <c r="B479" s="38">
        <v>45215</v>
      </c>
      <c r="C479" s="43">
        <f>IF(YEAR(Таблица1[[#This Row],[Дата]])=2023,MONTH(Таблица1[[#This Row],[Дата]]),0)</f>
        <v>10</v>
      </c>
      <c r="D479" t="s">
        <v>624</v>
      </c>
      <c r="E479" t="s">
        <v>108</v>
      </c>
      <c r="F479" t="s">
        <v>625</v>
      </c>
      <c r="G479" t="s">
        <v>110</v>
      </c>
      <c r="H479" t="s">
        <v>111</v>
      </c>
      <c r="I479" t="s">
        <v>112</v>
      </c>
      <c r="J479" t="s">
        <v>112</v>
      </c>
      <c r="K479" t="s">
        <v>112</v>
      </c>
      <c r="L479" t="s">
        <v>150</v>
      </c>
      <c r="M479" t="s">
        <v>151</v>
      </c>
      <c r="N479" t="s">
        <v>112</v>
      </c>
      <c r="O479" t="s">
        <v>112</v>
      </c>
      <c r="P479">
        <v>1</v>
      </c>
      <c r="Q479">
        <v>0</v>
      </c>
      <c r="R479">
        <v>1</v>
      </c>
      <c r="S479">
        <v>32</v>
      </c>
      <c r="T479" t="s">
        <v>166</v>
      </c>
      <c r="U479" t="s">
        <v>152</v>
      </c>
      <c r="V479" t="s">
        <v>153</v>
      </c>
      <c r="W479" t="s">
        <v>154</v>
      </c>
      <c r="X479" t="s">
        <v>119</v>
      </c>
      <c r="Y479" t="s">
        <v>112</v>
      </c>
      <c r="Z479" t="s">
        <v>166</v>
      </c>
      <c r="AA479" t="s">
        <v>152</v>
      </c>
      <c r="AB479" t="s">
        <v>153</v>
      </c>
      <c r="AC479" t="s">
        <v>154</v>
      </c>
      <c r="AD479" t="s">
        <v>119</v>
      </c>
      <c r="AE479" t="s">
        <v>112</v>
      </c>
      <c r="AF479" t="s">
        <v>121</v>
      </c>
      <c r="AG479" t="s">
        <v>122</v>
      </c>
      <c r="AH479">
        <v>3682350.19</v>
      </c>
      <c r="AI479" t="s">
        <v>166</v>
      </c>
      <c r="AJ479" t="s">
        <v>152</v>
      </c>
      <c r="AK479" t="s">
        <v>153</v>
      </c>
      <c r="AL479" t="s">
        <v>154</v>
      </c>
      <c r="AM479" t="s">
        <v>119</v>
      </c>
      <c r="AN479" t="s">
        <v>112</v>
      </c>
      <c r="AO479" t="s">
        <v>121</v>
      </c>
      <c r="AP479" t="s">
        <v>122</v>
      </c>
      <c r="AQ479" t="s">
        <v>122</v>
      </c>
      <c r="AR479" t="s">
        <v>124</v>
      </c>
      <c r="AS479" t="s">
        <v>125</v>
      </c>
      <c r="AT479">
        <v>2</v>
      </c>
      <c r="AU479" t="s">
        <v>126</v>
      </c>
      <c r="AV479" t="s">
        <v>155</v>
      </c>
      <c r="AW479" t="s">
        <v>156</v>
      </c>
      <c r="AX479">
        <v>1</v>
      </c>
      <c r="AY479" t="s">
        <v>129</v>
      </c>
      <c r="AZ479">
        <v>41192.959999999999</v>
      </c>
      <c r="BA479">
        <v>3294465</v>
      </c>
      <c r="BB479">
        <v>49253.120000000003</v>
      </c>
      <c r="BC479">
        <v>79.976399999999998</v>
      </c>
      <c r="BD479" t="s">
        <v>130</v>
      </c>
      <c r="BE479" t="s">
        <v>112</v>
      </c>
      <c r="BF479" t="s">
        <v>157</v>
      </c>
      <c r="BG479" t="s">
        <v>133</v>
      </c>
      <c r="BH479" t="s">
        <v>134</v>
      </c>
      <c r="BI479" t="s">
        <v>112</v>
      </c>
      <c r="BJ479" t="s">
        <v>112</v>
      </c>
      <c r="BK479" t="s">
        <v>112</v>
      </c>
      <c r="BL479" t="s">
        <v>169</v>
      </c>
      <c r="BM479" t="s">
        <v>159</v>
      </c>
      <c r="BN479" t="s">
        <v>212</v>
      </c>
      <c r="BO479" t="s">
        <v>161</v>
      </c>
      <c r="BP479">
        <v>1</v>
      </c>
      <c r="BQ479" t="s">
        <v>232</v>
      </c>
      <c r="BR479" s="45">
        <f>ISNUMBER(SEARCH($BR$1,Таблица1[[#This Row],[31_1 Описание и характеристика товара]]))*1</f>
        <v>1</v>
      </c>
      <c r="BT479" t="s">
        <v>150</v>
      </c>
      <c r="BU479">
        <v>32</v>
      </c>
      <c r="BV479">
        <v>0</v>
      </c>
      <c r="BW479">
        <v>0</v>
      </c>
      <c r="BY479">
        <v>0</v>
      </c>
      <c r="CA479" t="s">
        <v>106</v>
      </c>
      <c r="CB479" t="s">
        <v>142</v>
      </c>
      <c r="CC479" t="s">
        <v>112</v>
      </c>
      <c r="CD479" t="s">
        <v>112</v>
      </c>
      <c r="CE479" t="s">
        <v>121</v>
      </c>
      <c r="CF479">
        <v>16508.810000000001</v>
      </c>
      <c r="CG479" t="s">
        <v>144</v>
      </c>
      <c r="CH479">
        <v>4000000</v>
      </c>
      <c r="CI479">
        <v>16465.61</v>
      </c>
      <c r="CJ479">
        <v>0</v>
      </c>
      <c r="CK479" t="s">
        <v>112</v>
      </c>
      <c r="CL479" t="s">
        <v>112</v>
      </c>
      <c r="CM479">
        <v>41192.959999999999</v>
      </c>
      <c r="CN479">
        <v>3294465</v>
      </c>
      <c r="CO479">
        <v>0</v>
      </c>
      <c r="CP479">
        <v>1</v>
      </c>
      <c r="CQ479">
        <v>3682350.19</v>
      </c>
      <c r="CR479">
        <v>49253.120000000003</v>
      </c>
      <c r="CS479" t="s">
        <v>145</v>
      </c>
      <c r="CT479">
        <v>49253.579192999998</v>
      </c>
      <c r="CU479">
        <v>2.9912999999999998</v>
      </c>
      <c r="CV479">
        <v>45</v>
      </c>
      <c r="CW479" t="s">
        <v>171</v>
      </c>
      <c r="CX479" t="s">
        <v>463</v>
      </c>
      <c r="CY479">
        <v>150</v>
      </c>
    </row>
    <row r="480" spans="1:103" x14ac:dyDescent="0.25">
      <c r="A480" t="s">
        <v>106</v>
      </c>
      <c r="B480" s="38">
        <v>45241</v>
      </c>
      <c r="C480" s="43">
        <f>IF(YEAR(Таблица1[[#This Row],[Дата]])=2023,MONTH(Таблица1[[#This Row],[Дата]]),0)</f>
        <v>11</v>
      </c>
      <c r="D480" t="s">
        <v>622</v>
      </c>
      <c r="E480" t="s">
        <v>108</v>
      </c>
      <c r="F480" t="s">
        <v>623</v>
      </c>
      <c r="G480" t="s">
        <v>110</v>
      </c>
      <c r="H480" t="s">
        <v>111</v>
      </c>
      <c r="I480" t="s">
        <v>112</v>
      </c>
      <c r="J480" t="s">
        <v>112</v>
      </c>
      <c r="K480" t="s">
        <v>112</v>
      </c>
      <c r="L480" t="s">
        <v>150</v>
      </c>
      <c r="M480" t="s">
        <v>151</v>
      </c>
      <c r="N480" t="s">
        <v>112</v>
      </c>
      <c r="O480" t="s">
        <v>112</v>
      </c>
      <c r="P480">
        <v>1</v>
      </c>
      <c r="Q480">
        <v>0</v>
      </c>
      <c r="R480">
        <v>1</v>
      </c>
      <c r="S480">
        <v>33</v>
      </c>
      <c r="T480" t="s">
        <v>166</v>
      </c>
      <c r="U480" t="s">
        <v>152</v>
      </c>
      <c r="V480" t="s">
        <v>153</v>
      </c>
      <c r="W480" t="s">
        <v>154</v>
      </c>
      <c r="X480" t="s">
        <v>119</v>
      </c>
      <c r="Y480" t="s">
        <v>112</v>
      </c>
      <c r="Z480" t="s">
        <v>166</v>
      </c>
      <c r="AA480" t="s">
        <v>152</v>
      </c>
      <c r="AB480" t="s">
        <v>153</v>
      </c>
      <c r="AC480" t="s">
        <v>154</v>
      </c>
      <c r="AD480" t="s">
        <v>119</v>
      </c>
      <c r="AE480" t="s">
        <v>112</v>
      </c>
      <c r="AF480" t="s">
        <v>121</v>
      </c>
      <c r="AG480" t="s">
        <v>122</v>
      </c>
      <c r="AH480">
        <v>3530385.43</v>
      </c>
      <c r="AI480" t="s">
        <v>166</v>
      </c>
      <c r="AJ480" t="s">
        <v>152</v>
      </c>
      <c r="AK480" t="s">
        <v>153</v>
      </c>
      <c r="AL480" t="s">
        <v>154</v>
      </c>
      <c r="AM480" t="s">
        <v>119</v>
      </c>
      <c r="AN480" t="s">
        <v>112</v>
      </c>
      <c r="AO480" t="s">
        <v>121</v>
      </c>
      <c r="AP480" t="s">
        <v>122</v>
      </c>
      <c r="AQ480" t="s">
        <v>122</v>
      </c>
      <c r="AR480" t="s">
        <v>124</v>
      </c>
      <c r="AS480" t="s">
        <v>125</v>
      </c>
      <c r="AT480">
        <v>2</v>
      </c>
      <c r="AU480" t="s">
        <v>126</v>
      </c>
      <c r="AV480" t="s">
        <v>155</v>
      </c>
      <c r="AW480" t="s">
        <v>156</v>
      </c>
      <c r="AX480">
        <v>1</v>
      </c>
      <c r="AY480" t="s">
        <v>129</v>
      </c>
      <c r="AZ480">
        <v>39792.839999999997</v>
      </c>
      <c r="BA480">
        <v>3182488</v>
      </c>
      <c r="BB480">
        <v>47220.52</v>
      </c>
      <c r="BC480">
        <v>79.976399999999998</v>
      </c>
      <c r="BD480" t="s">
        <v>130</v>
      </c>
      <c r="BE480" t="s">
        <v>112</v>
      </c>
      <c r="BF480" t="s">
        <v>157</v>
      </c>
      <c r="BG480" t="s">
        <v>133</v>
      </c>
      <c r="BH480" t="s">
        <v>134</v>
      </c>
      <c r="BI480" t="s">
        <v>112</v>
      </c>
      <c r="BJ480" t="s">
        <v>112</v>
      </c>
      <c r="BK480" t="s">
        <v>112</v>
      </c>
      <c r="BL480" t="s">
        <v>169</v>
      </c>
      <c r="BM480" t="s">
        <v>159</v>
      </c>
      <c r="BN480" t="s">
        <v>212</v>
      </c>
      <c r="BO480" t="s">
        <v>161</v>
      </c>
      <c r="BP480">
        <v>1</v>
      </c>
      <c r="BQ480" t="s">
        <v>232</v>
      </c>
      <c r="BR480" s="45">
        <f>ISNUMBER(SEARCH($BR$1,Таблица1[[#This Row],[31_1 Описание и характеристика товара]]))*1</f>
        <v>1</v>
      </c>
      <c r="BT480" t="s">
        <v>150</v>
      </c>
      <c r="BU480">
        <v>33</v>
      </c>
      <c r="BV480">
        <v>0</v>
      </c>
      <c r="BW480">
        <v>0</v>
      </c>
      <c r="BY480">
        <v>0</v>
      </c>
      <c r="CA480" t="s">
        <v>106</v>
      </c>
      <c r="CB480" t="s">
        <v>142</v>
      </c>
      <c r="CC480" t="s">
        <v>112</v>
      </c>
      <c r="CD480" t="s">
        <v>112</v>
      </c>
      <c r="CE480" t="s">
        <v>121</v>
      </c>
      <c r="CF480">
        <v>16861.57</v>
      </c>
      <c r="CG480" t="s">
        <v>144</v>
      </c>
      <c r="CH480">
        <v>4000000</v>
      </c>
      <c r="CI480">
        <v>16796.77</v>
      </c>
      <c r="CJ480">
        <v>0</v>
      </c>
      <c r="CK480" t="s">
        <v>112</v>
      </c>
      <c r="CL480" t="s">
        <v>112</v>
      </c>
      <c r="CM480">
        <v>39792.839999999997</v>
      </c>
      <c r="CN480">
        <v>3182488</v>
      </c>
      <c r="CO480">
        <v>0</v>
      </c>
      <c r="CP480">
        <v>1</v>
      </c>
      <c r="CQ480">
        <v>3530385.43</v>
      </c>
      <c r="CR480">
        <v>47220.52</v>
      </c>
      <c r="CS480" t="s">
        <v>145</v>
      </c>
      <c r="CT480">
        <v>47220.759501</v>
      </c>
      <c r="CU480">
        <v>2.8113000000000001</v>
      </c>
      <c r="CV480">
        <v>45</v>
      </c>
      <c r="CW480" t="s">
        <v>171</v>
      </c>
      <c r="CX480" t="s">
        <v>350</v>
      </c>
      <c r="CY480">
        <v>93</v>
      </c>
    </row>
    <row r="481" spans="1:103" x14ac:dyDescent="0.25">
      <c r="A481" t="s">
        <v>106</v>
      </c>
      <c r="B481" s="38">
        <v>44664</v>
      </c>
      <c r="C481" s="43">
        <f>IF(YEAR(Таблица1[[#This Row],[Дата]])=2023,MONTH(Таблица1[[#This Row],[Дата]]),0)</f>
        <v>0</v>
      </c>
      <c r="D481" t="s">
        <v>265</v>
      </c>
      <c r="E481" t="s">
        <v>108</v>
      </c>
      <c r="F481" t="s">
        <v>266</v>
      </c>
      <c r="G481" t="s">
        <v>110</v>
      </c>
      <c r="H481" t="s">
        <v>111</v>
      </c>
      <c r="I481" t="s">
        <v>112</v>
      </c>
      <c r="J481" t="s">
        <v>112</v>
      </c>
      <c r="K481" t="s">
        <v>112</v>
      </c>
      <c r="L481" t="s">
        <v>113</v>
      </c>
      <c r="M481" t="s">
        <v>114</v>
      </c>
      <c r="N481" t="s">
        <v>112</v>
      </c>
      <c r="O481" t="s">
        <v>112</v>
      </c>
      <c r="P481">
        <v>1</v>
      </c>
      <c r="Q481">
        <v>0</v>
      </c>
      <c r="R481">
        <v>1</v>
      </c>
      <c r="S481">
        <v>33</v>
      </c>
      <c r="T481" t="s">
        <v>115</v>
      </c>
      <c r="U481" t="s">
        <v>116</v>
      </c>
      <c r="V481" t="s">
        <v>117</v>
      </c>
      <c r="W481" t="s">
        <v>118</v>
      </c>
      <c r="X481" t="s">
        <v>119</v>
      </c>
      <c r="Y481" t="s">
        <v>120</v>
      </c>
      <c r="Z481" t="s">
        <v>115</v>
      </c>
      <c r="AA481" t="s">
        <v>116</v>
      </c>
      <c r="AB481" t="s">
        <v>117</v>
      </c>
      <c r="AC481" t="s">
        <v>118</v>
      </c>
      <c r="AD481" t="s">
        <v>119</v>
      </c>
      <c r="AE481" t="s">
        <v>120</v>
      </c>
      <c r="AF481" t="s">
        <v>121</v>
      </c>
      <c r="AG481" t="s">
        <v>122</v>
      </c>
      <c r="AH481">
        <v>3665296.67</v>
      </c>
      <c r="AI481" t="s">
        <v>115</v>
      </c>
      <c r="AJ481" t="s">
        <v>116</v>
      </c>
      <c r="AK481" t="s">
        <v>117</v>
      </c>
      <c r="AL481" t="s">
        <v>118</v>
      </c>
      <c r="AM481" t="s">
        <v>119</v>
      </c>
      <c r="AN481" t="s">
        <v>120</v>
      </c>
      <c r="AO481" t="s">
        <v>121</v>
      </c>
      <c r="AP481" t="s">
        <v>122</v>
      </c>
      <c r="AQ481" t="s">
        <v>123</v>
      </c>
      <c r="AR481" t="s">
        <v>124</v>
      </c>
      <c r="AS481" t="s">
        <v>125</v>
      </c>
      <c r="AT481">
        <v>2</v>
      </c>
      <c r="AU481" t="s">
        <v>126</v>
      </c>
      <c r="AV481" t="s">
        <v>127</v>
      </c>
      <c r="AW481" t="s">
        <v>128</v>
      </c>
      <c r="AX481">
        <v>1</v>
      </c>
      <c r="AY481" t="s">
        <v>129</v>
      </c>
      <c r="AZ481">
        <v>45985.22</v>
      </c>
      <c r="BA481">
        <v>3395080</v>
      </c>
      <c r="BB481">
        <v>53673.15</v>
      </c>
      <c r="BC481">
        <v>73.829800000000006</v>
      </c>
      <c r="BD481" t="s">
        <v>130</v>
      </c>
      <c r="BE481" t="s">
        <v>131</v>
      </c>
      <c r="BF481" t="s">
        <v>132</v>
      </c>
      <c r="BG481" t="s">
        <v>133</v>
      </c>
      <c r="BH481" t="s">
        <v>134</v>
      </c>
      <c r="BI481" t="s">
        <v>112</v>
      </c>
      <c r="BJ481" t="s">
        <v>135</v>
      </c>
      <c r="BK481" t="s">
        <v>112</v>
      </c>
      <c r="BL481" t="s">
        <v>136</v>
      </c>
      <c r="BM481" t="s">
        <v>137</v>
      </c>
      <c r="BN481" t="s">
        <v>138</v>
      </c>
      <c r="BO481" t="s">
        <v>139</v>
      </c>
      <c r="BP481">
        <v>1</v>
      </c>
      <c r="BQ481" t="s">
        <v>267</v>
      </c>
      <c r="BR481" s="45">
        <f>ISNUMBER(SEARCH($BR$1,Таблица1[[#This Row],[31_1 Описание и характеристика товара]]))*1</f>
        <v>1</v>
      </c>
      <c r="BT481" t="s">
        <v>141</v>
      </c>
      <c r="BU481">
        <v>33</v>
      </c>
      <c r="BV481">
        <v>0</v>
      </c>
      <c r="BW481">
        <v>0</v>
      </c>
      <c r="BY481">
        <v>0</v>
      </c>
      <c r="CA481" t="s">
        <v>106</v>
      </c>
      <c r="CB481" t="s">
        <v>142</v>
      </c>
      <c r="CC481" t="s">
        <v>112</v>
      </c>
      <c r="CD481" t="s">
        <v>112</v>
      </c>
      <c r="CE481" t="s">
        <v>143</v>
      </c>
      <c r="CF481">
        <v>15521.2</v>
      </c>
      <c r="CG481" t="s">
        <v>144</v>
      </c>
      <c r="CH481">
        <v>4000000</v>
      </c>
      <c r="CI481">
        <v>15467.44</v>
      </c>
      <c r="CJ481">
        <v>0</v>
      </c>
      <c r="CK481" t="s">
        <v>112</v>
      </c>
      <c r="CL481" t="s">
        <v>112</v>
      </c>
      <c r="CM481">
        <v>45985.22</v>
      </c>
      <c r="CN481">
        <v>3395080</v>
      </c>
      <c r="CO481">
        <v>0</v>
      </c>
      <c r="CP481">
        <v>1</v>
      </c>
      <c r="CQ481">
        <v>3665296.67</v>
      </c>
      <c r="CR481">
        <v>53673.15</v>
      </c>
      <c r="CS481" t="s">
        <v>145</v>
      </c>
      <c r="CT481">
        <v>53673.563544000004</v>
      </c>
      <c r="CU481">
        <v>3.4701</v>
      </c>
      <c r="CV481">
        <v>941</v>
      </c>
      <c r="CW481" t="s">
        <v>146</v>
      </c>
      <c r="CX481" t="s">
        <v>147</v>
      </c>
      <c r="CY481">
        <v>205</v>
      </c>
    </row>
    <row r="482" spans="1:103" x14ac:dyDescent="0.25">
      <c r="A482" t="s">
        <v>106</v>
      </c>
      <c r="B482" s="38">
        <v>44574</v>
      </c>
      <c r="C482" s="43">
        <f>IF(YEAR(Таблица1[[#This Row],[Дата]])=2023,MONTH(Таблица1[[#This Row],[Дата]]),0)</f>
        <v>0</v>
      </c>
      <c r="D482" t="s">
        <v>259</v>
      </c>
      <c r="E482" t="s">
        <v>108</v>
      </c>
      <c r="F482" t="s">
        <v>260</v>
      </c>
      <c r="G482" t="s">
        <v>110</v>
      </c>
      <c r="H482" t="s">
        <v>111</v>
      </c>
      <c r="I482" t="s">
        <v>112</v>
      </c>
      <c r="J482" t="s">
        <v>112</v>
      </c>
      <c r="K482" t="s">
        <v>112</v>
      </c>
      <c r="L482" t="s">
        <v>175</v>
      </c>
      <c r="M482" t="s">
        <v>176</v>
      </c>
      <c r="N482" t="s">
        <v>112</v>
      </c>
      <c r="O482" t="s">
        <v>112</v>
      </c>
      <c r="P482">
        <v>1</v>
      </c>
      <c r="Q482">
        <v>0</v>
      </c>
      <c r="R482">
        <v>1</v>
      </c>
      <c r="S482">
        <v>33</v>
      </c>
      <c r="T482" t="s">
        <v>166</v>
      </c>
      <c r="U482" t="s">
        <v>152</v>
      </c>
      <c r="V482" t="s">
        <v>153</v>
      </c>
      <c r="W482" t="s">
        <v>177</v>
      </c>
      <c r="X482" t="s">
        <v>119</v>
      </c>
      <c r="Y482" t="s">
        <v>112</v>
      </c>
      <c r="Z482" t="s">
        <v>166</v>
      </c>
      <c r="AA482" t="s">
        <v>152</v>
      </c>
      <c r="AB482" t="s">
        <v>153</v>
      </c>
      <c r="AC482" t="s">
        <v>177</v>
      </c>
      <c r="AD482" t="s">
        <v>119</v>
      </c>
      <c r="AE482" t="s">
        <v>112</v>
      </c>
      <c r="AF482" t="s">
        <v>121</v>
      </c>
      <c r="AG482" t="s">
        <v>122</v>
      </c>
      <c r="AH482">
        <v>3687965.93</v>
      </c>
      <c r="AI482" t="s">
        <v>166</v>
      </c>
      <c r="AJ482" t="s">
        <v>152</v>
      </c>
      <c r="AK482" t="s">
        <v>153</v>
      </c>
      <c r="AL482" t="s">
        <v>177</v>
      </c>
      <c r="AM482" t="s">
        <v>119</v>
      </c>
      <c r="AN482" t="s">
        <v>112</v>
      </c>
      <c r="AO482" t="s">
        <v>121</v>
      </c>
      <c r="AP482" t="s">
        <v>122</v>
      </c>
      <c r="AQ482" t="s">
        <v>122</v>
      </c>
      <c r="AR482" t="s">
        <v>124</v>
      </c>
      <c r="AS482" t="s">
        <v>125</v>
      </c>
      <c r="AT482">
        <v>2</v>
      </c>
      <c r="AU482" t="s">
        <v>106</v>
      </c>
      <c r="AV482" t="s">
        <v>155</v>
      </c>
      <c r="AW482" t="s">
        <v>156</v>
      </c>
      <c r="AX482">
        <v>1</v>
      </c>
      <c r="AY482" t="s">
        <v>129</v>
      </c>
      <c r="AZ482">
        <v>46468.2</v>
      </c>
      <c r="BA482">
        <v>3430738</v>
      </c>
      <c r="BB482">
        <v>54005.11</v>
      </c>
      <c r="BC482">
        <v>73.829800000000006</v>
      </c>
      <c r="BD482" t="s">
        <v>130</v>
      </c>
      <c r="BE482" t="s">
        <v>112</v>
      </c>
      <c r="BF482" t="s">
        <v>157</v>
      </c>
      <c r="BG482" t="s">
        <v>133</v>
      </c>
      <c r="BH482" t="s">
        <v>134</v>
      </c>
      <c r="BI482" t="s">
        <v>112</v>
      </c>
      <c r="BJ482" t="s">
        <v>178</v>
      </c>
      <c r="BK482" t="s">
        <v>112</v>
      </c>
      <c r="BL482" t="s">
        <v>125</v>
      </c>
      <c r="BM482" t="s">
        <v>179</v>
      </c>
      <c r="BN482" t="s">
        <v>180</v>
      </c>
      <c r="BO482" t="s">
        <v>181</v>
      </c>
      <c r="BP482">
        <v>1</v>
      </c>
      <c r="BQ482" t="s">
        <v>199</v>
      </c>
      <c r="BR482" s="45">
        <f>ISNUMBER(SEARCH($BR$1,Таблица1[[#This Row],[31_1 Описание и характеристика товара]]))*1</f>
        <v>1</v>
      </c>
      <c r="BT482" t="s">
        <v>150</v>
      </c>
      <c r="BU482">
        <v>33</v>
      </c>
      <c r="BV482">
        <v>1</v>
      </c>
      <c r="BW482">
        <v>0</v>
      </c>
      <c r="BY482">
        <v>0</v>
      </c>
      <c r="CA482" t="s">
        <v>106</v>
      </c>
      <c r="CB482" t="s">
        <v>142</v>
      </c>
      <c r="CC482" t="s">
        <v>112</v>
      </c>
      <c r="CD482" t="s">
        <v>112</v>
      </c>
      <c r="CE482" t="s">
        <v>121</v>
      </c>
      <c r="CF482">
        <v>17575.919999999998</v>
      </c>
      <c r="CG482" t="s">
        <v>144</v>
      </c>
      <c r="CH482">
        <v>4000000</v>
      </c>
      <c r="CI482">
        <v>17575.919999999998</v>
      </c>
      <c r="CJ482">
        <v>0</v>
      </c>
      <c r="CK482" t="s">
        <v>112</v>
      </c>
      <c r="CL482" t="s">
        <v>112</v>
      </c>
      <c r="CM482">
        <v>46468.2</v>
      </c>
      <c r="CN482">
        <v>3430738</v>
      </c>
      <c r="CO482">
        <v>0</v>
      </c>
      <c r="CP482">
        <v>1</v>
      </c>
      <c r="CQ482">
        <v>3687965.93</v>
      </c>
      <c r="CR482">
        <v>54005.11</v>
      </c>
      <c r="CS482" t="s">
        <v>145</v>
      </c>
      <c r="CT482">
        <v>54005.529384000001</v>
      </c>
      <c r="CU482">
        <v>3.0727000000000002</v>
      </c>
      <c r="CV482">
        <v>941</v>
      </c>
      <c r="CW482" t="s">
        <v>183</v>
      </c>
      <c r="CX482" t="s">
        <v>147</v>
      </c>
      <c r="CY482">
        <v>571</v>
      </c>
    </row>
    <row r="483" spans="1:103" x14ac:dyDescent="0.25">
      <c r="A483" s="8" t="s">
        <v>106</v>
      </c>
      <c r="B483" s="38">
        <v>45271</v>
      </c>
      <c r="C483" s="43">
        <f>IF(YEAR(Таблица1[[#This Row],[Дата]])=2023,MONTH(Таблица1[[#This Row],[Дата]]),0)</f>
        <v>12</v>
      </c>
      <c r="D483" s="8" t="s">
        <v>2199</v>
      </c>
      <c r="E483" s="8" t="s">
        <v>108</v>
      </c>
      <c r="F483" s="8" t="s">
        <v>2200</v>
      </c>
      <c r="G483" t="s">
        <v>110</v>
      </c>
      <c r="H483" s="8" t="s">
        <v>111</v>
      </c>
      <c r="I483" s="8" t="s">
        <v>112</v>
      </c>
      <c r="J483" s="8" t="s">
        <v>112</v>
      </c>
      <c r="K483" s="8" t="s">
        <v>112</v>
      </c>
      <c r="L483" s="8" t="s">
        <v>2201</v>
      </c>
      <c r="M483" s="8" t="s">
        <v>2202</v>
      </c>
      <c r="N483" s="8" t="s">
        <v>112</v>
      </c>
      <c r="O483" s="8" t="s">
        <v>112</v>
      </c>
      <c r="P483">
        <v>15</v>
      </c>
      <c r="Q483">
        <v>0</v>
      </c>
      <c r="R483">
        <v>42</v>
      </c>
      <c r="S483">
        <v>39</v>
      </c>
      <c r="T483" s="8" t="s">
        <v>2136</v>
      </c>
      <c r="U483" s="8" t="s">
        <v>2137</v>
      </c>
      <c r="V483" s="8" t="s">
        <v>2141</v>
      </c>
      <c r="W483" s="8" t="s">
        <v>2203</v>
      </c>
      <c r="X483" s="8" t="s">
        <v>119</v>
      </c>
      <c r="Y483" s="8" t="s">
        <v>2140</v>
      </c>
      <c r="Z483" s="8" t="s">
        <v>2136</v>
      </c>
      <c r="AA483" s="8" t="s">
        <v>2137</v>
      </c>
      <c r="AB483" s="8" t="s">
        <v>2141</v>
      </c>
      <c r="AC483" s="8" t="s">
        <v>2203</v>
      </c>
      <c r="AD483" s="8" t="s">
        <v>119</v>
      </c>
      <c r="AE483" s="8" t="s">
        <v>2140</v>
      </c>
      <c r="AF483" s="8" t="s">
        <v>143</v>
      </c>
      <c r="AG483" s="8" t="s">
        <v>123</v>
      </c>
      <c r="AH483">
        <v>6436794.2199999904</v>
      </c>
      <c r="AI483" s="8" t="s">
        <v>2136</v>
      </c>
      <c r="AJ483" s="8" t="s">
        <v>2137</v>
      </c>
      <c r="AK483" s="8" t="s">
        <v>2141</v>
      </c>
      <c r="AL483" s="8" t="s">
        <v>2203</v>
      </c>
      <c r="AM483" s="8" t="s">
        <v>119</v>
      </c>
      <c r="AN483" s="8" t="s">
        <v>2140</v>
      </c>
      <c r="AO483" s="8" t="s">
        <v>143</v>
      </c>
      <c r="AP483" s="8" t="s">
        <v>123</v>
      </c>
      <c r="AQ483" s="8" t="s">
        <v>123</v>
      </c>
      <c r="AR483" s="8" t="s">
        <v>124</v>
      </c>
      <c r="AS483" s="8" t="s">
        <v>125</v>
      </c>
      <c r="AT483">
        <v>2</v>
      </c>
      <c r="AU483" s="8" t="s">
        <v>126</v>
      </c>
      <c r="AV483" s="8" t="s">
        <v>155</v>
      </c>
      <c r="AW483" s="8" t="s">
        <v>2204</v>
      </c>
      <c r="AX483">
        <v>1</v>
      </c>
      <c r="AY483" s="8" t="s">
        <v>129</v>
      </c>
      <c r="AZ483">
        <v>89240.56</v>
      </c>
      <c r="BA483">
        <v>6108249</v>
      </c>
      <c r="BB483">
        <v>100103.33</v>
      </c>
      <c r="BC483">
        <v>68.447000000000003</v>
      </c>
      <c r="BD483" s="8" t="s">
        <v>130</v>
      </c>
      <c r="BE483" s="8" t="s">
        <v>112</v>
      </c>
      <c r="BF483" s="8" t="s">
        <v>2205</v>
      </c>
      <c r="BG483" s="8" t="s">
        <v>133</v>
      </c>
      <c r="BH483" s="8" t="s">
        <v>134</v>
      </c>
      <c r="BI483" s="8" t="s">
        <v>112</v>
      </c>
      <c r="BJ483" s="8" t="s">
        <v>112</v>
      </c>
      <c r="BK483" s="8" t="s">
        <v>112</v>
      </c>
      <c r="BL483" s="8" t="s">
        <v>2168</v>
      </c>
      <c r="BM483" s="8" t="s">
        <v>2206</v>
      </c>
      <c r="BN483" s="8" t="s">
        <v>2207</v>
      </c>
      <c r="BO483" s="8" t="s">
        <v>2208</v>
      </c>
      <c r="BP483">
        <v>1</v>
      </c>
      <c r="BQ483" s="8" t="s">
        <v>2209</v>
      </c>
      <c r="BR483" s="45">
        <f>ISNUMBER(SEARCH($BR$1,Таблица1[[#This Row],[31_1 Описание и характеристика товара]]))*1</f>
        <v>0</v>
      </c>
      <c r="BT483" s="8" t="s">
        <v>2210</v>
      </c>
      <c r="BU483">
        <v>34</v>
      </c>
      <c r="BV483">
        <v>0</v>
      </c>
      <c r="BW483">
        <v>33</v>
      </c>
      <c r="BX483" t="s">
        <v>2147</v>
      </c>
      <c r="BY483">
        <v>0</v>
      </c>
      <c r="CA483" s="8" t="s">
        <v>106</v>
      </c>
      <c r="CB483" s="8" t="s">
        <v>2148</v>
      </c>
      <c r="CC483" s="8" t="s">
        <v>112</v>
      </c>
      <c r="CD483" s="8" t="s">
        <v>112</v>
      </c>
      <c r="CE483" s="8" t="s">
        <v>143</v>
      </c>
      <c r="CF483">
        <v>5060.5</v>
      </c>
      <c r="CG483" t="s">
        <v>144</v>
      </c>
      <c r="CH483">
        <v>4000000</v>
      </c>
      <c r="CI483">
        <v>4582.5</v>
      </c>
      <c r="CJ483">
        <v>0</v>
      </c>
      <c r="CK483" s="8" t="s">
        <v>112</v>
      </c>
      <c r="CL483" s="8" t="s">
        <v>112</v>
      </c>
      <c r="CM483">
        <v>72719.460000000006</v>
      </c>
      <c r="CN483">
        <v>4977429</v>
      </c>
      <c r="CO483">
        <v>0</v>
      </c>
      <c r="CP483">
        <v>1</v>
      </c>
      <c r="CQ483">
        <v>5202689.33</v>
      </c>
      <c r="CR483">
        <v>80910.850000000006</v>
      </c>
      <c r="CS483" s="8" t="s">
        <v>145</v>
      </c>
      <c r="CT483">
        <v>17.656500000000001</v>
      </c>
      <c r="CU483">
        <v>1053</v>
      </c>
      <c r="CV483" t="s">
        <v>2149</v>
      </c>
      <c r="CX483" t="s">
        <v>2150</v>
      </c>
      <c r="CY483">
        <v>365</v>
      </c>
    </row>
    <row r="484" spans="1:103" x14ac:dyDescent="0.25">
      <c r="A484" s="8" t="s">
        <v>106</v>
      </c>
      <c r="B484" s="38">
        <v>45189</v>
      </c>
      <c r="C484" s="43">
        <f>IF(YEAR(Таблица1[[#This Row],[Дата]])=2023,MONTH(Таблица1[[#This Row],[Дата]]),0)</f>
        <v>9</v>
      </c>
      <c r="D484" s="8" t="s">
        <v>2159</v>
      </c>
      <c r="E484" s="8" t="s">
        <v>108</v>
      </c>
      <c r="F484" s="8" t="s">
        <v>2160</v>
      </c>
      <c r="G484" t="s">
        <v>110</v>
      </c>
      <c r="H484" s="8" t="s">
        <v>111</v>
      </c>
      <c r="I484" s="8" t="s">
        <v>112</v>
      </c>
      <c r="J484" s="8" t="s">
        <v>112</v>
      </c>
      <c r="K484" s="8" t="s">
        <v>112</v>
      </c>
      <c r="L484" s="8" t="s">
        <v>2161</v>
      </c>
      <c r="M484" s="8" t="s">
        <v>2162</v>
      </c>
      <c r="N484" s="8" t="s">
        <v>112</v>
      </c>
      <c r="O484" s="8" t="s">
        <v>112</v>
      </c>
      <c r="P484">
        <v>2</v>
      </c>
      <c r="Q484">
        <v>0</v>
      </c>
      <c r="R484">
        <v>2</v>
      </c>
      <c r="S484">
        <v>127</v>
      </c>
      <c r="T484" s="8" t="s">
        <v>2136</v>
      </c>
      <c r="U484" s="8" t="s">
        <v>2137</v>
      </c>
      <c r="V484" s="8" t="s">
        <v>2141</v>
      </c>
      <c r="W484" s="8" t="s">
        <v>2139</v>
      </c>
      <c r="X484" s="8" t="s">
        <v>119</v>
      </c>
      <c r="Y484" s="8" t="s">
        <v>2140</v>
      </c>
      <c r="Z484" s="8" t="s">
        <v>2136</v>
      </c>
      <c r="AA484" s="8" t="s">
        <v>2137</v>
      </c>
      <c r="AB484" s="8" t="s">
        <v>2141</v>
      </c>
      <c r="AC484" s="8" t="s">
        <v>2139</v>
      </c>
      <c r="AD484" s="8" t="s">
        <v>119</v>
      </c>
      <c r="AE484" s="8" t="s">
        <v>2140</v>
      </c>
      <c r="AF484" s="8" t="s">
        <v>2163</v>
      </c>
      <c r="AG484" s="8" t="s">
        <v>2164</v>
      </c>
      <c r="AH484">
        <v>10374270.17</v>
      </c>
      <c r="AI484" s="8" t="s">
        <v>2136</v>
      </c>
      <c r="AJ484" s="8" t="s">
        <v>2137</v>
      </c>
      <c r="AK484" s="8" t="s">
        <v>2141</v>
      </c>
      <c r="AL484" s="8" t="s">
        <v>2139</v>
      </c>
      <c r="AM484" s="8" t="s">
        <v>119</v>
      </c>
      <c r="AN484" s="8" t="s">
        <v>2140</v>
      </c>
      <c r="AO484" s="8" t="s">
        <v>2163</v>
      </c>
      <c r="AP484" s="8" t="s">
        <v>2164</v>
      </c>
      <c r="AQ484" s="8" t="s">
        <v>2164</v>
      </c>
      <c r="AR484" s="8" t="s">
        <v>124</v>
      </c>
      <c r="AS484" s="8" t="s">
        <v>125</v>
      </c>
      <c r="AT484">
        <v>2</v>
      </c>
      <c r="AU484" s="8" t="s">
        <v>126</v>
      </c>
      <c r="AV484" s="8" t="s">
        <v>127</v>
      </c>
      <c r="AW484" s="8" t="s">
        <v>2165</v>
      </c>
      <c r="AX484">
        <v>1</v>
      </c>
      <c r="AY484" s="8" t="s">
        <v>129</v>
      </c>
      <c r="AZ484">
        <v>144843.47</v>
      </c>
      <c r="BA484">
        <v>9914101</v>
      </c>
      <c r="BB484">
        <v>161337.92000000001</v>
      </c>
      <c r="BC484">
        <v>68.447000000000003</v>
      </c>
      <c r="BD484" s="8" t="s">
        <v>130</v>
      </c>
      <c r="BE484" s="8" t="s">
        <v>131</v>
      </c>
      <c r="BF484" s="8" t="s">
        <v>2166</v>
      </c>
      <c r="BG484" s="8" t="s">
        <v>133</v>
      </c>
      <c r="BH484" s="8" t="s">
        <v>134</v>
      </c>
      <c r="BI484" s="8" t="s">
        <v>112</v>
      </c>
      <c r="BJ484" s="8" t="s">
        <v>2167</v>
      </c>
      <c r="BK484" s="8" t="s">
        <v>112</v>
      </c>
      <c r="BL484" s="8" t="s">
        <v>2168</v>
      </c>
      <c r="BM484" s="8" t="s">
        <v>2169</v>
      </c>
      <c r="BN484" s="8" t="s">
        <v>2170</v>
      </c>
      <c r="BO484" s="8" t="s">
        <v>2171</v>
      </c>
      <c r="BP484">
        <v>1</v>
      </c>
      <c r="BQ484" s="8" t="s">
        <v>2172</v>
      </c>
      <c r="BR484" s="45">
        <f>ISNUMBER(SEARCH($BR$1,Таблица1[[#This Row],[31_1 Описание и характеристика товара]]))*1</f>
        <v>0</v>
      </c>
      <c r="BT484" s="8" t="s">
        <v>2161</v>
      </c>
      <c r="BU484">
        <v>96</v>
      </c>
      <c r="BV484">
        <v>0</v>
      </c>
      <c r="BW484">
        <v>416</v>
      </c>
      <c r="BX484" t="s">
        <v>2147</v>
      </c>
      <c r="BY484">
        <v>0</v>
      </c>
      <c r="CA484" s="8" t="s">
        <v>106</v>
      </c>
      <c r="CB484" s="8" t="s">
        <v>2148</v>
      </c>
      <c r="CC484" s="8" t="s">
        <v>112</v>
      </c>
      <c r="CD484" s="8" t="s">
        <v>112</v>
      </c>
      <c r="CE484" s="8" t="s">
        <v>2163</v>
      </c>
      <c r="CF484">
        <v>16118</v>
      </c>
      <c r="CG484" t="s">
        <v>144</v>
      </c>
      <c r="CH484">
        <v>4000000</v>
      </c>
      <c r="CI484">
        <v>16062</v>
      </c>
      <c r="CJ484">
        <v>0</v>
      </c>
      <c r="CK484" s="8" t="s">
        <v>112</v>
      </c>
      <c r="CL484" s="8" t="s">
        <v>112</v>
      </c>
      <c r="CM484">
        <v>143725.92000000001</v>
      </c>
      <c r="CN484">
        <v>9837608</v>
      </c>
      <c r="CO484">
        <v>0</v>
      </c>
      <c r="CP484">
        <v>1</v>
      </c>
      <c r="CQ484">
        <v>10294875.08</v>
      </c>
      <c r="CR484">
        <v>160103.19</v>
      </c>
      <c r="CS484" s="8" t="s">
        <v>145</v>
      </c>
      <c r="CT484">
        <v>9.9678000000000004</v>
      </c>
      <c r="CU484">
        <v>1053</v>
      </c>
      <c r="CV484" t="s">
        <v>2149</v>
      </c>
      <c r="CX484" t="s">
        <v>2150</v>
      </c>
      <c r="CY484">
        <v>0</v>
      </c>
    </row>
    <row r="485" spans="1:103" x14ac:dyDescent="0.25">
      <c r="A485" t="s">
        <v>106</v>
      </c>
      <c r="B485" s="38">
        <v>45235</v>
      </c>
      <c r="C485" s="43">
        <f>IF(YEAR(Таблица1[[#This Row],[Дата]])=2023,MONTH(Таблица1[[#This Row],[Дата]]),0)</f>
        <v>11</v>
      </c>
      <c r="D485" t="s">
        <v>1399</v>
      </c>
      <c r="E485" t="s">
        <v>108</v>
      </c>
      <c r="F485" t="s">
        <v>1400</v>
      </c>
      <c r="G485" t="s">
        <v>110</v>
      </c>
      <c r="H485" t="s">
        <v>111</v>
      </c>
      <c r="I485" t="s">
        <v>112</v>
      </c>
      <c r="J485" t="s">
        <v>112</v>
      </c>
      <c r="K485" t="s">
        <v>112</v>
      </c>
      <c r="L485" t="s">
        <v>150</v>
      </c>
      <c r="M485" t="s">
        <v>151</v>
      </c>
      <c r="N485" t="s">
        <v>112</v>
      </c>
      <c r="O485" t="s">
        <v>112</v>
      </c>
      <c r="P485">
        <v>1</v>
      </c>
      <c r="R485">
        <v>1</v>
      </c>
      <c r="S485">
        <v>33</v>
      </c>
      <c r="T485" t="s">
        <v>112</v>
      </c>
      <c r="U485" t="s">
        <v>152</v>
      </c>
      <c r="V485" t="s">
        <v>153</v>
      </c>
      <c r="W485" t="s">
        <v>154</v>
      </c>
      <c r="X485" t="s">
        <v>119</v>
      </c>
      <c r="Y485" t="s">
        <v>112</v>
      </c>
      <c r="Z485" t="s">
        <v>112</v>
      </c>
      <c r="AA485" t="s">
        <v>152</v>
      </c>
      <c r="AB485" t="s">
        <v>153</v>
      </c>
      <c r="AC485" t="s">
        <v>154</v>
      </c>
      <c r="AD485" t="s">
        <v>119</v>
      </c>
      <c r="AE485" t="s">
        <v>112</v>
      </c>
      <c r="AF485" t="s">
        <v>121</v>
      </c>
      <c r="AG485" t="s">
        <v>122</v>
      </c>
      <c r="AH485">
        <v>5262376.79</v>
      </c>
      <c r="AI485" t="s">
        <v>112</v>
      </c>
      <c r="AJ485" t="s">
        <v>152</v>
      </c>
      <c r="AK485" t="s">
        <v>153</v>
      </c>
      <c r="AL485" t="s">
        <v>154</v>
      </c>
      <c r="AM485" t="s">
        <v>119</v>
      </c>
      <c r="AN485" t="s">
        <v>112</v>
      </c>
      <c r="AO485" t="s">
        <v>121</v>
      </c>
      <c r="AP485" t="s">
        <v>122</v>
      </c>
      <c r="AQ485" t="s">
        <v>122</v>
      </c>
      <c r="AR485" t="s">
        <v>124</v>
      </c>
      <c r="AS485" t="s">
        <v>125</v>
      </c>
      <c r="AT485">
        <v>2</v>
      </c>
      <c r="AU485" t="s">
        <v>126</v>
      </c>
      <c r="AV485" t="s">
        <v>155</v>
      </c>
      <c r="AW485" t="s">
        <v>156</v>
      </c>
      <c r="AY485" t="s">
        <v>129</v>
      </c>
      <c r="AZ485">
        <v>49656.800000000003</v>
      </c>
      <c r="BC485">
        <v>97.133399999999995</v>
      </c>
      <c r="BD485" t="s">
        <v>112</v>
      </c>
      <c r="BE485" t="s">
        <v>112</v>
      </c>
      <c r="BF485" t="s">
        <v>157</v>
      </c>
      <c r="BG485" t="s">
        <v>133</v>
      </c>
      <c r="BH485" t="s">
        <v>134</v>
      </c>
      <c r="BI485" t="s">
        <v>112</v>
      </c>
      <c r="BJ485" t="s">
        <v>112</v>
      </c>
      <c r="BK485" t="s">
        <v>112</v>
      </c>
      <c r="BL485" t="s">
        <v>158</v>
      </c>
      <c r="BM485" t="s">
        <v>159</v>
      </c>
      <c r="BN485" t="s">
        <v>212</v>
      </c>
      <c r="BO485" t="s">
        <v>161</v>
      </c>
      <c r="BQ485" t="s">
        <v>205</v>
      </c>
      <c r="BR485" s="45">
        <f>ISNUMBER(SEARCH($BR$1,Таблица1[[#This Row],[31_1 Описание и характеристика товара]]))*1</f>
        <v>1</v>
      </c>
      <c r="BT485" t="s">
        <v>150</v>
      </c>
      <c r="BU485">
        <v>33</v>
      </c>
      <c r="BV485">
        <v>0</v>
      </c>
      <c r="BW485">
        <v>0</v>
      </c>
      <c r="BY485">
        <v>0</v>
      </c>
      <c r="CA485" t="s">
        <v>106</v>
      </c>
      <c r="CB485" t="s">
        <v>142</v>
      </c>
      <c r="CC485" t="s">
        <v>112</v>
      </c>
      <c r="CD485" t="s">
        <v>112</v>
      </c>
      <c r="CE485" t="s">
        <v>121</v>
      </c>
      <c r="CF485">
        <v>16557.66</v>
      </c>
      <c r="CG485" t="s">
        <v>144</v>
      </c>
      <c r="CH485">
        <v>4000000</v>
      </c>
      <c r="CI485">
        <v>16539.66</v>
      </c>
      <c r="CJ485">
        <v>0</v>
      </c>
      <c r="CK485" t="s">
        <v>112</v>
      </c>
      <c r="CL485" t="s">
        <v>112</v>
      </c>
      <c r="CM485">
        <v>49656.800000000003</v>
      </c>
      <c r="CO485">
        <v>0</v>
      </c>
      <c r="CP485">
        <v>1</v>
      </c>
      <c r="CQ485">
        <v>5262376.79</v>
      </c>
      <c r="CR485">
        <v>58826.1</v>
      </c>
      <c r="CS485" t="s">
        <v>145</v>
      </c>
      <c r="CT485">
        <v>58881.189599999998</v>
      </c>
      <c r="CU485">
        <v>3.56</v>
      </c>
      <c r="CV485">
        <v>45</v>
      </c>
      <c r="CX485" t="s">
        <v>729</v>
      </c>
      <c r="CY485">
        <v>330</v>
      </c>
    </row>
    <row r="486" spans="1:103" x14ac:dyDescent="0.25">
      <c r="A486" t="s">
        <v>106</v>
      </c>
      <c r="B486" s="38">
        <v>45128</v>
      </c>
      <c r="C486" s="43">
        <f>IF(YEAR(Таблица1[[#This Row],[Дата]])=2023,MONTH(Таблица1[[#This Row],[Дата]]),0)</f>
        <v>7</v>
      </c>
      <c r="D486" t="s">
        <v>1432</v>
      </c>
      <c r="E486" t="s">
        <v>108</v>
      </c>
      <c r="F486" t="s">
        <v>1433</v>
      </c>
      <c r="G486" t="s">
        <v>110</v>
      </c>
      <c r="H486" t="s">
        <v>111</v>
      </c>
      <c r="I486" t="s">
        <v>112</v>
      </c>
      <c r="J486" t="s">
        <v>112</v>
      </c>
      <c r="K486" t="s">
        <v>112</v>
      </c>
      <c r="L486" t="s">
        <v>150</v>
      </c>
      <c r="M486" t="s">
        <v>151</v>
      </c>
      <c r="N486" t="s">
        <v>112</v>
      </c>
      <c r="O486" t="s">
        <v>112</v>
      </c>
      <c r="P486">
        <v>1</v>
      </c>
      <c r="R486">
        <v>1</v>
      </c>
      <c r="S486">
        <v>33</v>
      </c>
      <c r="T486" t="s">
        <v>112</v>
      </c>
      <c r="U486" t="s">
        <v>152</v>
      </c>
      <c r="V486" t="s">
        <v>153</v>
      </c>
      <c r="W486" t="s">
        <v>154</v>
      </c>
      <c r="X486" t="s">
        <v>119</v>
      </c>
      <c r="Y486" t="s">
        <v>112</v>
      </c>
      <c r="Z486" t="s">
        <v>112</v>
      </c>
      <c r="AA486" t="s">
        <v>152</v>
      </c>
      <c r="AB486" t="s">
        <v>153</v>
      </c>
      <c r="AC486" t="s">
        <v>154</v>
      </c>
      <c r="AD486" t="s">
        <v>119</v>
      </c>
      <c r="AE486" t="s">
        <v>112</v>
      </c>
      <c r="AF486" t="s">
        <v>121</v>
      </c>
      <c r="AG486" t="s">
        <v>122</v>
      </c>
      <c r="AH486">
        <v>4487776.78</v>
      </c>
      <c r="AI486" t="s">
        <v>112</v>
      </c>
      <c r="AJ486" t="s">
        <v>152</v>
      </c>
      <c r="AK486" t="s">
        <v>153</v>
      </c>
      <c r="AL486" t="s">
        <v>154</v>
      </c>
      <c r="AM486" t="s">
        <v>119</v>
      </c>
      <c r="AN486" t="s">
        <v>112</v>
      </c>
      <c r="AO486" t="s">
        <v>121</v>
      </c>
      <c r="AP486" t="s">
        <v>122</v>
      </c>
      <c r="AQ486" t="s">
        <v>122</v>
      </c>
      <c r="AR486" t="s">
        <v>124</v>
      </c>
      <c r="AS486" t="s">
        <v>125</v>
      </c>
      <c r="AT486">
        <v>2</v>
      </c>
      <c r="AU486" t="s">
        <v>126</v>
      </c>
      <c r="AV486" t="s">
        <v>155</v>
      </c>
      <c r="AW486" t="s">
        <v>156</v>
      </c>
      <c r="AY486" t="s">
        <v>129</v>
      </c>
      <c r="AZ486">
        <v>42212.2</v>
      </c>
      <c r="BC486">
        <v>97.133399999999995</v>
      </c>
      <c r="BD486" t="s">
        <v>112</v>
      </c>
      <c r="BE486" t="s">
        <v>112</v>
      </c>
      <c r="BF486" t="s">
        <v>157</v>
      </c>
      <c r="BG486" t="s">
        <v>133</v>
      </c>
      <c r="BH486" t="s">
        <v>134</v>
      </c>
      <c r="BI486" t="s">
        <v>112</v>
      </c>
      <c r="BJ486" t="s">
        <v>112</v>
      </c>
      <c r="BK486" t="s">
        <v>112</v>
      </c>
      <c r="BL486" t="s">
        <v>158</v>
      </c>
      <c r="BM486" t="s">
        <v>159</v>
      </c>
      <c r="BN486" t="s">
        <v>212</v>
      </c>
      <c r="BO486" t="s">
        <v>161</v>
      </c>
      <c r="BQ486" t="s">
        <v>466</v>
      </c>
      <c r="BR486" s="45">
        <f>ISNUMBER(SEARCH($BR$1,Таблица1[[#This Row],[31_1 Описание и характеристика товара]]))*1</f>
        <v>1</v>
      </c>
      <c r="BT486" t="s">
        <v>150</v>
      </c>
      <c r="BU486">
        <v>33</v>
      </c>
      <c r="BV486">
        <v>0</v>
      </c>
      <c r="BW486">
        <v>0</v>
      </c>
      <c r="BY486">
        <v>0</v>
      </c>
      <c r="CA486" t="s">
        <v>106</v>
      </c>
      <c r="CB486" t="s">
        <v>142</v>
      </c>
      <c r="CC486" t="s">
        <v>112</v>
      </c>
      <c r="CD486" t="s">
        <v>112</v>
      </c>
      <c r="CE486" t="s">
        <v>121</v>
      </c>
      <c r="CF486">
        <v>16464.45</v>
      </c>
      <c r="CG486" t="s">
        <v>144</v>
      </c>
      <c r="CH486">
        <v>4000000</v>
      </c>
      <c r="CI486">
        <v>16425.45</v>
      </c>
      <c r="CJ486">
        <v>0</v>
      </c>
      <c r="CK486" t="s">
        <v>112</v>
      </c>
      <c r="CL486" t="s">
        <v>112</v>
      </c>
      <c r="CM486">
        <v>42212.2</v>
      </c>
      <c r="CO486">
        <v>0</v>
      </c>
      <c r="CP486">
        <v>1</v>
      </c>
      <c r="CQ486">
        <v>4487776.78</v>
      </c>
      <c r="CR486">
        <v>50167.14</v>
      </c>
      <c r="CS486" t="s">
        <v>145</v>
      </c>
      <c r="CT486">
        <v>50097.622499999998</v>
      </c>
      <c r="CU486">
        <v>3.05</v>
      </c>
      <c r="CV486">
        <v>45</v>
      </c>
      <c r="CX486" t="s">
        <v>729</v>
      </c>
      <c r="CY486">
        <v>112</v>
      </c>
    </row>
    <row r="487" spans="1:103" x14ac:dyDescent="0.25">
      <c r="A487" t="s">
        <v>106</v>
      </c>
      <c r="B487" s="38">
        <v>44940</v>
      </c>
      <c r="C487" s="43">
        <f>IF(YEAR(Таблица1[[#This Row],[Дата]])=2023,MONTH(Таблица1[[#This Row],[Дата]]),0)</f>
        <v>1</v>
      </c>
      <c r="D487" t="s">
        <v>1450</v>
      </c>
      <c r="E487" t="s">
        <v>108</v>
      </c>
      <c r="F487" t="s">
        <v>1451</v>
      </c>
      <c r="G487" t="s">
        <v>110</v>
      </c>
      <c r="H487" t="s">
        <v>111</v>
      </c>
      <c r="I487" t="s">
        <v>112</v>
      </c>
      <c r="J487" t="s">
        <v>112</v>
      </c>
      <c r="K487" t="s">
        <v>112</v>
      </c>
      <c r="L487" t="s">
        <v>150</v>
      </c>
      <c r="M487" t="s">
        <v>151</v>
      </c>
      <c r="N487" t="s">
        <v>112</v>
      </c>
      <c r="O487" t="s">
        <v>112</v>
      </c>
      <c r="P487">
        <v>1</v>
      </c>
      <c r="R487">
        <v>1</v>
      </c>
      <c r="S487">
        <v>33</v>
      </c>
      <c r="T487" t="s">
        <v>112</v>
      </c>
      <c r="U487" t="s">
        <v>152</v>
      </c>
      <c r="V487" t="s">
        <v>153</v>
      </c>
      <c r="W487" t="s">
        <v>154</v>
      </c>
      <c r="X487" t="s">
        <v>119</v>
      </c>
      <c r="Y487" t="s">
        <v>112</v>
      </c>
      <c r="Z487" t="s">
        <v>112</v>
      </c>
      <c r="AA487" t="s">
        <v>152</v>
      </c>
      <c r="AB487" t="s">
        <v>153</v>
      </c>
      <c r="AC487" t="s">
        <v>154</v>
      </c>
      <c r="AD487" t="s">
        <v>119</v>
      </c>
      <c r="AE487" t="s">
        <v>112</v>
      </c>
      <c r="AF487" t="s">
        <v>121</v>
      </c>
      <c r="AG487" t="s">
        <v>122</v>
      </c>
      <c r="AH487">
        <v>4655895.2699999996</v>
      </c>
      <c r="AI487" t="s">
        <v>112</v>
      </c>
      <c r="AJ487" t="s">
        <v>152</v>
      </c>
      <c r="AK487" t="s">
        <v>153</v>
      </c>
      <c r="AL487" t="s">
        <v>154</v>
      </c>
      <c r="AM487" t="s">
        <v>119</v>
      </c>
      <c r="AN487" t="s">
        <v>112</v>
      </c>
      <c r="AO487" t="s">
        <v>121</v>
      </c>
      <c r="AP487" t="s">
        <v>122</v>
      </c>
      <c r="AQ487" t="s">
        <v>122</v>
      </c>
      <c r="AR487" t="s">
        <v>124</v>
      </c>
      <c r="AS487" t="s">
        <v>125</v>
      </c>
      <c r="AT487">
        <v>2</v>
      </c>
      <c r="AU487" t="s">
        <v>126</v>
      </c>
      <c r="AV487" t="s">
        <v>155</v>
      </c>
      <c r="AW487" t="s">
        <v>156</v>
      </c>
      <c r="AY487" t="s">
        <v>129</v>
      </c>
      <c r="AZ487">
        <v>43943</v>
      </c>
      <c r="BC487">
        <v>97.133399999999995</v>
      </c>
      <c r="BD487" t="s">
        <v>112</v>
      </c>
      <c r="BE487" t="s">
        <v>112</v>
      </c>
      <c r="BF487" t="s">
        <v>157</v>
      </c>
      <c r="BG487" t="s">
        <v>133</v>
      </c>
      <c r="BH487" t="s">
        <v>134</v>
      </c>
      <c r="BI487" t="s">
        <v>112</v>
      </c>
      <c r="BJ487" t="s">
        <v>112</v>
      </c>
      <c r="BK487" t="s">
        <v>112</v>
      </c>
      <c r="BL487" t="s">
        <v>158</v>
      </c>
      <c r="BM487" t="s">
        <v>159</v>
      </c>
      <c r="BN487" t="s">
        <v>212</v>
      </c>
      <c r="BO487" t="s">
        <v>161</v>
      </c>
      <c r="BQ487" t="s">
        <v>232</v>
      </c>
      <c r="BR487" s="45">
        <f>ISNUMBER(SEARCH($BR$1,Таблица1[[#This Row],[31_1 Описание и характеристика товара]]))*1</f>
        <v>1</v>
      </c>
      <c r="BT487" t="s">
        <v>150</v>
      </c>
      <c r="BU487">
        <v>33</v>
      </c>
      <c r="BV487">
        <v>0</v>
      </c>
      <c r="BW487">
        <v>0</v>
      </c>
      <c r="BY487">
        <v>0</v>
      </c>
      <c r="CA487" t="s">
        <v>106</v>
      </c>
      <c r="CB487" t="s">
        <v>142</v>
      </c>
      <c r="CC487" t="s">
        <v>112</v>
      </c>
      <c r="CD487" t="s">
        <v>112</v>
      </c>
      <c r="CE487" t="s">
        <v>121</v>
      </c>
      <c r="CF487">
        <v>17205.54</v>
      </c>
      <c r="CG487" t="s">
        <v>144</v>
      </c>
      <c r="CH487">
        <v>4000000</v>
      </c>
      <c r="CI487">
        <v>17205.54</v>
      </c>
      <c r="CJ487">
        <v>0</v>
      </c>
      <c r="CK487" t="s">
        <v>112</v>
      </c>
      <c r="CL487" t="s">
        <v>112</v>
      </c>
      <c r="CM487">
        <v>43943</v>
      </c>
      <c r="CO487">
        <v>0</v>
      </c>
      <c r="CP487">
        <v>1</v>
      </c>
      <c r="CQ487">
        <v>4655895.2699999996</v>
      </c>
      <c r="CR487">
        <v>52046.47</v>
      </c>
      <c r="CS487" t="s">
        <v>145</v>
      </c>
      <c r="CT487">
        <v>51960.730800000005</v>
      </c>
      <c r="CU487">
        <v>3.02</v>
      </c>
      <c r="CV487">
        <v>45</v>
      </c>
      <c r="CX487" t="s">
        <v>1140</v>
      </c>
      <c r="CY487">
        <v>353</v>
      </c>
    </row>
    <row r="488" spans="1:103" x14ac:dyDescent="0.25">
      <c r="A488" t="s">
        <v>106</v>
      </c>
      <c r="B488" s="38">
        <v>45000</v>
      </c>
      <c r="C488" s="43">
        <f>IF(YEAR(Таблица1[[#This Row],[Дата]])=2023,MONTH(Таблица1[[#This Row],[Дата]]),0)</f>
        <v>3</v>
      </c>
      <c r="D488" t="s">
        <v>1481</v>
      </c>
      <c r="E488" t="s">
        <v>108</v>
      </c>
      <c r="F488" t="s">
        <v>1482</v>
      </c>
      <c r="G488" t="s">
        <v>110</v>
      </c>
      <c r="H488" t="s">
        <v>111</v>
      </c>
      <c r="I488" t="s">
        <v>112</v>
      </c>
      <c r="J488" t="s">
        <v>112</v>
      </c>
      <c r="K488" t="s">
        <v>112</v>
      </c>
      <c r="L488" t="s">
        <v>150</v>
      </c>
      <c r="M488" t="s">
        <v>151</v>
      </c>
      <c r="N488" t="s">
        <v>112</v>
      </c>
      <c r="O488" t="s">
        <v>112</v>
      </c>
      <c r="P488">
        <v>1</v>
      </c>
      <c r="R488">
        <v>1</v>
      </c>
      <c r="S488">
        <v>33</v>
      </c>
      <c r="T488" t="s">
        <v>112</v>
      </c>
      <c r="U488" t="s">
        <v>152</v>
      </c>
      <c r="V488" t="s">
        <v>153</v>
      </c>
      <c r="W488" t="s">
        <v>154</v>
      </c>
      <c r="X488" t="s">
        <v>119</v>
      </c>
      <c r="Y488" t="s">
        <v>112</v>
      </c>
      <c r="Z488" t="s">
        <v>112</v>
      </c>
      <c r="AA488" t="s">
        <v>152</v>
      </c>
      <c r="AB488" t="s">
        <v>153</v>
      </c>
      <c r="AC488" t="s">
        <v>154</v>
      </c>
      <c r="AD488" t="s">
        <v>119</v>
      </c>
      <c r="AE488" t="s">
        <v>112</v>
      </c>
      <c r="AF488" t="s">
        <v>121</v>
      </c>
      <c r="AG488" t="s">
        <v>122</v>
      </c>
      <c r="AH488">
        <v>5201784.97</v>
      </c>
      <c r="AI488" t="s">
        <v>112</v>
      </c>
      <c r="AJ488" t="s">
        <v>152</v>
      </c>
      <c r="AK488" t="s">
        <v>153</v>
      </c>
      <c r="AL488" t="s">
        <v>154</v>
      </c>
      <c r="AM488" t="s">
        <v>119</v>
      </c>
      <c r="AN488" t="s">
        <v>112</v>
      </c>
      <c r="AO488" t="s">
        <v>121</v>
      </c>
      <c r="AP488" t="s">
        <v>122</v>
      </c>
      <c r="AQ488" t="s">
        <v>122</v>
      </c>
      <c r="AR488" t="s">
        <v>124</v>
      </c>
      <c r="AS488" t="s">
        <v>125</v>
      </c>
      <c r="AT488">
        <v>2</v>
      </c>
      <c r="AU488" t="s">
        <v>126</v>
      </c>
      <c r="AV488" t="s">
        <v>155</v>
      </c>
      <c r="AW488" t="s">
        <v>156</v>
      </c>
      <c r="AY488" t="s">
        <v>129</v>
      </c>
      <c r="AZ488">
        <v>49563</v>
      </c>
      <c r="BC488">
        <v>97.133399999999995</v>
      </c>
      <c r="BD488" t="s">
        <v>112</v>
      </c>
      <c r="BE488" t="s">
        <v>112</v>
      </c>
      <c r="BF488" t="s">
        <v>157</v>
      </c>
      <c r="BG488" t="s">
        <v>133</v>
      </c>
      <c r="BH488" t="s">
        <v>134</v>
      </c>
      <c r="BI488" t="s">
        <v>112</v>
      </c>
      <c r="BJ488" t="s">
        <v>112</v>
      </c>
      <c r="BK488" t="s">
        <v>112</v>
      </c>
      <c r="BL488" t="s">
        <v>158</v>
      </c>
      <c r="BM488" t="s">
        <v>159</v>
      </c>
      <c r="BN488" t="s">
        <v>212</v>
      </c>
      <c r="BO488" t="s">
        <v>161</v>
      </c>
      <c r="BQ488" t="s">
        <v>232</v>
      </c>
      <c r="BR488" s="45">
        <f>ISNUMBER(SEARCH($BR$1,Таблица1[[#This Row],[31_1 Описание и характеристика товара]]))*1</f>
        <v>1</v>
      </c>
      <c r="BT488" t="s">
        <v>150</v>
      </c>
      <c r="BU488">
        <v>33</v>
      </c>
      <c r="BV488">
        <v>0</v>
      </c>
      <c r="BW488">
        <v>0</v>
      </c>
      <c r="BY488">
        <v>0</v>
      </c>
      <c r="CA488" t="s">
        <v>106</v>
      </c>
      <c r="CB488" t="s">
        <v>142</v>
      </c>
      <c r="CC488" t="s">
        <v>112</v>
      </c>
      <c r="CD488" t="s">
        <v>112</v>
      </c>
      <c r="CE488" t="s">
        <v>121</v>
      </c>
      <c r="CF488">
        <v>17730.900000000001</v>
      </c>
      <c r="CG488" t="s">
        <v>144</v>
      </c>
      <c r="CH488">
        <v>4000000</v>
      </c>
      <c r="CI488">
        <v>17676.900000000001</v>
      </c>
      <c r="CJ488">
        <v>0</v>
      </c>
      <c r="CK488" t="s">
        <v>112</v>
      </c>
      <c r="CL488" t="s">
        <v>112</v>
      </c>
      <c r="CM488">
        <v>49563</v>
      </c>
      <c r="CO488">
        <v>0</v>
      </c>
      <c r="CP488">
        <v>1</v>
      </c>
      <c r="CQ488">
        <v>5201784.97</v>
      </c>
      <c r="CR488">
        <v>58148.76</v>
      </c>
      <c r="CS488" t="s">
        <v>145</v>
      </c>
      <c r="CT488">
        <v>58157.001000000004</v>
      </c>
      <c r="CU488">
        <v>3.29</v>
      </c>
      <c r="CV488">
        <v>45</v>
      </c>
      <c r="CX488" t="s">
        <v>233</v>
      </c>
      <c r="CY488">
        <v>300</v>
      </c>
    </row>
    <row r="489" spans="1:103" x14ac:dyDescent="0.25">
      <c r="A489" t="s">
        <v>106</v>
      </c>
      <c r="B489" s="38">
        <v>45272</v>
      </c>
      <c r="C489" s="43">
        <f>IF(YEAR(Таблица1[[#This Row],[Дата]])=2023,MONTH(Таблица1[[#This Row],[Дата]]),0)</f>
        <v>12</v>
      </c>
      <c r="D489" t="s">
        <v>1465</v>
      </c>
      <c r="E489" t="s">
        <v>108</v>
      </c>
      <c r="F489" t="s">
        <v>1466</v>
      </c>
      <c r="G489" t="s">
        <v>110</v>
      </c>
      <c r="H489" t="s">
        <v>111</v>
      </c>
      <c r="I489" t="s">
        <v>112</v>
      </c>
      <c r="J489" t="s">
        <v>112</v>
      </c>
      <c r="K489" t="s">
        <v>112</v>
      </c>
      <c r="L489" t="s">
        <v>150</v>
      </c>
      <c r="M489" t="s">
        <v>151</v>
      </c>
      <c r="N489" t="s">
        <v>112</v>
      </c>
      <c r="O489" t="s">
        <v>112</v>
      </c>
      <c r="P489">
        <v>1</v>
      </c>
      <c r="R489">
        <v>1</v>
      </c>
      <c r="S489">
        <v>33</v>
      </c>
      <c r="T489" t="s">
        <v>112</v>
      </c>
      <c r="U489" t="s">
        <v>152</v>
      </c>
      <c r="V489" t="s">
        <v>153</v>
      </c>
      <c r="W489" t="s">
        <v>154</v>
      </c>
      <c r="X489" t="s">
        <v>119</v>
      </c>
      <c r="Y489" t="s">
        <v>112</v>
      </c>
      <c r="Z489" t="s">
        <v>112</v>
      </c>
      <c r="AA489" t="s">
        <v>152</v>
      </c>
      <c r="AB489" t="s">
        <v>153</v>
      </c>
      <c r="AC489" t="s">
        <v>154</v>
      </c>
      <c r="AD489" t="s">
        <v>119</v>
      </c>
      <c r="AE489" t="s">
        <v>112</v>
      </c>
      <c r="AF489" t="s">
        <v>121</v>
      </c>
      <c r="AG489" t="s">
        <v>122</v>
      </c>
      <c r="AH489">
        <v>4010439.94</v>
      </c>
      <c r="AI489" t="s">
        <v>112</v>
      </c>
      <c r="AJ489" t="s">
        <v>152</v>
      </c>
      <c r="AK489" t="s">
        <v>153</v>
      </c>
      <c r="AL489" t="s">
        <v>154</v>
      </c>
      <c r="AM489" t="s">
        <v>119</v>
      </c>
      <c r="AN489" t="s">
        <v>112</v>
      </c>
      <c r="AO489" t="s">
        <v>121</v>
      </c>
      <c r="AP489" t="s">
        <v>122</v>
      </c>
      <c r="AQ489" t="s">
        <v>122</v>
      </c>
      <c r="AR489" t="s">
        <v>124</v>
      </c>
      <c r="AS489" t="s">
        <v>125</v>
      </c>
      <c r="AT489">
        <v>2</v>
      </c>
      <c r="AU489" t="s">
        <v>126</v>
      </c>
      <c r="AV489" t="s">
        <v>155</v>
      </c>
      <c r="AW489" t="s">
        <v>156</v>
      </c>
      <c r="AY489" t="s">
        <v>129</v>
      </c>
      <c r="AZ489">
        <v>37297.96</v>
      </c>
      <c r="BC489">
        <v>97.133399999999995</v>
      </c>
      <c r="BD489" t="s">
        <v>112</v>
      </c>
      <c r="BE489" t="s">
        <v>112</v>
      </c>
      <c r="BF489" t="s">
        <v>157</v>
      </c>
      <c r="BG489" t="s">
        <v>133</v>
      </c>
      <c r="BH489" t="s">
        <v>134</v>
      </c>
      <c r="BI489" t="s">
        <v>112</v>
      </c>
      <c r="BJ489" t="s">
        <v>112</v>
      </c>
      <c r="BK489" t="s">
        <v>112</v>
      </c>
      <c r="BL489" t="s">
        <v>158</v>
      </c>
      <c r="BM489" t="s">
        <v>159</v>
      </c>
      <c r="BN489" t="s">
        <v>212</v>
      </c>
      <c r="BO489" t="s">
        <v>161</v>
      </c>
      <c r="BQ489" t="s">
        <v>162</v>
      </c>
      <c r="BR489" s="45">
        <f>ISNUMBER(SEARCH($BR$1,Таблица1[[#This Row],[31_1 Описание и характеристика товара]]))*1</f>
        <v>1</v>
      </c>
      <c r="BT489" t="s">
        <v>150</v>
      </c>
      <c r="BU489">
        <v>33</v>
      </c>
      <c r="BV489">
        <v>0</v>
      </c>
      <c r="BW489">
        <v>0</v>
      </c>
      <c r="BY489">
        <v>0</v>
      </c>
      <c r="CA489" t="s">
        <v>106</v>
      </c>
      <c r="CB489" t="s">
        <v>142</v>
      </c>
      <c r="CC489" t="s">
        <v>112</v>
      </c>
      <c r="CD489" t="s">
        <v>112</v>
      </c>
      <c r="CE489" t="s">
        <v>121</v>
      </c>
      <c r="CF489">
        <v>15931.58</v>
      </c>
      <c r="CG489" t="s">
        <v>144</v>
      </c>
      <c r="CH489">
        <v>4000000</v>
      </c>
      <c r="CI489">
        <v>15650.78</v>
      </c>
      <c r="CJ489">
        <v>0</v>
      </c>
      <c r="CK489" t="s">
        <v>112</v>
      </c>
      <c r="CL489" t="s">
        <v>112</v>
      </c>
      <c r="CM489">
        <v>37297.96</v>
      </c>
      <c r="CO489">
        <v>0</v>
      </c>
      <c r="CP489">
        <v>1</v>
      </c>
      <c r="CQ489">
        <v>4010439.94</v>
      </c>
      <c r="CR489">
        <v>44831.17</v>
      </c>
      <c r="CS489" t="s">
        <v>145</v>
      </c>
      <c r="CT489">
        <v>44761.230799999998</v>
      </c>
      <c r="CU489">
        <v>2.86</v>
      </c>
      <c r="CV489">
        <v>45</v>
      </c>
      <c r="CX489" t="s">
        <v>1140</v>
      </c>
      <c r="CY489">
        <v>36</v>
      </c>
    </row>
    <row r="490" spans="1:103" x14ac:dyDescent="0.25">
      <c r="A490" t="s">
        <v>106</v>
      </c>
      <c r="B490" s="38">
        <v>44959</v>
      </c>
      <c r="C490" s="43">
        <f>IF(YEAR(Таблица1[[#This Row],[Дата]])=2023,MONTH(Таблица1[[#This Row],[Дата]]),0)</f>
        <v>2</v>
      </c>
      <c r="D490" t="s">
        <v>2114</v>
      </c>
      <c r="E490" t="s">
        <v>108</v>
      </c>
      <c r="F490" t="s">
        <v>2115</v>
      </c>
      <c r="G490" t="s">
        <v>110</v>
      </c>
      <c r="H490" t="s">
        <v>111</v>
      </c>
      <c r="I490" t="s">
        <v>112</v>
      </c>
      <c r="J490" t="s">
        <v>112</v>
      </c>
      <c r="K490" t="s">
        <v>112</v>
      </c>
      <c r="L490" t="s">
        <v>150</v>
      </c>
      <c r="M490" t="s">
        <v>151</v>
      </c>
      <c r="N490" t="s">
        <v>112</v>
      </c>
      <c r="O490" t="s">
        <v>112</v>
      </c>
      <c r="P490">
        <v>1</v>
      </c>
      <c r="R490">
        <v>1</v>
      </c>
      <c r="S490">
        <v>33</v>
      </c>
      <c r="T490" t="s">
        <v>112</v>
      </c>
      <c r="U490" t="s">
        <v>152</v>
      </c>
      <c r="V490" t="s">
        <v>153</v>
      </c>
      <c r="W490" t="s">
        <v>154</v>
      </c>
      <c r="X490" t="s">
        <v>119</v>
      </c>
      <c r="Y490" t="s">
        <v>112</v>
      </c>
      <c r="Z490" t="s">
        <v>112</v>
      </c>
      <c r="AA490" t="s">
        <v>152</v>
      </c>
      <c r="AB490" t="s">
        <v>153</v>
      </c>
      <c r="AC490" t="s">
        <v>154</v>
      </c>
      <c r="AD490" t="s">
        <v>119</v>
      </c>
      <c r="AE490" t="s">
        <v>112</v>
      </c>
      <c r="AF490" t="s">
        <v>121</v>
      </c>
      <c r="AG490" t="s">
        <v>122</v>
      </c>
      <c r="AH490">
        <v>4848004.1100000003</v>
      </c>
      <c r="AI490" t="s">
        <v>112</v>
      </c>
      <c r="AJ490" t="s">
        <v>152</v>
      </c>
      <c r="AK490" t="s">
        <v>153</v>
      </c>
      <c r="AL490" t="s">
        <v>154</v>
      </c>
      <c r="AM490" t="s">
        <v>119</v>
      </c>
      <c r="AN490" t="s">
        <v>112</v>
      </c>
      <c r="AO490" t="s">
        <v>121</v>
      </c>
      <c r="AP490" t="s">
        <v>122</v>
      </c>
      <c r="AQ490" t="s">
        <v>122</v>
      </c>
      <c r="AR490" t="s">
        <v>124</v>
      </c>
      <c r="AS490" t="s">
        <v>125</v>
      </c>
      <c r="AT490">
        <v>2</v>
      </c>
      <c r="AU490" t="s">
        <v>126</v>
      </c>
      <c r="AV490" t="s">
        <v>155</v>
      </c>
      <c r="AW490" t="s">
        <v>156</v>
      </c>
      <c r="AY490" t="s">
        <v>129</v>
      </c>
      <c r="AZ490">
        <v>42753.48</v>
      </c>
      <c r="BC490">
        <v>102.5523</v>
      </c>
      <c r="BD490" t="s">
        <v>112</v>
      </c>
      <c r="BE490" t="s">
        <v>112</v>
      </c>
      <c r="BF490" t="s">
        <v>157</v>
      </c>
      <c r="BG490" t="s">
        <v>133</v>
      </c>
      <c r="BH490" t="s">
        <v>167</v>
      </c>
      <c r="BI490" t="s">
        <v>112</v>
      </c>
      <c r="BJ490" t="s">
        <v>112</v>
      </c>
      <c r="BK490" t="s">
        <v>112</v>
      </c>
      <c r="BL490" t="s">
        <v>158</v>
      </c>
      <c r="BM490" t="s">
        <v>159</v>
      </c>
      <c r="BN490" t="s">
        <v>160</v>
      </c>
      <c r="BO490" t="s">
        <v>161</v>
      </c>
      <c r="BQ490" t="s">
        <v>205</v>
      </c>
      <c r="BR490" s="45">
        <f>ISNUMBER(SEARCH($BR$1,Таблица1[[#This Row],[31_1 Описание и характеристика товара]]))*1</f>
        <v>1</v>
      </c>
      <c r="BT490" t="s">
        <v>150</v>
      </c>
      <c r="BU490">
        <v>33</v>
      </c>
      <c r="BV490">
        <v>0</v>
      </c>
      <c r="BW490">
        <v>0</v>
      </c>
      <c r="BY490">
        <v>0</v>
      </c>
      <c r="CA490" t="s">
        <v>106</v>
      </c>
      <c r="CB490" t="s">
        <v>142</v>
      </c>
      <c r="CC490" t="s">
        <v>112</v>
      </c>
      <c r="CD490" t="s">
        <v>112</v>
      </c>
      <c r="CE490" t="s">
        <v>121</v>
      </c>
      <c r="CF490">
        <v>16596.02</v>
      </c>
      <c r="CG490" t="s">
        <v>144</v>
      </c>
      <c r="CH490">
        <v>4000000</v>
      </c>
      <c r="CI490">
        <v>16500.02</v>
      </c>
      <c r="CJ490">
        <v>0</v>
      </c>
      <c r="CK490" t="s">
        <v>112</v>
      </c>
      <c r="CL490" t="s">
        <v>112</v>
      </c>
      <c r="CM490">
        <v>42753.48</v>
      </c>
      <c r="CO490">
        <v>0</v>
      </c>
      <c r="CP490">
        <v>1</v>
      </c>
      <c r="CQ490">
        <v>4848004.1100000003</v>
      </c>
      <c r="CR490">
        <v>49821.48</v>
      </c>
      <c r="CS490" t="s">
        <v>145</v>
      </c>
      <c r="CT490">
        <v>49830.060400000002</v>
      </c>
      <c r="CU490">
        <v>3.02</v>
      </c>
      <c r="CV490">
        <v>45</v>
      </c>
      <c r="CX490" t="s">
        <v>729</v>
      </c>
    </row>
    <row r="491" spans="1:103" x14ac:dyDescent="0.25">
      <c r="A491" t="s">
        <v>106</v>
      </c>
      <c r="B491" s="38">
        <v>45038</v>
      </c>
      <c r="C491" s="43">
        <f>IF(YEAR(Таблица1[[#This Row],[Дата]])=2023,MONTH(Таблица1[[#This Row],[Дата]]),0)</f>
        <v>4</v>
      </c>
      <c r="D491" t="s">
        <v>2114</v>
      </c>
      <c r="E491" t="s">
        <v>108</v>
      </c>
      <c r="F491" t="s">
        <v>2115</v>
      </c>
      <c r="G491" t="s">
        <v>110</v>
      </c>
      <c r="H491" t="s">
        <v>111</v>
      </c>
      <c r="I491" t="s">
        <v>112</v>
      </c>
      <c r="J491" t="s">
        <v>112</v>
      </c>
      <c r="K491" t="s">
        <v>112</v>
      </c>
      <c r="L491" t="s">
        <v>150</v>
      </c>
      <c r="M491" t="s">
        <v>151</v>
      </c>
      <c r="N491" t="s">
        <v>112</v>
      </c>
      <c r="O491" t="s">
        <v>112</v>
      </c>
      <c r="P491">
        <v>1</v>
      </c>
      <c r="R491">
        <v>1</v>
      </c>
      <c r="S491">
        <v>33</v>
      </c>
      <c r="T491" t="s">
        <v>112</v>
      </c>
      <c r="U491" t="s">
        <v>152</v>
      </c>
      <c r="V491" t="s">
        <v>153</v>
      </c>
      <c r="W491" t="s">
        <v>154</v>
      </c>
      <c r="X491" t="s">
        <v>119</v>
      </c>
      <c r="Y491" t="s">
        <v>112</v>
      </c>
      <c r="Z491" t="s">
        <v>112</v>
      </c>
      <c r="AA491" t="s">
        <v>152</v>
      </c>
      <c r="AB491" t="s">
        <v>153</v>
      </c>
      <c r="AC491" t="s">
        <v>154</v>
      </c>
      <c r="AD491" t="s">
        <v>119</v>
      </c>
      <c r="AE491" t="s">
        <v>112</v>
      </c>
      <c r="AF491" t="s">
        <v>121</v>
      </c>
      <c r="AG491" t="s">
        <v>122</v>
      </c>
      <c r="AH491">
        <v>4848004.1100000003</v>
      </c>
      <c r="AI491" t="s">
        <v>112</v>
      </c>
      <c r="AJ491" t="s">
        <v>152</v>
      </c>
      <c r="AK491" t="s">
        <v>153</v>
      </c>
      <c r="AL491" t="s">
        <v>154</v>
      </c>
      <c r="AM491" t="s">
        <v>119</v>
      </c>
      <c r="AN491" t="s">
        <v>112</v>
      </c>
      <c r="AO491" t="s">
        <v>121</v>
      </c>
      <c r="AP491" t="s">
        <v>122</v>
      </c>
      <c r="AQ491" t="s">
        <v>122</v>
      </c>
      <c r="AR491" t="s">
        <v>124</v>
      </c>
      <c r="AS491" t="s">
        <v>125</v>
      </c>
      <c r="AT491">
        <v>2</v>
      </c>
      <c r="AU491" t="s">
        <v>126</v>
      </c>
      <c r="AV491" t="s">
        <v>155</v>
      </c>
      <c r="AW491" t="s">
        <v>156</v>
      </c>
      <c r="AY491" t="s">
        <v>129</v>
      </c>
      <c r="AZ491">
        <v>42753.48</v>
      </c>
      <c r="BC491">
        <v>102.5523</v>
      </c>
      <c r="BD491" t="s">
        <v>112</v>
      </c>
      <c r="BE491" t="s">
        <v>112</v>
      </c>
      <c r="BF491" t="s">
        <v>157</v>
      </c>
      <c r="BG491" t="s">
        <v>133</v>
      </c>
      <c r="BH491" t="s">
        <v>167</v>
      </c>
      <c r="BI491" t="s">
        <v>112</v>
      </c>
      <c r="BJ491" t="s">
        <v>112</v>
      </c>
      <c r="BK491" t="s">
        <v>112</v>
      </c>
      <c r="BL491" t="s">
        <v>158</v>
      </c>
      <c r="BM491" t="s">
        <v>159</v>
      </c>
      <c r="BN491" t="s">
        <v>160</v>
      </c>
      <c r="BO491" t="s">
        <v>161</v>
      </c>
      <c r="BQ491" t="s">
        <v>205</v>
      </c>
      <c r="BR491" s="45">
        <f>ISNUMBER(SEARCH($BR$1,Таблица1[[#This Row],[31_1 Описание и характеристика товара]]))*1</f>
        <v>1</v>
      </c>
      <c r="BT491" t="s">
        <v>150</v>
      </c>
      <c r="BU491">
        <v>33</v>
      </c>
      <c r="BV491">
        <v>0</v>
      </c>
      <c r="BW491">
        <v>0</v>
      </c>
      <c r="BY491">
        <v>0</v>
      </c>
      <c r="CA491" t="s">
        <v>106</v>
      </c>
      <c r="CB491" t="s">
        <v>142</v>
      </c>
      <c r="CC491" t="s">
        <v>112</v>
      </c>
      <c r="CD491" t="s">
        <v>112</v>
      </c>
      <c r="CE491" t="s">
        <v>121</v>
      </c>
      <c r="CF491">
        <v>16596.02</v>
      </c>
      <c r="CG491" t="s">
        <v>144</v>
      </c>
      <c r="CH491">
        <v>4000000</v>
      </c>
      <c r="CI491">
        <v>16500.02</v>
      </c>
      <c r="CJ491">
        <v>0</v>
      </c>
      <c r="CK491" t="s">
        <v>112</v>
      </c>
      <c r="CL491" t="s">
        <v>112</v>
      </c>
      <c r="CM491">
        <v>42753.48</v>
      </c>
      <c r="CO491">
        <v>0</v>
      </c>
      <c r="CP491">
        <v>1</v>
      </c>
      <c r="CQ491">
        <v>4848004.1100000003</v>
      </c>
      <c r="CR491">
        <v>49821.48</v>
      </c>
      <c r="CS491" t="s">
        <v>145</v>
      </c>
      <c r="CT491">
        <v>49830.060400000002</v>
      </c>
      <c r="CU491">
        <v>3.02</v>
      </c>
      <c r="CV491">
        <v>45</v>
      </c>
      <c r="CX491" t="s">
        <v>729</v>
      </c>
    </row>
    <row r="492" spans="1:103" x14ac:dyDescent="0.25">
      <c r="A492" t="s">
        <v>106</v>
      </c>
      <c r="B492" s="38">
        <v>44945</v>
      </c>
      <c r="C492" s="43">
        <f>IF(YEAR(Таблица1[[#This Row],[Дата]])=2023,MONTH(Таблица1[[#This Row],[Дата]]),0)</f>
        <v>1</v>
      </c>
      <c r="D492" t="s">
        <v>2116</v>
      </c>
      <c r="E492" t="s">
        <v>108</v>
      </c>
      <c r="F492" t="s">
        <v>2117</v>
      </c>
      <c r="G492" t="s">
        <v>110</v>
      </c>
      <c r="H492" t="s">
        <v>111</v>
      </c>
      <c r="I492" t="s">
        <v>112</v>
      </c>
      <c r="J492" t="s">
        <v>112</v>
      </c>
      <c r="K492" t="s">
        <v>112</v>
      </c>
      <c r="L492" t="s">
        <v>150</v>
      </c>
      <c r="M492" t="s">
        <v>151</v>
      </c>
      <c r="N492" t="s">
        <v>112</v>
      </c>
      <c r="O492" t="s">
        <v>112</v>
      </c>
      <c r="P492">
        <v>1</v>
      </c>
      <c r="R492">
        <v>1</v>
      </c>
      <c r="S492">
        <v>33</v>
      </c>
      <c r="T492" t="s">
        <v>112</v>
      </c>
      <c r="U492" t="s">
        <v>152</v>
      </c>
      <c r="V492" t="s">
        <v>153</v>
      </c>
      <c r="W492" t="s">
        <v>154</v>
      </c>
      <c r="X492" t="s">
        <v>119</v>
      </c>
      <c r="Y492" t="s">
        <v>112</v>
      </c>
      <c r="Z492" t="s">
        <v>112</v>
      </c>
      <c r="AA492" t="s">
        <v>152</v>
      </c>
      <c r="AB492" t="s">
        <v>153</v>
      </c>
      <c r="AC492" t="s">
        <v>154</v>
      </c>
      <c r="AD492" t="s">
        <v>119</v>
      </c>
      <c r="AE492" t="s">
        <v>112</v>
      </c>
      <c r="AF492" t="s">
        <v>121</v>
      </c>
      <c r="AG492" t="s">
        <v>122</v>
      </c>
      <c r="AH492">
        <v>5204775.3499999996</v>
      </c>
      <c r="AI492" t="s">
        <v>112</v>
      </c>
      <c r="AJ492" t="s">
        <v>152</v>
      </c>
      <c r="AK492" t="s">
        <v>153</v>
      </c>
      <c r="AL492" t="s">
        <v>154</v>
      </c>
      <c r="AM492" t="s">
        <v>119</v>
      </c>
      <c r="AN492" t="s">
        <v>112</v>
      </c>
      <c r="AO492" t="s">
        <v>121</v>
      </c>
      <c r="AP492" t="s">
        <v>122</v>
      </c>
      <c r="AQ492" t="s">
        <v>122</v>
      </c>
      <c r="AR492" t="s">
        <v>124</v>
      </c>
      <c r="AS492" t="s">
        <v>125</v>
      </c>
      <c r="AT492">
        <v>2</v>
      </c>
      <c r="AU492" t="s">
        <v>126</v>
      </c>
      <c r="AV492" t="s">
        <v>155</v>
      </c>
      <c r="AW492" t="s">
        <v>156</v>
      </c>
      <c r="AY492" t="s">
        <v>129</v>
      </c>
      <c r="AZ492">
        <v>46232.4</v>
      </c>
      <c r="BC492">
        <v>102.5523</v>
      </c>
      <c r="BD492" t="s">
        <v>112</v>
      </c>
      <c r="BE492" t="s">
        <v>112</v>
      </c>
      <c r="BF492" t="s">
        <v>157</v>
      </c>
      <c r="BG492" t="s">
        <v>133</v>
      </c>
      <c r="BH492" t="s">
        <v>134</v>
      </c>
      <c r="BI492" t="s">
        <v>112</v>
      </c>
      <c r="BJ492" t="s">
        <v>112</v>
      </c>
      <c r="BK492" t="s">
        <v>112</v>
      </c>
      <c r="BL492" t="s">
        <v>158</v>
      </c>
      <c r="BM492" t="s">
        <v>159</v>
      </c>
      <c r="BN492" t="s">
        <v>212</v>
      </c>
      <c r="BO492" t="s">
        <v>161</v>
      </c>
      <c r="BQ492" t="s">
        <v>162</v>
      </c>
      <c r="BR492" s="45">
        <f>ISNUMBER(SEARCH($BR$1,Таблица1[[#This Row],[31_1 Описание и характеристика товара]]))*1</f>
        <v>1</v>
      </c>
      <c r="BT492" t="s">
        <v>150</v>
      </c>
      <c r="BU492">
        <v>33</v>
      </c>
      <c r="BV492">
        <v>0</v>
      </c>
      <c r="BW492">
        <v>0</v>
      </c>
      <c r="BY492">
        <v>0</v>
      </c>
      <c r="CA492" t="s">
        <v>106</v>
      </c>
      <c r="CB492" t="s">
        <v>142</v>
      </c>
      <c r="CC492" t="s">
        <v>112</v>
      </c>
      <c r="CD492" t="s">
        <v>112</v>
      </c>
      <c r="CE492" t="s">
        <v>121</v>
      </c>
      <c r="CF492">
        <v>16281.47</v>
      </c>
      <c r="CG492" t="s">
        <v>144</v>
      </c>
      <c r="CH492">
        <v>4000000</v>
      </c>
      <c r="CI492">
        <v>16216.67</v>
      </c>
      <c r="CJ492">
        <v>0</v>
      </c>
      <c r="CK492" t="s">
        <v>112</v>
      </c>
      <c r="CL492" t="s">
        <v>112</v>
      </c>
      <c r="CM492">
        <v>46232.4</v>
      </c>
      <c r="CO492">
        <v>0</v>
      </c>
      <c r="CP492">
        <v>1</v>
      </c>
      <c r="CQ492">
        <v>5204775.3499999996</v>
      </c>
      <c r="CR492">
        <v>53487.92</v>
      </c>
      <c r="CS492" t="s">
        <v>145</v>
      </c>
      <c r="CT492">
        <v>53515.010999999999</v>
      </c>
      <c r="CU492">
        <v>3.3</v>
      </c>
      <c r="CV492">
        <v>45</v>
      </c>
      <c r="CX492" t="s">
        <v>163</v>
      </c>
      <c r="CY492">
        <v>599</v>
      </c>
    </row>
    <row r="493" spans="1:103" x14ac:dyDescent="0.25">
      <c r="A493" t="s">
        <v>106</v>
      </c>
      <c r="B493" s="38">
        <v>45275</v>
      </c>
      <c r="C493" s="43">
        <f>IF(YEAR(Таблица1[[#This Row],[Дата]])=2023,MONTH(Таблица1[[#This Row],[Дата]]),0)</f>
        <v>12</v>
      </c>
      <c r="D493" t="s">
        <v>2116</v>
      </c>
      <c r="E493" t="s">
        <v>108</v>
      </c>
      <c r="F493" t="s">
        <v>2117</v>
      </c>
      <c r="G493" t="s">
        <v>110</v>
      </c>
      <c r="H493" t="s">
        <v>111</v>
      </c>
      <c r="I493" t="s">
        <v>112</v>
      </c>
      <c r="J493" t="s">
        <v>112</v>
      </c>
      <c r="K493" t="s">
        <v>112</v>
      </c>
      <c r="L493" t="s">
        <v>150</v>
      </c>
      <c r="M493" t="s">
        <v>151</v>
      </c>
      <c r="N493" t="s">
        <v>112</v>
      </c>
      <c r="O493" t="s">
        <v>112</v>
      </c>
      <c r="P493">
        <v>1</v>
      </c>
      <c r="R493">
        <v>1</v>
      </c>
      <c r="S493">
        <v>33</v>
      </c>
      <c r="T493" t="s">
        <v>112</v>
      </c>
      <c r="U493" t="s">
        <v>152</v>
      </c>
      <c r="V493" t="s">
        <v>153</v>
      </c>
      <c r="W493" t="s">
        <v>154</v>
      </c>
      <c r="X493" t="s">
        <v>119</v>
      </c>
      <c r="Y493" t="s">
        <v>112</v>
      </c>
      <c r="Z493" t="s">
        <v>112</v>
      </c>
      <c r="AA493" t="s">
        <v>152</v>
      </c>
      <c r="AB493" t="s">
        <v>153</v>
      </c>
      <c r="AC493" t="s">
        <v>154</v>
      </c>
      <c r="AD493" t="s">
        <v>119</v>
      </c>
      <c r="AE493" t="s">
        <v>112</v>
      </c>
      <c r="AF493" t="s">
        <v>121</v>
      </c>
      <c r="AG493" t="s">
        <v>122</v>
      </c>
      <c r="AH493">
        <v>5204775.3499999996</v>
      </c>
      <c r="AI493" t="s">
        <v>112</v>
      </c>
      <c r="AJ493" t="s">
        <v>152</v>
      </c>
      <c r="AK493" t="s">
        <v>153</v>
      </c>
      <c r="AL493" t="s">
        <v>154</v>
      </c>
      <c r="AM493" t="s">
        <v>119</v>
      </c>
      <c r="AN493" t="s">
        <v>112</v>
      </c>
      <c r="AO493" t="s">
        <v>121</v>
      </c>
      <c r="AP493" t="s">
        <v>122</v>
      </c>
      <c r="AQ493" t="s">
        <v>122</v>
      </c>
      <c r="AR493" t="s">
        <v>124</v>
      </c>
      <c r="AS493" t="s">
        <v>125</v>
      </c>
      <c r="AT493">
        <v>2</v>
      </c>
      <c r="AU493" t="s">
        <v>126</v>
      </c>
      <c r="AV493" t="s">
        <v>155</v>
      </c>
      <c r="AW493" t="s">
        <v>156</v>
      </c>
      <c r="AY493" t="s">
        <v>129</v>
      </c>
      <c r="AZ493">
        <v>46232.4</v>
      </c>
      <c r="BC493">
        <v>102.5523</v>
      </c>
      <c r="BD493" t="s">
        <v>112</v>
      </c>
      <c r="BE493" t="s">
        <v>112</v>
      </c>
      <c r="BF493" t="s">
        <v>157</v>
      </c>
      <c r="BG493" t="s">
        <v>133</v>
      </c>
      <c r="BH493" t="s">
        <v>134</v>
      </c>
      <c r="BI493" t="s">
        <v>112</v>
      </c>
      <c r="BJ493" t="s">
        <v>112</v>
      </c>
      <c r="BK493" t="s">
        <v>112</v>
      </c>
      <c r="BL493" t="s">
        <v>158</v>
      </c>
      <c r="BM493" t="s">
        <v>159</v>
      </c>
      <c r="BN493" t="s">
        <v>212</v>
      </c>
      <c r="BO493" t="s">
        <v>161</v>
      </c>
      <c r="BQ493" t="s">
        <v>162</v>
      </c>
      <c r="BR493" s="45">
        <f>ISNUMBER(SEARCH($BR$1,Таблица1[[#This Row],[31_1 Описание и характеристика товара]]))*1</f>
        <v>1</v>
      </c>
      <c r="BT493" t="s">
        <v>150</v>
      </c>
      <c r="BU493">
        <v>33</v>
      </c>
      <c r="BV493">
        <v>0</v>
      </c>
      <c r="BW493">
        <v>0</v>
      </c>
      <c r="BY493">
        <v>0</v>
      </c>
      <c r="CA493" t="s">
        <v>106</v>
      </c>
      <c r="CB493" t="s">
        <v>142</v>
      </c>
      <c r="CC493" t="s">
        <v>112</v>
      </c>
      <c r="CD493" t="s">
        <v>112</v>
      </c>
      <c r="CE493" t="s">
        <v>121</v>
      </c>
      <c r="CF493">
        <v>16281.47</v>
      </c>
      <c r="CG493" t="s">
        <v>144</v>
      </c>
      <c r="CH493">
        <v>4000000</v>
      </c>
      <c r="CI493">
        <v>16216.67</v>
      </c>
      <c r="CJ493">
        <v>0</v>
      </c>
      <c r="CK493" t="s">
        <v>112</v>
      </c>
      <c r="CL493" t="s">
        <v>112</v>
      </c>
      <c r="CM493">
        <v>46232.4</v>
      </c>
      <c r="CO493">
        <v>0</v>
      </c>
      <c r="CP493">
        <v>1</v>
      </c>
      <c r="CQ493">
        <v>5204775.3499999996</v>
      </c>
      <c r="CR493">
        <v>53487.92</v>
      </c>
      <c r="CS493" t="s">
        <v>145</v>
      </c>
      <c r="CT493">
        <v>53515.010999999999</v>
      </c>
      <c r="CU493">
        <v>3.3</v>
      </c>
      <c r="CV493">
        <v>45</v>
      </c>
      <c r="CX493" t="s">
        <v>163</v>
      </c>
      <c r="CY493">
        <v>599</v>
      </c>
    </row>
    <row r="494" spans="1:103" x14ac:dyDescent="0.25">
      <c r="A494" t="s">
        <v>106</v>
      </c>
      <c r="B494" s="38">
        <v>45236</v>
      </c>
      <c r="C494" s="43">
        <f>IF(YEAR(Таблица1[[#This Row],[Дата]])=2023,MONTH(Таблица1[[#This Row],[Дата]]),0)</f>
        <v>11</v>
      </c>
      <c r="D494" t="s">
        <v>2130</v>
      </c>
      <c r="E494" t="s">
        <v>108</v>
      </c>
      <c r="F494" t="s">
        <v>2131</v>
      </c>
      <c r="G494" t="s">
        <v>110</v>
      </c>
      <c r="H494" t="s">
        <v>111</v>
      </c>
      <c r="I494" t="s">
        <v>112</v>
      </c>
      <c r="J494" t="s">
        <v>112</v>
      </c>
      <c r="K494" t="s">
        <v>112</v>
      </c>
      <c r="L494" t="s">
        <v>150</v>
      </c>
      <c r="M494" t="s">
        <v>151</v>
      </c>
      <c r="N494" t="s">
        <v>112</v>
      </c>
      <c r="O494" t="s">
        <v>112</v>
      </c>
      <c r="P494">
        <v>1</v>
      </c>
      <c r="R494">
        <v>1</v>
      </c>
      <c r="S494">
        <v>33</v>
      </c>
      <c r="T494" t="s">
        <v>112</v>
      </c>
      <c r="U494" t="s">
        <v>152</v>
      </c>
      <c r="V494" t="s">
        <v>153</v>
      </c>
      <c r="W494" t="s">
        <v>154</v>
      </c>
      <c r="X494" t="s">
        <v>119</v>
      </c>
      <c r="Y494" t="s">
        <v>112</v>
      </c>
      <c r="Z494" t="s">
        <v>112</v>
      </c>
      <c r="AA494" t="s">
        <v>152</v>
      </c>
      <c r="AB494" t="s">
        <v>153</v>
      </c>
      <c r="AC494" t="s">
        <v>154</v>
      </c>
      <c r="AD494" t="s">
        <v>119</v>
      </c>
      <c r="AE494" t="s">
        <v>112</v>
      </c>
      <c r="AF494" t="s">
        <v>121</v>
      </c>
      <c r="AG494" t="s">
        <v>122</v>
      </c>
      <c r="AH494">
        <v>5011700.1399999997</v>
      </c>
      <c r="AI494" t="s">
        <v>112</v>
      </c>
      <c r="AJ494" t="s">
        <v>152</v>
      </c>
      <c r="AK494" t="s">
        <v>153</v>
      </c>
      <c r="AL494" t="s">
        <v>154</v>
      </c>
      <c r="AM494" t="s">
        <v>119</v>
      </c>
      <c r="AN494" t="s">
        <v>112</v>
      </c>
      <c r="AO494" t="s">
        <v>121</v>
      </c>
      <c r="AP494" t="s">
        <v>122</v>
      </c>
      <c r="AQ494" t="s">
        <v>122</v>
      </c>
      <c r="AR494" t="s">
        <v>124</v>
      </c>
      <c r="AS494" t="s">
        <v>125</v>
      </c>
      <c r="AT494">
        <v>2</v>
      </c>
      <c r="AU494" t="s">
        <v>126</v>
      </c>
      <c r="AV494" t="s">
        <v>155</v>
      </c>
      <c r="AW494" t="s">
        <v>156</v>
      </c>
      <c r="AY494" t="s">
        <v>129</v>
      </c>
      <c r="AZ494">
        <v>44879.7</v>
      </c>
      <c r="BC494">
        <v>102.5523</v>
      </c>
      <c r="BD494" t="s">
        <v>112</v>
      </c>
      <c r="BE494" t="s">
        <v>112</v>
      </c>
      <c r="BF494" t="s">
        <v>157</v>
      </c>
      <c r="BG494" t="s">
        <v>133</v>
      </c>
      <c r="BH494" t="s">
        <v>134</v>
      </c>
      <c r="BI494" t="s">
        <v>112</v>
      </c>
      <c r="BJ494" t="s">
        <v>112</v>
      </c>
      <c r="BK494" t="s">
        <v>112</v>
      </c>
      <c r="BL494" t="s">
        <v>158</v>
      </c>
      <c r="BM494" t="s">
        <v>159</v>
      </c>
      <c r="BN494" t="s">
        <v>212</v>
      </c>
      <c r="BO494" t="s">
        <v>161</v>
      </c>
      <c r="BQ494" t="s">
        <v>232</v>
      </c>
      <c r="BR494" s="45">
        <f>ISNUMBER(SEARCH($BR$1,Таблица1[[#This Row],[31_1 Описание и характеристика товара]]))*1</f>
        <v>1</v>
      </c>
      <c r="BT494" t="s">
        <v>150</v>
      </c>
      <c r="BU494">
        <v>33</v>
      </c>
      <c r="BV494">
        <v>0</v>
      </c>
      <c r="BW494">
        <v>0</v>
      </c>
      <c r="BY494">
        <v>0</v>
      </c>
      <c r="CA494" t="s">
        <v>106</v>
      </c>
      <c r="CB494" t="s">
        <v>142</v>
      </c>
      <c r="CC494" t="s">
        <v>112</v>
      </c>
      <c r="CD494" t="s">
        <v>112</v>
      </c>
      <c r="CE494" t="s">
        <v>121</v>
      </c>
      <c r="CF494">
        <v>16673.22</v>
      </c>
      <c r="CG494" t="s">
        <v>144</v>
      </c>
      <c r="CH494">
        <v>4000000</v>
      </c>
      <c r="CI494">
        <v>16565.22</v>
      </c>
      <c r="CJ494">
        <v>0</v>
      </c>
      <c r="CK494" t="s">
        <v>112</v>
      </c>
      <c r="CL494" t="s">
        <v>112</v>
      </c>
      <c r="CM494">
        <v>44879.7</v>
      </c>
      <c r="CO494">
        <v>0</v>
      </c>
      <c r="CP494">
        <v>1</v>
      </c>
      <c r="CQ494">
        <v>5011700.1399999997</v>
      </c>
      <c r="CR494">
        <v>51503.74</v>
      </c>
      <c r="CS494" t="s">
        <v>145</v>
      </c>
      <c r="CT494">
        <v>51517.834200000005</v>
      </c>
      <c r="CU494">
        <v>3.11</v>
      </c>
      <c r="CV494">
        <v>45</v>
      </c>
      <c r="CX494" t="s">
        <v>163</v>
      </c>
      <c r="CY494">
        <v>134</v>
      </c>
    </row>
    <row r="495" spans="1:103" x14ac:dyDescent="0.25">
      <c r="A495" t="s">
        <v>106</v>
      </c>
      <c r="B495" s="38">
        <v>44762</v>
      </c>
      <c r="C495" s="43">
        <f>IF(YEAR(Таблица1[[#This Row],[Дата]])=2023,MONTH(Таблица1[[#This Row],[Дата]]),0)</f>
        <v>0</v>
      </c>
      <c r="D495" t="s">
        <v>2130</v>
      </c>
      <c r="E495" t="s">
        <v>108</v>
      </c>
      <c r="F495" t="s">
        <v>2131</v>
      </c>
      <c r="G495" t="s">
        <v>110</v>
      </c>
      <c r="H495" t="s">
        <v>111</v>
      </c>
      <c r="I495" t="s">
        <v>112</v>
      </c>
      <c r="J495" t="s">
        <v>112</v>
      </c>
      <c r="K495" t="s">
        <v>112</v>
      </c>
      <c r="L495" t="s">
        <v>150</v>
      </c>
      <c r="M495" t="s">
        <v>151</v>
      </c>
      <c r="N495" t="s">
        <v>112</v>
      </c>
      <c r="O495" t="s">
        <v>112</v>
      </c>
      <c r="P495">
        <v>1</v>
      </c>
      <c r="R495">
        <v>1</v>
      </c>
      <c r="S495">
        <v>33</v>
      </c>
      <c r="T495" t="s">
        <v>112</v>
      </c>
      <c r="U495" t="s">
        <v>152</v>
      </c>
      <c r="V495" t="s">
        <v>153</v>
      </c>
      <c r="W495" t="s">
        <v>154</v>
      </c>
      <c r="X495" t="s">
        <v>119</v>
      </c>
      <c r="Y495" t="s">
        <v>112</v>
      </c>
      <c r="Z495" t="s">
        <v>112</v>
      </c>
      <c r="AA495" t="s">
        <v>152</v>
      </c>
      <c r="AB495" t="s">
        <v>153</v>
      </c>
      <c r="AC495" t="s">
        <v>154</v>
      </c>
      <c r="AD495" t="s">
        <v>119</v>
      </c>
      <c r="AE495" t="s">
        <v>112</v>
      </c>
      <c r="AF495" t="s">
        <v>121</v>
      </c>
      <c r="AG495" t="s">
        <v>122</v>
      </c>
      <c r="AH495">
        <v>5011700.1399999997</v>
      </c>
      <c r="AI495" t="s">
        <v>112</v>
      </c>
      <c r="AJ495" t="s">
        <v>152</v>
      </c>
      <c r="AK495" t="s">
        <v>153</v>
      </c>
      <c r="AL495" t="s">
        <v>154</v>
      </c>
      <c r="AM495" t="s">
        <v>119</v>
      </c>
      <c r="AN495" t="s">
        <v>112</v>
      </c>
      <c r="AO495" t="s">
        <v>121</v>
      </c>
      <c r="AP495" t="s">
        <v>122</v>
      </c>
      <c r="AQ495" t="s">
        <v>122</v>
      </c>
      <c r="AR495" t="s">
        <v>124</v>
      </c>
      <c r="AS495" t="s">
        <v>125</v>
      </c>
      <c r="AT495">
        <v>2</v>
      </c>
      <c r="AU495" t="s">
        <v>126</v>
      </c>
      <c r="AV495" t="s">
        <v>155</v>
      </c>
      <c r="AW495" t="s">
        <v>156</v>
      </c>
      <c r="AY495" t="s">
        <v>129</v>
      </c>
      <c r="AZ495">
        <v>44879.7</v>
      </c>
      <c r="BC495">
        <v>102.5523</v>
      </c>
      <c r="BD495" t="s">
        <v>112</v>
      </c>
      <c r="BE495" t="s">
        <v>112</v>
      </c>
      <c r="BF495" t="s">
        <v>157</v>
      </c>
      <c r="BG495" t="s">
        <v>133</v>
      </c>
      <c r="BH495" t="s">
        <v>134</v>
      </c>
      <c r="BI495" t="s">
        <v>112</v>
      </c>
      <c r="BJ495" t="s">
        <v>112</v>
      </c>
      <c r="BK495" t="s">
        <v>112</v>
      </c>
      <c r="BL495" t="s">
        <v>158</v>
      </c>
      <c r="BM495" t="s">
        <v>159</v>
      </c>
      <c r="BN495" t="s">
        <v>212</v>
      </c>
      <c r="BO495" t="s">
        <v>161</v>
      </c>
      <c r="BQ495" t="s">
        <v>232</v>
      </c>
      <c r="BR495" s="45">
        <f>ISNUMBER(SEARCH($BR$1,Таблица1[[#This Row],[31_1 Описание и характеристика товара]]))*1</f>
        <v>1</v>
      </c>
      <c r="BT495" t="s">
        <v>150</v>
      </c>
      <c r="BU495">
        <v>33</v>
      </c>
      <c r="BV495">
        <v>0</v>
      </c>
      <c r="BW495">
        <v>0</v>
      </c>
      <c r="BY495">
        <v>0</v>
      </c>
      <c r="CA495" t="s">
        <v>106</v>
      </c>
      <c r="CB495" t="s">
        <v>142</v>
      </c>
      <c r="CC495" t="s">
        <v>112</v>
      </c>
      <c r="CD495" t="s">
        <v>112</v>
      </c>
      <c r="CE495" t="s">
        <v>121</v>
      </c>
      <c r="CF495">
        <v>16673.22</v>
      </c>
      <c r="CG495" t="s">
        <v>144</v>
      </c>
      <c r="CH495">
        <v>4000000</v>
      </c>
      <c r="CI495">
        <v>16565.22</v>
      </c>
      <c r="CJ495">
        <v>0</v>
      </c>
      <c r="CK495" t="s">
        <v>112</v>
      </c>
      <c r="CL495" t="s">
        <v>112</v>
      </c>
      <c r="CM495">
        <v>44879.7</v>
      </c>
      <c r="CO495">
        <v>0</v>
      </c>
      <c r="CP495">
        <v>1</v>
      </c>
      <c r="CQ495">
        <v>5011700.1399999997</v>
      </c>
      <c r="CR495">
        <v>51503.74</v>
      </c>
      <c r="CS495" t="s">
        <v>145</v>
      </c>
      <c r="CT495">
        <v>51517.834200000005</v>
      </c>
      <c r="CU495">
        <v>3.11</v>
      </c>
      <c r="CV495">
        <v>45</v>
      </c>
      <c r="CX495" t="s">
        <v>163</v>
      </c>
      <c r="CY495">
        <v>134</v>
      </c>
    </row>
    <row r="496" spans="1:103" x14ac:dyDescent="0.25">
      <c r="A496" t="s">
        <v>106</v>
      </c>
      <c r="B496" s="38">
        <v>45091</v>
      </c>
      <c r="C496" s="43">
        <f>IF(YEAR(Таблица1[[#This Row],[Дата]])=2023,MONTH(Таблица1[[#This Row],[Дата]]),0)</f>
        <v>6</v>
      </c>
      <c r="D496" t="s">
        <v>2112</v>
      </c>
      <c r="E496" t="s">
        <v>108</v>
      </c>
      <c r="F496" t="s">
        <v>2113</v>
      </c>
      <c r="G496" t="s">
        <v>110</v>
      </c>
      <c r="H496" t="s">
        <v>111</v>
      </c>
      <c r="I496" t="s">
        <v>112</v>
      </c>
      <c r="J496" t="s">
        <v>112</v>
      </c>
      <c r="K496" t="s">
        <v>112</v>
      </c>
      <c r="L496" t="s">
        <v>150</v>
      </c>
      <c r="M496" t="s">
        <v>151</v>
      </c>
      <c r="N496" t="s">
        <v>112</v>
      </c>
      <c r="O496" t="s">
        <v>112</v>
      </c>
      <c r="P496">
        <v>1</v>
      </c>
      <c r="R496">
        <v>1</v>
      </c>
      <c r="S496">
        <v>33</v>
      </c>
      <c r="T496" t="s">
        <v>112</v>
      </c>
      <c r="U496" t="s">
        <v>152</v>
      </c>
      <c r="V496" t="s">
        <v>153</v>
      </c>
      <c r="W496" t="s">
        <v>154</v>
      </c>
      <c r="X496" t="s">
        <v>119</v>
      </c>
      <c r="Y496" t="s">
        <v>112</v>
      </c>
      <c r="Z496" t="s">
        <v>112</v>
      </c>
      <c r="AA496" t="s">
        <v>152</v>
      </c>
      <c r="AB496" t="s">
        <v>153</v>
      </c>
      <c r="AC496" t="s">
        <v>154</v>
      </c>
      <c r="AD496" t="s">
        <v>119</v>
      </c>
      <c r="AE496" t="s">
        <v>112</v>
      </c>
      <c r="AF496" t="s">
        <v>121</v>
      </c>
      <c r="AG496" t="s">
        <v>122</v>
      </c>
      <c r="AH496">
        <v>4882949.83</v>
      </c>
      <c r="AI496" t="s">
        <v>112</v>
      </c>
      <c r="AJ496" t="s">
        <v>152</v>
      </c>
      <c r="AK496" t="s">
        <v>153</v>
      </c>
      <c r="AL496" t="s">
        <v>154</v>
      </c>
      <c r="AM496" t="s">
        <v>119</v>
      </c>
      <c r="AN496" t="s">
        <v>112</v>
      </c>
      <c r="AO496" t="s">
        <v>121</v>
      </c>
      <c r="AP496" t="s">
        <v>122</v>
      </c>
      <c r="AQ496" t="s">
        <v>122</v>
      </c>
      <c r="AR496" t="s">
        <v>124</v>
      </c>
      <c r="AS496" t="s">
        <v>125</v>
      </c>
      <c r="AT496">
        <v>2</v>
      </c>
      <c r="AU496" t="s">
        <v>126</v>
      </c>
      <c r="AV496" t="s">
        <v>155</v>
      </c>
      <c r="AW496" t="s">
        <v>156</v>
      </c>
      <c r="AY496" t="s">
        <v>129</v>
      </c>
      <c r="AZ496">
        <v>43624.24</v>
      </c>
      <c r="BC496">
        <v>102.5523</v>
      </c>
      <c r="BD496" t="s">
        <v>112</v>
      </c>
      <c r="BE496" t="s">
        <v>112</v>
      </c>
      <c r="BF496" t="s">
        <v>157</v>
      </c>
      <c r="BG496" t="s">
        <v>133</v>
      </c>
      <c r="BH496" t="s">
        <v>167</v>
      </c>
      <c r="BI496" t="s">
        <v>112</v>
      </c>
      <c r="BJ496" t="s">
        <v>112</v>
      </c>
      <c r="BK496" t="s">
        <v>112</v>
      </c>
      <c r="BL496" t="s">
        <v>158</v>
      </c>
      <c r="BM496" t="s">
        <v>159</v>
      </c>
      <c r="BN496" t="s">
        <v>160</v>
      </c>
      <c r="BO496" t="s">
        <v>161</v>
      </c>
      <c r="BQ496" t="s">
        <v>162</v>
      </c>
      <c r="BR496" s="45">
        <f>ISNUMBER(SEARCH($BR$1,Таблица1[[#This Row],[31_1 Описание и характеристика товара]]))*1</f>
        <v>1</v>
      </c>
      <c r="BT496" t="s">
        <v>150</v>
      </c>
      <c r="BU496">
        <v>33</v>
      </c>
      <c r="BV496">
        <v>0</v>
      </c>
      <c r="BW496">
        <v>0</v>
      </c>
      <c r="BY496">
        <v>0</v>
      </c>
      <c r="CA496" t="s">
        <v>106</v>
      </c>
      <c r="CB496" t="s">
        <v>142</v>
      </c>
      <c r="CC496" t="s">
        <v>112</v>
      </c>
      <c r="CD496" t="s">
        <v>112</v>
      </c>
      <c r="CE496" t="s">
        <v>121</v>
      </c>
      <c r="CF496">
        <v>17449.919999999998</v>
      </c>
      <c r="CG496" t="s">
        <v>144</v>
      </c>
      <c r="CH496">
        <v>4000000</v>
      </c>
      <c r="CI496">
        <v>17449.919999999998</v>
      </c>
      <c r="CJ496">
        <v>0</v>
      </c>
      <c r="CK496" t="s">
        <v>112</v>
      </c>
      <c r="CL496" t="s">
        <v>112</v>
      </c>
      <c r="CM496">
        <v>43624.24</v>
      </c>
      <c r="CO496">
        <v>0</v>
      </c>
      <c r="CP496">
        <v>1</v>
      </c>
      <c r="CQ496">
        <v>4882949.83</v>
      </c>
      <c r="CR496">
        <v>50180.61</v>
      </c>
      <c r="CS496" t="s">
        <v>145</v>
      </c>
      <c r="CT496">
        <v>50255.769599999992</v>
      </c>
      <c r="CU496">
        <v>2.88</v>
      </c>
      <c r="CV496">
        <v>45</v>
      </c>
      <c r="CX496" t="s">
        <v>1140</v>
      </c>
      <c r="CY496">
        <v>189</v>
      </c>
    </row>
    <row r="497" spans="1:103" x14ac:dyDescent="0.25">
      <c r="A497" t="s">
        <v>106</v>
      </c>
      <c r="B497" s="38">
        <v>45018</v>
      </c>
      <c r="C497" s="43">
        <f>IF(YEAR(Таблица1[[#This Row],[Дата]])=2023,MONTH(Таблица1[[#This Row],[Дата]]),0)</f>
        <v>4</v>
      </c>
      <c r="D497" t="s">
        <v>2112</v>
      </c>
      <c r="E497" t="s">
        <v>108</v>
      </c>
      <c r="F497" t="s">
        <v>2113</v>
      </c>
      <c r="G497" t="s">
        <v>110</v>
      </c>
      <c r="H497" t="s">
        <v>111</v>
      </c>
      <c r="I497" t="s">
        <v>112</v>
      </c>
      <c r="J497" t="s">
        <v>112</v>
      </c>
      <c r="K497" t="s">
        <v>112</v>
      </c>
      <c r="L497" t="s">
        <v>150</v>
      </c>
      <c r="M497" t="s">
        <v>151</v>
      </c>
      <c r="N497" t="s">
        <v>112</v>
      </c>
      <c r="O497" t="s">
        <v>112</v>
      </c>
      <c r="P497">
        <v>1</v>
      </c>
      <c r="R497">
        <v>1</v>
      </c>
      <c r="S497">
        <v>33</v>
      </c>
      <c r="T497" t="s">
        <v>112</v>
      </c>
      <c r="U497" t="s">
        <v>152</v>
      </c>
      <c r="V497" t="s">
        <v>153</v>
      </c>
      <c r="W497" t="s">
        <v>154</v>
      </c>
      <c r="X497" t="s">
        <v>119</v>
      </c>
      <c r="Y497" t="s">
        <v>112</v>
      </c>
      <c r="Z497" t="s">
        <v>112</v>
      </c>
      <c r="AA497" t="s">
        <v>152</v>
      </c>
      <c r="AB497" t="s">
        <v>153</v>
      </c>
      <c r="AC497" t="s">
        <v>154</v>
      </c>
      <c r="AD497" t="s">
        <v>119</v>
      </c>
      <c r="AE497" t="s">
        <v>112</v>
      </c>
      <c r="AF497" t="s">
        <v>121</v>
      </c>
      <c r="AG497" t="s">
        <v>122</v>
      </c>
      <c r="AH497">
        <v>4882949.83</v>
      </c>
      <c r="AI497" t="s">
        <v>112</v>
      </c>
      <c r="AJ497" t="s">
        <v>152</v>
      </c>
      <c r="AK497" t="s">
        <v>153</v>
      </c>
      <c r="AL497" t="s">
        <v>154</v>
      </c>
      <c r="AM497" t="s">
        <v>119</v>
      </c>
      <c r="AN497" t="s">
        <v>112</v>
      </c>
      <c r="AO497" t="s">
        <v>121</v>
      </c>
      <c r="AP497" t="s">
        <v>122</v>
      </c>
      <c r="AQ497" t="s">
        <v>122</v>
      </c>
      <c r="AR497" t="s">
        <v>124</v>
      </c>
      <c r="AS497" t="s">
        <v>125</v>
      </c>
      <c r="AT497">
        <v>2</v>
      </c>
      <c r="AU497" t="s">
        <v>126</v>
      </c>
      <c r="AV497" t="s">
        <v>155</v>
      </c>
      <c r="AW497" t="s">
        <v>156</v>
      </c>
      <c r="AY497" t="s">
        <v>129</v>
      </c>
      <c r="AZ497">
        <v>43624.24</v>
      </c>
      <c r="BC497">
        <v>102.5523</v>
      </c>
      <c r="BD497" t="s">
        <v>112</v>
      </c>
      <c r="BE497" t="s">
        <v>112</v>
      </c>
      <c r="BF497" t="s">
        <v>157</v>
      </c>
      <c r="BG497" t="s">
        <v>133</v>
      </c>
      <c r="BH497" t="s">
        <v>167</v>
      </c>
      <c r="BI497" t="s">
        <v>112</v>
      </c>
      <c r="BJ497" t="s">
        <v>112</v>
      </c>
      <c r="BK497" t="s">
        <v>112</v>
      </c>
      <c r="BL497" t="s">
        <v>158</v>
      </c>
      <c r="BM497" t="s">
        <v>159</v>
      </c>
      <c r="BN497" t="s">
        <v>160</v>
      </c>
      <c r="BO497" t="s">
        <v>161</v>
      </c>
      <c r="BQ497" t="s">
        <v>162</v>
      </c>
      <c r="BR497" s="45">
        <f>ISNUMBER(SEARCH($BR$1,Таблица1[[#This Row],[31_1 Описание и характеристика товара]]))*1</f>
        <v>1</v>
      </c>
      <c r="BT497" t="s">
        <v>150</v>
      </c>
      <c r="BU497">
        <v>33</v>
      </c>
      <c r="BV497">
        <v>0</v>
      </c>
      <c r="BW497">
        <v>0</v>
      </c>
      <c r="BY497">
        <v>0</v>
      </c>
      <c r="CA497" t="s">
        <v>106</v>
      </c>
      <c r="CB497" t="s">
        <v>142</v>
      </c>
      <c r="CC497" t="s">
        <v>112</v>
      </c>
      <c r="CD497" t="s">
        <v>112</v>
      </c>
      <c r="CE497" t="s">
        <v>121</v>
      </c>
      <c r="CF497">
        <v>17449.919999999998</v>
      </c>
      <c r="CG497" t="s">
        <v>144</v>
      </c>
      <c r="CH497">
        <v>4000000</v>
      </c>
      <c r="CI497">
        <v>17449.919999999998</v>
      </c>
      <c r="CJ497">
        <v>0</v>
      </c>
      <c r="CK497" t="s">
        <v>112</v>
      </c>
      <c r="CL497" t="s">
        <v>112</v>
      </c>
      <c r="CM497">
        <v>43624.24</v>
      </c>
      <c r="CO497">
        <v>0</v>
      </c>
      <c r="CP497">
        <v>1</v>
      </c>
      <c r="CQ497">
        <v>4882949.83</v>
      </c>
      <c r="CR497">
        <v>50180.61</v>
      </c>
      <c r="CS497" t="s">
        <v>145</v>
      </c>
      <c r="CT497">
        <v>50255.769599999992</v>
      </c>
      <c r="CU497">
        <v>2.88</v>
      </c>
      <c r="CV497">
        <v>45</v>
      </c>
      <c r="CX497" t="s">
        <v>1140</v>
      </c>
      <c r="CY497">
        <v>189</v>
      </c>
    </row>
    <row r="498" spans="1:103" x14ac:dyDescent="0.25">
      <c r="A498" t="s">
        <v>106</v>
      </c>
      <c r="B498" s="38">
        <v>45039</v>
      </c>
      <c r="C498" s="43">
        <f>IF(YEAR(Таблица1[[#This Row],[Дата]])=2023,MONTH(Таблица1[[#This Row],[Дата]]),0)</f>
        <v>4</v>
      </c>
      <c r="D498" t="s">
        <v>2120</v>
      </c>
      <c r="E498" t="s">
        <v>108</v>
      </c>
      <c r="F498" t="s">
        <v>2121</v>
      </c>
      <c r="G498" t="s">
        <v>110</v>
      </c>
      <c r="H498" t="s">
        <v>111</v>
      </c>
      <c r="I498" t="s">
        <v>112</v>
      </c>
      <c r="J498" t="s">
        <v>112</v>
      </c>
      <c r="K498" t="s">
        <v>112</v>
      </c>
      <c r="L498" t="s">
        <v>150</v>
      </c>
      <c r="M498" t="s">
        <v>151</v>
      </c>
      <c r="N498" t="s">
        <v>112</v>
      </c>
      <c r="O498" t="s">
        <v>112</v>
      </c>
      <c r="P498">
        <v>1</v>
      </c>
      <c r="R498">
        <v>1</v>
      </c>
      <c r="S498">
        <v>33</v>
      </c>
      <c r="T498" t="s">
        <v>112</v>
      </c>
      <c r="U498" t="s">
        <v>152</v>
      </c>
      <c r="V498" t="s">
        <v>153</v>
      </c>
      <c r="W498" t="s">
        <v>154</v>
      </c>
      <c r="X498" t="s">
        <v>119</v>
      </c>
      <c r="Y498" t="s">
        <v>112</v>
      </c>
      <c r="Z498" t="s">
        <v>112</v>
      </c>
      <c r="AA498" t="s">
        <v>152</v>
      </c>
      <c r="AB498" t="s">
        <v>153</v>
      </c>
      <c r="AC498" t="s">
        <v>154</v>
      </c>
      <c r="AD498" t="s">
        <v>119</v>
      </c>
      <c r="AE498" t="s">
        <v>112</v>
      </c>
      <c r="AF498" t="s">
        <v>121</v>
      </c>
      <c r="AG498" t="s">
        <v>122</v>
      </c>
      <c r="AH498">
        <v>4857348.67</v>
      </c>
      <c r="AI498" t="s">
        <v>112</v>
      </c>
      <c r="AJ498" t="s">
        <v>152</v>
      </c>
      <c r="AK498" t="s">
        <v>153</v>
      </c>
      <c r="AL498" t="s">
        <v>154</v>
      </c>
      <c r="AM498" t="s">
        <v>119</v>
      </c>
      <c r="AN498" t="s">
        <v>112</v>
      </c>
      <c r="AO498" t="s">
        <v>121</v>
      </c>
      <c r="AP498" t="s">
        <v>122</v>
      </c>
      <c r="AQ498" t="s">
        <v>122</v>
      </c>
      <c r="AR498" t="s">
        <v>124</v>
      </c>
      <c r="AS498" t="s">
        <v>125</v>
      </c>
      <c r="AT498">
        <v>2</v>
      </c>
      <c r="AU498" t="s">
        <v>126</v>
      </c>
      <c r="AV498" t="s">
        <v>155</v>
      </c>
      <c r="AW498" t="s">
        <v>156</v>
      </c>
      <c r="AY498" t="s">
        <v>129</v>
      </c>
      <c r="AZ498">
        <v>43374.6</v>
      </c>
      <c r="BC498">
        <v>102.5523</v>
      </c>
      <c r="BD498" t="s">
        <v>112</v>
      </c>
      <c r="BE498" t="s">
        <v>112</v>
      </c>
      <c r="BF498" t="s">
        <v>157</v>
      </c>
      <c r="BG498" t="s">
        <v>133</v>
      </c>
      <c r="BH498" t="s">
        <v>167</v>
      </c>
      <c r="BI498" t="s">
        <v>112</v>
      </c>
      <c r="BJ498" t="s">
        <v>112</v>
      </c>
      <c r="BK498" t="s">
        <v>112</v>
      </c>
      <c r="BL498" t="s">
        <v>158</v>
      </c>
      <c r="BM498" t="s">
        <v>159</v>
      </c>
      <c r="BN498" t="s">
        <v>160</v>
      </c>
      <c r="BO498" t="s">
        <v>161</v>
      </c>
      <c r="BQ498" t="s">
        <v>232</v>
      </c>
      <c r="BR498" s="45">
        <f>ISNUMBER(SEARCH($BR$1,Таблица1[[#This Row],[31_1 Описание и характеристика товара]]))*1</f>
        <v>1</v>
      </c>
      <c r="BT498" t="s">
        <v>150</v>
      </c>
      <c r="BU498">
        <v>33</v>
      </c>
      <c r="BV498">
        <v>0</v>
      </c>
      <c r="BW498">
        <v>0</v>
      </c>
      <c r="BY498">
        <v>0</v>
      </c>
      <c r="CA498" t="s">
        <v>106</v>
      </c>
      <c r="CB498" t="s">
        <v>142</v>
      </c>
      <c r="CC498" t="s">
        <v>112</v>
      </c>
      <c r="CD498" t="s">
        <v>112</v>
      </c>
      <c r="CE498" t="s">
        <v>121</v>
      </c>
      <c r="CF498">
        <v>15784.74</v>
      </c>
      <c r="CG498" t="s">
        <v>144</v>
      </c>
      <c r="CH498">
        <v>4000000</v>
      </c>
      <c r="CI498">
        <v>15514.74</v>
      </c>
      <c r="CJ498">
        <v>0</v>
      </c>
      <c r="CK498" t="s">
        <v>112</v>
      </c>
      <c r="CL498" t="s">
        <v>112</v>
      </c>
      <c r="CM498">
        <v>43374.6</v>
      </c>
      <c r="CO498">
        <v>0</v>
      </c>
      <c r="CP498">
        <v>1</v>
      </c>
      <c r="CQ498">
        <v>4857348.67</v>
      </c>
      <c r="CR498">
        <v>49917.52</v>
      </c>
      <c r="CS498" t="s">
        <v>145</v>
      </c>
      <c r="CT498">
        <v>49957.462800000001</v>
      </c>
      <c r="CU498">
        <v>3.22</v>
      </c>
      <c r="CV498">
        <v>45</v>
      </c>
      <c r="CX498" t="s">
        <v>163</v>
      </c>
      <c r="CY498">
        <v>246</v>
      </c>
    </row>
    <row r="499" spans="1:103" x14ac:dyDescent="0.25">
      <c r="A499" t="s">
        <v>106</v>
      </c>
      <c r="B499" s="38">
        <v>45084</v>
      </c>
      <c r="C499" s="43">
        <f>IF(YEAR(Таблица1[[#This Row],[Дата]])=2023,MONTH(Таблица1[[#This Row],[Дата]]),0)</f>
        <v>6</v>
      </c>
      <c r="D499" t="s">
        <v>2120</v>
      </c>
      <c r="E499" t="s">
        <v>108</v>
      </c>
      <c r="F499" t="s">
        <v>2121</v>
      </c>
      <c r="G499" t="s">
        <v>110</v>
      </c>
      <c r="H499" t="s">
        <v>111</v>
      </c>
      <c r="I499" t="s">
        <v>112</v>
      </c>
      <c r="J499" t="s">
        <v>112</v>
      </c>
      <c r="K499" t="s">
        <v>112</v>
      </c>
      <c r="L499" t="s">
        <v>150</v>
      </c>
      <c r="M499" t="s">
        <v>151</v>
      </c>
      <c r="N499" t="s">
        <v>112</v>
      </c>
      <c r="O499" t="s">
        <v>112</v>
      </c>
      <c r="P499">
        <v>1</v>
      </c>
      <c r="R499">
        <v>1</v>
      </c>
      <c r="S499">
        <v>33</v>
      </c>
      <c r="T499" t="s">
        <v>112</v>
      </c>
      <c r="U499" t="s">
        <v>152</v>
      </c>
      <c r="V499" t="s">
        <v>153</v>
      </c>
      <c r="W499" t="s">
        <v>154</v>
      </c>
      <c r="X499" t="s">
        <v>119</v>
      </c>
      <c r="Y499" t="s">
        <v>112</v>
      </c>
      <c r="Z499" t="s">
        <v>112</v>
      </c>
      <c r="AA499" t="s">
        <v>152</v>
      </c>
      <c r="AB499" t="s">
        <v>153</v>
      </c>
      <c r="AC499" t="s">
        <v>154</v>
      </c>
      <c r="AD499" t="s">
        <v>119</v>
      </c>
      <c r="AE499" t="s">
        <v>112</v>
      </c>
      <c r="AF499" t="s">
        <v>121</v>
      </c>
      <c r="AG499" t="s">
        <v>122</v>
      </c>
      <c r="AH499">
        <v>4857348.67</v>
      </c>
      <c r="AI499" t="s">
        <v>112</v>
      </c>
      <c r="AJ499" t="s">
        <v>152</v>
      </c>
      <c r="AK499" t="s">
        <v>153</v>
      </c>
      <c r="AL499" t="s">
        <v>154</v>
      </c>
      <c r="AM499" t="s">
        <v>119</v>
      </c>
      <c r="AN499" t="s">
        <v>112</v>
      </c>
      <c r="AO499" t="s">
        <v>121</v>
      </c>
      <c r="AP499" t="s">
        <v>122</v>
      </c>
      <c r="AQ499" t="s">
        <v>122</v>
      </c>
      <c r="AR499" t="s">
        <v>124</v>
      </c>
      <c r="AS499" t="s">
        <v>125</v>
      </c>
      <c r="AT499">
        <v>2</v>
      </c>
      <c r="AU499" t="s">
        <v>126</v>
      </c>
      <c r="AV499" t="s">
        <v>155</v>
      </c>
      <c r="AW499" t="s">
        <v>156</v>
      </c>
      <c r="AY499" t="s">
        <v>129</v>
      </c>
      <c r="AZ499">
        <v>43374.6</v>
      </c>
      <c r="BC499">
        <v>102.5523</v>
      </c>
      <c r="BD499" t="s">
        <v>112</v>
      </c>
      <c r="BE499" t="s">
        <v>112</v>
      </c>
      <c r="BF499" t="s">
        <v>157</v>
      </c>
      <c r="BG499" t="s">
        <v>133</v>
      </c>
      <c r="BH499" t="s">
        <v>167</v>
      </c>
      <c r="BI499" t="s">
        <v>112</v>
      </c>
      <c r="BJ499" t="s">
        <v>112</v>
      </c>
      <c r="BK499" t="s">
        <v>112</v>
      </c>
      <c r="BL499" t="s">
        <v>158</v>
      </c>
      <c r="BM499" t="s">
        <v>159</v>
      </c>
      <c r="BN499" t="s">
        <v>160</v>
      </c>
      <c r="BO499" t="s">
        <v>161</v>
      </c>
      <c r="BQ499" t="s">
        <v>232</v>
      </c>
      <c r="BR499" s="45">
        <f>ISNUMBER(SEARCH($BR$1,Таблица1[[#This Row],[31_1 Описание и характеристика товара]]))*1</f>
        <v>1</v>
      </c>
      <c r="BT499" t="s">
        <v>150</v>
      </c>
      <c r="BU499">
        <v>33</v>
      </c>
      <c r="BV499">
        <v>0</v>
      </c>
      <c r="BW499">
        <v>0</v>
      </c>
      <c r="BY499">
        <v>0</v>
      </c>
      <c r="CA499" t="s">
        <v>106</v>
      </c>
      <c r="CB499" t="s">
        <v>142</v>
      </c>
      <c r="CC499" t="s">
        <v>112</v>
      </c>
      <c r="CD499" t="s">
        <v>112</v>
      </c>
      <c r="CE499" t="s">
        <v>121</v>
      </c>
      <c r="CF499">
        <v>15784.74</v>
      </c>
      <c r="CG499" t="s">
        <v>144</v>
      </c>
      <c r="CH499">
        <v>4000000</v>
      </c>
      <c r="CI499">
        <v>15514.74</v>
      </c>
      <c r="CJ499">
        <v>0</v>
      </c>
      <c r="CK499" t="s">
        <v>112</v>
      </c>
      <c r="CL499" t="s">
        <v>112</v>
      </c>
      <c r="CM499">
        <v>43374.6</v>
      </c>
      <c r="CO499">
        <v>0</v>
      </c>
      <c r="CP499">
        <v>1</v>
      </c>
      <c r="CQ499">
        <v>4857348.67</v>
      </c>
      <c r="CR499">
        <v>49917.52</v>
      </c>
      <c r="CS499" t="s">
        <v>145</v>
      </c>
      <c r="CT499">
        <v>49957.462800000001</v>
      </c>
      <c r="CU499">
        <v>3.22</v>
      </c>
      <c r="CV499">
        <v>45</v>
      </c>
      <c r="CX499" t="s">
        <v>163</v>
      </c>
      <c r="CY499">
        <v>246</v>
      </c>
    </row>
    <row r="500" spans="1:103" x14ac:dyDescent="0.25">
      <c r="A500" t="s">
        <v>106</v>
      </c>
      <c r="B500" s="38">
        <v>45011</v>
      </c>
      <c r="C500" s="43">
        <f>IF(YEAR(Таблица1[[#This Row],[Дата]])=2023,MONTH(Таблица1[[#This Row],[Дата]]),0)</f>
        <v>3</v>
      </c>
      <c r="D500" t="s">
        <v>1738</v>
      </c>
      <c r="E500" t="s">
        <v>108</v>
      </c>
      <c r="F500" t="s">
        <v>1739</v>
      </c>
      <c r="G500" t="s">
        <v>110</v>
      </c>
      <c r="H500" t="s">
        <v>111</v>
      </c>
      <c r="I500" t="s">
        <v>112</v>
      </c>
      <c r="J500" t="s">
        <v>112</v>
      </c>
      <c r="K500" t="s">
        <v>112</v>
      </c>
      <c r="L500" t="s">
        <v>150</v>
      </c>
      <c r="M500" t="s">
        <v>151</v>
      </c>
      <c r="N500" t="s">
        <v>112</v>
      </c>
      <c r="O500" t="s">
        <v>112</v>
      </c>
      <c r="R500">
        <v>1</v>
      </c>
      <c r="S500">
        <v>33</v>
      </c>
      <c r="T500" t="s">
        <v>166</v>
      </c>
      <c r="U500" t="s">
        <v>152</v>
      </c>
      <c r="V500" t="s">
        <v>153</v>
      </c>
      <c r="W500" t="s">
        <v>154</v>
      </c>
      <c r="X500" t="s">
        <v>119</v>
      </c>
      <c r="Y500" t="s">
        <v>112</v>
      </c>
      <c r="Z500" t="s">
        <v>166</v>
      </c>
      <c r="AA500" t="s">
        <v>152</v>
      </c>
      <c r="AB500" t="s">
        <v>153</v>
      </c>
      <c r="AC500" t="s">
        <v>154</v>
      </c>
      <c r="AD500" t="s">
        <v>119</v>
      </c>
      <c r="AE500" t="s">
        <v>112</v>
      </c>
      <c r="AF500" t="s">
        <v>121</v>
      </c>
      <c r="AG500" t="s">
        <v>122</v>
      </c>
      <c r="AH500">
        <v>4870392.21</v>
      </c>
      <c r="AI500" t="s">
        <v>166</v>
      </c>
      <c r="AJ500" t="s">
        <v>152</v>
      </c>
      <c r="AK500" t="s">
        <v>153</v>
      </c>
      <c r="AL500" t="s">
        <v>154</v>
      </c>
      <c r="AM500" t="s">
        <v>119</v>
      </c>
      <c r="AN500" t="s">
        <v>112</v>
      </c>
      <c r="AO500" t="s">
        <v>121</v>
      </c>
      <c r="AP500" t="s">
        <v>122</v>
      </c>
      <c r="AQ500" t="s">
        <v>122</v>
      </c>
      <c r="AR500" t="s">
        <v>124</v>
      </c>
      <c r="AS500" t="s">
        <v>125</v>
      </c>
      <c r="AU500" t="s">
        <v>126</v>
      </c>
      <c r="AV500" t="s">
        <v>155</v>
      </c>
      <c r="AW500" t="s">
        <v>156</v>
      </c>
      <c r="AY500" t="s">
        <v>129</v>
      </c>
      <c r="AZ500">
        <v>41569.800000000003</v>
      </c>
      <c r="BC500">
        <v>106.5736</v>
      </c>
      <c r="BD500" t="s">
        <v>112</v>
      </c>
      <c r="BE500" t="s">
        <v>112</v>
      </c>
      <c r="BF500" t="s">
        <v>112</v>
      </c>
      <c r="BG500" t="s">
        <v>133</v>
      </c>
      <c r="BH500" t="s">
        <v>134</v>
      </c>
      <c r="BI500" t="s">
        <v>112</v>
      </c>
      <c r="BJ500" t="s">
        <v>112</v>
      </c>
      <c r="BK500" t="s">
        <v>112</v>
      </c>
      <c r="BL500" t="s">
        <v>112</v>
      </c>
      <c r="BM500" t="s">
        <v>112</v>
      </c>
      <c r="BN500" t="s">
        <v>112</v>
      </c>
      <c r="BO500" t="s">
        <v>161</v>
      </c>
      <c r="BQ500" t="s">
        <v>205</v>
      </c>
      <c r="BR500" s="45">
        <f>ISNUMBER(SEARCH($BR$1,Таблица1[[#This Row],[31_1 Описание и характеристика товара]]))*1</f>
        <v>1</v>
      </c>
      <c r="BT500" t="s">
        <v>150</v>
      </c>
      <c r="BU500">
        <v>33</v>
      </c>
      <c r="BV500">
        <v>0</v>
      </c>
      <c r="BW500">
        <v>0</v>
      </c>
      <c r="CA500" t="s">
        <v>106</v>
      </c>
      <c r="CB500" t="s">
        <v>142</v>
      </c>
      <c r="CC500" t="s">
        <v>112</v>
      </c>
      <c r="CD500" t="s">
        <v>112</v>
      </c>
      <c r="CE500" t="s">
        <v>121</v>
      </c>
      <c r="CF500">
        <v>16591.47</v>
      </c>
      <c r="CG500" t="s">
        <v>144</v>
      </c>
      <c r="CH500">
        <v>4000000</v>
      </c>
      <c r="CI500">
        <v>16501.47</v>
      </c>
      <c r="CJ500">
        <v>0</v>
      </c>
      <c r="CK500" t="s">
        <v>112</v>
      </c>
      <c r="CL500" t="s">
        <v>112</v>
      </c>
      <c r="CM500">
        <v>41569.800000000003</v>
      </c>
      <c r="CO500">
        <v>0</v>
      </c>
      <c r="CP500">
        <v>1</v>
      </c>
      <c r="CQ500">
        <v>4870392.21</v>
      </c>
      <c r="CR500">
        <v>49992.89</v>
      </c>
      <c r="CS500" t="s">
        <v>145</v>
      </c>
      <c r="CT500">
        <v>49999.454100000003</v>
      </c>
      <c r="CU500">
        <v>3.03</v>
      </c>
      <c r="CY500">
        <v>124</v>
      </c>
    </row>
    <row r="501" spans="1:103" x14ac:dyDescent="0.25">
      <c r="A501" t="s">
        <v>106</v>
      </c>
      <c r="B501" s="38">
        <v>45219</v>
      </c>
      <c r="C501" s="43">
        <f>IF(YEAR(Таблица1[[#This Row],[Дата]])=2023,MONTH(Таблица1[[#This Row],[Дата]]),0)</f>
        <v>10</v>
      </c>
      <c r="D501" t="s">
        <v>1731</v>
      </c>
      <c r="E501" t="s">
        <v>108</v>
      </c>
      <c r="F501" t="s">
        <v>1732</v>
      </c>
      <c r="G501" t="s">
        <v>110</v>
      </c>
      <c r="H501" t="s">
        <v>111</v>
      </c>
      <c r="I501" t="s">
        <v>112</v>
      </c>
      <c r="J501" t="s">
        <v>112</v>
      </c>
      <c r="K501" t="s">
        <v>112</v>
      </c>
      <c r="L501" t="s">
        <v>150</v>
      </c>
      <c r="M501" t="s">
        <v>151</v>
      </c>
      <c r="N501" t="s">
        <v>112</v>
      </c>
      <c r="O501" t="s">
        <v>112</v>
      </c>
      <c r="R501">
        <v>1</v>
      </c>
      <c r="S501">
        <v>33</v>
      </c>
      <c r="T501" t="s">
        <v>166</v>
      </c>
      <c r="U501" t="s">
        <v>152</v>
      </c>
      <c r="V501" t="s">
        <v>153</v>
      </c>
      <c r="W501" t="s">
        <v>154</v>
      </c>
      <c r="X501" t="s">
        <v>119</v>
      </c>
      <c r="Y501" t="s">
        <v>112</v>
      </c>
      <c r="Z501" t="s">
        <v>166</v>
      </c>
      <c r="AA501" t="s">
        <v>152</v>
      </c>
      <c r="AB501" t="s">
        <v>153</v>
      </c>
      <c r="AC501" t="s">
        <v>154</v>
      </c>
      <c r="AD501" t="s">
        <v>119</v>
      </c>
      <c r="AE501" t="s">
        <v>112</v>
      </c>
      <c r="AF501" t="s">
        <v>121</v>
      </c>
      <c r="AG501" t="s">
        <v>122</v>
      </c>
      <c r="AH501">
        <v>4850838.08</v>
      </c>
      <c r="AI501" t="s">
        <v>166</v>
      </c>
      <c r="AJ501" t="s">
        <v>152</v>
      </c>
      <c r="AK501" t="s">
        <v>153</v>
      </c>
      <c r="AL501" t="s">
        <v>154</v>
      </c>
      <c r="AM501" t="s">
        <v>119</v>
      </c>
      <c r="AN501" t="s">
        <v>112</v>
      </c>
      <c r="AO501" t="s">
        <v>121</v>
      </c>
      <c r="AP501" t="s">
        <v>122</v>
      </c>
      <c r="AQ501" t="s">
        <v>122</v>
      </c>
      <c r="AR501" t="s">
        <v>124</v>
      </c>
      <c r="AS501" t="s">
        <v>125</v>
      </c>
      <c r="AU501" t="s">
        <v>126</v>
      </c>
      <c r="AV501" t="s">
        <v>155</v>
      </c>
      <c r="AW501" t="s">
        <v>156</v>
      </c>
      <c r="AY501" t="s">
        <v>129</v>
      </c>
      <c r="AZ501">
        <v>41386.32</v>
      </c>
      <c r="BC501">
        <v>106.5736</v>
      </c>
      <c r="BD501" t="s">
        <v>112</v>
      </c>
      <c r="BE501" t="s">
        <v>112</v>
      </c>
      <c r="BF501" t="s">
        <v>112</v>
      </c>
      <c r="BG501" t="s">
        <v>133</v>
      </c>
      <c r="BH501" t="s">
        <v>134</v>
      </c>
      <c r="BI501" t="s">
        <v>112</v>
      </c>
      <c r="BJ501" t="s">
        <v>112</v>
      </c>
      <c r="BK501" t="s">
        <v>112</v>
      </c>
      <c r="BL501" t="s">
        <v>112</v>
      </c>
      <c r="BM501" t="s">
        <v>112</v>
      </c>
      <c r="BN501" t="s">
        <v>112</v>
      </c>
      <c r="BO501" t="s">
        <v>161</v>
      </c>
      <c r="BQ501" t="s">
        <v>1733</v>
      </c>
      <c r="BR501" s="45">
        <f>ISNUMBER(SEARCH($BR$1,Таблица1[[#This Row],[31_1 Описание и характеристика товара]]))*1</f>
        <v>1</v>
      </c>
      <c r="BT501" t="s">
        <v>150</v>
      </c>
      <c r="BU501">
        <v>33</v>
      </c>
      <c r="BV501">
        <v>0</v>
      </c>
      <c r="BW501">
        <v>0</v>
      </c>
      <c r="CA501" t="s">
        <v>106</v>
      </c>
      <c r="CB501" t="s">
        <v>142</v>
      </c>
      <c r="CC501" t="s">
        <v>112</v>
      </c>
      <c r="CD501" t="s">
        <v>112</v>
      </c>
      <c r="CE501" t="s">
        <v>121</v>
      </c>
      <c r="CF501">
        <v>16362.01</v>
      </c>
      <c r="CG501" t="s">
        <v>144</v>
      </c>
      <c r="CH501">
        <v>4000000</v>
      </c>
      <c r="CI501">
        <v>16254.01</v>
      </c>
      <c r="CJ501">
        <v>0</v>
      </c>
      <c r="CK501" t="s">
        <v>112</v>
      </c>
      <c r="CL501" t="s">
        <v>112</v>
      </c>
      <c r="CM501">
        <v>41386.32</v>
      </c>
      <c r="CO501">
        <v>0</v>
      </c>
      <c r="CP501">
        <v>1</v>
      </c>
      <c r="CQ501">
        <v>4850838.08</v>
      </c>
      <c r="CR501">
        <v>49792.17</v>
      </c>
      <c r="CS501" t="s">
        <v>145</v>
      </c>
      <c r="CT501">
        <v>49737.270600000003</v>
      </c>
      <c r="CU501">
        <v>3.06</v>
      </c>
      <c r="CY501">
        <v>556</v>
      </c>
    </row>
    <row r="502" spans="1:103" x14ac:dyDescent="0.25">
      <c r="A502" t="s">
        <v>106</v>
      </c>
      <c r="B502" s="38">
        <v>45245</v>
      </c>
      <c r="C502" s="43">
        <f>IF(YEAR(Таблица1[[#This Row],[Дата]])=2023,MONTH(Таблица1[[#This Row],[Дата]]),0)</f>
        <v>11</v>
      </c>
      <c r="D502" t="s">
        <v>1179</v>
      </c>
      <c r="E502" t="s">
        <v>108</v>
      </c>
      <c r="F502" t="s">
        <v>1180</v>
      </c>
      <c r="G502" t="s">
        <v>110</v>
      </c>
      <c r="H502" t="s">
        <v>111</v>
      </c>
      <c r="I502" t="s">
        <v>112</v>
      </c>
      <c r="J502" t="s">
        <v>112</v>
      </c>
      <c r="K502" t="s">
        <v>112</v>
      </c>
      <c r="L502" t="s">
        <v>150</v>
      </c>
      <c r="M502" t="s">
        <v>1176</v>
      </c>
      <c r="N502" t="s">
        <v>112</v>
      </c>
      <c r="O502" t="s">
        <v>112</v>
      </c>
      <c r="P502">
        <v>1</v>
      </c>
      <c r="Q502">
        <v>0</v>
      </c>
      <c r="R502">
        <v>1</v>
      </c>
      <c r="S502">
        <v>33</v>
      </c>
      <c r="T502" t="s">
        <v>166</v>
      </c>
      <c r="U502" t="s">
        <v>152</v>
      </c>
      <c r="V502" t="s">
        <v>153</v>
      </c>
      <c r="W502" t="s">
        <v>154</v>
      </c>
      <c r="X502" t="s">
        <v>119</v>
      </c>
      <c r="Y502" t="s">
        <v>112</v>
      </c>
      <c r="Z502" t="s">
        <v>166</v>
      </c>
      <c r="AA502" t="s">
        <v>152</v>
      </c>
      <c r="AB502" t="s">
        <v>153</v>
      </c>
      <c r="AC502" t="s">
        <v>154</v>
      </c>
      <c r="AD502" t="s">
        <v>119</v>
      </c>
      <c r="AE502" t="s">
        <v>112</v>
      </c>
      <c r="AF502" t="s">
        <v>121</v>
      </c>
      <c r="AG502" t="s">
        <v>122</v>
      </c>
      <c r="AH502">
        <v>4387167.97</v>
      </c>
      <c r="AI502" t="s">
        <v>166</v>
      </c>
      <c r="AJ502" t="s">
        <v>152</v>
      </c>
      <c r="AK502" t="s">
        <v>153</v>
      </c>
      <c r="AL502" t="s">
        <v>154</v>
      </c>
      <c r="AM502" t="s">
        <v>119</v>
      </c>
      <c r="AN502" t="s">
        <v>112</v>
      </c>
      <c r="AO502" t="s">
        <v>121</v>
      </c>
      <c r="AP502" t="s">
        <v>122</v>
      </c>
      <c r="AQ502" t="s">
        <v>122</v>
      </c>
      <c r="AR502" t="s">
        <v>124</v>
      </c>
      <c r="AS502" t="s">
        <v>125</v>
      </c>
      <c r="AT502">
        <v>2</v>
      </c>
      <c r="AU502" t="s">
        <v>126</v>
      </c>
      <c r="AV502" t="s">
        <v>155</v>
      </c>
      <c r="AW502" t="s">
        <v>156</v>
      </c>
      <c r="AX502">
        <v>1</v>
      </c>
      <c r="AY502" t="s">
        <v>129</v>
      </c>
      <c r="AZ502">
        <v>46132.5</v>
      </c>
      <c r="BA502">
        <v>3971372</v>
      </c>
      <c r="BB502">
        <v>55463.28</v>
      </c>
      <c r="BC502">
        <v>86.086200000000005</v>
      </c>
      <c r="BD502" t="s">
        <v>130</v>
      </c>
      <c r="BE502" t="s">
        <v>112</v>
      </c>
      <c r="BF502" t="s">
        <v>157</v>
      </c>
      <c r="BG502" t="s">
        <v>133</v>
      </c>
      <c r="BH502" t="s">
        <v>134</v>
      </c>
      <c r="BI502" t="s">
        <v>112</v>
      </c>
      <c r="BJ502" t="s">
        <v>112</v>
      </c>
      <c r="BK502" t="s">
        <v>112</v>
      </c>
      <c r="BL502" t="s">
        <v>169</v>
      </c>
      <c r="BM502" t="s">
        <v>159</v>
      </c>
      <c r="BN502" t="s">
        <v>722</v>
      </c>
      <c r="BO502" t="s">
        <v>161</v>
      </c>
      <c r="BP502">
        <v>1</v>
      </c>
      <c r="BQ502" t="s">
        <v>162</v>
      </c>
      <c r="BR502" s="45">
        <f>ISNUMBER(SEARCH($BR$1,Таблица1[[#This Row],[31_1 Описание и характеристика товара]]))*1</f>
        <v>1</v>
      </c>
      <c r="BT502" t="s">
        <v>150</v>
      </c>
      <c r="BU502">
        <v>33</v>
      </c>
      <c r="BV502">
        <v>0</v>
      </c>
      <c r="BW502">
        <v>0</v>
      </c>
      <c r="BY502">
        <v>0</v>
      </c>
      <c r="CA502" t="s">
        <v>106</v>
      </c>
      <c r="CB502" t="s">
        <v>142</v>
      </c>
      <c r="CC502" t="s">
        <v>112</v>
      </c>
      <c r="CD502" t="s">
        <v>112</v>
      </c>
      <c r="CE502" t="s">
        <v>121</v>
      </c>
      <c r="CF502">
        <v>16690.34</v>
      </c>
      <c r="CG502" t="s">
        <v>144</v>
      </c>
      <c r="CH502">
        <v>4000000</v>
      </c>
      <c r="CI502">
        <v>16690.34</v>
      </c>
      <c r="CJ502">
        <v>0</v>
      </c>
      <c r="CK502" t="s">
        <v>112</v>
      </c>
      <c r="CL502" t="s">
        <v>112</v>
      </c>
      <c r="CM502">
        <v>46132.5</v>
      </c>
      <c r="CN502">
        <v>3971372</v>
      </c>
      <c r="CO502">
        <v>0</v>
      </c>
      <c r="CP502">
        <v>1</v>
      </c>
      <c r="CQ502">
        <v>4387167.97</v>
      </c>
      <c r="CR502">
        <v>55463.28</v>
      </c>
      <c r="CS502" t="s">
        <v>145</v>
      </c>
      <c r="CT502">
        <v>55463.668854000003</v>
      </c>
      <c r="CU502">
        <v>3.3231000000000002</v>
      </c>
      <c r="CV502">
        <v>45</v>
      </c>
      <c r="CW502" t="s">
        <v>171</v>
      </c>
      <c r="CX502" t="s">
        <v>350</v>
      </c>
      <c r="CY502">
        <v>547</v>
      </c>
    </row>
    <row r="503" spans="1:103" x14ac:dyDescent="0.25">
      <c r="A503" t="s">
        <v>106</v>
      </c>
      <c r="B503" s="38">
        <v>45269</v>
      </c>
      <c r="C503" s="43">
        <f>IF(YEAR(Таблица1[[#This Row],[Дата]])=2023,MONTH(Таблица1[[#This Row],[Дата]]),0)</f>
        <v>12</v>
      </c>
      <c r="D503" t="s">
        <v>1181</v>
      </c>
      <c r="E503" t="s">
        <v>108</v>
      </c>
      <c r="F503" t="s">
        <v>1182</v>
      </c>
      <c r="G503" t="s">
        <v>110</v>
      </c>
      <c r="H503" t="s">
        <v>111</v>
      </c>
      <c r="I503" t="s">
        <v>112</v>
      </c>
      <c r="J503" t="s">
        <v>112</v>
      </c>
      <c r="K503" t="s">
        <v>112</v>
      </c>
      <c r="L503" t="s">
        <v>150</v>
      </c>
      <c r="M503" t="s">
        <v>1176</v>
      </c>
      <c r="N503" t="s">
        <v>112</v>
      </c>
      <c r="O503" t="s">
        <v>112</v>
      </c>
      <c r="P503">
        <v>1</v>
      </c>
      <c r="Q503">
        <v>0</v>
      </c>
      <c r="R503">
        <v>1</v>
      </c>
      <c r="S503">
        <v>33</v>
      </c>
      <c r="T503" t="s">
        <v>166</v>
      </c>
      <c r="U503" t="s">
        <v>152</v>
      </c>
      <c r="V503" t="s">
        <v>153</v>
      </c>
      <c r="W503" t="s">
        <v>154</v>
      </c>
      <c r="X503" t="s">
        <v>119</v>
      </c>
      <c r="Y503" t="s">
        <v>112</v>
      </c>
      <c r="Z503" t="s">
        <v>166</v>
      </c>
      <c r="AA503" t="s">
        <v>152</v>
      </c>
      <c r="AB503" t="s">
        <v>153</v>
      </c>
      <c r="AC503" t="s">
        <v>154</v>
      </c>
      <c r="AD503" t="s">
        <v>119</v>
      </c>
      <c r="AE503" t="s">
        <v>112</v>
      </c>
      <c r="AF503" t="s">
        <v>121</v>
      </c>
      <c r="AG503" t="s">
        <v>122</v>
      </c>
      <c r="AH503">
        <v>4197966</v>
      </c>
      <c r="AI503" t="s">
        <v>166</v>
      </c>
      <c r="AJ503" t="s">
        <v>152</v>
      </c>
      <c r="AK503" t="s">
        <v>153</v>
      </c>
      <c r="AL503" t="s">
        <v>154</v>
      </c>
      <c r="AM503" t="s">
        <v>119</v>
      </c>
      <c r="AN503" t="s">
        <v>112</v>
      </c>
      <c r="AO503" t="s">
        <v>121</v>
      </c>
      <c r="AP503" t="s">
        <v>122</v>
      </c>
      <c r="AQ503" t="s">
        <v>122</v>
      </c>
      <c r="AR503" t="s">
        <v>124</v>
      </c>
      <c r="AS503" t="s">
        <v>125</v>
      </c>
      <c r="AT503">
        <v>2</v>
      </c>
      <c r="AU503" t="s">
        <v>126</v>
      </c>
      <c r="AV503" t="s">
        <v>155</v>
      </c>
      <c r="AW503" t="s">
        <v>156</v>
      </c>
      <c r="AX503">
        <v>1</v>
      </c>
      <c r="AY503" t="s">
        <v>129</v>
      </c>
      <c r="AZ503">
        <v>44634.68</v>
      </c>
      <c r="BA503">
        <v>3842430</v>
      </c>
      <c r="BB503">
        <v>53071.360000000001</v>
      </c>
      <c r="BC503">
        <v>86.086200000000005</v>
      </c>
      <c r="BD503" t="s">
        <v>130</v>
      </c>
      <c r="BE503" t="s">
        <v>112</v>
      </c>
      <c r="BF503" t="s">
        <v>157</v>
      </c>
      <c r="BG503" t="s">
        <v>133</v>
      </c>
      <c r="BH503" t="s">
        <v>134</v>
      </c>
      <c r="BI503" t="s">
        <v>112</v>
      </c>
      <c r="BJ503" t="s">
        <v>112</v>
      </c>
      <c r="BK503" t="s">
        <v>112</v>
      </c>
      <c r="BL503" t="s">
        <v>169</v>
      </c>
      <c r="BM503" t="s">
        <v>159</v>
      </c>
      <c r="BN503" t="s">
        <v>722</v>
      </c>
      <c r="BO503" t="s">
        <v>161</v>
      </c>
      <c r="BP503">
        <v>1</v>
      </c>
      <c r="BQ503" t="s">
        <v>205</v>
      </c>
      <c r="BR503" s="45">
        <f>ISNUMBER(SEARCH($BR$1,Таблица1[[#This Row],[31_1 Описание и характеристика товара]]))*1</f>
        <v>1</v>
      </c>
      <c r="BT503" t="s">
        <v>150</v>
      </c>
      <c r="BU503">
        <v>33</v>
      </c>
      <c r="BV503">
        <v>0</v>
      </c>
      <c r="BW503">
        <v>0</v>
      </c>
      <c r="BY503">
        <v>0</v>
      </c>
      <c r="CA503" t="s">
        <v>106</v>
      </c>
      <c r="CB503" t="s">
        <v>142</v>
      </c>
      <c r="CC503" t="s">
        <v>112</v>
      </c>
      <c r="CD503" t="s">
        <v>112</v>
      </c>
      <c r="CE503" t="s">
        <v>121</v>
      </c>
      <c r="CF503">
        <v>16449.86</v>
      </c>
      <c r="CG503" t="s">
        <v>144</v>
      </c>
      <c r="CH503">
        <v>4000000</v>
      </c>
      <c r="CI503">
        <v>16449.86</v>
      </c>
      <c r="CJ503">
        <v>0</v>
      </c>
      <c r="CK503" t="s">
        <v>112</v>
      </c>
      <c r="CL503" t="s">
        <v>112</v>
      </c>
      <c r="CM503">
        <v>44634.68</v>
      </c>
      <c r="CN503">
        <v>3842430</v>
      </c>
      <c r="CO503">
        <v>0</v>
      </c>
      <c r="CP503">
        <v>1</v>
      </c>
      <c r="CQ503">
        <v>4197966</v>
      </c>
      <c r="CR503">
        <v>53071.360000000001</v>
      </c>
      <c r="CS503" t="s">
        <v>145</v>
      </c>
      <c r="CT503">
        <v>53070.538332000004</v>
      </c>
      <c r="CU503">
        <v>3.2262</v>
      </c>
      <c r="CV503">
        <v>45</v>
      </c>
      <c r="CW503" t="s">
        <v>171</v>
      </c>
      <c r="CX503" t="s">
        <v>463</v>
      </c>
      <c r="CY503">
        <v>325</v>
      </c>
    </row>
    <row r="504" spans="1:103" x14ac:dyDescent="0.25">
      <c r="A504" t="s">
        <v>106</v>
      </c>
      <c r="B504" s="38">
        <v>45074</v>
      </c>
      <c r="C504" s="43">
        <f>IF(YEAR(Таблица1[[#This Row],[Дата]])=2023,MONTH(Таблица1[[#This Row],[Дата]]),0)</f>
        <v>5</v>
      </c>
      <c r="D504" t="s">
        <v>938</v>
      </c>
      <c r="E504" t="s">
        <v>108</v>
      </c>
      <c r="F504" t="s">
        <v>939</v>
      </c>
      <c r="G504" t="s">
        <v>110</v>
      </c>
      <c r="H504" t="s">
        <v>111</v>
      </c>
      <c r="I504" t="s">
        <v>112</v>
      </c>
      <c r="J504" t="s">
        <v>112</v>
      </c>
      <c r="K504" t="s">
        <v>112</v>
      </c>
      <c r="L504" t="s">
        <v>150</v>
      </c>
      <c r="M504" t="s">
        <v>151</v>
      </c>
      <c r="N504" t="s">
        <v>112</v>
      </c>
      <c r="O504" t="s">
        <v>112</v>
      </c>
      <c r="P504">
        <v>1</v>
      </c>
      <c r="Q504">
        <v>0</v>
      </c>
      <c r="R504">
        <v>1</v>
      </c>
      <c r="S504">
        <v>33</v>
      </c>
      <c r="T504" t="s">
        <v>166</v>
      </c>
      <c r="U504" t="s">
        <v>152</v>
      </c>
      <c r="V504" t="s">
        <v>153</v>
      </c>
      <c r="W504" t="s">
        <v>154</v>
      </c>
      <c r="X504" t="s">
        <v>119</v>
      </c>
      <c r="Y504" t="s">
        <v>112</v>
      </c>
      <c r="Z504" t="s">
        <v>166</v>
      </c>
      <c r="AA504" t="s">
        <v>152</v>
      </c>
      <c r="AB504" t="s">
        <v>153</v>
      </c>
      <c r="AC504" t="s">
        <v>154</v>
      </c>
      <c r="AD504" t="s">
        <v>119</v>
      </c>
      <c r="AE504" t="s">
        <v>112</v>
      </c>
      <c r="AF504" t="s">
        <v>121</v>
      </c>
      <c r="AG504" t="s">
        <v>122</v>
      </c>
      <c r="AH504">
        <v>3804333.81</v>
      </c>
      <c r="AI504" t="s">
        <v>166</v>
      </c>
      <c r="AJ504" t="s">
        <v>152</v>
      </c>
      <c r="AK504" t="s">
        <v>153</v>
      </c>
      <c r="AL504" t="s">
        <v>154</v>
      </c>
      <c r="AM504" t="s">
        <v>119</v>
      </c>
      <c r="AN504" t="s">
        <v>112</v>
      </c>
      <c r="AO504" t="s">
        <v>121</v>
      </c>
      <c r="AP504" t="s">
        <v>122</v>
      </c>
      <c r="AQ504" t="s">
        <v>122</v>
      </c>
      <c r="AR504" t="s">
        <v>124</v>
      </c>
      <c r="AS504" t="s">
        <v>125</v>
      </c>
      <c r="AT504">
        <v>2</v>
      </c>
      <c r="AU504" t="s">
        <v>126</v>
      </c>
      <c r="AV504" t="s">
        <v>155</v>
      </c>
      <c r="AW504" t="s">
        <v>156</v>
      </c>
      <c r="AX504">
        <v>1</v>
      </c>
      <c r="AY504" t="s">
        <v>129</v>
      </c>
      <c r="AZ504">
        <v>42688.92</v>
      </c>
      <c r="BA504">
        <v>3452522</v>
      </c>
      <c r="BB504">
        <v>50225.08</v>
      </c>
      <c r="BC504">
        <v>80.876300000000001</v>
      </c>
      <c r="BD504" t="s">
        <v>130</v>
      </c>
      <c r="BE504" t="s">
        <v>112</v>
      </c>
      <c r="BF504" t="s">
        <v>157</v>
      </c>
      <c r="BG504" t="s">
        <v>133</v>
      </c>
      <c r="BH504" t="s">
        <v>134</v>
      </c>
      <c r="BI504" t="s">
        <v>112</v>
      </c>
      <c r="BJ504" t="s">
        <v>112</v>
      </c>
      <c r="BK504" t="s">
        <v>112</v>
      </c>
      <c r="BL504" t="s">
        <v>169</v>
      </c>
      <c r="BM504" t="s">
        <v>159</v>
      </c>
      <c r="BN504" t="s">
        <v>212</v>
      </c>
      <c r="BO504" t="s">
        <v>161</v>
      </c>
      <c r="BP504">
        <v>1</v>
      </c>
      <c r="BQ504" t="s">
        <v>650</v>
      </c>
      <c r="BR504" s="45">
        <f>ISNUMBER(SEARCH($BR$1,Таблица1[[#This Row],[31_1 Описание и характеристика товара]]))*1</f>
        <v>1</v>
      </c>
      <c r="BT504" t="s">
        <v>150</v>
      </c>
      <c r="BU504">
        <v>33</v>
      </c>
      <c r="BV504">
        <v>0</v>
      </c>
      <c r="BW504">
        <v>0</v>
      </c>
      <c r="BY504">
        <v>0</v>
      </c>
      <c r="CA504" t="s">
        <v>106</v>
      </c>
      <c r="CB504" t="s">
        <v>142</v>
      </c>
      <c r="CC504" t="s">
        <v>112</v>
      </c>
      <c r="CD504" t="s">
        <v>112</v>
      </c>
      <c r="CE504" t="s">
        <v>121</v>
      </c>
      <c r="CF504">
        <v>15055.06</v>
      </c>
      <c r="CG504" t="s">
        <v>144</v>
      </c>
      <c r="CH504">
        <v>4000000</v>
      </c>
      <c r="CI504">
        <v>14871.46</v>
      </c>
      <c r="CJ504">
        <v>0</v>
      </c>
      <c r="CK504" t="s">
        <v>112</v>
      </c>
      <c r="CL504" t="s">
        <v>112</v>
      </c>
      <c r="CM504">
        <v>42688.92</v>
      </c>
      <c r="CN504">
        <v>3452522</v>
      </c>
      <c r="CO504">
        <v>0</v>
      </c>
      <c r="CP504">
        <v>1</v>
      </c>
      <c r="CQ504">
        <v>3804333.81</v>
      </c>
      <c r="CR504">
        <v>50225.08</v>
      </c>
      <c r="CS504" t="s">
        <v>145</v>
      </c>
      <c r="CT504">
        <v>50225.381857999993</v>
      </c>
      <c r="CU504">
        <v>3.3773</v>
      </c>
      <c r="CV504">
        <v>45</v>
      </c>
      <c r="CW504" t="s">
        <v>171</v>
      </c>
      <c r="CX504" t="s">
        <v>369</v>
      </c>
      <c r="CY504">
        <v>24</v>
      </c>
    </row>
    <row r="505" spans="1:103" x14ac:dyDescent="0.25">
      <c r="A505" t="s">
        <v>106</v>
      </c>
      <c r="B505" s="38">
        <v>45157</v>
      </c>
      <c r="C505" s="43">
        <f>IF(YEAR(Таблица1[[#This Row],[Дата]])=2023,MONTH(Таблица1[[#This Row],[Дата]]),0)</f>
        <v>8</v>
      </c>
      <c r="D505" t="s">
        <v>942</v>
      </c>
      <c r="E505" t="s">
        <v>108</v>
      </c>
      <c r="F505" t="s">
        <v>943</v>
      </c>
      <c r="G505" t="s">
        <v>110</v>
      </c>
      <c r="H505" t="s">
        <v>111</v>
      </c>
      <c r="I505" t="s">
        <v>112</v>
      </c>
      <c r="J505" t="s">
        <v>112</v>
      </c>
      <c r="K505" t="s">
        <v>112</v>
      </c>
      <c r="L505" t="s">
        <v>150</v>
      </c>
      <c r="M505" t="s">
        <v>151</v>
      </c>
      <c r="N505" t="s">
        <v>112</v>
      </c>
      <c r="O505" t="s">
        <v>112</v>
      </c>
      <c r="P505">
        <v>1</v>
      </c>
      <c r="Q505">
        <v>0</v>
      </c>
      <c r="R505">
        <v>1</v>
      </c>
      <c r="S505">
        <v>33</v>
      </c>
      <c r="T505" t="s">
        <v>166</v>
      </c>
      <c r="U505" t="s">
        <v>152</v>
      </c>
      <c r="V505" t="s">
        <v>153</v>
      </c>
      <c r="W505" t="s">
        <v>154</v>
      </c>
      <c r="X505" t="s">
        <v>119</v>
      </c>
      <c r="Y505" t="s">
        <v>112</v>
      </c>
      <c r="Z505" t="s">
        <v>166</v>
      </c>
      <c r="AA505" t="s">
        <v>152</v>
      </c>
      <c r="AB505" t="s">
        <v>153</v>
      </c>
      <c r="AC505" t="s">
        <v>154</v>
      </c>
      <c r="AD505" t="s">
        <v>119</v>
      </c>
      <c r="AE505" t="s">
        <v>112</v>
      </c>
      <c r="AF505" t="s">
        <v>121</v>
      </c>
      <c r="AG505" t="s">
        <v>122</v>
      </c>
      <c r="AH505">
        <v>3702713.55</v>
      </c>
      <c r="AI505" t="s">
        <v>166</v>
      </c>
      <c r="AJ505" t="s">
        <v>152</v>
      </c>
      <c r="AK505" t="s">
        <v>153</v>
      </c>
      <c r="AL505" t="s">
        <v>154</v>
      </c>
      <c r="AM505" t="s">
        <v>119</v>
      </c>
      <c r="AN505" t="s">
        <v>112</v>
      </c>
      <c r="AO505" t="s">
        <v>121</v>
      </c>
      <c r="AP505" t="s">
        <v>122</v>
      </c>
      <c r="AQ505" t="s">
        <v>122</v>
      </c>
      <c r="AR505" t="s">
        <v>124</v>
      </c>
      <c r="AS505" t="s">
        <v>125</v>
      </c>
      <c r="AT505">
        <v>2</v>
      </c>
      <c r="AU505" t="s">
        <v>126</v>
      </c>
      <c r="AV505" t="s">
        <v>155</v>
      </c>
      <c r="AW505" t="s">
        <v>156</v>
      </c>
      <c r="AX505">
        <v>1</v>
      </c>
      <c r="AY505" t="s">
        <v>129</v>
      </c>
      <c r="AZ505">
        <v>40932.43</v>
      </c>
      <c r="BA505">
        <v>3310463</v>
      </c>
      <c r="BB505">
        <v>48883.48</v>
      </c>
      <c r="BC505">
        <v>80.876300000000001</v>
      </c>
      <c r="BD505" t="s">
        <v>130</v>
      </c>
      <c r="BE505" t="s">
        <v>112</v>
      </c>
      <c r="BF505" t="s">
        <v>157</v>
      </c>
      <c r="BG505" t="s">
        <v>133</v>
      </c>
      <c r="BH505" t="s">
        <v>134</v>
      </c>
      <c r="BI505" t="s">
        <v>112</v>
      </c>
      <c r="BJ505" t="s">
        <v>112</v>
      </c>
      <c r="BK505" t="s">
        <v>112</v>
      </c>
      <c r="BL505" t="s">
        <v>169</v>
      </c>
      <c r="BM505" t="s">
        <v>159</v>
      </c>
      <c r="BN505" t="s">
        <v>212</v>
      </c>
      <c r="BO505" t="s">
        <v>161</v>
      </c>
      <c r="BP505">
        <v>1</v>
      </c>
      <c r="BQ505" t="s">
        <v>493</v>
      </c>
      <c r="BR505" s="45">
        <f>ISNUMBER(SEARCH($BR$1,Таблица1[[#This Row],[31_1 Описание и характеристика товара]]))*1</f>
        <v>1</v>
      </c>
      <c r="BT505" t="s">
        <v>150</v>
      </c>
      <c r="BU505">
        <v>33</v>
      </c>
      <c r="BV505">
        <v>0</v>
      </c>
      <c r="BW505">
        <v>0</v>
      </c>
      <c r="BY505">
        <v>0</v>
      </c>
      <c r="CA505" t="s">
        <v>106</v>
      </c>
      <c r="CB505" t="s">
        <v>142</v>
      </c>
      <c r="CC505" t="s">
        <v>112</v>
      </c>
      <c r="CD505" t="s">
        <v>112</v>
      </c>
      <c r="CE505" t="s">
        <v>121</v>
      </c>
      <c r="CF505">
        <v>16837.03</v>
      </c>
      <c r="CG505" t="s">
        <v>144</v>
      </c>
      <c r="CH505">
        <v>4000000</v>
      </c>
      <c r="CI505">
        <v>16772.23</v>
      </c>
      <c r="CJ505">
        <v>0</v>
      </c>
      <c r="CK505" t="s">
        <v>112</v>
      </c>
      <c r="CL505" t="s">
        <v>112</v>
      </c>
      <c r="CM505">
        <v>40932.43</v>
      </c>
      <c r="CN505">
        <v>3310463</v>
      </c>
      <c r="CO505">
        <v>0</v>
      </c>
      <c r="CP505">
        <v>1</v>
      </c>
      <c r="CQ505">
        <v>3702713.55</v>
      </c>
      <c r="CR505">
        <v>48883.48</v>
      </c>
      <c r="CS505" t="s">
        <v>145</v>
      </c>
      <c r="CT505">
        <v>48882.664334999994</v>
      </c>
      <c r="CU505">
        <v>2.9144999999999999</v>
      </c>
      <c r="CV505">
        <v>45</v>
      </c>
      <c r="CW505" t="s">
        <v>171</v>
      </c>
      <c r="CX505" t="s">
        <v>172</v>
      </c>
      <c r="CY505">
        <v>78</v>
      </c>
    </row>
    <row r="506" spans="1:103" x14ac:dyDescent="0.25">
      <c r="A506" t="s">
        <v>106</v>
      </c>
      <c r="B506" s="38">
        <v>45135</v>
      </c>
      <c r="C506" s="43">
        <f>IF(YEAR(Таблица1[[#This Row],[Дата]])=2023,MONTH(Таблица1[[#This Row],[Дата]]),0)</f>
        <v>7</v>
      </c>
      <c r="D506" t="s">
        <v>940</v>
      </c>
      <c r="E506" t="s">
        <v>108</v>
      </c>
      <c r="F506" t="s">
        <v>941</v>
      </c>
      <c r="G506" t="s">
        <v>110</v>
      </c>
      <c r="H506" t="s">
        <v>111</v>
      </c>
      <c r="I506" t="s">
        <v>112</v>
      </c>
      <c r="J506" t="s">
        <v>112</v>
      </c>
      <c r="K506" t="s">
        <v>112</v>
      </c>
      <c r="L506" t="s">
        <v>150</v>
      </c>
      <c r="M506" t="s">
        <v>151</v>
      </c>
      <c r="N506" t="s">
        <v>112</v>
      </c>
      <c r="O506" t="s">
        <v>112</v>
      </c>
      <c r="P506">
        <v>1</v>
      </c>
      <c r="Q506">
        <v>0</v>
      </c>
      <c r="R506">
        <v>1</v>
      </c>
      <c r="S506">
        <v>33</v>
      </c>
      <c r="T506" t="s">
        <v>166</v>
      </c>
      <c r="U506" t="s">
        <v>152</v>
      </c>
      <c r="V506" t="s">
        <v>153</v>
      </c>
      <c r="W506" t="s">
        <v>154</v>
      </c>
      <c r="X506" t="s">
        <v>119</v>
      </c>
      <c r="Y506" t="s">
        <v>112</v>
      </c>
      <c r="Z506" t="s">
        <v>166</v>
      </c>
      <c r="AA506" t="s">
        <v>152</v>
      </c>
      <c r="AB506" t="s">
        <v>153</v>
      </c>
      <c r="AC506" t="s">
        <v>154</v>
      </c>
      <c r="AD506" t="s">
        <v>119</v>
      </c>
      <c r="AE506" t="s">
        <v>112</v>
      </c>
      <c r="AF506" t="s">
        <v>121</v>
      </c>
      <c r="AG506" t="s">
        <v>122</v>
      </c>
      <c r="AH506">
        <v>3536908.24</v>
      </c>
      <c r="AI506" t="s">
        <v>166</v>
      </c>
      <c r="AJ506" t="s">
        <v>152</v>
      </c>
      <c r="AK506" t="s">
        <v>153</v>
      </c>
      <c r="AL506" t="s">
        <v>154</v>
      </c>
      <c r="AM506" t="s">
        <v>119</v>
      </c>
      <c r="AN506" t="s">
        <v>112</v>
      </c>
      <c r="AO506" t="s">
        <v>121</v>
      </c>
      <c r="AP506" t="s">
        <v>122</v>
      </c>
      <c r="AQ506" t="s">
        <v>122</v>
      </c>
      <c r="AR506" t="s">
        <v>124</v>
      </c>
      <c r="AS506" t="s">
        <v>125</v>
      </c>
      <c r="AT506">
        <v>2</v>
      </c>
      <c r="AU506" t="s">
        <v>126</v>
      </c>
      <c r="AV506" t="s">
        <v>155</v>
      </c>
      <c r="AW506" t="s">
        <v>156</v>
      </c>
      <c r="AX506">
        <v>1</v>
      </c>
      <c r="AY506" t="s">
        <v>129</v>
      </c>
      <c r="AZ506">
        <v>39382.32</v>
      </c>
      <c r="BA506">
        <v>3185096</v>
      </c>
      <c r="BB506">
        <v>46694.51</v>
      </c>
      <c r="BC506">
        <v>80.876300000000001</v>
      </c>
      <c r="BD506" t="s">
        <v>130</v>
      </c>
      <c r="BE506" t="s">
        <v>112</v>
      </c>
      <c r="BF506" t="s">
        <v>157</v>
      </c>
      <c r="BG506" t="s">
        <v>133</v>
      </c>
      <c r="BH506" t="s">
        <v>134</v>
      </c>
      <c r="BI506" t="s">
        <v>112</v>
      </c>
      <c r="BJ506" t="s">
        <v>112</v>
      </c>
      <c r="BK506" t="s">
        <v>112</v>
      </c>
      <c r="BL506" t="s">
        <v>169</v>
      </c>
      <c r="BM506" t="s">
        <v>159</v>
      </c>
      <c r="BN506" t="s">
        <v>212</v>
      </c>
      <c r="BO506" t="s">
        <v>161</v>
      </c>
      <c r="BP506">
        <v>1</v>
      </c>
      <c r="BQ506" t="s">
        <v>616</v>
      </c>
      <c r="BR506" s="45">
        <f>ISNUMBER(SEARCH($BR$1,Таблица1[[#This Row],[31_1 Описание и характеристика товара]]))*1</f>
        <v>1</v>
      </c>
      <c r="BT506" t="s">
        <v>150</v>
      </c>
      <c r="BU506">
        <v>33</v>
      </c>
      <c r="BV506">
        <v>0</v>
      </c>
      <c r="BW506">
        <v>0</v>
      </c>
      <c r="BY506">
        <v>0</v>
      </c>
      <c r="CA506" t="s">
        <v>106</v>
      </c>
      <c r="CB506" t="s">
        <v>142</v>
      </c>
      <c r="CC506" t="s">
        <v>112</v>
      </c>
      <c r="CD506" t="s">
        <v>112</v>
      </c>
      <c r="CE506" t="s">
        <v>121</v>
      </c>
      <c r="CF506">
        <v>15773.8</v>
      </c>
      <c r="CG506" t="s">
        <v>144</v>
      </c>
      <c r="CH506">
        <v>4000000</v>
      </c>
      <c r="CI506">
        <v>15514.6</v>
      </c>
      <c r="CJ506">
        <v>0</v>
      </c>
      <c r="CK506" t="s">
        <v>112</v>
      </c>
      <c r="CL506" t="s">
        <v>112</v>
      </c>
      <c r="CM506">
        <v>39382.32</v>
      </c>
      <c r="CN506">
        <v>3185096</v>
      </c>
      <c r="CO506">
        <v>0</v>
      </c>
      <c r="CP506">
        <v>1</v>
      </c>
      <c r="CQ506">
        <v>3536908.24</v>
      </c>
      <c r="CR506">
        <v>46694.51</v>
      </c>
      <c r="CS506" t="s">
        <v>145</v>
      </c>
      <c r="CT506">
        <v>46694.291620000004</v>
      </c>
      <c r="CU506">
        <v>3.0097</v>
      </c>
      <c r="CV506">
        <v>45</v>
      </c>
      <c r="CW506" t="s">
        <v>171</v>
      </c>
      <c r="CX506" t="s">
        <v>372</v>
      </c>
      <c r="CY506">
        <v>246</v>
      </c>
    </row>
    <row r="507" spans="1:103" x14ac:dyDescent="0.25">
      <c r="A507" t="s">
        <v>106</v>
      </c>
      <c r="B507" s="38">
        <v>44954</v>
      </c>
      <c r="C507" s="43">
        <f>IF(YEAR(Таблица1[[#This Row],[Дата]])=2023,MONTH(Таблица1[[#This Row],[Дата]]),0)</f>
        <v>1</v>
      </c>
      <c r="D507" t="s">
        <v>604</v>
      </c>
      <c r="E507" t="s">
        <v>108</v>
      </c>
      <c r="F507" t="s">
        <v>605</v>
      </c>
      <c r="G507" t="s">
        <v>110</v>
      </c>
      <c r="H507" t="s">
        <v>111</v>
      </c>
      <c r="I507" t="s">
        <v>112</v>
      </c>
      <c r="J507" t="s">
        <v>112</v>
      </c>
      <c r="K507" t="s">
        <v>112</v>
      </c>
      <c r="L507" t="s">
        <v>150</v>
      </c>
      <c r="M507" t="s">
        <v>151</v>
      </c>
      <c r="N507" t="s">
        <v>112</v>
      </c>
      <c r="O507" t="s">
        <v>112</v>
      </c>
      <c r="P507">
        <v>1</v>
      </c>
      <c r="Q507">
        <v>0</v>
      </c>
      <c r="R507">
        <v>1</v>
      </c>
      <c r="S507">
        <v>33</v>
      </c>
      <c r="T507" t="s">
        <v>166</v>
      </c>
      <c r="U507" t="s">
        <v>152</v>
      </c>
      <c r="V507" t="s">
        <v>153</v>
      </c>
      <c r="W507" t="s">
        <v>154</v>
      </c>
      <c r="X507" t="s">
        <v>119</v>
      </c>
      <c r="Y507" t="s">
        <v>112</v>
      </c>
      <c r="Z507" t="s">
        <v>166</v>
      </c>
      <c r="AA507" t="s">
        <v>152</v>
      </c>
      <c r="AB507" t="s">
        <v>153</v>
      </c>
      <c r="AC507" t="s">
        <v>154</v>
      </c>
      <c r="AD507" t="s">
        <v>119</v>
      </c>
      <c r="AE507" t="s">
        <v>112</v>
      </c>
      <c r="AF507" t="s">
        <v>121</v>
      </c>
      <c r="AG507" t="s">
        <v>122</v>
      </c>
      <c r="AH507">
        <v>3978592.24</v>
      </c>
      <c r="AI507" t="s">
        <v>166</v>
      </c>
      <c r="AJ507" t="s">
        <v>152</v>
      </c>
      <c r="AK507" t="s">
        <v>153</v>
      </c>
      <c r="AL507" t="s">
        <v>154</v>
      </c>
      <c r="AM507" t="s">
        <v>119</v>
      </c>
      <c r="AN507" t="s">
        <v>112</v>
      </c>
      <c r="AO507" t="s">
        <v>121</v>
      </c>
      <c r="AP507" t="s">
        <v>122</v>
      </c>
      <c r="AQ507" t="s">
        <v>122</v>
      </c>
      <c r="AR507" t="s">
        <v>124</v>
      </c>
      <c r="AS507" t="s">
        <v>125</v>
      </c>
      <c r="AT507">
        <v>2</v>
      </c>
      <c r="AU507" t="s">
        <v>126</v>
      </c>
      <c r="AV507" t="s">
        <v>155</v>
      </c>
      <c r="AW507" t="s">
        <v>156</v>
      </c>
      <c r="AX507">
        <v>1</v>
      </c>
      <c r="AY507" t="s">
        <v>129</v>
      </c>
      <c r="AZ507">
        <v>45154.05</v>
      </c>
      <c r="BA507">
        <v>3592700</v>
      </c>
      <c r="BB507">
        <v>53614.28</v>
      </c>
      <c r="BC507">
        <v>79.565399999999997</v>
      </c>
      <c r="BD507" t="s">
        <v>130</v>
      </c>
      <c r="BE507" t="s">
        <v>112</v>
      </c>
      <c r="BF507" t="s">
        <v>157</v>
      </c>
      <c r="BG507" t="s">
        <v>133</v>
      </c>
      <c r="BH507" t="s">
        <v>134</v>
      </c>
      <c r="BI507" t="s">
        <v>112</v>
      </c>
      <c r="BJ507" t="s">
        <v>112</v>
      </c>
      <c r="BK507" t="s">
        <v>112</v>
      </c>
      <c r="BL507" t="s">
        <v>169</v>
      </c>
      <c r="BM507" t="s">
        <v>159</v>
      </c>
      <c r="BN507" t="s">
        <v>212</v>
      </c>
      <c r="BO507" t="s">
        <v>161</v>
      </c>
      <c r="BP507">
        <v>1</v>
      </c>
      <c r="BQ507" t="s">
        <v>1967</v>
      </c>
      <c r="BR507" s="45">
        <f>ISNUMBER(SEARCH($BR$1,Таблица1[[#This Row],[31_1 Описание и характеристика товара]]))*1</f>
        <v>1</v>
      </c>
      <c r="BT507" t="s">
        <v>150</v>
      </c>
      <c r="BU507">
        <v>33</v>
      </c>
      <c r="BV507">
        <v>0</v>
      </c>
      <c r="BW507">
        <v>0</v>
      </c>
      <c r="BY507">
        <v>0</v>
      </c>
      <c r="CA507" t="s">
        <v>106</v>
      </c>
      <c r="CB507" t="s">
        <v>142</v>
      </c>
      <c r="CC507" t="s">
        <v>112</v>
      </c>
      <c r="CD507" t="s">
        <v>112</v>
      </c>
      <c r="CE507" t="s">
        <v>121</v>
      </c>
      <c r="CF507">
        <v>16876.03</v>
      </c>
      <c r="CG507" t="s">
        <v>144</v>
      </c>
      <c r="CH507">
        <v>4000000</v>
      </c>
      <c r="CI507">
        <v>16818.43</v>
      </c>
      <c r="CJ507">
        <v>0</v>
      </c>
      <c r="CK507" t="s">
        <v>112</v>
      </c>
      <c r="CL507" t="s">
        <v>112</v>
      </c>
      <c r="CM507">
        <v>45154.05</v>
      </c>
      <c r="CN507">
        <v>3592700</v>
      </c>
      <c r="CO507">
        <v>0</v>
      </c>
      <c r="CP507">
        <v>1</v>
      </c>
      <c r="CQ507">
        <v>3978592.24</v>
      </c>
      <c r="CR507">
        <v>53614.28</v>
      </c>
      <c r="CS507" t="s">
        <v>145</v>
      </c>
      <c r="CT507">
        <v>53613.791154000006</v>
      </c>
      <c r="CU507">
        <v>3.1878000000000002</v>
      </c>
      <c r="CV507">
        <v>45</v>
      </c>
      <c r="CW507" t="s">
        <v>171</v>
      </c>
      <c r="CX507" t="s">
        <v>172</v>
      </c>
      <c r="CY507">
        <v>9</v>
      </c>
    </row>
    <row r="508" spans="1:103" x14ac:dyDescent="0.25">
      <c r="A508" t="s">
        <v>106</v>
      </c>
      <c r="B508" s="38">
        <v>44866</v>
      </c>
      <c r="C508" s="43">
        <f>IF(YEAR(Таблица1[[#This Row],[Дата]])=2023,MONTH(Таблица1[[#This Row],[Дата]]),0)</f>
        <v>0</v>
      </c>
      <c r="D508" t="s">
        <v>598</v>
      </c>
      <c r="E508" t="s">
        <v>108</v>
      </c>
      <c r="F508" t="s">
        <v>599</v>
      </c>
      <c r="G508" t="s">
        <v>110</v>
      </c>
      <c r="H508" t="s">
        <v>111</v>
      </c>
      <c r="I508" t="s">
        <v>112</v>
      </c>
      <c r="J508" t="s">
        <v>112</v>
      </c>
      <c r="K508" t="s">
        <v>112</v>
      </c>
      <c r="L508" t="s">
        <v>150</v>
      </c>
      <c r="M508" t="s">
        <v>151</v>
      </c>
      <c r="N508" t="s">
        <v>112</v>
      </c>
      <c r="O508" t="s">
        <v>112</v>
      </c>
      <c r="P508">
        <v>1</v>
      </c>
      <c r="Q508">
        <v>0</v>
      </c>
      <c r="R508">
        <v>1</v>
      </c>
      <c r="S508">
        <v>33</v>
      </c>
      <c r="T508" t="s">
        <v>166</v>
      </c>
      <c r="U508" t="s">
        <v>152</v>
      </c>
      <c r="V508" t="s">
        <v>153</v>
      </c>
      <c r="W508" t="s">
        <v>154</v>
      </c>
      <c r="X508" t="s">
        <v>119</v>
      </c>
      <c r="Y508" t="s">
        <v>112</v>
      </c>
      <c r="Z508" t="s">
        <v>166</v>
      </c>
      <c r="AA508" t="s">
        <v>152</v>
      </c>
      <c r="AB508" t="s">
        <v>153</v>
      </c>
      <c r="AC508" t="s">
        <v>154</v>
      </c>
      <c r="AD508" t="s">
        <v>119</v>
      </c>
      <c r="AE508" t="s">
        <v>112</v>
      </c>
      <c r="AF508" t="s">
        <v>121</v>
      </c>
      <c r="AG508" t="s">
        <v>122</v>
      </c>
      <c r="AH508">
        <v>3788569.38</v>
      </c>
      <c r="AI508" t="s">
        <v>166</v>
      </c>
      <c r="AJ508" t="s">
        <v>152</v>
      </c>
      <c r="AK508" t="s">
        <v>153</v>
      </c>
      <c r="AL508" t="s">
        <v>154</v>
      </c>
      <c r="AM508" t="s">
        <v>119</v>
      </c>
      <c r="AN508" t="s">
        <v>112</v>
      </c>
      <c r="AO508" t="s">
        <v>121</v>
      </c>
      <c r="AP508" t="s">
        <v>122</v>
      </c>
      <c r="AQ508" t="s">
        <v>122</v>
      </c>
      <c r="AR508" t="s">
        <v>124</v>
      </c>
      <c r="AS508" t="s">
        <v>125</v>
      </c>
      <c r="AT508">
        <v>2</v>
      </c>
      <c r="AU508" t="s">
        <v>126</v>
      </c>
      <c r="AV508" t="s">
        <v>155</v>
      </c>
      <c r="AW508" t="s">
        <v>156</v>
      </c>
      <c r="AX508">
        <v>1</v>
      </c>
      <c r="AY508" t="s">
        <v>129</v>
      </c>
      <c r="AZ508">
        <v>43265.79</v>
      </c>
      <c r="BA508">
        <v>3442460</v>
      </c>
      <c r="BB508">
        <v>51053.59</v>
      </c>
      <c r="BC508">
        <v>79.565399999999997</v>
      </c>
      <c r="BD508" t="s">
        <v>130</v>
      </c>
      <c r="BE508" t="s">
        <v>112</v>
      </c>
      <c r="BF508" t="s">
        <v>157</v>
      </c>
      <c r="BG508" t="s">
        <v>133</v>
      </c>
      <c r="BH508" t="s">
        <v>134</v>
      </c>
      <c r="BI508" t="s">
        <v>112</v>
      </c>
      <c r="BJ508" t="s">
        <v>112</v>
      </c>
      <c r="BK508" t="s">
        <v>112</v>
      </c>
      <c r="BL508" t="s">
        <v>169</v>
      </c>
      <c r="BM508" t="s">
        <v>159</v>
      </c>
      <c r="BN508" t="s">
        <v>212</v>
      </c>
      <c r="BO508" t="s">
        <v>161</v>
      </c>
      <c r="BP508">
        <v>1</v>
      </c>
      <c r="BQ508" t="s">
        <v>205</v>
      </c>
      <c r="BR508" s="45">
        <f>ISNUMBER(SEARCH($BR$1,Таблица1[[#This Row],[31_1 Описание и характеристика товара]]))*1</f>
        <v>1</v>
      </c>
      <c r="BT508" t="s">
        <v>150</v>
      </c>
      <c r="BU508">
        <v>33</v>
      </c>
      <c r="BV508">
        <v>0</v>
      </c>
      <c r="BW508">
        <v>0</v>
      </c>
      <c r="BY508">
        <v>0</v>
      </c>
      <c r="CA508" t="s">
        <v>106</v>
      </c>
      <c r="CB508" t="s">
        <v>142</v>
      </c>
      <c r="CC508" t="s">
        <v>112</v>
      </c>
      <c r="CD508" t="s">
        <v>112</v>
      </c>
      <c r="CE508" t="s">
        <v>121</v>
      </c>
      <c r="CF508">
        <v>16409.03</v>
      </c>
      <c r="CG508" t="s">
        <v>144</v>
      </c>
      <c r="CH508">
        <v>4000000</v>
      </c>
      <c r="CI508">
        <v>16355.03</v>
      </c>
      <c r="CJ508">
        <v>0</v>
      </c>
      <c r="CK508" t="s">
        <v>112</v>
      </c>
      <c r="CL508" t="s">
        <v>112</v>
      </c>
      <c r="CM508">
        <v>43265.79</v>
      </c>
      <c r="CN508">
        <v>3442460</v>
      </c>
      <c r="CO508">
        <v>0</v>
      </c>
      <c r="CP508">
        <v>1</v>
      </c>
      <c r="CQ508">
        <v>3788569.38</v>
      </c>
      <c r="CR508">
        <v>51053.59</v>
      </c>
      <c r="CS508" t="s">
        <v>145</v>
      </c>
      <c r="CT508">
        <v>51053.861647999998</v>
      </c>
      <c r="CU508">
        <v>3.1215999999999999</v>
      </c>
      <c r="CV508">
        <v>45</v>
      </c>
      <c r="CW508" t="s">
        <v>171</v>
      </c>
      <c r="CX508" t="s">
        <v>172</v>
      </c>
      <c r="CY508">
        <v>326</v>
      </c>
    </row>
    <row r="509" spans="1:103" x14ac:dyDescent="0.25">
      <c r="A509" t="s">
        <v>106</v>
      </c>
      <c r="B509" s="38">
        <v>45029</v>
      </c>
      <c r="C509" s="43">
        <f>IF(YEAR(Таблица1[[#This Row],[Дата]])=2023,MONTH(Таблица1[[#This Row],[Дата]]),0)</f>
        <v>4</v>
      </c>
      <c r="D509" t="s">
        <v>606</v>
      </c>
      <c r="E509" t="s">
        <v>108</v>
      </c>
      <c r="F509" t="s">
        <v>607</v>
      </c>
      <c r="G509" t="s">
        <v>110</v>
      </c>
      <c r="H509" t="s">
        <v>111</v>
      </c>
      <c r="I509" t="s">
        <v>112</v>
      </c>
      <c r="J509" t="s">
        <v>112</v>
      </c>
      <c r="K509" t="s">
        <v>112</v>
      </c>
      <c r="L509" t="s">
        <v>150</v>
      </c>
      <c r="M509" t="s">
        <v>151</v>
      </c>
      <c r="N509" t="s">
        <v>112</v>
      </c>
      <c r="O509" t="s">
        <v>112</v>
      </c>
      <c r="P509">
        <v>1</v>
      </c>
      <c r="Q509">
        <v>0</v>
      </c>
      <c r="R509">
        <v>1</v>
      </c>
      <c r="S509">
        <v>33</v>
      </c>
      <c r="T509" t="s">
        <v>166</v>
      </c>
      <c r="U509" t="s">
        <v>152</v>
      </c>
      <c r="V509" t="s">
        <v>153</v>
      </c>
      <c r="W509" t="s">
        <v>154</v>
      </c>
      <c r="X509" t="s">
        <v>119</v>
      </c>
      <c r="Y509" t="s">
        <v>112</v>
      </c>
      <c r="Z509" t="s">
        <v>166</v>
      </c>
      <c r="AA509" t="s">
        <v>152</v>
      </c>
      <c r="AB509" t="s">
        <v>153</v>
      </c>
      <c r="AC509" t="s">
        <v>154</v>
      </c>
      <c r="AD509" t="s">
        <v>119</v>
      </c>
      <c r="AE509" t="s">
        <v>112</v>
      </c>
      <c r="AF509" t="s">
        <v>121</v>
      </c>
      <c r="AG509" t="s">
        <v>122</v>
      </c>
      <c r="AH509">
        <v>3518639.78</v>
      </c>
      <c r="AI509" t="s">
        <v>166</v>
      </c>
      <c r="AJ509" t="s">
        <v>152</v>
      </c>
      <c r="AK509" t="s">
        <v>153</v>
      </c>
      <c r="AL509" t="s">
        <v>154</v>
      </c>
      <c r="AM509" t="s">
        <v>119</v>
      </c>
      <c r="AN509" t="s">
        <v>112</v>
      </c>
      <c r="AO509" t="s">
        <v>121</v>
      </c>
      <c r="AP509" t="s">
        <v>122</v>
      </c>
      <c r="AQ509" t="s">
        <v>122</v>
      </c>
      <c r="AR509" t="s">
        <v>124</v>
      </c>
      <c r="AS509" t="s">
        <v>125</v>
      </c>
      <c r="AT509">
        <v>2</v>
      </c>
      <c r="AU509" t="s">
        <v>126</v>
      </c>
      <c r="AV509" t="s">
        <v>155</v>
      </c>
      <c r="AW509" t="s">
        <v>156</v>
      </c>
      <c r="AX509">
        <v>1</v>
      </c>
      <c r="AY509" t="s">
        <v>129</v>
      </c>
      <c r="AZ509">
        <v>39873.24</v>
      </c>
      <c r="BA509">
        <v>3172530</v>
      </c>
      <c r="BB509">
        <v>47416.1</v>
      </c>
      <c r="BC509">
        <v>79.565399999999997</v>
      </c>
      <c r="BD509" t="s">
        <v>130</v>
      </c>
      <c r="BE509" t="s">
        <v>112</v>
      </c>
      <c r="BF509" t="s">
        <v>157</v>
      </c>
      <c r="BG509" t="s">
        <v>133</v>
      </c>
      <c r="BH509" t="s">
        <v>134</v>
      </c>
      <c r="BI509" t="s">
        <v>112</v>
      </c>
      <c r="BJ509" t="s">
        <v>112</v>
      </c>
      <c r="BK509" t="s">
        <v>112</v>
      </c>
      <c r="BL509" t="s">
        <v>169</v>
      </c>
      <c r="BM509" t="s">
        <v>159</v>
      </c>
      <c r="BN509" t="s">
        <v>212</v>
      </c>
      <c r="BO509" t="s">
        <v>161</v>
      </c>
      <c r="BP509">
        <v>1</v>
      </c>
      <c r="BQ509" t="s">
        <v>232</v>
      </c>
      <c r="BR509" s="45">
        <f>ISNUMBER(SEARCH($BR$1,Таблица1[[#This Row],[31_1 Описание и характеристика товара]]))*1</f>
        <v>1</v>
      </c>
      <c r="BT509" t="s">
        <v>150</v>
      </c>
      <c r="BU509">
        <v>33</v>
      </c>
      <c r="BV509">
        <v>0</v>
      </c>
      <c r="BW509">
        <v>0</v>
      </c>
      <c r="BY509">
        <v>0</v>
      </c>
      <c r="CA509" t="s">
        <v>106</v>
      </c>
      <c r="CB509" t="s">
        <v>142</v>
      </c>
      <c r="CC509" t="s">
        <v>112</v>
      </c>
      <c r="CD509" t="s">
        <v>112</v>
      </c>
      <c r="CE509" t="s">
        <v>121</v>
      </c>
      <c r="CF509">
        <v>16799.71</v>
      </c>
      <c r="CG509" t="s">
        <v>144</v>
      </c>
      <c r="CH509">
        <v>4000000</v>
      </c>
      <c r="CI509">
        <v>16734.91</v>
      </c>
      <c r="CJ509">
        <v>0</v>
      </c>
      <c r="CK509" t="s">
        <v>112</v>
      </c>
      <c r="CL509" t="s">
        <v>112</v>
      </c>
      <c r="CM509">
        <v>39873.24</v>
      </c>
      <c r="CN509">
        <v>3172530</v>
      </c>
      <c r="CO509">
        <v>0</v>
      </c>
      <c r="CP509">
        <v>1</v>
      </c>
      <c r="CQ509">
        <v>3518639.78</v>
      </c>
      <c r="CR509">
        <v>47416.1</v>
      </c>
      <c r="CS509" t="s">
        <v>145</v>
      </c>
      <c r="CT509">
        <v>47416.693994000001</v>
      </c>
      <c r="CU509">
        <v>2.8334000000000001</v>
      </c>
      <c r="CV509">
        <v>45</v>
      </c>
      <c r="CW509" t="s">
        <v>171</v>
      </c>
      <c r="CX509" t="s">
        <v>372</v>
      </c>
      <c r="CY509">
        <v>65</v>
      </c>
    </row>
    <row r="510" spans="1:103" x14ac:dyDescent="0.25">
      <c r="A510" t="s">
        <v>106</v>
      </c>
      <c r="B510" s="38">
        <v>44981</v>
      </c>
      <c r="C510" s="43">
        <f>IF(YEAR(Таблица1[[#This Row],[Дата]])=2023,MONTH(Таблица1[[#This Row],[Дата]]),0)</f>
        <v>2</v>
      </c>
      <c r="D510" t="s">
        <v>608</v>
      </c>
      <c r="E510" t="s">
        <v>108</v>
      </c>
      <c r="F510" t="s">
        <v>609</v>
      </c>
      <c r="G510" t="s">
        <v>110</v>
      </c>
      <c r="H510" t="s">
        <v>111</v>
      </c>
      <c r="I510" t="s">
        <v>112</v>
      </c>
      <c r="J510" t="s">
        <v>112</v>
      </c>
      <c r="K510" t="s">
        <v>112</v>
      </c>
      <c r="L510" t="s">
        <v>150</v>
      </c>
      <c r="M510" t="s">
        <v>151</v>
      </c>
      <c r="N510" t="s">
        <v>112</v>
      </c>
      <c r="O510" t="s">
        <v>112</v>
      </c>
      <c r="P510">
        <v>1</v>
      </c>
      <c r="Q510">
        <v>0</v>
      </c>
      <c r="R510">
        <v>1</v>
      </c>
      <c r="S510">
        <v>33</v>
      </c>
      <c r="T510" t="s">
        <v>166</v>
      </c>
      <c r="U510" t="s">
        <v>152</v>
      </c>
      <c r="V510" t="s">
        <v>153</v>
      </c>
      <c r="W510" t="s">
        <v>154</v>
      </c>
      <c r="X510" t="s">
        <v>119</v>
      </c>
      <c r="Y510" t="s">
        <v>112</v>
      </c>
      <c r="Z510" t="s">
        <v>166</v>
      </c>
      <c r="AA510" t="s">
        <v>152</v>
      </c>
      <c r="AB510" t="s">
        <v>153</v>
      </c>
      <c r="AC510" t="s">
        <v>154</v>
      </c>
      <c r="AD510" t="s">
        <v>119</v>
      </c>
      <c r="AE510" t="s">
        <v>112</v>
      </c>
      <c r="AF510" t="s">
        <v>121</v>
      </c>
      <c r="AG510" t="s">
        <v>122</v>
      </c>
      <c r="AH510">
        <v>3780927.92</v>
      </c>
      <c r="AI510" t="s">
        <v>166</v>
      </c>
      <c r="AJ510" t="s">
        <v>152</v>
      </c>
      <c r="AK510" t="s">
        <v>153</v>
      </c>
      <c r="AL510" t="s">
        <v>154</v>
      </c>
      <c r="AM510" t="s">
        <v>119</v>
      </c>
      <c r="AN510" t="s">
        <v>112</v>
      </c>
      <c r="AO510" t="s">
        <v>121</v>
      </c>
      <c r="AP510" t="s">
        <v>122</v>
      </c>
      <c r="AQ510" t="s">
        <v>122</v>
      </c>
      <c r="AR510" t="s">
        <v>124</v>
      </c>
      <c r="AS510" t="s">
        <v>125</v>
      </c>
      <c r="AT510">
        <v>2</v>
      </c>
      <c r="AU510" t="s">
        <v>126</v>
      </c>
      <c r="AV510" t="s">
        <v>155</v>
      </c>
      <c r="AW510" t="s">
        <v>156</v>
      </c>
      <c r="AX510">
        <v>1</v>
      </c>
      <c r="AY510" t="s">
        <v>129</v>
      </c>
      <c r="AZ510">
        <v>42669.75</v>
      </c>
      <c r="BA510">
        <v>3395036</v>
      </c>
      <c r="BB510">
        <v>50950.61</v>
      </c>
      <c r="BC510">
        <v>79.565399999999997</v>
      </c>
      <c r="BD510" t="s">
        <v>130</v>
      </c>
      <c r="BE510" t="s">
        <v>112</v>
      </c>
      <c r="BF510" t="s">
        <v>157</v>
      </c>
      <c r="BG510" t="s">
        <v>133</v>
      </c>
      <c r="BH510" t="s">
        <v>134</v>
      </c>
      <c r="BI510" t="s">
        <v>112</v>
      </c>
      <c r="BJ510" t="s">
        <v>112</v>
      </c>
      <c r="BK510" t="s">
        <v>112</v>
      </c>
      <c r="BL510" t="s">
        <v>169</v>
      </c>
      <c r="BM510" t="s">
        <v>159</v>
      </c>
      <c r="BN510" t="s">
        <v>212</v>
      </c>
      <c r="BO510" t="s">
        <v>161</v>
      </c>
      <c r="BP510">
        <v>1</v>
      </c>
      <c r="BQ510" t="s">
        <v>1967</v>
      </c>
      <c r="BR510" s="45">
        <f>ISNUMBER(SEARCH($BR$1,Таблица1[[#This Row],[31_1 Описание и характеристика товара]]))*1</f>
        <v>1</v>
      </c>
      <c r="BT510" t="s">
        <v>150</v>
      </c>
      <c r="BU510">
        <v>33</v>
      </c>
      <c r="BV510">
        <v>0</v>
      </c>
      <c r="BW510">
        <v>0</v>
      </c>
      <c r="BY510">
        <v>0</v>
      </c>
      <c r="CA510" t="s">
        <v>106</v>
      </c>
      <c r="CB510" t="s">
        <v>142</v>
      </c>
      <c r="CC510" t="s">
        <v>112</v>
      </c>
      <c r="CD510" t="s">
        <v>112</v>
      </c>
      <c r="CE510" t="s">
        <v>121</v>
      </c>
      <c r="CF510">
        <v>16871.419999999998</v>
      </c>
      <c r="CG510" t="s">
        <v>144</v>
      </c>
      <c r="CH510">
        <v>4000000</v>
      </c>
      <c r="CI510">
        <v>16817.419999999998</v>
      </c>
      <c r="CJ510">
        <v>0</v>
      </c>
      <c r="CK510" t="s">
        <v>112</v>
      </c>
      <c r="CL510" t="s">
        <v>112</v>
      </c>
      <c r="CM510">
        <v>42669.75</v>
      </c>
      <c r="CN510">
        <v>3395036</v>
      </c>
      <c r="CO510">
        <v>0</v>
      </c>
      <c r="CP510">
        <v>1</v>
      </c>
      <c r="CQ510">
        <v>3780927.92</v>
      </c>
      <c r="CR510">
        <v>50950.61</v>
      </c>
      <c r="CS510" t="s">
        <v>145</v>
      </c>
      <c r="CT510">
        <v>50950.055631999989</v>
      </c>
      <c r="CU510">
        <v>3.0295999999999998</v>
      </c>
      <c r="CV510">
        <v>45</v>
      </c>
      <c r="CW510" t="s">
        <v>171</v>
      </c>
      <c r="CX510" t="s">
        <v>463</v>
      </c>
      <c r="CY510">
        <v>80</v>
      </c>
    </row>
    <row r="511" spans="1:103" x14ac:dyDescent="0.25">
      <c r="A511" t="s">
        <v>106</v>
      </c>
      <c r="B511" s="38">
        <v>45166</v>
      </c>
      <c r="C511" s="43">
        <f>IF(YEAR(Таблица1[[#This Row],[Дата]])=2023,MONTH(Таблица1[[#This Row],[Дата]]),0)</f>
        <v>8</v>
      </c>
      <c r="D511" t="s">
        <v>617</v>
      </c>
      <c r="E511" t="s">
        <v>108</v>
      </c>
      <c r="F511" t="s">
        <v>618</v>
      </c>
      <c r="G511" t="s">
        <v>110</v>
      </c>
      <c r="H511" t="s">
        <v>111</v>
      </c>
      <c r="I511" t="s">
        <v>112</v>
      </c>
      <c r="J511" t="s">
        <v>112</v>
      </c>
      <c r="K511" t="s">
        <v>112</v>
      </c>
      <c r="L511" t="s">
        <v>150</v>
      </c>
      <c r="M511" t="s">
        <v>151</v>
      </c>
      <c r="N511" t="s">
        <v>112</v>
      </c>
      <c r="O511" t="s">
        <v>112</v>
      </c>
      <c r="P511">
        <v>1</v>
      </c>
      <c r="R511">
        <v>1</v>
      </c>
      <c r="S511">
        <v>33</v>
      </c>
      <c r="T511" t="s">
        <v>112</v>
      </c>
      <c r="U511" t="s">
        <v>152</v>
      </c>
      <c r="V511" t="s">
        <v>153</v>
      </c>
      <c r="W511" t="s">
        <v>154</v>
      </c>
      <c r="X511" t="s">
        <v>119</v>
      </c>
      <c r="Y511" t="s">
        <v>112</v>
      </c>
      <c r="Z511" t="s">
        <v>112</v>
      </c>
      <c r="AA511" t="s">
        <v>152</v>
      </c>
      <c r="AB511" t="s">
        <v>153</v>
      </c>
      <c r="AC511" t="s">
        <v>154</v>
      </c>
      <c r="AD511" t="s">
        <v>119</v>
      </c>
      <c r="AE511" t="s">
        <v>112</v>
      </c>
      <c r="AF511" t="s">
        <v>121</v>
      </c>
      <c r="AG511" t="s">
        <v>122</v>
      </c>
      <c r="AH511">
        <v>4024113.27</v>
      </c>
      <c r="AI511" t="s">
        <v>112</v>
      </c>
      <c r="AJ511" t="s">
        <v>152</v>
      </c>
      <c r="AK511" t="s">
        <v>153</v>
      </c>
      <c r="AL511" t="s">
        <v>154</v>
      </c>
      <c r="AM511" t="s">
        <v>119</v>
      </c>
      <c r="AN511" t="s">
        <v>112</v>
      </c>
      <c r="AO511" t="s">
        <v>121</v>
      </c>
      <c r="AP511" t="s">
        <v>122</v>
      </c>
      <c r="AQ511" t="s">
        <v>122</v>
      </c>
      <c r="AR511" t="s">
        <v>124</v>
      </c>
      <c r="AS511" t="s">
        <v>125</v>
      </c>
      <c r="AT511">
        <v>2</v>
      </c>
      <c r="AU511" t="s">
        <v>126</v>
      </c>
      <c r="AV511" t="s">
        <v>155</v>
      </c>
      <c r="AW511" t="s">
        <v>156</v>
      </c>
      <c r="AY511" t="s">
        <v>129</v>
      </c>
      <c r="AZ511">
        <v>37182.58</v>
      </c>
      <c r="BC511">
        <v>97.737700000000004</v>
      </c>
      <c r="BD511" t="s">
        <v>112</v>
      </c>
      <c r="BE511" t="s">
        <v>112</v>
      </c>
      <c r="BF511" t="s">
        <v>157</v>
      </c>
      <c r="BG511" t="s">
        <v>133</v>
      </c>
      <c r="BH511" t="s">
        <v>134</v>
      </c>
      <c r="BI511" t="s">
        <v>112</v>
      </c>
      <c r="BJ511" t="s">
        <v>112</v>
      </c>
      <c r="BK511" t="s">
        <v>112</v>
      </c>
      <c r="BL511" t="s">
        <v>158</v>
      </c>
      <c r="BM511" t="s">
        <v>159</v>
      </c>
      <c r="BN511" t="s">
        <v>212</v>
      </c>
      <c r="BO511" t="s">
        <v>161</v>
      </c>
      <c r="BQ511" t="s">
        <v>232</v>
      </c>
      <c r="BR511" s="45">
        <f>ISNUMBER(SEARCH($BR$1,Таблица1[[#This Row],[31_1 Описание и характеристика товара]]))*1</f>
        <v>1</v>
      </c>
      <c r="BT511" t="s">
        <v>150</v>
      </c>
      <c r="BU511">
        <v>33</v>
      </c>
      <c r="BV511">
        <v>0</v>
      </c>
      <c r="BW511">
        <v>0</v>
      </c>
      <c r="BY511">
        <v>0</v>
      </c>
      <c r="CA511" t="s">
        <v>106</v>
      </c>
      <c r="CB511" t="s">
        <v>142</v>
      </c>
      <c r="CC511" t="s">
        <v>112</v>
      </c>
      <c r="CD511" t="s">
        <v>112</v>
      </c>
      <c r="CE511" t="s">
        <v>121</v>
      </c>
      <c r="CF511">
        <v>14683.28</v>
      </c>
      <c r="CG511" t="s">
        <v>144</v>
      </c>
      <c r="CH511">
        <v>4000000</v>
      </c>
      <c r="CI511">
        <v>14272.88</v>
      </c>
      <c r="CJ511">
        <v>0</v>
      </c>
      <c r="CK511" t="s">
        <v>112</v>
      </c>
      <c r="CL511" t="s">
        <v>112</v>
      </c>
      <c r="CM511">
        <v>37182.58</v>
      </c>
      <c r="CO511">
        <v>0</v>
      </c>
      <c r="CP511">
        <v>1</v>
      </c>
      <c r="CQ511">
        <v>4024113.27</v>
      </c>
      <c r="CR511">
        <v>44874.87</v>
      </c>
      <c r="CS511" t="s">
        <v>145</v>
      </c>
      <c r="CT511">
        <v>44816.843199999996</v>
      </c>
      <c r="CU511">
        <v>3.14</v>
      </c>
      <c r="CV511">
        <v>45</v>
      </c>
      <c r="CX511" t="s">
        <v>163</v>
      </c>
      <c r="CY511">
        <v>46</v>
      </c>
    </row>
    <row r="512" spans="1:103" x14ac:dyDescent="0.25">
      <c r="A512" t="s">
        <v>106</v>
      </c>
      <c r="B512" s="38">
        <v>45252</v>
      </c>
      <c r="C512" s="43">
        <f>IF(YEAR(Таблица1[[#This Row],[Дата]])=2023,MONTH(Таблица1[[#This Row],[Дата]]),0)</f>
        <v>11</v>
      </c>
      <c r="D512" t="s">
        <v>619</v>
      </c>
      <c r="E512" t="s">
        <v>108</v>
      </c>
      <c r="F512" t="s">
        <v>620</v>
      </c>
      <c r="G512" t="s">
        <v>110</v>
      </c>
      <c r="H512" t="s">
        <v>111</v>
      </c>
      <c r="I512" t="s">
        <v>112</v>
      </c>
      <c r="J512" t="s">
        <v>112</v>
      </c>
      <c r="K512" t="s">
        <v>112</v>
      </c>
      <c r="L512" t="s">
        <v>150</v>
      </c>
      <c r="M512" t="s">
        <v>151</v>
      </c>
      <c r="N512" t="s">
        <v>112</v>
      </c>
      <c r="O512" t="s">
        <v>112</v>
      </c>
      <c r="P512">
        <v>1</v>
      </c>
      <c r="R512">
        <v>1</v>
      </c>
      <c r="S512">
        <v>33</v>
      </c>
      <c r="T512" t="s">
        <v>112</v>
      </c>
      <c r="U512" t="s">
        <v>152</v>
      </c>
      <c r="V512" t="s">
        <v>153</v>
      </c>
      <c r="W512" t="s">
        <v>154</v>
      </c>
      <c r="X512" t="s">
        <v>119</v>
      </c>
      <c r="Y512" t="s">
        <v>112</v>
      </c>
      <c r="Z512" t="s">
        <v>112</v>
      </c>
      <c r="AA512" t="s">
        <v>152</v>
      </c>
      <c r="AB512" t="s">
        <v>153</v>
      </c>
      <c r="AC512" t="s">
        <v>154</v>
      </c>
      <c r="AD512" t="s">
        <v>119</v>
      </c>
      <c r="AE512" t="s">
        <v>112</v>
      </c>
      <c r="AF512" t="s">
        <v>121</v>
      </c>
      <c r="AG512" t="s">
        <v>122</v>
      </c>
      <c r="AH512">
        <v>4384380.3</v>
      </c>
      <c r="AI512" t="s">
        <v>112</v>
      </c>
      <c r="AJ512" t="s">
        <v>152</v>
      </c>
      <c r="AK512" t="s">
        <v>153</v>
      </c>
      <c r="AL512" t="s">
        <v>154</v>
      </c>
      <c r="AM512" t="s">
        <v>119</v>
      </c>
      <c r="AN512" t="s">
        <v>112</v>
      </c>
      <c r="AO512" t="s">
        <v>121</v>
      </c>
      <c r="AP512" t="s">
        <v>122</v>
      </c>
      <c r="AQ512" t="s">
        <v>122</v>
      </c>
      <c r="AR512" t="s">
        <v>124</v>
      </c>
      <c r="AS512" t="s">
        <v>125</v>
      </c>
      <c r="AT512">
        <v>2</v>
      </c>
      <c r="AU512" t="s">
        <v>126</v>
      </c>
      <c r="AV512" t="s">
        <v>155</v>
      </c>
      <c r="AW512" t="s">
        <v>156</v>
      </c>
      <c r="AY512" t="s">
        <v>129</v>
      </c>
      <c r="AZ512">
        <v>40868.639999999999</v>
      </c>
      <c r="BC512">
        <v>97.737700000000004</v>
      </c>
      <c r="BD512" t="s">
        <v>112</v>
      </c>
      <c r="BE512" t="s">
        <v>112</v>
      </c>
      <c r="BF512" t="s">
        <v>157</v>
      </c>
      <c r="BG512" t="s">
        <v>133</v>
      </c>
      <c r="BH512" t="s">
        <v>134</v>
      </c>
      <c r="BI512" t="s">
        <v>112</v>
      </c>
      <c r="BJ512" t="s">
        <v>112</v>
      </c>
      <c r="BK512" t="s">
        <v>112</v>
      </c>
      <c r="BL512" t="s">
        <v>158</v>
      </c>
      <c r="BM512" t="s">
        <v>159</v>
      </c>
      <c r="BN512" t="s">
        <v>212</v>
      </c>
      <c r="BO512" t="s">
        <v>161</v>
      </c>
      <c r="BQ512" t="s">
        <v>232</v>
      </c>
      <c r="BR512" s="45">
        <f>ISNUMBER(SEARCH($BR$1,Таблица1[[#This Row],[31_1 Описание и характеристика товара]]))*1</f>
        <v>1</v>
      </c>
      <c r="BT512" t="s">
        <v>150</v>
      </c>
      <c r="BU512">
        <v>33</v>
      </c>
      <c r="BV512">
        <v>0</v>
      </c>
      <c r="BW512">
        <v>0</v>
      </c>
      <c r="BY512">
        <v>0</v>
      </c>
      <c r="CA512" t="s">
        <v>106</v>
      </c>
      <c r="CB512" t="s">
        <v>142</v>
      </c>
      <c r="CC512" t="s">
        <v>112</v>
      </c>
      <c r="CD512" t="s">
        <v>112</v>
      </c>
      <c r="CE512" t="s">
        <v>121</v>
      </c>
      <c r="CF512">
        <v>16954.12</v>
      </c>
      <c r="CG512" t="s">
        <v>144</v>
      </c>
      <c r="CH512">
        <v>4000000</v>
      </c>
      <c r="CI512">
        <v>16954.12</v>
      </c>
      <c r="CJ512">
        <v>0</v>
      </c>
      <c r="CK512" t="s">
        <v>112</v>
      </c>
      <c r="CL512" t="s">
        <v>112</v>
      </c>
      <c r="CM512">
        <v>40868.639999999999</v>
      </c>
      <c r="CO512">
        <v>0</v>
      </c>
      <c r="CP512">
        <v>1</v>
      </c>
      <c r="CQ512">
        <v>4384380.3</v>
      </c>
      <c r="CR512">
        <v>48892.38</v>
      </c>
      <c r="CS512" t="s">
        <v>145</v>
      </c>
      <c r="CT512">
        <v>48827.865599999997</v>
      </c>
      <c r="CU512">
        <v>2.88</v>
      </c>
      <c r="CV512">
        <v>45</v>
      </c>
      <c r="CX512" t="s">
        <v>233</v>
      </c>
      <c r="CY512">
        <v>596</v>
      </c>
    </row>
    <row r="513" spans="1:103" x14ac:dyDescent="0.25">
      <c r="A513" t="s">
        <v>106</v>
      </c>
      <c r="B513" s="38">
        <v>45017</v>
      </c>
      <c r="C513" s="43">
        <f>IF(YEAR(Таблица1[[#This Row],[Дата]])=2023,MONTH(Таблица1[[#This Row],[Дата]]),0)</f>
        <v>4</v>
      </c>
      <c r="D513" t="s">
        <v>602</v>
      </c>
      <c r="E513" t="s">
        <v>108</v>
      </c>
      <c r="F513" t="s">
        <v>603</v>
      </c>
      <c r="G513" t="s">
        <v>110</v>
      </c>
      <c r="H513" t="s">
        <v>111</v>
      </c>
      <c r="I513" t="s">
        <v>112</v>
      </c>
      <c r="J513" t="s">
        <v>112</v>
      </c>
      <c r="K513" t="s">
        <v>112</v>
      </c>
      <c r="L513" t="s">
        <v>150</v>
      </c>
      <c r="M513" t="s">
        <v>151</v>
      </c>
      <c r="N513" t="s">
        <v>112</v>
      </c>
      <c r="O513" t="s">
        <v>112</v>
      </c>
      <c r="P513">
        <v>1</v>
      </c>
      <c r="R513">
        <v>1</v>
      </c>
      <c r="S513">
        <v>33</v>
      </c>
      <c r="T513" t="s">
        <v>112</v>
      </c>
      <c r="U513" t="s">
        <v>152</v>
      </c>
      <c r="V513" t="s">
        <v>153</v>
      </c>
      <c r="W513" t="s">
        <v>154</v>
      </c>
      <c r="X513" t="s">
        <v>119</v>
      </c>
      <c r="Y513" t="s">
        <v>112</v>
      </c>
      <c r="Z513" t="s">
        <v>112</v>
      </c>
      <c r="AA513" t="s">
        <v>152</v>
      </c>
      <c r="AB513" t="s">
        <v>153</v>
      </c>
      <c r="AC513" t="s">
        <v>154</v>
      </c>
      <c r="AD513" t="s">
        <v>119</v>
      </c>
      <c r="AE513" t="s">
        <v>112</v>
      </c>
      <c r="AF513" t="s">
        <v>121</v>
      </c>
      <c r="AG513" t="s">
        <v>122</v>
      </c>
      <c r="AH513">
        <v>4300472.4800000004</v>
      </c>
      <c r="AI513" t="s">
        <v>112</v>
      </c>
      <c r="AJ513" t="s">
        <v>152</v>
      </c>
      <c r="AK513" t="s">
        <v>153</v>
      </c>
      <c r="AL513" t="s">
        <v>154</v>
      </c>
      <c r="AM513" t="s">
        <v>119</v>
      </c>
      <c r="AN513" t="s">
        <v>112</v>
      </c>
      <c r="AO513" t="s">
        <v>121</v>
      </c>
      <c r="AP513" t="s">
        <v>122</v>
      </c>
      <c r="AQ513" t="s">
        <v>122</v>
      </c>
      <c r="AR513" t="s">
        <v>124</v>
      </c>
      <c r="AS513" t="s">
        <v>125</v>
      </c>
      <c r="AT513">
        <v>2</v>
      </c>
      <c r="AU513" t="s">
        <v>126</v>
      </c>
      <c r="AV513" t="s">
        <v>155</v>
      </c>
      <c r="AW513" t="s">
        <v>156</v>
      </c>
      <c r="AY513" t="s">
        <v>129</v>
      </c>
      <c r="AZ513">
        <v>39480.14</v>
      </c>
      <c r="BC513">
        <v>97.737700000000004</v>
      </c>
      <c r="BD513" t="s">
        <v>112</v>
      </c>
      <c r="BE513" t="s">
        <v>112</v>
      </c>
      <c r="BF513" t="s">
        <v>157</v>
      </c>
      <c r="BG513" t="s">
        <v>133</v>
      </c>
      <c r="BH513" t="s">
        <v>134</v>
      </c>
      <c r="BI513" t="s">
        <v>112</v>
      </c>
      <c r="BJ513" t="s">
        <v>112</v>
      </c>
      <c r="BK513" t="s">
        <v>112</v>
      </c>
      <c r="BL513" t="s">
        <v>158</v>
      </c>
      <c r="BM513" t="s">
        <v>159</v>
      </c>
      <c r="BN513" t="s">
        <v>212</v>
      </c>
      <c r="BO513" t="s">
        <v>161</v>
      </c>
      <c r="BQ513" t="s">
        <v>162</v>
      </c>
      <c r="BR513" s="45">
        <f>ISNUMBER(SEARCH($BR$1,Таблица1[[#This Row],[31_1 Описание и характеристика товара]]))*1</f>
        <v>1</v>
      </c>
      <c r="BT513" t="s">
        <v>150</v>
      </c>
      <c r="BU513">
        <v>33</v>
      </c>
      <c r="BV513">
        <v>0</v>
      </c>
      <c r="BW513">
        <v>0</v>
      </c>
      <c r="BY513">
        <v>0</v>
      </c>
      <c r="CA513" t="s">
        <v>106</v>
      </c>
      <c r="CB513" t="s">
        <v>142</v>
      </c>
      <c r="CC513" t="s">
        <v>112</v>
      </c>
      <c r="CD513" t="s">
        <v>112</v>
      </c>
      <c r="CE513" t="s">
        <v>121</v>
      </c>
      <c r="CF513">
        <v>16624.240000000002</v>
      </c>
      <c r="CG513" t="s">
        <v>144</v>
      </c>
      <c r="CH513">
        <v>4000000</v>
      </c>
      <c r="CI513">
        <v>16516.240000000002</v>
      </c>
      <c r="CJ513">
        <v>0</v>
      </c>
      <c r="CK513" t="s">
        <v>112</v>
      </c>
      <c r="CL513" t="s">
        <v>112</v>
      </c>
      <c r="CM513">
        <v>39480.14</v>
      </c>
      <c r="CO513">
        <v>0</v>
      </c>
      <c r="CP513">
        <v>1</v>
      </c>
      <c r="CQ513">
        <v>4300472.4800000004</v>
      </c>
      <c r="CR513">
        <v>47956.68</v>
      </c>
      <c r="CS513" t="s">
        <v>145</v>
      </c>
      <c r="CT513">
        <v>47897.096000000005</v>
      </c>
      <c r="CU513">
        <v>2.9</v>
      </c>
      <c r="CV513">
        <v>45</v>
      </c>
      <c r="CX513" t="s">
        <v>163</v>
      </c>
      <c r="CY513">
        <v>89</v>
      </c>
    </row>
    <row r="514" spans="1:103" x14ac:dyDescent="0.25">
      <c r="A514" t="s">
        <v>106</v>
      </c>
      <c r="B514" s="38">
        <v>44852</v>
      </c>
      <c r="C514" s="43">
        <f>IF(YEAR(Таблица1[[#This Row],[Дата]])=2023,MONTH(Таблица1[[#This Row],[Дата]]),0)</f>
        <v>0</v>
      </c>
      <c r="D514" t="s">
        <v>580</v>
      </c>
      <c r="E514" t="s">
        <v>108</v>
      </c>
      <c r="F514" t="s">
        <v>581</v>
      </c>
      <c r="G514" t="s">
        <v>110</v>
      </c>
      <c r="H514" t="s">
        <v>111</v>
      </c>
      <c r="I514" t="s">
        <v>112</v>
      </c>
      <c r="J514" t="s">
        <v>112</v>
      </c>
      <c r="K514" t="s">
        <v>112</v>
      </c>
      <c r="L514" t="s">
        <v>150</v>
      </c>
      <c r="M514" t="s">
        <v>151</v>
      </c>
      <c r="N514" t="s">
        <v>112</v>
      </c>
      <c r="O514" t="s">
        <v>112</v>
      </c>
      <c r="P514">
        <v>1</v>
      </c>
      <c r="R514">
        <v>1</v>
      </c>
      <c r="S514">
        <v>33</v>
      </c>
      <c r="T514" t="s">
        <v>112</v>
      </c>
      <c r="U514" t="s">
        <v>152</v>
      </c>
      <c r="V514" t="s">
        <v>153</v>
      </c>
      <c r="W514" t="s">
        <v>154</v>
      </c>
      <c r="X514" t="s">
        <v>119</v>
      </c>
      <c r="Y514" t="s">
        <v>112</v>
      </c>
      <c r="Z514" t="s">
        <v>112</v>
      </c>
      <c r="AA514" t="s">
        <v>152</v>
      </c>
      <c r="AB514" t="s">
        <v>153</v>
      </c>
      <c r="AC514" t="s">
        <v>154</v>
      </c>
      <c r="AD514" t="s">
        <v>119</v>
      </c>
      <c r="AE514" t="s">
        <v>112</v>
      </c>
      <c r="AF514" t="s">
        <v>121</v>
      </c>
      <c r="AG514" t="s">
        <v>122</v>
      </c>
      <c r="AH514">
        <v>4163123.64</v>
      </c>
      <c r="AI514" t="s">
        <v>112</v>
      </c>
      <c r="AJ514" t="s">
        <v>152</v>
      </c>
      <c r="AK514" t="s">
        <v>153</v>
      </c>
      <c r="AL514" t="s">
        <v>154</v>
      </c>
      <c r="AM514" t="s">
        <v>119</v>
      </c>
      <c r="AN514" t="s">
        <v>112</v>
      </c>
      <c r="AO514" t="s">
        <v>121</v>
      </c>
      <c r="AP514" t="s">
        <v>122</v>
      </c>
      <c r="AQ514" t="s">
        <v>122</v>
      </c>
      <c r="AR514" t="s">
        <v>124</v>
      </c>
      <c r="AS514" t="s">
        <v>125</v>
      </c>
      <c r="AT514">
        <v>2</v>
      </c>
      <c r="AU514" t="s">
        <v>126</v>
      </c>
      <c r="AV514" t="s">
        <v>155</v>
      </c>
      <c r="AW514" t="s">
        <v>156</v>
      </c>
      <c r="AY514" t="s">
        <v>129</v>
      </c>
      <c r="AZ514">
        <v>38074.86</v>
      </c>
      <c r="BC514">
        <v>97.737700000000004</v>
      </c>
      <c r="BD514" t="s">
        <v>112</v>
      </c>
      <c r="BE514" t="s">
        <v>112</v>
      </c>
      <c r="BF514" t="s">
        <v>157</v>
      </c>
      <c r="BG514" t="s">
        <v>133</v>
      </c>
      <c r="BH514" t="s">
        <v>167</v>
      </c>
      <c r="BI514" t="s">
        <v>112</v>
      </c>
      <c r="BJ514" t="s">
        <v>112</v>
      </c>
      <c r="BK514" t="s">
        <v>112</v>
      </c>
      <c r="BL514" t="s">
        <v>158</v>
      </c>
      <c r="BM514" t="s">
        <v>159</v>
      </c>
      <c r="BN514" t="s">
        <v>160</v>
      </c>
      <c r="BO514" t="s">
        <v>161</v>
      </c>
      <c r="BQ514" t="s">
        <v>213</v>
      </c>
      <c r="BR514" s="45">
        <f>ISNUMBER(SEARCH($BR$1,Таблица1[[#This Row],[31_1 Описание и характеристика товара]]))*1</f>
        <v>1</v>
      </c>
      <c r="BT514" t="s">
        <v>150</v>
      </c>
      <c r="BU514">
        <v>33</v>
      </c>
      <c r="BV514">
        <v>0</v>
      </c>
      <c r="BW514">
        <v>0</v>
      </c>
      <c r="BY514">
        <v>0</v>
      </c>
      <c r="CA514" t="s">
        <v>106</v>
      </c>
      <c r="CB514" t="s">
        <v>142</v>
      </c>
      <c r="CC514" t="s">
        <v>112</v>
      </c>
      <c r="CD514" t="s">
        <v>112</v>
      </c>
      <c r="CE514" t="s">
        <v>121</v>
      </c>
      <c r="CF514">
        <v>16684.439999999999</v>
      </c>
      <c r="CG514" t="s">
        <v>144</v>
      </c>
      <c r="CH514">
        <v>4000000</v>
      </c>
      <c r="CI514">
        <v>16576.439999999999</v>
      </c>
      <c r="CJ514">
        <v>0</v>
      </c>
      <c r="CK514" t="s">
        <v>112</v>
      </c>
      <c r="CL514" t="s">
        <v>112</v>
      </c>
      <c r="CM514">
        <v>38074.86</v>
      </c>
      <c r="CO514">
        <v>0</v>
      </c>
      <c r="CP514">
        <v>1</v>
      </c>
      <c r="CQ514">
        <v>4163123.64</v>
      </c>
      <c r="CR514">
        <v>46425.04</v>
      </c>
      <c r="CS514" t="s">
        <v>145</v>
      </c>
      <c r="CT514">
        <v>46414.031999999992</v>
      </c>
      <c r="CU514">
        <v>2.8</v>
      </c>
      <c r="CV514">
        <v>45</v>
      </c>
      <c r="CX514" t="s">
        <v>233</v>
      </c>
      <c r="CY514">
        <v>146</v>
      </c>
    </row>
    <row r="515" spans="1:103" x14ac:dyDescent="0.25">
      <c r="A515" t="s">
        <v>106</v>
      </c>
      <c r="B515" s="38">
        <v>44724</v>
      </c>
      <c r="C515" s="43">
        <f>IF(YEAR(Таблица1[[#This Row],[Дата]])=2023,MONTH(Таблица1[[#This Row],[Дата]]),0)</f>
        <v>0</v>
      </c>
      <c r="D515" t="s">
        <v>562</v>
      </c>
      <c r="E515" t="s">
        <v>108</v>
      </c>
      <c r="F515" t="s">
        <v>563</v>
      </c>
      <c r="G515" t="s">
        <v>110</v>
      </c>
      <c r="H515" t="s">
        <v>111</v>
      </c>
      <c r="I515" t="s">
        <v>112</v>
      </c>
      <c r="J515" t="s">
        <v>112</v>
      </c>
      <c r="K515" t="s">
        <v>112</v>
      </c>
      <c r="L515" t="s">
        <v>150</v>
      </c>
      <c r="M515" t="s">
        <v>151</v>
      </c>
      <c r="N515" t="s">
        <v>112</v>
      </c>
      <c r="O515" t="s">
        <v>112</v>
      </c>
      <c r="P515">
        <v>1</v>
      </c>
      <c r="R515">
        <v>1</v>
      </c>
      <c r="S515">
        <v>33</v>
      </c>
      <c r="T515" t="s">
        <v>112</v>
      </c>
      <c r="U515" t="s">
        <v>152</v>
      </c>
      <c r="V515" t="s">
        <v>153</v>
      </c>
      <c r="W515" t="s">
        <v>154</v>
      </c>
      <c r="X515" t="s">
        <v>119</v>
      </c>
      <c r="Y515" t="s">
        <v>112</v>
      </c>
      <c r="Z515" t="s">
        <v>112</v>
      </c>
      <c r="AA515" t="s">
        <v>152</v>
      </c>
      <c r="AB515" t="s">
        <v>153</v>
      </c>
      <c r="AC515" t="s">
        <v>154</v>
      </c>
      <c r="AD515" t="s">
        <v>119</v>
      </c>
      <c r="AE515" t="s">
        <v>112</v>
      </c>
      <c r="AF515" t="s">
        <v>121</v>
      </c>
      <c r="AG515" t="s">
        <v>122</v>
      </c>
      <c r="AH515">
        <v>4302458.51</v>
      </c>
      <c r="AI515" t="s">
        <v>112</v>
      </c>
      <c r="AJ515" t="s">
        <v>152</v>
      </c>
      <c r="AK515" t="s">
        <v>153</v>
      </c>
      <c r="AL515" t="s">
        <v>154</v>
      </c>
      <c r="AM515" t="s">
        <v>119</v>
      </c>
      <c r="AN515" t="s">
        <v>112</v>
      </c>
      <c r="AO515" t="s">
        <v>121</v>
      </c>
      <c r="AP515" t="s">
        <v>122</v>
      </c>
      <c r="AQ515" t="s">
        <v>122</v>
      </c>
      <c r="AR515" t="s">
        <v>124</v>
      </c>
      <c r="AS515" t="s">
        <v>125</v>
      </c>
      <c r="AT515">
        <v>2</v>
      </c>
      <c r="AU515" t="s">
        <v>126</v>
      </c>
      <c r="AV515" t="s">
        <v>155</v>
      </c>
      <c r="AW515" t="s">
        <v>156</v>
      </c>
      <c r="AY515" t="s">
        <v>129</v>
      </c>
      <c r="AZ515">
        <v>40030.46</v>
      </c>
      <c r="BC515">
        <v>97.737700000000004</v>
      </c>
      <c r="BD515" t="s">
        <v>112</v>
      </c>
      <c r="BE515" t="s">
        <v>112</v>
      </c>
      <c r="BF515" t="s">
        <v>157</v>
      </c>
      <c r="BG515" t="s">
        <v>133</v>
      </c>
      <c r="BH515" t="s">
        <v>167</v>
      </c>
      <c r="BI515" t="s">
        <v>112</v>
      </c>
      <c r="BJ515" t="s">
        <v>112</v>
      </c>
      <c r="BK515" t="s">
        <v>112</v>
      </c>
      <c r="BL515" t="s">
        <v>158</v>
      </c>
      <c r="BM515" t="s">
        <v>159</v>
      </c>
      <c r="BN515" t="s">
        <v>160</v>
      </c>
      <c r="BO515" t="s">
        <v>161</v>
      </c>
      <c r="BQ515" t="s">
        <v>213</v>
      </c>
      <c r="BR515" s="45">
        <f>ISNUMBER(SEARCH($BR$1,Таблица1[[#This Row],[31_1 Описание и характеристика товара]]))*1</f>
        <v>1</v>
      </c>
      <c r="BT515" t="s">
        <v>150</v>
      </c>
      <c r="BU515">
        <v>33</v>
      </c>
      <c r="BV515">
        <v>0</v>
      </c>
      <c r="BW515">
        <v>0</v>
      </c>
      <c r="BY515">
        <v>0</v>
      </c>
      <c r="CA515" t="s">
        <v>106</v>
      </c>
      <c r="CB515" t="s">
        <v>142</v>
      </c>
      <c r="CC515" t="s">
        <v>112</v>
      </c>
      <c r="CD515" t="s">
        <v>112</v>
      </c>
      <c r="CE515" t="s">
        <v>121</v>
      </c>
      <c r="CF515">
        <v>16382.72</v>
      </c>
      <c r="CG515" t="s">
        <v>144</v>
      </c>
      <c r="CH515">
        <v>4000000</v>
      </c>
      <c r="CI515">
        <v>16215.32</v>
      </c>
      <c r="CJ515">
        <v>0</v>
      </c>
      <c r="CK515" t="s">
        <v>112</v>
      </c>
      <c r="CL515" t="s">
        <v>112</v>
      </c>
      <c r="CM515">
        <v>40030.46</v>
      </c>
      <c r="CO515">
        <v>0</v>
      </c>
      <c r="CP515">
        <v>1</v>
      </c>
      <c r="CQ515">
        <v>4302458.51</v>
      </c>
      <c r="CR515">
        <v>47978.83</v>
      </c>
      <c r="CS515" t="s">
        <v>145</v>
      </c>
      <c r="CT515">
        <v>47997.347199999997</v>
      </c>
      <c r="CU515">
        <v>2.96</v>
      </c>
      <c r="CV515">
        <v>45</v>
      </c>
      <c r="CX515" t="s">
        <v>163</v>
      </c>
      <c r="CY515">
        <v>544</v>
      </c>
    </row>
    <row r="516" spans="1:103" x14ac:dyDescent="0.25">
      <c r="A516" t="s">
        <v>106</v>
      </c>
      <c r="B516" s="38">
        <v>44944</v>
      </c>
      <c r="C516" s="43">
        <f>IF(YEAR(Таблица1[[#This Row],[Дата]])=2023,MONTH(Таблица1[[#This Row],[Дата]]),0)</f>
        <v>1</v>
      </c>
      <c r="D516" t="s">
        <v>1469</v>
      </c>
      <c r="E516" t="s">
        <v>108</v>
      </c>
      <c r="F516" t="s">
        <v>1470</v>
      </c>
      <c r="G516" t="s">
        <v>110</v>
      </c>
      <c r="H516" t="s">
        <v>111</v>
      </c>
      <c r="I516" t="s">
        <v>112</v>
      </c>
      <c r="J516" t="s">
        <v>112</v>
      </c>
      <c r="K516" t="s">
        <v>112</v>
      </c>
      <c r="L516" t="s">
        <v>150</v>
      </c>
      <c r="M516" t="s">
        <v>151</v>
      </c>
      <c r="N516" t="s">
        <v>112</v>
      </c>
      <c r="O516" t="s">
        <v>112</v>
      </c>
      <c r="P516">
        <v>1</v>
      </c>
      <c r="R516">
        <v>1</v>
      </c>
      <c r="S516">
        <v>33</v>
      </c>
      <c r="T516" t="s">
        <v>112</v>
      </c>
      <c r="U516" t="s">
        <v>152</v>
      </c>
      <c r="V516" t="s">
        <v>153</v>
      </c>
      <c r="W516" t="s">
        <v>154</v>
      </c>
      <c r="X516" t="s">
        <v>119</v>
      </c>
      <c r="Y516" t="s">
        <v>112</v>
      </c>
      <c r="Z516" t="s">
        <v>112</v>
      </c>
      <c r="AA516" t="s">
        <v>152</v>
      </c>
      <c r="AB516" t="s">
        <v>153</v>
      </c>
      <c r="AC516" t="s">
        <v>154</v>
      </c>
      <c r="AD516" t="s">
        <v>119</v>
      </c>
      <c r="AE516" t="s">
        <v>112</v>
      </c>
      <c r="AF516" t="s">
        <v>121</v>
      </c>
      <c r="AG516" t="s">
        <v>122</v>
      </c>
      <c r="AH516">
        <v>4799670.75</v>
      </c>
      <c r="AI516" t="s">
        <v>112</v>
      </c>
      <c r="AJ516" t="s">
        <v>152</v>
      </c>
      <c r="AK516" t="s">
        <v>153</v>
      </c>
      <c r="AL516" t="s">
        <v>154</v>
      </c>
      <c r="AM516" t="s">
        <v>119</v>
      </c>
      <c r="AN516" t="s">
        <v>112</v>
      </c>
      <c r="AO516" t="s">
        <v>121</v>
      </c>
      <c r="AP516" t="s">
        <v>122</v>
      </c>
      <c r="AQ516" t="s">
        <v>122</v>
      </c>
      <c r="AR516" t="s">
        <v>124</v>
      </c>
      <c r="AS516" t="s">
        <v>125</v>
      </c>
      <c r="AT516">
        <v>2</v>
      </c>
      <c r="AU516" t="s">
        <v>126</v>
      </c>
      <c r="AV516" t="s">
        <v>155</v>
      </c>
      <c r="AW516" t="s">
        <v>156</v>
      </c>
      <c r="AY516" t="s">
        <v>129</v>
      </c>
      <c r="AZ516">
        <v>44567.38</v>
      </c>
      <c r="BC516">
        <v>97.778099999999995</v>
      </c>
      <c r="BD516" t="s">
        <v>112</v>
      </c>
      <c r="BE516" t="s">
        <v>112</v>
      </c>
      <c r="BF516" t="s">
        <v>157</v>
      </c>
      <c r="BG516" t="s">
        <v>133</v>
      </c>
      <c r="BH516" t="s">
        <v>134</v>
      </c>
      <c r="BI516" t="s">
        <v>112</v>
      </c>
      <c r="BJ516" t="s">
        <v>112</v>
      </c>
      <c r="BK516" t="s">
        <v>112</v>
      </c>
      <c r="BL516" t="s">
        <v>158</v>
      </c>
      <c r="BM516" t="s">
        <v>159</v>
      </c>
      <c r="BN516" t="s">
        <v>212</v>
      </c>
      <c r="BO516" t="s">
        <v>161</v>
      </c>
      <c r="BQ516" t="s">
        <v>205</v>
      </c>
      <c r="BR516" s="45">
        <f>ISNUMBER(SEARCH($BR$1,Таблица1[[#This Row],[31_1 Описание и характеристика товара]]))*1</f>
        <v>1</v>
      </c>
      <c r="BT516" t="s">
        <v>150</v>
      </c>
      <c r="BU516">
        <v>33</v>
      </c>
      <c r="BV516">
        <v>0</v>
      </c>
      <c r="BW516">
        <v>0</v>
      </c>
      <c r="BY516">
        <v>0</v>
      </c>
      <c r="CA516" t="s">
        <v>106</v>
      </c>
      <c r="CB516" t="s">
        <v>142</v>
      </c>
      <c r="CC516" t="s">
        <v>112</v>
      </c>
      <c r="CD516" t="s">
        <v>112</v>
      </c>
      <c r="CE516" t="s">
        <v>121</v>
      </c>
      <c r="CF516">
        <v>16480.830000000002</v>
      </c>
      <c r="CG516" t="s">
        <v>144</v>
      </c>
      <c r="CH516">
        <v>4000000</v>
      </c>
      <c r="CI516">
        <v>16426.830000000002</v>
      </c>
      <c r="CJ516">
        <v>0</v>
      </c>
      <c r="CK516" t="s">
        <v>112</v>
      </c>
      <c r="CL516" t="s">
        <v>112</v>
      </c>
      <c r="CM516">
        <v>44567.38</v>
      </c>
      <c r="CO516">
        <v>0</v>
      </c>
      <c r="CP516">
        <v>1</v>
      </c>
      <c r="CQ516">
        <v>4799670.75</v>
      </c>
      <c r="CR516">
        <v>52595.1</v>
      </c>
      <c r="CS516" t="s">
        <v>145</v>
      </c>
      <c r="CT516">
        <v>52565.856000000007</v>
      </c>
      <c r="CU516">
        <v>3.2</v>
      </c>
      <c r="CV516">
        <v>45</v>
      </c>
      <c r="CX516" t="s">
        <v>233</v>
      </c>
      <c r="CY516">
        <v>45</v>
      </c>
    </row>
    <row r="517" spans="1:103" x14ac:dyDescent="0.25">
      <c r="A517" t="s">
        <v>106</v>
      </c>
      <c r="B517" s="38">
        <v>45127</v>
      </c>
      <c r="C517" s="43">
        <f>IF(YEAR(Таблица1[[#This Row],[Дата]])=2023,MONTH(Таблица1[[#This Row],[Дата]]),0)</f>
        <v>7</v>
      </c>
      <c r="D517" t="s">
        <v>1397</v>
      </c>
      <c r="E517" t="s">
        <v>108</v>
      </c>
      <c r="F517" t="s">
        <v>1398</v>
      </c>
      <c r="G517" t="s">
        <v>110</v>
      </c>
      <c r="H517" t="s">
        <v>111</v>
      </c>
      <c r="I517" t="s">
        <v>112</v>
      </c>
      <c r="J517" t="s">
        <v>112</v>
      </c>
      <c r="K517" t="s">
        <v>112</v>
      </c>
      <c r="L517" t="s">
        <v>150</v>
      </c>
      <c r="M517" t="s">
        <v>151</v>
      </c>
      <c r="N517" t="s">
        <v>112</v>
      </c>
      <c r="O517" t="s">
        <v>112</v>
      </c>
      <c r="P517">
        <v>1</v>
      </c>
      <c r="R517">
        <v>1</v>
      </c>
      <c r="S517">
        <v>33</v>
      </c>
      <c r="T517" t="s">
        <v>112</v>
      </c>
      <c r="U517" t="s">
        <v>152</v>
      </c>
      <c r="V517" t="s">
        <v>153</v>
      </c>
      <c r="W517" t="s">
        <v>154</v>
      </c>
      <c r="X517" t="s">
        <v>119</v>
      </c>
      <c r="Y517" t="s">
        <v>112</v>
      </c>
      <c r="Z517" t="s">
        <v>112</v>
      </c>
      <c r="AA517" t="s">
        <v>152</v>
      </c>
      <c r="AB517" t="s">
        <v>153</v>
      </c>
      <c r="AC517" t="s">
        <v>154</v>
      </c>
      <c r="AD517" t="s">
        <v>119</v>
      </c>
      <c r="AE517" t="s">
        <v>112</v>
      </c>
      <c r="AF517" t="s">
        <v>121</v>
      </c>
      <c r="AG517" t="s">
        <v>122</v>
      </c>
      <c r="AH517">
        <v>4949234.09</v>
      </c>
      <c r="AI517" t="s">
        <v>112</v>
      </c>
      <c r="AJ517" t="s">
        <v>152</v>
      </c>
      <c r="AK517" t="s">
        <v>153</v>
      </c>
      <c r="AL517" t="s">
        <v>154</v>
      </c>
      <c r="AM517" t="s">
        <v>119</v>
      </c>
      <c r="AN517" t="s">
        <v>112</v>
      </c>
      <c r="AO517" t="s">
        <v>121</v>
      </c>
      <c r="AP517" t="s">
        <v>122</v>
      </c>
      <c r="AQ517" t="s">
        <v>122</v>
      </c>
      <c r="AR517" t="s">
        <v>124</v>
      </c>
      <c r="AS517" t="s">
        <v>125</v>
      </c>
      <c r="AT517">
        <v>2</v>
      </c>
      <c r="AU517" t="s">
        <v>126</v>
      </c>
      <c r="AV517" t="s">
        <v>155</v>
      </c>
      <c r="AW517" t="s">
        <v>156</v>
      </c>
      <c r="AY517" t="s">
        <v>129</v>
      </c>
      <c r="AZ517">
        <v>46627</v>
      </c>
      <c r="BC517">
        <v>97.778099999999995</v>
      </c>
      <c r="BD517" t="s">
        <v>112</v>
      </c>
      <c r="BE517" t="s">
        <v>112</v>
      </c>
      <c r="BF517" t="s">
        <v>157</v>
      </c>
      <c r="BG517" t="s">
        <v>133</v>
      </c>
      <c r="BH517" t="s">
        <v>134</v>
      </c>
      <c r="BI517" t="s">
        <v>112</v>
      </c>
      <c r="BJ517" t="s">
        <v>112</v>
      </c>
      <c r="BK517" t="s">
        <v>112</v>
      </c>
      <c r="BL517" t="s">
        <v>158</v>
      </c>
      <c r="BM517" t="s">
        <v>159</v>
      </c>
      <c r="BN517" t="s">
        <v>212</v>
      </c>
      <c r="BO517" t="s">
        <v>161</v>
      </c>
      <c r="BQ517" t="s">
        <v>232</v>
      </c>
      <c r="BR517" s="45">
        <f>ISNUMBER(SEARCH($BR$1,Таблица1[[#This Row],[31_1 Описание и характеристика товара]]))*1</f>
        <v>1</v>
      </c>
      <c r="BT517" t="s">
        <v>150</v>
      </c>
      <c r="BU517">
        <v>33</v>
      </c>
      <c r="BV517">
        <v>0</v>
      </c>
      <c r="BW517">
        <v>0</v>
      </c>
      <c r="BY517">
        <v>0</v>
      </c>
      <c r="CA517" t="s">
        <v>106</v>
      </c>
      <c r="CB517" t="s">
        <v>142</v>
      </c>
      <c r="CC517" t="s">
        <v>112</v>
      </c>
      <c r="CD517" t="s">
        <v>112</v>
      </c>
      <c r="CE517" t="s">
        <v>121</v>
      </c>
      <c r="CF517">
        <v>16757.52</v>
      </c>
      <c r="CG517" t="s">
        <v>144</v>
      </c>
      <c r="CH517">
        <v>4000000</v>
      </c>
      <c r="CI517">
        <v>16685.52</v>
      </c>
      <c r="CJ517">
        <v>0</v>
      </c>
      <c r="CK517" t="s">
        <v>112</v>
      </c>
      <c r="CL517" t="s">
        <v>112</v>
      </c>
      <c r="CM517">
        <v>46627</v>
      </c>
      <c r="CO517">
        <v>0</v>
      </c>
      <c r="CP517">
        <v>1</v>
      </c>
      <c r="CQ517">
        <v>4949234.09</v>
      </c>
      <c r="CR517">
        <v>54234.02</v>
      </c>
      <c r="CS517" t="s">
        <v>145</v>
      </c>
      <c r="CT517">
        <v>54227.94</v>
      </c>
      <c r="CU517">
        <v>3.25</v>
      </c>
      <c r="CV517">
        <v>45</v>
      </c>
      <c r="CX517" t="s">
        <v>206</v>
      </c>
      <c r="CY517">
        <v>317</v>
      </c>
    </row>
    <row r="518" spans="1:103" x14ac:dyDescent="0.25">
      <c r="A518" t="s">
        <v>106</v>
      </c>
      <c r="B518" s="38">
        <v>45219</v>
      </c>
      <c r="C518" s="43">
        <f>IF(YEAR(Таблица1[[#This Row],[Дата]])=2023,MONTH(Таблица1[[#This Row],[Дата]]),0)</f>
        <v>10</v>
      </c>
      <c r="D518" t="s">
        <v>1424</v>
      </c>
      <c r="E518" t="s">
        <v>108</v>
      </c>
      <c r="F518" t="s">
        <v>1425</v>
      </c>
      <c r="G518" t="s">
        <v>110</v>
      </c>
      <c r="H518" t="s">
        <v>111</v>
      </c>
      <c r="I518" t="s">
        <v>112</v>
      </c>
      <c r="J518" t="s">
        <v>112</v>
      </c>
      <c r="K518" t="s">
        <v>112</v>
      </c>
      <c r="L518" t="s">
        <v>150</v>
      </c>
      <c r="M518" t="s">
        <v>151</v>
      </c>
      <c r="N518" t="s">
        <v>112</v>
      </c>
      <c r="O518" t="s">
        <v>112</v>
      </c>
      <c r="P518">
        <v>1</v>
      </c>
      <c r="R518">
        <v>1</v>
      </c>
      <c r="S518">
        <v>33</v>
      </c>
      <c r="T518" t="s">
        <v>112</v>
      </c>
      <c r="U518" t="s">
        <v>152</v>
      </c>
      <c r="V518" t="s">
        <v>153</v>
      </c>
      <c r="W518" t="s">
        <v>154</v>
      </c>
      <c r="X518" t="s">
        <v>119</v>
      </c>
      <c r="Y518" t="s">
        <v>112</v>
      </c>
      <c r="Z518" t="s">
        <v>112</v>
      </c>
      <c r="AA518" t="s">
        <v>152</v>
      </c>
      <c r="AB518" t="s">
        <v>153</v>
      </c>
      <c r="AC518" t="s">
        <v>154</v>
      </c>
      <c r="AD518" t="s">
        <v>119</v>
      </c>
      <c r="AE518" t="s">
        <v>112</v>
      </c>
      <c r="AF518" t="s">
        <v>121</v>
      </c>
      <c r="AG518" t="s">
        <v>122</v>
      </c>
      <c r="AH518">
        <v>5051275.3099999996</v>
      </c>
      <c r="AI518" t="s">
        <v>112</v>
      </c>
      <c r="AJ518" t="s">
        <v>152</v>
      </c>
      <c r="AK518" t="s">
        <v>153</v>
      </c>
      <c r="AL518" t="s">
        <v>154</v>
      </c>
      <c r="AM518" t="s">
        <v>119</v>
      </c>
      <c r="AN518" t="s">
        <v>112</v>
      </c>
      <c r="AO518" t="s">
        <v>121</v>
      </c>
      <c r="AP518" t="s">
        <v>122</v>
      </c>
      <c r="AQ518" t="s">
        <v>122</v>
      </c>
      <c r="AR518" t="s">
        <v>124</v>
      </c>
      <c r="AS518" t="s">
        <v>125</v>
      </c>
      <c r="AT518">
        <v>2</v>
      </c>
      <c r="AU518" t="s">
        <v>126</v>
      </c>
      <c r="AV518" t="s">
        <v>155</v>
      </c>
      <c r="AW518" t="s">
        <v>156</v>
      </c>
      <c r="AY518" t="s">
        <v>129</v>
      </c>
      <c r="AZ518">
        <v>47670.6</v>
      </c>
      <c r="BC518">
        <v>97.778099999999995</v>
      </c>
      <c r="BD518" t="s">
        <v>112</v>
      </c>
      <c r="BE518" t="s">
        <v>112</v>
      </c>
      <c r="BF518" t="s">
        <v>157</v>
      </c>
      <c r="BG518" t="s">
        <v>133</v>
      </c>
      <c r="BH518" t="s">
        <v>134</v>
      </c>
      <c r="BI518" t="s">
        <v>112</v>
      </c>
      <c r="BJ518" t="s">
        <v>112</v>
      </c>
      <c r="BK518" t="s">
        <v>112</v>
      </c>
      <c r="BL518" t="s">
        <v>158</v>
      </c>
      <c r="BM518" t="s">
        <v>159</v>
      </c>
      <c r="BN518" t="s">
        <v>212</v>
      </c>
      <c r="BO518" t="s">
        <v>161</v>
      </c>
      <c r="BQ518" t="s">
        <v>1426</v>
      </c>
      <c r="BR518" s="45">
        <f>ISNUMBER(SEARCH($BR$1,Таблица1[[#This Row],[31_1 Описание и характеристика товара]]))*1</f>
        <v>1</v>
      </c>
      <c r="BT518" t="s">
        <v>150</v>
      </c>
      <c r="BU518">
        <v>33</v>
      </c>
      <c r="BV518">
        <v>0</v>
      </c>
      <c r="BW518">
        <v>0</v>
      </c>
      <c r="BY518">
        <v>0</v>
      </c>
      <c r="CA518" t="s">
        <v>106</v>
      </c>
      <c r="CB518" t="s">
        <v>142</v>
      </c>
      <c r="CC518" t="s">
        <v>112</v>
      </c>
      <c r="CD518" t="s">
        <v>112</v>
      </c>
      <c r="CE518" t="s">
        <v>121</v>
      </c>
      <c r="CF518">
        <v>16164.72</v>
      </c>
      <c r="CG518" t="s">
        <v>144</v>
      </c>
      <c r="CH518">
        <v>4000000</v>
      </c>
      <c r="CI518">
        <v>16164.72</v>
      </c>
      <c r="CJ518">
        <v>0</v>
      </c>
      <c r="CK518" t="s">
        <v>112</v>
      </c>
      <c r="CL518" t="s">
        <v>112</v>
      </c>
      <c r="CM518">
        <v>47670.6</v>
      </c>
      <c r="CO518">
        <v>0</v>
      </c>
      <c r="CP518">
        <v>1</v>
      </c>
      <c r="CQ518">
        <v>5051275.3099999996</v>
      </c>
      <c r="CR518">
        <v>55352.2</v>
      </c>
      <c r="CS518" t="s">
        <v>145</v>
      </c>
      <c r="CT518">
        <v>55283.342399999994</v>
      </c>
      <c r="CU518">
        <v>3.42</v>
      </c>
      <c r="CV518">
        <v>45</v>
      </c>
      <c r="CX518" t="s">
        <v>1140</v>
      </c>
      <c r="CY518">
        <v>317</v>
      </c>
    </row>
    <row r="519" spans="1:103" x14ac:dyDescent="0.25">
      <c r="A519" t="s">
        <v>106</v>
      </c>
      <c r="B519" s="38">
        <v>44627</v>
      </c>
      <c r="C519" s="43">
        <f>IF(YEAR(Таблица1[[#This Row],[Дата]])=2023,MONTH(Таблица1[[#This Row],[Дата]]),0)</f>
        <v>0</v>
      </c>
      <c r="D519" t="s">
        <v>1531</v>
      </c>
      <c r="E519" t="s">
        <v>108</v>
      </c>
      <c r="F519" t="s">
        <v>1532</v>
      </c>
      <c r="G519" t="s">
        <v>110</v>
      </c>
      <c r="H519" t="s">
        <v>111</v>
      </c>
      <c r="I519" t="s">
        <v>112</v>
      </c>
      <c r="J519" t="s">
        <v>112</v>
      </c>
      <c r="K519" t="s">
        <v>112</v>
      </c>
      <c r="L519" t="s">
        <v>175</v>
      </c>
      <c r="M519" t="s">
        <v>448</v>
      </c>
      <c r="N519" t="s">
        <v>112</v>
      </c>
      <c r="O519" t="s">
        <v>112</v>
      </c>
      <c r="P519">
        <v>1</v>
      </c>
      <c r="R519">
        <v>1</v>
      </c>
      <c r="S519">
        <v>33</v>
      </c>
      <c r="T519" t="s">
        <v>112</v>
      </c>
      <c r="U519" t="s">
        <v>152</v>
      </c>
      <c r="V519" t="s">
        <v>153</v>
      </c>
      <c r="W519" t="s">
        <v>154</v>
      </c>
      <c r="X519" t="s">
        <v>119</v>
      </c>
      <c r="Y519" t="s">
        <v>112</v>
      </c>
      <c r="Z519" t="s">
        <v>112</v>
      </c>
      <c r="AA519" t="s">
        <v>152</v>
      </c>
      <c r="AB519" t="s">
        <v>153</v>
      </c>
      <c r="AC519" t="s">
        <v>154</v>
      </c>
      <c r="AD519" t="s">
        <v>119</v>
      </c>
      <c r="AE519" t="s">
        <v>112</v>
      </c>
      <c r="AF519" t="s">
        <v>121</v>
      </c>
      <c r="AG519" t="s">
        <v>122</v>
      </c>
      <c r="AH519">
        <v>4474638.75</v>
      </c>
      <c r="AI519" t="s">
        <v>112</v>
      </c>
      <c r="AJ519" t="s">
        <v>152</v>
      </c>
      <c r="AK519" t="s">
        <v>153</v>
      </c>
      <c r="AL519" t="s">
        <v>154</v>
      </c>
      <c r="AM519" t="s">
        <v>119</v>
      </c>
      <c r="AN519" t="s">
        <v>112</v>
      </c>
      <c r="AO519" t="s">
        <v>121</v>
      </c>
      <c r="AP519" t="s">
        <v>122</v>
      </c>
      <c r="AQ519" t="s">
        <v>122</v>
      </c>
      <c r="AR519" t="s">
        <v>124</v>
      </c>
      <c r="AS519" t="s">
        <v>125</v>
      </c>
      <c r="AT519">
        <v>2</v>
      </c>
      <c r="AU519" t="s">
        <v>126</v>
      </c>
      <c r="AV519" t="s">
        <v>155</v>
      </c>
      <c r="AW519" t="s">
        <v>156</v>
      </c>
      <c r="AY519" t="s">
        <v>129</v>
      </c>
      <c r="AZ519">
        <v>41773.199999999997</v>
      </c>
      <c r="BC519">
        <v>97.778099999999995</v>
      </c>
      <c r="BD519" t="s">
        <v>112</v>
      </c>
      <c r="BE519" t="s">
        <v>112</v>
      </c>
      <c r="BF519" t="s">
        <v>157</v>
      </c>
      <c r="BG519" t="s">
        <v>133</v>
      </c>
      <c r="BH519" t="s">
        <v>167</v>
      </c>
      <c r="BI519" t="s">
        <v>112</v>
      </c>
      <c r="BJ519" t="s">
        <v>112</v>
      </c>
      <c r="BK519" t="s">
        <v>112</v>
      </c>
      <c r="BL519" t="s">
        <v>158</v>
      </c>
      <c r="BM519" t="s">
        <v>159</v>
      </c>
      <c r="BN519" t="s">
        <v>160</v>
      </c>
      <c r="BO519" t="s">
        <v>161</v>
      </c>
      <c r="BQ519" t="s">
        <v>232</v>
      </c>
      <c r="BR519" s="45">
        <f>ISNUMBER(SEARCH($BR$1,Таблица1[[#This Row],[31_1 Описание и характеристика товара]]))*1</f>
        <v>1</v>
      </c>
      <c r="BT519" t="s">
        <v>150</v>
      </c>
      <c r="BU519">
        <v>33</v>
      </c>
      <c r="BV519">
        <v>0</v>
      </c>
      <c r="BW519">
        <v>0</v>
      </c>
      <c r="BY519">
        <v>0</v>
      </c>
      <c r="CA519" t="s">
        <v>106</v>
      </c>
      <c r="CB519" t="s">
        <v>142</v>
      </c>
      <c r="CC519" t="s">
        <v>112</v>
      </c>
      <c r="CD519" t="s">
        <v>112</v>
      </c>
      <c r="CE519" t="s">
        <v>121</v>
      </c>
      <c r="CF519">
        <v>16856.759999999998</v>
      </c>
      <c r="CG519" t="s">
        <v>144</v>
      </c>
      <c r="CH519">
        <v>4000000</v>
      </c>
      <c r="CI519">
        <v>16791.96</v>
      </c>
      <c r="CJ519">
        <v>0</v>
      </c>
      <c r="CK519" t="s">
        <v>112</v>
      </c>
      <c r="CL519" t="s">
        <v>112</v>
      </c>
      <c r="CM519">
        <v>41773.199999999997</v>
      </c>
      <c r="CO519">
        <v>0</v>
      </c>
      <c r="CP519">
        <v>1</v>
      </c>
      <c r="CQ519">
        <v>4474638.75</v>
      </c>
      <c r="CR519">
        <v>49033.38</v>
      </c>
      <c r="CS519" t="s">
        <v>145</v>
      </c>
      <c r="CT519">
        <v>49032.523199999996</v>
      </c>
      <c r="CU519">
        <v>2.92</v>
      </c>
      <c r="CV519">
        <v>45</v>
      </c>
      <c r="CX519" t="s">
        <v>206</v>
      </c>
      <c r="CY519">
        <v>597</v>
      </c>
    </row>
    <row r="520" spans="1:103" x14ac:dyDescent="0.25">
      <c r="A520" t="s">
        <v>106</v>
      </c>
      <c r="B520" s="38">
        <v>45220</v>
      </c>
      <c r="C520" s="43">
        <f>IF(YEAR(Таблица1[[#This Row],[Дата]])=2023,MONTH(Таблица1[[#This Row],[Дата]]),0)</f>
        <v>10</v>
      </c>
      <c r="D520" t="s">
        <v>1477</v>
      </c>
      <c r="E520" t="s">
        <v>108</v>
      </c>
      <c r="F520" t="s">
        <v>1478</v>
      </c>
      <c r="G520" t="s">
        <v>110</v>
      </c>
      <c r="H520" t="s">
        <v>111</v>
      </c>
      <c r="I520" t="s">
        <v>112</v>
      </c>
      <c r="J520" t="s">
        <v>112</v>
      </c>
      <c r="K520" t="s">
        <v>112</v>
      </c>
      <c r="L520" t="s">
        <v>150</v>
      </c>
      <c r="M520" t="s">
        <v>151</v>
      </c>
      <c r="N520" t="s">
        <v>112</v>
      </c>
      <c r="O520" t="s">
        <v>112</v>
      </c>
      <c r="P520">
        <v>1</v>
      </c>
      <c r="R520">
        <v>1</v>
      </c>
      <c r="S520">
        <v>33</v>
      </c>
      <c r="T520" t="s">
        <v>112</v>
      </c>
      <c r="U520" t="s">
        <v>152</v>
      </c>
      <c r="V520" t="s">
        <v>153</v>
      </c>
      <c r="W520" t="s">
        <v>154</v>
      </c>
      <c r="X520" t="s">
        <v>119</v>
      </c>
      <c r="Y520" t="s">
        <v>112</v>
      </c>
      <c r="Z520" t="s">
        <v>112</v>
      </c>
      <c r="AA520" t="s">
        <v>152</v>
      </c>
      <c r="AB520" t="s">
        <v>153</v>
      </c>
      <c r="AC520" t="s">
        <v>154</v>
      </c>
      <c r="AD520" t="s">
        <v>119</v>
      </c>
      <c r="AE520" t="s">
        <v>112</v>
      </c>
      <c r="AF520" t="s">
        <v>121</v>
      </c>
      <c r="AG520" t="s">
        <v>122</v>
      </c>
      <c r="AH520">
        <v>4794822.91</v>
      </c>
      <c r="AI520" t="s">
        <v>112</v>
      </c>
      <c r="AJ520" t="s">
        <v>152</v>
      </c>
      <c r="AK520" t="s">
        <v>153</v>
      </c>
      <c r="AL520" t="s">
        <v>154</v>
      </c>
      <c r="AM520" t="s">
        <v>119</v>
      </c>
      <c r="AN520" t="s">
        <v>112</v>
      </c>
      <c r="AO520" t="s">
        <v>121</v>
      </c>
      <c r="AP520" t="s">
        <v>122</v>
      </c>
      <c r="AQ520" t="s">
        <v>122</v>
      </c>
      <c r="AR520" t="s">
        <v>124</v>
      </c>
      <c r="AS520" t="s">
        <v>125</v>
      </c>
      <c r="AT520">
        <v>2</v>
      </c>
      <c r="AU520" t="s">
        <v>126</v>
      </c>
      <c r="AV520" t="s">
        <v>155</v>
      </c>
      <c r="AW520" t="s">
        <v>156</v>
      </c>
      <c r="AY520" t="s">
        <v>129</v>
      </c>
      <c r="AZ520">
        <v>45047.8</v>
      </c>
      <c r="BC520">
        <v>97.778099999999995</v>
      </c>
      <c r="BD520" t="s">
        <v>112</v>
      </c>
      <c r="BE520" t="s">
        <v>112</v>
      </c>
      <c r="BF520" t="s">
        <v>157</v>
      </c>
      <c r="BG520" t="s">
        <v>133</v>
      </c>
      <c r="BH520" t="s">
        <v>167</v>
      </c>
      <c r="BI520" t="s">
        <v>112</v>
      </c>
      <c r="BJ520" t="s">
        <v>112</v>
      </c>
      <c r="BK520" t="s">
        <v>112</v>
      </c>
      <c r="BL520" t="s">
        <v>158</v>
      </c>
      <c r="BM520" t="s">
        <v>159</v>
      </c>
      <c r="BN520" t="s">
        <v>160</v>
      </c>
      <c r="BO520" t="s">
        <v>161</v>
      </c>
      <c r="BQ520" t="s">
        <v>232</v>
      </c>
      <c r="BR520" s="45">
        <f>ISNUMBER(SEARCH($BR$1,Таблица1[[#This Row],[31_1 Описание и характеристика товара]]))*1</f>
        <v>1</v>
      </c>
      <c r="BT520" t="s">
        <v>150</v>
      </c>
      <c r="BU520">
        <v>33</v>
      </c>
      <c r="BV520">
        <v>0</v>
      </c>
      <c r="BW520">
        <v>0</v>
      </c>
      <c r="BY520">
        <v>0</v>
      </c>
      <c r="CA520" t="s">
        <v>106</v>
      </c>
      <c r="CB520" t="s">
        <v>142</v>
      </c>
      <c r="CC520" t="s">
        <v>112</v>
      </c>
      <c r="CD520" t="s">
        <v>112</v>
      </c>
      <c r="CE520" t="s">
        <v>121</v>
      </c>
      <c r="CF520">
        <v>17143.68</v>
      </c>
      <c r="CG520" t="s">
        <v>144</v>
      </c>
      <c r="CH520">
        <v>4000000</v>
      </c>
      <c r="CI520">
        <v>17143.68</v>
      </c>
      <c r="CJ520">
        <v>0</v>
      </c>
      <c r="CK520" t="s">
        <v>112</v>
      </c>
      <c r="CL520" t="s">
        <v>112</v>
      </c>
      <c r="CM520">
        <v>45047.8</v>
      </c>
      <c r="CO520">
        <v>0</v>
      </c>
      <c r="CP520">
        <v>1</v>
      </c>
      <c r="CQ520">
        <v>4794822.91</v>
      </c>
      <c r="CR520">
        <v>52541.97</v>
      </c>
      <c r="CS520" t="s">
        <v>145</v>
      </c>
      <c r="CT520">
        <v>52459.660800000005</v>
      </c>
      <c r="CU520">
        <v>3.06</v>
      </c>
      <c r="CV520">
        <v>45</v>
      </c>
      <c r="CX520" t="s">
        <v>233</v>
      </c>
      <c r="CY520">
        <v>579</v>
      </c>
    </row>
    <row r="521" spans="1:103" x14ac:dyDescent="0.25">
      <c r="A521" t="s">
        <v>106</v>
      </c>
      <c r="B521" s="38">
        <v>45213</v>
      </c>
      <c r="C521" s="43">
        <f>IF(YEAR(Таблица1[[#This Row],[Дата]])=2023,MONTH(Таблица1[[#This Row],[Дата]]),0)</f>
        <v>10</v>
      </c>
      <c r="D521" t="s">
        <v>1943</v>
      </c>
      <c r="E521" t="s">
        <v>108</v>
      </c>
      <c r="F521" t="s">
        <v>1944</v>
      </c>
      <c r="G521" t="s">
        <v>110</v>
      </c>
      <c r="H521" t="s">
        <v>111</v>
      </c>
      <c r="I521" t="s">
        <v>112</v>
      </c>
      <c r="J521" t="s">
        <v>112</v>
      </c>
      <c r="K521" t="s">
        <v>112</v>
      </c>
      <c r="L521" t="s">
        <v>150</v>
      </c>
      <c r="M521" t="s">
        <v>151</v>
      </c>
      <c r="N521" t="s">
        <v>112</v>
      </c>
      <c r="O521" t="s">
        <v>112</v>
      </c>
      <c r="P521">
        <v>1</v>
      </c>
      <c r="R521">
        <v>1</v>
      </c>
      <c r="S521">
        <v>33</v>
      </c>
      <c r="T521" t="s">
        <v>112</v>
      </c>
      <c r="U521" t="s">
        <v>152</v>
      </c>
      <c r="V521" t="s">
        <v>153</v>
      </c>
      <c r="W521" t="s">
        <v>154</v>
      </c>
      <c r="X521" t="s">
        <v>119</v>
      </c>
      <c r="Y521" t="s">
        <v>112</v>
      </c>
      <c r="Z521" t="s">
        <v>112</v>
      </c>
      <c r="AA521" t="s">
        <v>152</v>
      </c>
      <c r="AB521" t="s">
        <v>153</v>
      </c>
      <c r="AC521" t="s">
        <v>154</v>
      </c>
      <c r="AD521" t="s">
        <v>119</v>
      </c>
      <c r="AE521" t="s">
        <v>112</v>
      </c>
      <c r="AF521" t="s">
        <v>121</v>
      </c>
      <c r="AG521" t="s">
        <v>122</v>
      </c>
      <c r="AH521">
        <v>4779598.21</v>
      </c>
      <c r="AI521" t="s">
        <v>112</v>
      </c>
      <c r="AJ521" t="s">
        <v>152</v>
      </c>
      <c r="AK521" t="s">
        <v>153</v>
      </c>
      <c r="AL521" t="s">
        <v>154</v>
      </c>
      <c r="AM521" t="s">
        <v>119</v>
      </c>
      <c r="AN521" t="s">
        <v>112</v>
      </c>
      <c r="AO521" t="s">
        <v>121</v>
      </c>
      <c r="AP521" t="s">
        <v>122</v>
      </c>
      <c r="AQ521" t="s">
        <v>122</v>
      </c>
      <c r="AR521" t="s">
        <v>124</v>
      </c>
      <c r="AS521" t="s">
        <v>125</v>
      </c>
      <c r="AT521">
        <v>2</v>
      </c>
      <c r="AU521" t="s">
        <v>126</v>
      </c>
      <c r="AV521" t="s">
        <v>155</v>
      </c>
      <c r="AW521" t="s">
        <v>156</v>
      </c>
      <c r="AY521" t="s">
        <v>129</v>
      </c>
      <c r="AZ521">
        <v>42170.97</v>
      </c>
      <c r="BC521">
        <v>103.2289</v>
      </c>
      <c r="BD521" t="s">
        <v>112</v>
      </c>
      <c r="BE521" t="s">
        <v>112</v>
      </c>
      <c r="BF521" t="s">
        <v>157</v>
      </c>
      <c r="BG521" t="s">
        <v>133</v>
      </c>
      <c r="BH521" t="s">
        <v>134</v>
      </c>
      <c r="BI521" t="s">
        <v>112</v>
      </c>
      <c r="BJ521" t="s">
        <v>112</v>
      </c>
      <c r="BK521" t="s">
        <v>112</v>
      </c>
      <c r="BL521" t="s">
        <v>169</v>
      </c>
      <c r="BM521" t="s">
        <v>159</v>
      </c>
      <c r="BN521" t="s">
        <v>212</v>
      </c>
      <c r="BO521" t="s">
        <v>161</v>
      </c>
      <c r="BQ521" t="s">
        <v>213</v>
      </c>
      <c r="BR521" s="45">
        <f>ISNUMBER(SEARCH($BR$1,Таблица1[[#This Row],[31_1 Описание и характеристика товара]]))*1</f>
        <v>1</v>
      </c>
      <c r="BT521" t="s">
        <v>150</v>
      </c>
      <c r="BU521">
        <v>33</v>
      </c>
      <c r="BV521">
        <v>0</v>
      </c>
      <c r="BW521">
        <v>0</v>
      </c>
      <c r="BY521">
        <v>0</v>
      </c>
      <c r="CA521" t="s">
        <v>106</v>
      </c>
      <c r="CB521" t="s">
        <v>142</v>
      </c>
      <c r="CC521" t="s">
        <v>112</v>
      </c>
      <c r="CD521" t="s">
        <v>112</v>
      </c>
      <c r="CE521" t="s">
        <v>121</v>
      </c>
      <c r="CF521">
        <v>16255.35</v>
      </c>
      <c r="CG521" t="s">
        <v>144</v>
      </c>
      <c r="CH521">
        <v>4000000</v>
      </c>
      <c r="CI521">
        <v>16084.47</v>
      </c>
      <c r="CJ521">
        <v>0</v>
      </c>
      <c r="CK521" t="s">
        <v>112</v>
      </c>
      <c r="CL521" t="s">
        <v>112</v>
      </c>
      <c r="CM521">
        <v>42170.97</v>
      </c>
      <c r="CO521">
        <v>0</v>
      </c>
      <c r="CP521">
        <v>1</v>
      </c>
      <c r="CQ521">
        <v>4779598.21</v>
      </c>
      <c r="CR521">
        <v>49704.18</v>
      </c>
      <c r="CS521" t="s">
        <v>145</v>
      </c>
      <c r="CT521">
        <v>49701.012299999995</v>
      </c>
      <c r="CU521">
        <v>3.09</v>
      </c>
      <c r="CV521">
        <v>45</v>
      </c>
      <c r="CX521" t="s">
        <v>1140</v>
      </c>
      <c r="CY521">
        <v>42</v>
      </c>
    </row>
    <row r="522" spans="1:103" x14ac:dyDescent="0.25">
      <c r="A522" t="s">
        <v>106</v>
      </c>
      <c r="B522" s="38">
        <v>44899</v>
      </c>
      <c r="C522" s="43">
        <f>IF(YEAR(Таблица1[[#This Row],[Дата]])=2023,MONTH(Таблица1[[#This Row],[Дата]]),0)</f>
        <v>0</v>
      </c>
      <c r="D522" t="s">
        <v>1943</v>
      </c>
      <c r="E522" t="s">
        <v>108</v>
      </c>
      <c r="F522" t="s">
        <v>1944</v>
      </c>
      <c r="G522" t="s">
        <v>110</v>
      </c>
      <c r="H522" t="s">
        <v>111</v>
      </c>
      <c r="I522" t="s">
        <v>112</v>
      </c>
      <c r="J522" t="s">
        <v>112</v>
      </c>
      <c r="K522" t="s">
        <v>112</v>
      </c>
      <c r="L522" t="s">
        <v>150</v>
      </c>
      <c r="M522" t="s">
        <v>151</v>
      </c>
      <c r="N522" t="s">
        <v>112</v>
      </c>
      <c r="O522" t="s">
        <v>112</v>
      </c>
      <c r="P522">
        <v>1</v>
      </c>
      <c r="R522">
        <v>1</v>
      </c>
      <c r="S522">
        <v>33</v>
      </c>
      <c r="T522" t="s">
        <v>112</v>
      </c>
      <c r="U522" t="s">
        <v>152</v>
      </c>
      <c r="V522" t="s">
        <v>153</v>
      </c>
      <c r="W522" t="s">
        <v>154</v>
      </c>
      <c r="X522" t="s">
        <v>119</v>
      </c>
      <c r="Y522" t="s">
        <v>112</v>
      </c>
      <c r="Z522" t="s">
        <v>112</v>
      </c>
      <c r="AA522" t="s">
        <v>152</v>
      </c>
      <c r="AB522" t="s">
        <v>153</v>
      </c>
      <c r="AC522" t="s">
        <v>154</v>
      </c>
      <c r="AD522" t="s">
        <v>119</v>
      </c>
      <c r="AE522" t="s">
        <v>112</v>
      </c>
      <c r="AF522" t="s">
        <v>121</v>
      </c>
      <c r="AG522" t="s">
        <v>122</v>
      </c>
      <c r="AH522">
        <v>4779598.21</v>
      </c>
      <c r="AI522" t="s">
        <v>112</v>
      </c>
      <c r="AJ522" t="s">
        <v>152</v>
      </c>
      <c r="AK522" t="s">
        <v>153</v>
      </c>
      <c r="AL522" t="s">
        <v>154</v>
      </c>
      <c r="AM522" t="s">
        <v>119</v>
      </c>
      <c r="AN522" t="s">
        <v>112</v>
      </c>
      <c r="AO522" t="s">
        <v>121</v>
      </c>
      <c r="AP522" t="s">
        <v>122</v>
      </c>
      <c r="AQ522" t="s">
        <v>122</v>
      </c>
      <c r="AR522" t="s">
        <v>124</v>
      </c>
      <c r="AS522" t="s">
        <v>125</v>
      </c>
      <c r="AT522">
        <v>2</v>
      </c>
      <c r="AU522" t="s">
        <v>126</v>
      </c>
      <c r="AV522" t="s">
        <v>155</v>
      </c>
      <c r="AW522" t="s">
        <v>156</v>
      </c>
      <c r="AY522" t="s">
        <v>129</v>
      </c>
      <c r="AZ522">
        <v>42170.97</v>
      </c>
      <c r="BC522">
        <v>103.2289</v>
      </c>
      <c r="BD522" t="s">
        <v>112</v>
      </c>
      <c r="BE522" t="s">
        <v>112</v>
      </c>
      <c r="BF522" t="s">
        <v>157</v>
      </c>
      <c r="BG522" t="s">
        <v>133</v>
      </c>
      <c r="BH522" t="s">
        <v>134</v>
      </c>
      <c r="BI522" t="s">
        <v>112</v>
      </c>
      <c r="BJ522" t="s">
        <v>112</v>
      </c>
      <c r="BK522" t="s">
        <v>112</v>
      </c>
      <c r="BL522" t="s">
        <v>169</v>
      </c>
      <c r="BM522" t="s">
        <v>159</v>
      </c>
      <c r="BN522" t="s">
        <v>212</v>
      </c>
      <c r="BO522" t="s">
        <v>161</v>
      </c>
      <c r="BQ522" t="s">
        <v>213</v>
      </c>
      <c r="BR522" s="45">
        <f>ISNUMBER(SEARCH($BR$1,Таблица1[[#This Row],[31_1 Описание и характеристика товара]]))*1</f>
        <v>1</v>
      </c>
      <c r="BT522" t="s">
        <v>150</v>
      </c>
      <c r="BU522">
        <v>33</v>
      </c>
      <c r="BV522">
        <v>0</v>
      </c>
      <c r="BW522">
        <v>0</v>
      </c>
      <c r="BY522">
        <v>0</v>
      </c>
      <c r="CA522" t="s">
        <v>106</v>
      </c>
      <c r="CB522" t="s">
        <v>142</v>
      </c>
      <c r="CC522" t="s">
        <v>112</v>
      </c>
      <c r="CD522" t="s">
        <v>112</v>
      </c>
      <c r="CE522" t="s">
        <v>121</v>
      </c>
      <c r="CF522">
        <v>16255.35</v>
      </c>
      <c r="CG522" t="s">
        <v>144</v>
      </c>
      <c r="CH522">
        <v>4000000</v>
      </c>
      <c r="CI522">
        <v>16084.47</v>
      </c>
      <c r="CJ522">
        <v>0</v>
      </c>
      <c r="CK522" t="s">
        <v>112</v>
      </c>
      <c r="CL522" t="s">
        <v>112</v>
      </c>
      <c r="CM522">
        <v>42170.97</v>
      </c>
      <c r="CO522">
        <v>0</v>
      </c>
      <c r="CP522">
        <v>1</v>
      </c>
      <c r="CQ522">
        <v>4779598.21</v>
      </c>
      <c r="CR522">
        <v>49704.18</v>
      </c>
      <c r="CS522" t="s">
        <v>145</v>
      </c>
      <c r="CT522">
        <v>49701.012299999995</v>
      </c>
      <c r="CU522">
        <v>3.09</v>
      </c>
      <c r="CV522">
        <v>45</v>
      </c>
      <c r="CX522" t="s">
        <v>1140</v>
      </c>
      <c r="CY522">
        <v>42</v>
      </c>
    </row>
    <row r="523" spans="1:103" x14ac:dyDescent="0.25">
      <c r="A523" t="s">
        <v>106</v>
      </c>
      <c r="B523" s="38">
        <v>45052</v>
      </c>
      <c r="C523" s="43">
        <f>IF(YEAR(Таблица1[[#This Row],[Дата]])=2023,MONTH(Таблица1[[#This Row],[Дата]]),0)</f>
        <v>5</v>
      </c>
      <c r="D523" t="s">
        <v>1994</v>
      </c>
      <c r="E523" t="s">
        <v>108</v>
      </c>
      <c r="F523" t="s">
        <v>1995</v>
      </c>
      <c r="G523" t="s">
        <v>110</v>
      </c>
      <c r="H523" t="s">
        <v>111</v>
      </c>
      <c r="I523" t="s">
        <v>112</v>
      </c>
      <c r="J523" t="s">
        <v>112</v>
      </c>
      <c r="K523" t="s">
        <v>112</v>
      </c>
      <c r="L523" t="s">
        <v>150</v>
      </c>
      <c r="M523" t="s">
        <v>151</v>
      </c>
      <c r="N523" t="s">
        <v>112</v>
      </c>
      <c r="O523" t="s">
        <v>112</v>
      </c>
      <c r="P523">
        <v>1</v>
      </c>
      <c r="R523">
        <v>1</v>
      </c>
      <c r="S523">
        <v>33</v>
      </c>
      <c r="T523" t="s">
        <v>112</v>
      </c>
      <c r="U523" t="s">
        <v>152</v>
      </c>
      <c r="V523" t="s">
        <v>153</v>
      </c>
      <c r="W523" t="s">
        <v>154</v>
      </c>
      <c r="X523" t="s">
        <v>119</v>
      </c>
      <c r="Y523" t="s">
        <v>112</v>
      </c>
      <c r="Z523" t="s">
        <v>112</v>
      </c>
      <c r="AA523" t="s">
        <v>152</v>
      </c>
      <c r="AB523" t="s">
        <v>153</v>
      </c>
      <c r="AC523" t="s">
        <v>154</v>
      </c>
      <c r="AD523" t="s">
        <v>119</v>
      </c>
      <c r="AE523" t="s">
        <v>112</v>
      </c>
      <c r="AF523" t="s">
        <v>121</v>
      </c>
      <c r="AG523" t="s">
        <v>122</v>
      </c>
      <c r="AH523">
        <v>4511416.75</v>
      </c>
      <c r="AI523" t="s">
        <v>112</v>
      </c>
      <c r="AJ523" t="s">
        <v>152</v>
      </c>
      <c r="AK523" t="s">
        <v>153</v>
      </c>
      <c r="AL523" t="s">
        <v>154</v>
      </c>
      <c r="AM523" t="s">
        <v>119</v>
      </c>
      <c r="AN523" t="s">
        <v>112</v>
      </c>
      <c r="AO523" t="s">
        <v>121</v>
      </c>
      <c r="AP523" t="s">
        <v>122</v>
      </c>
      <c r="AQ523" t="s">
        <v>122</v>
      </c>
      <c r="AR523" t="s">
        <v>124</v>
      </c>
      <c r="AS523" t="s">
        <v>125</v>
      </c>
      <c r="AT523">
        <v>2</v>
      </c>
      <c r="AU523" t="s">
        <v>126</v>
      </c>
      <c r="AV523" t="s">
        <v>155</v>
      </c>
      <c r="AW523" t="s">
        <v>156</v>
      </c>
      <c r="AY523" t="s">
        <v>129</v>
      </c>
      <c r="AZ523">
        <v>39573.040000000001</v>
      </c>
      <c r="BC523">
        <v>103.2289</v>
      </c>
      <c r="BD523" t="s">
        <v>112</v>
      </c>
      <c r="BE523" t="s">
        <v>112</v>
      </c>
      <c r="BF523" t="s">
        <v>157</v>
      </c>
      <c r="BG523" t="s">
        <v>133</v>
      </c>
      <c r="BH523" t="s">
        <v>134</v>
      </c>
      <c r="BI523" t="s">
        <v>112</v>
      </c>
      <c r="BJ523" t="s">
        <v>112</v>
      </c>
      <c r="BK523" t="s">
        <v>112</v>
      </c>
      <c r="BL523" t="s">
        <v>169</v>
      </c>
      <c r="BM523" t="s">
        <v>159</v>
      </c>
      <c r="BN523" t="s">
        <v>212</v>
      </c>
      <c r="BO523" t="s">
        <v>161</v>
      </c>
      <c r="BQ523" t="s">
        <v>281</v>
      </c>
      <c r="BR523" s="45">
        <f>ISNUMBER(SEARCH($BR$1,Таблица1[[#This Row],[31_1 Описание и характеристика товара]]))*1</f>
        <v>1</v>
      </c>
      <c r="BT523" t="s">
        <v>150</v>
      </c>
      <c r="BU523">
        <v>33</v>
      </c>
      <c r="BV523">
        <v>0</v>
      </c>
      <c r="BW523">
        <v>0</v>
      </c>
      <c r="BY523">
        <v>0</v>
      </c>
      <c r="CA523" t="s">
        <v>106</v>
      </c>
      <c r="CB523" t="s">
        <v>142</v>
      </c>
      <c r="CC523" t="s">
        <v>112</v>
      </c>
      <c r="CD523" t="s">
        <v>112</v>
      </c>
      <c r="CE523" t="s">
        <v>121</v>
      </c>
      <c r="CF523">
        <v>16388.650000000001</v>
      </c>
      <c r="CG523" t="s">
        <v>144</v>
      </c>
      <c r="CH523">
        <v>4000000</v>
      </c>
      <c r="CI523">
        <v>16268.65</v>
      </c>
      <c r="CJ523">
        <v>0</v>
      </c>
      <c r="CK523" t="s">
        <v>112</v>
      </c>
      <c r="CL523" t="s">
        <v>112</v>
      </c>
      <c r="CM523">
        <v>39573.040000000001</v>
      </c>
      <c r="CO523">
        <v>0</v>
      </c>
      <c r="CP523">
        <v>1</v>
      </c>
      <c r="CQ523">
        <v>4511416.75</v>
      </c>
      <c r="CR523">
        <v>46915.29</v>
      </c>
      <c r="CS523" t="s">
        <v>145</v>
      </c>
      <c r="CT523">
        <v>46853.712</v>
      </c>
      <c r="CU523">
        <v>2.88</v>
      </c>
      <c r="CV523">
        <v>45</v>
      </c>
      <c r="CX523" t="s">
        <v>729</v>
      </c>
      <c r="CY523">
        <v>322</v>
      </c>
    </row>
    <row r="524" spans="1:103" x14ac:dyDescent="0.25">
      <c r="A524" t="s">
        <v>106</v>
      </c>
      <c r="B524" s="38">
        <v>45210</v>
      </c>
      <c r="C524" s="43">
        <f>IF(YEAR(Таблица1[[#This Row],[Дата]])=2023,MONTH(Таблица1[[#This Row],[Дата]]),0)</f>
        <v>10</v>
      </c>
      <c r="D524" t="s">
        <v>1933</v>
      </c>
      <c r="E524" t="s">
        <v>108</v>
      </c>
      <c r="F524" t="s">
        <v>1934</v>
      </c>
      <c r="G524" t="s">
        <v>110</v>
      </c>
      <c r="H524" t="s">
        <v>111</v>
      </c>
      <c r="I524" t="s">
        <v>112</v>
      </c>
      <c r="J524" t="s">
        <v>112</v>
      </c>
      <c r="K524" t="s">
        <v>112</v>
      </c>
      <c r="L524" t="s">
        <v>150</v>
      </c>
      <c r="M524" t="s">
        <v>151</v>
      </c>
      <c r="N524" t="s">
        <v>112</v>
      </c>
      <c r="O524" t="s">
        <v>112</v>
      </c>
      <c r="P524">
        <v>1</v>
      </c>
      <c r="R524">
        <v>1</v>
      </c>
      <c r="S524">
        <v>33</v>
      </c>
      <c r="T524" t="s">
        <v>112</v>
      </c>
      <c r="U524" t="s">
        <v>152</v>
      </c>
      <c r="V524" t="s">
        <v>153</v>
      </c>
      <c r="W524" t="s">
        <v>154</v>
      </c>
      <c r="X524" t="s">
        <v>119</v>
      </c>
      <c r="Y524" t="s">
        <v>112</v>
      </c>
      <c r="Z524" t="s">
        <v>112</v>
      </c>
      <c r="AA524" t="s">
        <v>152</v>
      </c>
      <c r="AB524" t="s">
        <v>153</v>
      </c>
      <c r="AC524" t="s">
        <v>154</v>
      </c>
      <c r="AD524" t="s">
        <v>119</v>
      </c>
      <c r="AE524" t="s">
        <v>112</v>
      </c>
      <c r="AF524" t="s">
        <v>121</v>
      </c>
      <c r="AG524" t="s">
        <v>122</v>
      </c>
      <c r="AH524">
        <v>4392790.2300000004</v>
      </c>
      <c r="AI524" t="s">
        <v>112</v>
      </c>
      <c r="AJ524" t="s">
        <v>152</v>
      </c>
      <c r="AK524" t="s">
        <v>153</v>
      </c>
      <c r="AL524" t="s">
        <v>154</v>
      </c>
      <c r="AM524" t="s">
        <v>119</v>
      </c>
      <c r="AN524" t="s">
        <v>112</v>
      </c>
      <c r="AO524" t="s">
        <v>121</v>
      </c>
      <c r="AP524" t="s">
        <v>122</v>
      </c>
      <c r="AQ524" t="s">
        <v>122</v>
      </c>
      <c r="AR524" t="s">
        <v>124</v>
      </c>
      <c r="AS524" t="s">
        <v>125</v>
      </c>
      <c r="AT524">
        <v>2</v>
      </c>
      <c r="AU524" t="s">
        <v>126</v>
      </c>
      <c r="AV524" t="s">
        <v>155</v>
      </c>
      <c r="AW524" t="s">
        <v>156</v>
      </c>
      <c r="AY524" t="s">
        <v>129</v>
      </c>
      <c r="AZ524">
        <v>38423.879999999997</v>
      </c>
      <c r="BC524">
        <v>103.2289</v>
      </c>
      <c r="BD524" t="s">
        <v>112</v>
      </c>
      <c r="BE524" t="s">
        <v>112</v>
      </c>
      <c r="BF524" t="s">
        <v>157</v>
      </c>
      <c r="BG524" t="s">
        <v>133</v>
      </c>
      <c r="BH524" t="s">
        <v>134</v>
      </c>
      <c r="BI524" t="s">
        <v>112</v>
      </c>
      <c r="BJ524" t="s">
        <v>112</v>
      </c>
      <c r="BK524" t="s">
        <v>112</v>
      </c>
      <c r="BL524" t="s">
        <v>169</v>
      </c>
      <c r="BM524" t="s">
        <v>159</v>
      </c>
      <c r="BN524" t="s">
        <v>212</v>
      </c>
      <c r="BO524" t="s">
        <v>161</v>
      </c>
      <c r="BQ524" t="s">
        <v>281</v>
      </c>
      <c r="BR524" s="45">
        <f>ISNUMBER(SEARCH($BR$1,Таблица1[[#This Row],[31_1 Описание и характеристика товара]]))*1</f>
        <v>1</v>
      </c>
      <c r="BT524" t="s">
        <v>150</v>
      </c>
      <c r="BU524">
        <v>33</v>
      </c>
      <c r="BV524">
        <v>0</v>
      </c>
      <c r="BW524">
        <v>0</v>
      </c>
      <c r="BY524">
        <v>0</v>
      </c>
      <c r="CA524" t="s">
        <v>106</v>
      </c>
      <c r="CB524" t="s">
        <v>142</v>
      </c>
      <c r="CC524" t="s">
        <v>112</v>
      </c>
      <c r="CD524" t="s">
        <v>112</v>
      </c>
      <c r="CE524" t="s">
        <v>121</v>
      </c>
      <c r="CF524">
        <v>17119.759999999998</v>
      </c>
      <c r="CG524" t="s">
        <v>144</v>
      </c>
      <c r="CH524">
        <v>4000000</v>
      </c>
      <c r="CI524">
        <v>17086.28</v>
      </c>
      <c r="CJ524">
        <v>0</v>
      </c>
      <c r="CK524" t="s">
        <v>112</v>
      </c>
      <c r="CL524" t="s">
        <v>112</v>
      </c>
      <c r="CM524">
        <v>38423.879999999997</v>
      </c>
      <c r="CO524">
        <v>0</v>
      </c>
      <c r="CP524">
        <v>1</v>
      </c>
      <c r="CQ524">
        <v>4392790.2300000004</v>
      </c>
      <c r="CR524">
        <v>45681.67</v>
      </c>
      <c r="CS524" t="s">
        <v>145</v>
      </c>
      <c r="CT524">
        <v>45620.367599999998</v>
      </c>
      <c r="CU524">
        <v>2.67</v>
      </c>
      <c r="CV524">
        <v>45</v>
      </c>
      <c r="CX524" t="s">
        <v>233</v>
      </c>
      <c r="CY524">
        <v>321</v>
      </c>
    </row>
    <row r="525" spans="1:103" x14ac:dyDescent="0.25">
      <c r="A525" t="s">
        <v>106</v>
      </c>
      <c r="B525" s="38">
        <v>45258</v>
      </c>
      <c r="C525" s="43">
        <f>IF(YEAR(Таблица1[[#This Row],[Дата]])=2023,MONTH(Таблица1[[#This Row],[Дата]]),0)</f>
        <v>11</v>
      </c>
      <c r="D525" t="s">
        <v>1939</v>
      </c>
      <c r="E525" t="s">
        <v>108</v>
      </c>
      <c r="F525" t="s">
        <v>1940</v>
      </c>
      <c r="G525" t="s">
        <v>110</v>
      </c>
      <c r="H525" t="s">
        <v>111</v>
      </c>
      <c r="I525" t="s">
        <v>112</v>
      </c>
      <c r="J525" t="s">
        <v>112</v>
      </c>
      <c r="K525" t="s">
        <v>112</v>
      </c>
      <c r="L525" t="s">
        <v>150</v>
      </c>
      <c r="M525" t="s">
        <v>151</v>
      </c>
      <c r="N525" t="s">
        <v>112</v>
      </c>
      <c r="O525" t="s">
        <v>112</v>
      </c>
      <c r="P525">
        <v>1</v>
      </c>
      <c r="R525">
        <v>1</v>
      </c>
      <c r="S525">
        <v>33</v>
      </c>
      <c r="T525" t="s">
        <v>112</v>
      </c>
      <c r="U525" t="s">
        <v>152</v>
      </c>
      <c r="V525" t="s">
        <v>153</v>
      </c>
      <c r="W525" t="s">
        <v>154</v>
      </c>
      <c r="X525" t="s">
        <v>119</v>
      </c>
      <c r="Y525" t="s">
        <v>112</v>
      </c>
      <c r="Z525" t="s">
        <v>112</v>
      </c>
      <c r="AA525" t="s">
        <v>152</v>
      </c>
      <c r="AB525" t="s">
        <v>153</v>
      </c>
      <c r="AC525" t="s">
        <v>154</v>
      </c>
      <c r="AD525" t="s">
        <v>119</v>
      </c>
      <c r="AE525" t="s">
        <v>112</v>
      </c>
      <c r="AF525" t="s">
        <v>121</v>
      </c>
      <c r="AG525" t="s">
        <v>122</v>
      </c>
      <c r="AH525">
        <v>5313397.9400000004</v>
      </c>
      <c r="AI525" t="s">
        <v>112</v>
      </c>
      <c r="AJ525" t="s">
        <v>152</v>
      </c>
      <c r="AK525" t="s">
        <v>153</v>
      </c>
      <c r="AL525" t="s">
        <v>154</v>
      </c>
      <c r="AM525" t="s">
        <v>119</v>
      </c>
      <c r="AN525" t="s">
        <v>112</v>
      </c>
      <c r="AO525" t="s">
        <v>121</v>
      </c>
      <c r="AP525" t="s">
        <v>122</v>
      </c>
      <c r="AQ525" t="s">
        <v>122</v>
      </c>
      <c r="AR525" t="s">
        <v>124</v>
      </c>
      <c r="AS525" t="s">
        <v>125</v>
      </c>
      <c r="AT525">
        <v>2</v>
      </c>
      <c r="AU525" t="s">
        <v>126</v>
      </c>
      <c r="AV525" t="s">
        <v>155</v>
      </c>
      <c r="AW525" t="s">
        <v>156</v>
      </c>
      <c r="AY525" t="s">
        <v>129</v>
      </c>
      <c r="AZ525">
        <v>47342</v>
      </c>
      <c r="BC525">
        <v>103.2289</v>
      </c>
      <c r="BD525" t="s">
        <v>112</v>
      </c>
      <c r="BE525" t="s">
        <v>112</v>
      </c>
      <c r="BF525" t="s">
        <v>157</v>
      </c>
      <c r="BG525" t="s">
        <v>133</v>
      </c>
      <c r="BH525" t="s">
        <v>134</v>
      </c>
      <c r="BI525" t="s">
        <v>112</v>
      </c>
      <c r="BJ525" t="s">
        <v>112</v>
      </c>
      <c r="BK525" t="s">
        <v>112</v>
      </c>
      <c r="BL525" t="s">
        <v>169</v>
      </c>
      <c r="BM525" t="s">
        <v>159</v>
      </c>
      <c r="BN525" t="s">
        <v>212</v>
      </c>
      <c r="BO525" t="s">
        <v>161</v>
      </c>
      <c r="BQ525" t="s">
        <v>232</v>
      </c>
      <c r="BR525" s="45">
        <f>ISNUMBER(SEARCH($BR$1,Таблица1[[#This Row],[31_1 Описание и характеристика товара]]))*1</f>
        <v>1</v>
      </c>
      <c r="BT525" t="s">
        <v>150</v>
      </c>
      <c r="BU525">
        <v>33</v>
      </c>
      <c r="BV525">
        <v>0</v>
      </c>
      <c r="BW525">
        <v>0</v>
      </c>
      <c r="BY525">
        <v>0</v>
      </c>
      <c r="CA525" t="s">
        <v>106</v>
      </c>
      <c r="CB525" t="s">
        <v>142</v>
      </c>
      <c r="CC525" t="s">
        <v>112</v>
      </c>
      <c r="CD525" t="s">
        <v>112</v>
      </c>
      <c r="CE525" t="s">
        <v>121</v>
      </c>
      <c r="CF525">
        <v>15557.58</v>
      </c>
      <c r="CG525" t="s">
        <v>144</v>
      </c>
      <c r="CH525">
        <v>4000000</v>
      </c>
      <c r="CI525">
        <v>15341.58</v>
      </c>
      <c r="CJ525">
        <v>0</v>
      </c>
      <c r="CK525" t="s">
        <v>112</v>
      </c>
      <c r="CL525" t="s">
        <v>112</v>
      </c>
      <c r="CM525">
        <v>47342</v>
      </c>
      <c r="CO525">
        <v>0</v>
      </c>
      <c r="CP525">
        <v>1</v>
      </c>
      <c r="CQ525">
        <v>5313397.9400000004</v>
      </c>
      <c r="CR525">
        <v>55255.29</v>
      </c>
      <c r="CS525" t="s">
        <v>145</v>
      </c>
      <c r="CT525">
        <v>55229.688000000002</v>
      </c>
      <c r="CU525">
        <v>3.6</v>
      </c>
      <c r="CV525">
        <v>45</v>
      </c>
      <c r="CX525" t="s">
        <v>233</v>
      </c>
      <c r="CY525">
        <v>368</v>
      </c>
    </row>
    <row r="526" spans="1:103" x14ac:dyDescent="0.25">
      <c r="A526" t="s">
        <v>106</v>
      </c>
      <c r="B526" s="38">
        <v>44589</v>
      </c>
      <c r="C526" s="43">
        <f>IF(YEAR(Таблица1[[#This Row],[Дата]])=2023,MONTH(Таблица1[[#This Row],[Дата]]),0)</f>
        <v>0</v>
      </c>
      <c r="D526" t="s">
        <v>1727</v>
      </c>
      <c r="E526" t="s">
        <v>108</v>
      </c>
      <c r="F526" t="s">
        <v>1728</v>
      </c>
      <c r="G526" t="s">
        <v>110</v>
      </c>
      <c r="H526" t="s">
        <v>111</v>
      </c>
      <c r="I526" t="s">
        <v>112</v>
      </c>
      <c r="J526" t="s">
        <v>112</v>
      </c>
      <c r="K526" t="s">
        <v>112</v>
      </c>
      <c r="L526" t="s">
        <v>150</v>
      </c>
      <c r="M526" t="s">
        <v>151</v>
      </c>
      <c r="N526" t="s">
        <v>112</v>
      </c>
      <c r="O526" t="s">
        <v>112</v>
      </c>
      <c r="R526">
        <v>1</v>
      </c>
      <c r="S526">
        <v>33</v>
      </c>
      <c r="T526" t="s">
        <v>166</v>
      </c>
      <c r="U526" t="s">
        <v>152</v>
      </c>
      <c r="V526" t="s">
        <v>153</v>
      </c>
      <c r="W526" t="s">
        <v>154</v>
      </c>
      <c r="X526" t="s">
        <v>119</v>
      </c>
      <c r="Y526" t="s">
        <v>112</v>
      </c>
      <c r="Z526" t="s">
        <v>166</v>
      </c>
      <c r="AA526" t="s">
        <v>152</v>
      </c>
      <c r="AB526" t="s">
        <v>153</v>
      </c>
      <c r="AC526" t="s">
        <v>154</v>
      </c>
      <c r="AD526" t="s">
        <v>119</v>
      </c>
      <c r="AE526" t="s">
        <v>112</v>
      </c>
      <c r="AF526" t="s">
        <v>121</v>
      </c>
      <c r="AG526" t="s">
        <v>122</v>
      </c>
      <c r="AH526">
        <v>5418462.1200000001</v>
      </c>
      <c r="AI526" t="s">
        <v>166</v>
      </c>
      <c r="AJ526" t="s">
        <v>152</v>
      </c>
      <c r="AK526" t="s">
        <v>153</v>
      </c>
      <c r="AL526" t="s">
        <v>154</v>
      </c>
      <c r="AM526" t="s">
        <v>119</v>
      </c>
      <c r="AN526" t="s">
        <v>112</v>
      </c>
      <c r="AO526" t="s">
        <v>121</v>
      </c>
      <c r="AP526" t="s">
        <v>122</v>
      </c>
      <c r="AQ526" t="s">
        <v>122</v>
      </c>
      <c r="AR526" t="s">
        <v>124</v>
      </c>
      <c r="AS526" t="s">
        <v>125</v>
      </c>
      <c r="AU526" t="s">
        <v>126</v>
      </c>
      <c r="AV526" t="s">
        <v>155</v>
      </c>
      <c r="AW526" t="s">
        <v>156</v>
      </c>
      <c r="AY526" t="s">
        <v>129</v>
      </c>
      <c r="AZ526">
        <v>44824.03</v>
      </c>
      <c r="BC526">
        <v>110.68470000000001</v>
      </c>
      <c r="BD526" t="s">
        <v>112</v>
      </c>
      <c r="BE526" t="s">
        <v>112</v>
      </c>
      <c r="BF526" t="s">
        <v>112</v>
      </c>
      <c r="BG526" t="s">
        <v>133</v>
      </c>
      <c r="BH526" t="s">
        <v>134</v>
      </c>
      <c r="BI526" t="s">
        <v>112</v>
      </c>
      <c r="BJ526" t="s">
        <v>112</v>
      </c>
      <c r="BK526" t="s">
        <v>112</v>
      </c>
      <c r="BL526" t="s">
        <v>112</v>
      </c>
      <c r="BM526" t="s">
        <v>112</v>
      </c>
      <c r="BN526" t="s">
        <v>112</v>
      </c>
      <c r="BO526" t="s">
        <v>161</v>
      </c>
      <c r="BQ526" t="s">
        <v>232</v>
      </c>
      <c r="BR526" s="45">
        <f>ISNUMBER(SEARCH($BR$1,Таблица1[[#This Row],[31_1 Описание и характеристика товара]]))*1</f>
        <v>1</v>
      </c>
      <c r="BT526" t="s">
        <v>150</v>
      </c>
      <c r="BU526">
        <v>33</v>
      </c>
      <c r="BV526">
        <v>0</v>
      </c>
      <c r="BW526">
        <v>0</v>
      </c>
      <c r="CA526" t="s">
        <v>106</v>
      </c>
      <c r="CB526" t="s">
        <v>142</v>
      </c>
      <c r="CC526" t="s">
        <v>112</v>
      </c>
      <c r="CD526" t="s">
        <v>112</v>
      </c>
      <c r="CE526" t="s">
        <v>121</v>
      </c>
      <c r="CF526">
        <v>16577.439999999999</v>
      </c>
      <c r="CG526" t="s">
        <v>144</v>
      </c>
      <c r="CH526">
        <v>4000000</v>
      </c>
      <c r="CI526">
        <v>16433.439999999999</v>
      </c>
      <c r="CJ526">
        <v>0</v>
      </c>
      <c r="CK526" t="s">
        <v>112</v>
      </c>
      <c r="CL526" t="s">
        <v>112</v>
      </c>
      <c r="CM526">
        <v>44824.03</v>
      </c>
      <c r="CO526">
        <v>0</v>
      </c>
      <c r="CP526">
        <v>1</v>
      </c>
      <c r="CQ526">
        <v>5418462.1200000001</v>
      </c>
      <c r="CR526">
        <v>53626.95</v>
      </c>
      <c r="CS526" t="s">
        <v>145</v>
      </c>
      <c r="CT526">
        <v>53573.014399999993</v>
      </c>
      <c r="CU526">
        <v>3.26</v>
      </c>
      <c r="CY526">
        <v>13</v>
      </c>
    </row>
    <row r="527" spans="1:103" x14ac:dyDescent="0.25">
      <c r="A527" t="s">
        <v>106</v>
      </c>
      <c r="B527" s="38">
        <v>44909</v>
      </c>
      <c r="C527" s="43">
        <f>IF(YEAR(Таблица1[[#This Row],[Дата]])=2023,MONTH(Таблица1[[#This Row],[Дата]]),0)</f>
        <v>0</v>
      </c>
      <c r="D527" t="s">
        <v>1725</v>
      </c>
      <c r="E527" t="s">
        <v>108</v>
      </c>
      <c r="F527" t="s">
        <v>1726</v>
      </c>
      <c r="G527" t="s">
        <v>110</v>
      </c>
      <c r="H527" t="s">
        <v>111</v>
      </c>
      <c r="I527" t="s">
        <v>112</v>
      </c>
      <c r="J527" t="s">
        <v>112</v>
      </c>
      <c r="K527" t="s">
        <v>112</v>
      </c>
      <c r="L527" t="s">
        <v>150</v>
      </c>
      <c r="M527" t="s">
        <v>151</v>
      </c>
      <c r="N527" t="s">
        <v>112</v>
      </c>
      <c r="O527" t="s">
        <v>112</v>
      </c>
      <c r="R527">
        <v>1</v>
      </c>
      <c r="S527">
        <v>33</v>
      </c>
      <c r="T527" t="s">
        <v>166</v>
      </c>
      <c r="U527" t="s">
        <v>152</v>
      </c>
      <c r="V527" t="s">
        <v>153</v>
      </c>
      <c r="W527" t="s">
        <v>154</v>
      </c>
      <c r="X527" t="s">
        <v>119</v>
      </c>
      <c r="Y527" t="s">
        <v>112</v>
      </c>
      <c r="Z527" t="s">
        <v>166</v>
      </c>
      <c r="AA527" t="s">
        <v>152</v>
      </c>
      <c r="AB527" t="s">
        <v>153</v>
      </c>
      <c r="AC527" t="s">
        <v>154</v>
      </c>
      <c r="AD527" t="s">
        <v>119</v>
      </c>
      <c r="AE527" t="s">
        <v>112</v>
      </c>
      <c r="AF527" t="s">
        <v>121</v>
      </c>
      <c r="AG527" t="s">
        <v>122</v>
      </c>
      <c r="AH527">
        <v>5160939.79</v>
      </c>
      <c r="AI527" t="s">
        <v>166</v>
      </c>
      <c r="AJ527" t="s">
        <v>152</v>
      </c>
      <c r="AK527" t="s">
        <v>153</v>
      </c>
      <c r="AL527" t="s">
        <v>154</v>
      </c>
      <c r="AM527" t="s">
        <v>119</v>
      </c>
      <c r="AN527" t="s">
        <v>112</v>
      </c>
      <c r="AO527" t="s">
        <v>121</v>
      </c>
      <c r="AP527" t="s">
        <v>122</v>
      </c>
      <c r="AQ527" t="s">
        <v>122</v>
      </c>
      <c r="AR527" t="s">
        <v>124</v>
      </c>
      <c r="AS527" t="s">
        <v>125</v>
      </c>
      <c r="AU527" t="s">
        <v>126</v>
      </c>
      <c r="AV527" t="s">
        <v>155</v>
      </c>
      <c r="AW527" t="s">
        <v>156</v>
      </c>
      <c r="AY527" t="s">
        <v>129</v>
      </c>
      <c r="AZ527">
        <v>41977.4</v>
      </c>
      <c r="BC527">
        <v>110.68470000000001</v>
      </c>
      <c r="BD527" t="s">
        <v>112</v>
      </c>
      <c r="BE527" t="s">
        <v>112</v>
      </c>
      <c r="BF527" t="s">
        <v>112</v>
      </c>
      <c r="BG527" t="s">
        <v>133</v>
      </c>
      <c r="BH527" t="s">
        <v>134</v>
      </c>
      <c r="BI527" t="s">
        <v>112</v>
      </c>
      <c r="BJ527" t="s">
        <v>112</v>
      </c>
      <c r="BK527" t="s">
        <v>112</v>
      </c>
      <c r="BL527" t="s">
        <v>112</v>
      </c>
      <c r="BM527" t="s">
        <v>112</v>
      </c>
      <c r="BN527" t="s">
        <v>112</v>
      </c>
      <c r="BO527" t="s">
        <v>161</v>
      </c>
      <c r="BQ527" t="s">
        <v>205</v>
      </c>
      <c r="BR527" s="45">
        <f>ISNUMBER(SEARCH($BR$1,Таблица1[[#This Row],[31_1 Описание и характеристика товара]]))*1</f>
        <v>1</v>
      </c>
      <c r="BT527" t="s">
        <v>150</v>
      </c>
      <c r="BU527">
        <v>33</v>
      </c>
      <c r="BV527">
        <v>0</v>
      </c>
      <c r="BW527">
        <v>0</v>
      </c>
      <c r="CA527" t="s">
        <v>106</v>
      </c>
      <c r="CB527" t="s">
        <v>142</v>
      </c>
      <c r="CC527" t="s">
        <v>112</v>
      </c>
      <c r="CD527" t="s">
        <v>112</v>
      </c>
      <c r="CE527" t="s">
        <v>121</v>
      </c>
      <c r="CF527">
        <v>17104.5</v>
      </c>
      <c r="CG527" t="s">
        <v>144</v>
      </c>
      <c r="CH527">
        <v>4000000</v>
      </c>
      <c r="CI527">
        <v>17082.900000000001</v>
      </c>
      <c r="CJ527">
        <v>0</v>
      </c>
      <c r="CK527" t="s">
        <v>112</v>
      </c>
      <c r="CL527" t="s">
        <v>112</v>
      </c>
      <c r="CM527">
        <v>41977.4</v>
      </c>
      <c r="CO527">
        <v>0</v>
      </c>
      <c r="CP527">
        <v>1</v>
      </c>
      <c r="CQ527">
        <v>5160939.79</v>
      </c>
      <c r="CR527">
        <v>51078.239999999998</v>
      </c>
      <c r="CS527" t="s">
        <v>145</v>
      </c>
      <c r="CT527">
        <v>51077.871000000006</v>
      </c>
      <c r="CU527">
        <v>2.99</v>
      </c>
      <c r="CY527">
        <v>330</v>
      </c>
    </row>
    <row r="528" spans="1:103" x14ac:dyDescent="0.25">
      <c r="A528" t="s">
        <v>106</v>
      </c>
      <c r="B528" s="38">
        <v>44784</v>
      </c>
      <c r="C528" s="43">
        <f>IF(YEAR(Таблица1[[#This Row],[Дата]])=2023,MONTH(Таблица1[[#This Row],[Дата]]),0)</f>
        <v>0</v>
      </c>
      <c r="D528" t="s">
        <v>1723</v>
      </c>
      <c r="E528" t="s">
        <v>108</v>
      </c>
      <c r="F528" t="s">
        <v>1724</v>
      </c>
      <c r="G528" t="s">
        <v>110</v>
      </c>
      <c r="H528" t="s">
        <v>111</v>
      </c>
      <c r="I528" t="s">
        <v>112</v>
      </c>
      <c r="J528" t="s">
        <v>112</v>
      </c>
      <c r="K528" t="s">
        <v>112</v>
      </c>
      <c r="L528" t="s">
        <v>150</v>
      </c>
      <c r="M528" t="s">
        <v>151</v>
      </c>
      <c r="N528" t="s">
        <v>112</v>
      </c>
      <c r="O528" t="s">
        <v>112</v>
      </c>
      <c r="R528">
        <v>1</v>
      </c>
      <c r="S528">
        <v>33</v>
      </c>
      <c r="T528" t="s">
        <v>166</v>
      </c>
      <c r="U528" t="s">
        <v>152</v>
      </c>
      <c r="V528" t="s">
        <v>153</v>
      </c>
      <c r="W528" t="s">
        <v>154</v>
      </c>
      <c r="X528" t="s">
        <v>119</v>
      </c>
      <c r="Y528" t="s">
        <v>112</v>
      </c>
      <c r="Z528" t="s">
        <v>166</v>
      </c>
      <c r="AA528" t="s">
        <v>152</v>
      </c>
      <c r="AB528" t="s">
        <v>153</v>
      </c>
      <c r="AC528" t="s">
        <v>154</v>
      </c>
      <c r="AD528" t="s">
        <v>119</v>
      </c>
      <c r="AE528" t="s">
        <v>112</v>
      </c>
      <c r="AF528" t="s">
        <v>121</v>
      </c>
      <c r="AG528" t="s">
        <v>122</v>
      </c>
      <c r="AH528">
        <v>5283268.51</v>
      </c>
      <c r="AI528" t="s">
        <v>166</v>
      </c>
      <c r="AJ528" t="s">
        <v>152</v>
      </c>
      <c r="AK528" t="s">
        <v>153</v>
      </c>
      <c r="AL528" t="s">
        <v>154</v>
      </c>
      <c r="AM528" t="s">
        <v>119</v>
      </c>
      <c r="AN528" t="s">
        <v>112</v>
      </c>
      <c r="AO528" t="s">
        <v>121</v>
      </c>
      <c r="AP528" t="s">
        <v>122</v>
      </c>
      <c r="AQ528" t="s">
        <v>122</v>
      </c>
      <c r="AR528" t="s">
        <v>124</v>
      </c>
      <c r="AS528" t="s">
        <v>125</v>
      </c>
      <c r="AU528" t="s">
        <v>126</v>
      </c>
      <c r="AV528" t="s">
        <v>155</v>
      </c>
      <c r="AW528" t="s">
        <v>156</v>
      </c>
      <c r="AY528" t="s">
        <v>129</v>
      </c>
      <c r="AZ528">
        <v>43602.6</v>
      </c>
      <c r="BC528">
        <v>110.68470000000001</v>
      </c>
      <c r="BD528" t="s">
        <v>112</v>
      </c>
      <c r="BE528" t="s">
        <v>112</v>
      </c>
      <c r="BF528" t="s">
        <v>112</v>
      </c>
      <c r="BG528" t="s">
        <v>133</v>
      </c>
      <c r="BH528" t="s">
        <v>134</v>
      </c>
      <c r="BI528" t="s">
        <v>112</v>
      </c>
      <c r="BJ528" t="s">
        <v>112</v>
      </c>
      <c r="BK528" t="s">
        <v>112</v>
      </c>
      <c r="BL528" t="s">
        <v>112</v>
      </c>
      <c r="BM528" t="s">
        <v>112</v>
      </c>
      <c r="BN528" t="s">
        <v>112</v>
      </c>
      <c r="BO528" t="s">
        <v>161</v>
      </c>
      <c r="BQ528" t="s">
        <v>232</v>
      </c>
      <c r="BR528" s="45">
        <f>ISNUMBER(SEARCH($BR$1,Таблица1[[#This Row],[31_1 Описание и характеристика товара]]))*1</f>
        <v>1</v>
      </c>
      <c r="BT528" t="s">
        <v>150</v>
      </c>
      <c r="BU528">
        <v>33</v>
      </c>
      <c r="BV528">
        <v>0</v>
      </c>
      <c r="BW528">
        <v>0</v>
      </c>
      <c r="CA528" t="s">
        <v>106</v>
      </c>
      <c r="CB528" t="s">
        <v>142</v>
      </c>
      <c r="CC528" t="s">
        <v>112</v>
      </c>
      <c r="CD528" t="s">
        <v>112</v>
      </c>
      <c r="CE528" t="s">
        <v>121</v>
      </c>
      <c r="CF528">
        <v>16531.86</v>
      </c>
      <c r="CG528" t="s">
        <v>144</v>
      </c>
      <c r="CH528">
        <v>4000000</v>
      </c>
      <c r="CI528">
        <v>16441.86</v>
      </c>
      <c r="CJ528">
        <v>0</v>
      </c>
      <c r="CK528" t="s">
        <v>112</v>
      </c>
      <c r="CL528" t="s">
        <v>112</v>
      </c>
      <c r="CM528">
        <v>43602.6</v>
      </c>
      <c r="CO528">
        <v>0</v>
      </c>
      <c r="CP528">
        <v>1</v>
      </c>
      <c r="CQ528">
        <v>5283268.51</v>
      </c>
      <c r="CR528">
        <v>52288.93</v>
      </c>
      <c r="CS528" t="s">
        <v>145</v>
      </c>
      <c r="CT528">
        <v>52285.114800000003</v>
      </c>
      <c r="CU528">
        <v>3.18</v>
      </c>
      <c r="CY528">
        <v>370</v>
      </c>
    </row>
    <row r="529" spans="1:103" x14ac:dyDescent="0.25">
      <c r="A529" t="s">
        <v>106</v>
      </c>
      <c r="B529" s="38">
        <v>44850</v>
      </c>
      <c r="C529" s="43">
        <f>IF(YEAR(Таблица1[[#This Row],[Дата]])=2023,MONTH(Таблица1[[#This Row],[Дата]]),0)</f>
        <v>0</v>
      </c>
      <c r="D529" t="s">
        <v>1721</v>
      </c>
      <c r="E529" t="s">
        <v>108</v>
      </c>
      <c r="F529" t="s">
        <v>1722</v>
      </c>
      <c r="G529" t="s">
        <v>110</v>
      </c>
      <c r="H529" t="s">
        <v>111</v>
      </c>
      <c r="I529" t="s">
        <v>112</v>
      </c>
      <c r="J529" t="s">
        <v>112</v>
      </c>
      <c r="K529" t="s">
        <v>112</v>
      </c>
      <c r="L529" t="s">
        <v>150</v>
      </c>
      <c r="M529" t="s">
        <v>151</v>
      </c>
      <c r="N529" t="s">
        <v>112</v>
      </c>
      <c r="O529" t="s">
        <v>112</v>
      </c>
      <c r="R529">
        <v>1</v>
      </c>
      <c r="S529">
        <v>33</v>
      </c>
      <c r="T529" t="s">
        <v>166</v>
      </c>
      <c r="U529" t="s">
        <v>152</v>
      </c>
      <c r="V529" t="s">
        <v>153</v>
      </c>
      <c r="W529" t="s">
        <v>154</v>
      </c>
      <c r="X529" t="s">
        <v>119</v>
      </c>
      <c r="Y529" t="s">
        <v>112</v>
      </c>
      <c r="Z529" t="s">
        <v>166</v>
      </c>
      <c r="AA529" t="s">
        <v>152</v>
      </c>
      <c r="AB529" t="s">
        <v>153</v>
      </c>
      <c r="AC529" t="s">
        <v>154</v>
      </c>
      <c r="AD529" t="s">
        <v>119</v>
      </c>
      <c r="AE529" t="s">
        <v>112</v>
      </c>
      <c r="AF529" t="s">
        <v>121</v>
      </c>
      <c r="AG529" t="s">
        <v>122</v>
      </c>
      <c r="AH529">
        <v>5037576.1500000004</v>
      </c>
      <c r="AI529" t="s">
        <v>166</v>
      </c>
      <c r="AJ529" t="s">
        <v>152</v>
      </c>
      <c r="AK529" t="s">
        <v>153</v>
      </c>
      <c r="AL529" t="s">
        <v>154</v>
      </c>
      <c r="AM529" t="s">
        <v>119</v>
      </c>
      <c r="AN529" t="s">
        <v>112</v>
      </c>
      <c r="AO529" t="s">
        <v>121</v>
      </c>
      <c r="AP529" t="s">
        <v>122</v>
      </c>
      <c r="AQ529" t="s">
        <v>122</v>
      </c>
      <c r="AR529" t="s">
        <v>124</v>
      </c>
      <c r="AS529" t="s">
        <v>125</v>
      </c>
      <c r="AU529" t="s">
        <v>126</v>
      </c>
      <c r="AV529" t="s">
        <v>155</v>
      </c>
      <c r="AW529" t="s">
        <v>156</v>
      </c>
      <c r="AY529" t="s">
        <v>129</v>
      </c>
      <c r="AZ529">
        <v>40862.85</v>
      </c>
      <c r="BC529">
        <v>110.68470000000001</v>
      </c>
      <c r="BD529" t="s">
        <v>112</v>
      </c>
      <c r="BE529" t="s">
        <v>112</v>
      </c>
      <c r="BF529" t="s">
        <v>112</v>
      </c>
      <c r="BG529" t="s">
        <v>133</v>
      </c>
      <c r="BH529" t="s">
        <v>167</v>
      </c>
      <c r="BI529" t="s">
        <v>112</v>
      </c>
      <c r="BJ529" t="s">
        <v>112</v>
      </c>
      <c r="BK529" t="s">
        <v>112</v>
      </c>
      <c r="BL529" t="s">
        <v>112</v>
      </c>
      <c r="BM529" t="s">
        <v>112</v>
      </c>
      <c r="BN529" t="s">
        <v>112</v>
      </c>
      <c r="BO529" t="s">
        <v>161</v>
      </c>
      <c r="BQ529" t="s">
        <v>281</v>
      </c>
      <c r="BR529" s="45">
        <f>ISNUMBER(SEARCH($BR$1,Таблица1[[#This Row],[31_1 Описание и характеристика товара]]))*1</f>
        <v>1</v>
      </c>
      <c r="BT529" t="s">
        <v>150</v>
      </c>
      <c r="BU529">
        <v>33</v>
      </c>
      <c r="BV529">
        <v>0</v>
      </c>
      <c r="BW529">
        <v>0</v>
      </c>
      <c r="CA529" t="s">
        <v>106</v>
      </c>
      <c r="CB529" t="s">
        <v>142</v>
      </c>
      <c r="CC529" t="s">
        <v>112</v>
      </c>
      <c r="CD529" t="s">
        <v>112</v>
      </c>
      <c r="CE529" t="s">
        <v>121</v>
      </c>
      <c r="CF529">
        <v>16666.28</v>
      </c>
      <c r="CG529" t="s">
        <v>144</v>
      </c>
      <c r="CH529">
        <v>4000000</v>
      </c>
      <c r="CI529">
        <v>16515.080000000002</v>
      </c>
      <c r="CJ529">
        <v>0</v>
      </c>
      <c r="CK529" t="s">
        <v>112</v>
      </c>
      <c r="CL529" t="s">
        <v>112</v>
      </c>
      <c r="CM529">
        <v>40862.85</v>
      </c>
      <c r="CO529">
        <v>0</v>
      </c>
      <c r="CP529">
        <v>1</v>
      </c>
      <c r="CQ529">
        <v>5037576.1500000004</v>
      </c>
      <c r="CR529">
        <v>49857.3</v>
      </c>
      <c r="CS529" t="s">
        <v>145</v>
      </c>
      <c r="CT529">
        <v>49875.541600000004</v>
      </c>
      <c r="CU529">
        <v>3.02</v>
      </c>
      <c r="CY529">
        <v>243</v>
      </c>
    </row>
    <row r="530" spans="1:103" x14ac:dyDescent="0.25">
      <c r="A530" t="s">
        <v>106</v>
      </c>
      <c r="B530" s="38">
        <v>45016</v>
      </c>
      <c r="C530" s="43">
        <f>IF(YEAR(Таблица1[[#This Row],[Дата]])=2023,MONTH(Таблица1[[#This Row],[Дата]]),0)</f>
        <v>3</v>
      </c>
      <c r="D530" t="s">
        <v>1325</v>
      </c>
      <c r="E530" t="s">
        <v>108</v>
      </c>
      <c r="F530" t="s">
        <v>1326</v>
      </c>
      <c r="G530" t="s">
        <v>110</v>
      </c>
      <c r="H530" t="s">
        <v>111</v>
      </c>
      <c r="I530" t="s">
        <v>112</v>
      </c>
      <c r="J530" t="s">
        <v>112</v>
      </c>
      <c r="K530" t="s">
        <v>112</v>
      </c>
      <c r="L530" t="s">
        <v>150</v>
      </c>
      <c r="M530" t="s">
        <v>1060</v>
      </c>
      <c r="N530" t="s">
        <v>112</v>
      </c>
      <c r="O530" t="s">
        <v>112</v>
      </c>
      <c r="P530">
        <v>1</v>
      </c>
      <c r="Q530">
        <v>0</v>
      </c>
      <c r="R530">
        <v>1</v>
      </c>
      <c r="S530">
        <v>33</v>
      </c>
      <c r="T530" t="s">
        <v>166</v>
      </c>
      <c r="U530" t="s">
        <v>152</v>
      </c>
      <c r="V530" t="s">
        <v>153</v>
      </c>
      <c r="W530" t="s">
        <v>154</v>
      </c>
      <c r="X530" t="s">
        <v>119</v>
      </c>
      <c r="Y530" t="s">
        <v>112</v>
      </c>
      <c r="Z530" t="s">
        <v>166</v>
      </c>
      <c r="AA530" t="s">
        <v>152</v>
      </c>
      <c r="AB530" t="s">
        <v>153</v>
      </c>
      <c r="AC530" t="s">
        <v>154</v>
      </c>
      <c r="AD530" t="s">
        <v>119</v>
      </c>
      <c r="AE530" t="s">
        <v>112</v>
      </c>
      <c r="AF530" t="s">
        <v>121</v>
      </c>
      <c r="AG530" t="s">
        <v>122</v>
      </c>
      <c r="AH530">
        <v>4548018.97</v>
      </c>
      <c r="AI530" t="s">
        <v>166</v>
      </c>
      <c r="AJ530" t="s">
        <v>152</v>
      </c>
      <c r="AK530" t="s">
        <v>153</v>
      </c>
      <c r="AL530" t="s">
        <v>154</v>
      </c>
      <c r="AM530" t="s">
        <v>119</v>
      </c>
      <c r="AN530" t="s">
        <v>112</v>
      </c>
      <c r="AO530" t="s">
        <v>121</v>
      </c>
      <c r="AP530" t="s">
        <v>122</v>
      </c>
      <c r="AQ530" t="s">
        <v>122</v>
      </c>
      <c r="AR530" t="s">
        <v>124</v>
      </c>
      <c r="AS530" t="s">
        <v>125</v>
      </c>
      <c r="AT530">
        <v>2</v>
      </c>
      <c r="AU530" t="s">
        <v>126</v>
      </c>
      <c r="AV530" t="s">
        <v>155</v>
      </c>
      <c r="AW530" t="s">
        <v>156</v>
      </c>
      <c r="AX530">
        <v>1</v>
      </c>
      <c r="AY530" t="s">
        <v>129</v>
      </c>
      <c r="AZ530">
        <v>45291.57</v>
      </c>
      <c r="BA530">
        <v>4124558</v>
      </c>
      <c r="BB530">
        <v>53934.47</v>
      </c>
      <c r="BC530">
        <v>91.066800000000001</v>
      </c>
      <c r="BD530" t="s">
        <v>130</v>
      </c>
      <c r="BE530" t="s">
        <v>112</v>
      </c>
      <c r="BF530" t="s">
        <v>157</v>
      </c>
      <c r="BG530" t="s">
        <v>133</v>
      </c>
      <c r="BH530" t="s">
        <v>167</v>
      </c>
      <c r="BI530" t="s">
        <v>168</v>
      </c>
      <c r="BJ530" t="s">
        <v>112</v>
      </c>
      <c r="BK530" t="s">
        <v>112</v>
      </c>
      <c r="BL530" t="s">
        <v>169</v>
      </c>
      <c r="BM530" t="s">
        <v>159</v>
      </c>
      <c r="BN530" t="s">
        <v>726</v>
      </c>
      <c r="BO530" t="s">
        <v>161</v>
      </c>
      <c r="BP530">
        <v>1</v>
      </c>
      <c r="BQ530" t="s">
        <v>162</v>
      </c>
      <c r="BR530" s="45">
        <f>ISNUMBER(SEARCH($BR$1,Таблица1[[#This Row],[31_1 Описание и характеристика товара]]))*1</f>
        <v>1</v>
      </c>
      <c r="BT530" t="s">
        <v>150</v>
      </c>
      <c r="BU530">
        <v>33</v>
      </c>
      <c r="BV530">
        <v>0</v>
      </c>
      <c r="BW530">
        <v>0</v>
      </c>
      <c r="BY530">
        <v>0</v>
      </c>
      <c r="CA530" t="s">
        <v>106</v>
      </c>
      <c r="CB530" t="s">
        <v>142</v>
      </c>
      <c r="CC530" t="s">
        <v>112</v>
      </c>
      <c r="CD530" t="s">
        <v>112</v>
      </c>
      <c r="CE530" t="s">
        <v>121</v>
      </c>
      <c r="CF530">
        <v>16143.87</v>
      </c>
      <c r="CG530" t="s">
        <v>144</v>
      </c>
      <c r="CH530">
        <v>4000000</v>
      </c>
      <c r="CI530">
        <v>15971.07</v>
      </c>
      <c r="CJ530">
        <v>0</v>
      </c>
      <c r="CK530" t="s">
        <v>112</v>
      </c>
      <c r="CL530" t="s">
        <v>112</v>
      </c>
      <c r="CM530">
        <v>45291.57</v>
      </c>
      <c r="CN530">
        <v>4124558</v>
      </c>
      <c r="CO530">
        <v>0</v>
      </c>
      <c r="CP530">
        <v>1</v>
      </c>
      <c r="CQ530">
        <v>4548018.97</v>
      </c>
      <c r="CR530">
        <v>53934.47</v>
      </c>
      <c r="CS530" t="s">
        <v>145</v>
      </c>
      <c r="CT530">
        <v>53982.2166</v>
      </c>
      <c r="CU530">
        <v>3.38</v>
      </c>
      <c r="CV530">
        <v>45</v>
      </c>
      <c r="CW530" t="s">
        <v>171</v>
      </c>
      <c r="CX530" t="s">
        <v>369</v>
      </c>
      <c r="CY530">
        <v>343</v>
      </c>
    </row>
    <row r="531" spans="1:103" x14ac:dyDescent="0.25">
      <c r="A531" t="s">
        <v>106</v>
      </c>
      <c r="B531" s="38">
        <v>45200</v>
      </c>
      <c r="C531" s="43">
        <f>IF(YEAR(Таблица1[[#This Row],[Дата]])=2023,MONTH(Таблица1[[#This Row],[Дата]]),0)</f>
        <v>10</v>
      </c>
      <c r="D531" t="s">
        <v>1321</v>
      </c>
      <c r="E531" t="s">
        <v>108</v>
      </c>
      <c r="F531" t="s">
        <v>1322</v>
      </c>
      <c r="G531" t="s">
        <v>110</v>
      </c>
      <c r="H531" t="s">
        <v>111</v>
      </c>
      <c r="I531" t="s">
        <v>112</v>
      </c>
      <c r="J531" t="s">
        <v>112</v>
      </c>
      <c r="K531" t="s">
        <v>112</v>
      </c>
      <c r="L531" t="s">
        <v>150</v>
      </c>
      <c r="M531" t="s">
        <v>1060</v>
      </c>
      <c r="N531" t="s">
        <v>112</v>
      </c>
      <c r="O531" t="s">
        <v>112</v>
      </c>
      <c r="P531">
        <v>1</v>
      </c>
      <c r="Q531">
        <v>0</v>
      </c>
      <c r="R531">
        <v>1</v>
      </c>
      <c r="S531">
        <v>33</v>
      </c>
      <c r="T531" t="s">
        <v>166</v>
      </c>
      <c r="U531" t="s">
        <v>152</v>
      </c>
      <c r="V531" t="s">
        <v>153</v>
      </c>
      <c r="W531" t="s">
        <v>154</v>
      </c>
      <c r="X531" t="s">
        <v>119</v>
      </c>
      <c r="Y531" t="s">
        <v>112</v>
      </c>
      <c r="Z531" t="s">
        <v>166</v>
      </c>
      <c r="AA531" t="s">
        <v>152</v>
      </c>
      <c r="AB531" t="s">
        <v>153</v>
      </c>
      <c r="AC531" t="s">
        <v>154</v>
      </c>
      <c r="AD531" t="s">
        <v>119</v>
      </c>
      <c r="AE531" t="s">
        <v>112</v>
      </c>
      <c r="AF531" t="s">
        <v>121</v>
      </c>
      <c r="AG531" t="s">
        <v>122</v>
      </c>
      <c r="AH531">
        <v>4177438.1</v>
      </c>
      <c r="AI531" t="s">
        <v>166</v>
      </c>
      <c r="AJ531" t="s">
        <v>152</v>
      </c>
      <c r="AK531" t="s">
        <v>153</v>
      </c>
      <c r="AL531" t="s">
        <v>154</v>
      </c>
      <c r="AM531" t="s">
        <v>119</v>
      </c>
      <c r="AN531" t="s">
        <v>112</v>
      </c>
      <c r="AO531" t="s">
        <v>121</v>
      </c>
      <c r="AP531" t="s">
        <v>122</v>
      </c>
      <c r="AQ531" t="s">
        <v>122</v>
      </c>
      <c r="AR531" t="s">
        <v>124</v>
      </c>
      <c r="AS531" t="s">
        <v>125</v>
      </c>
      <c r="AT531">
        <v>2</v>
      </c>
      <c r="AU531" t="s">
        <v>126</v>
      </c>
      <c r="AV531" t="s">
        <v>155</v>
      </c>
      <c r="AW531" t="s">
        <v>156</v>
      </c>
      <c r="AX531">
        <v>1</v>
      </c>
      <c r="AY531" t="s">
        <v>129</v>
      </c>
      <c r="AZ531">
        <v>41742.239999999998</v>
      </c>
      <c r="BA531">
        <v>3801332</v>
      </c>
      <c r="BB531">
        <v>49539.79</v>
      </c>
      <c r="BC531">
        <v>91.066800000000001</v>
      </c>
      <c r="BD531" t="s">
        <v>130</v>
      </c>
      <c r="BE531" t="s">
        <v>112</v>
      </c>
      <c r="BF531" t="s">
        <v>157</v>
      </c>
      <c r="BG531" t="s">
        <v>133</v>
      </c>
      <c r="BH531" t="s">
        <v>134</v>
      </c>
      <c r="BI531" t="s">
        <v>112</v>
      </c>
      <c r="BJ531" t="s">
        <v>112</v>
      </c>
      <c r="BK531" t="s">
        <v>112</v>
      </c>
      <c r="BL531" t="s">
        <v>169</v>
      </c>
      <c r="BM531" t="s">
        <v>159</v>
      </c>
      <c r="BN531" t="s">
        <v>722</v>
      </c>
      <c r="BO531" t="s">
        <v>161</v>
      </c>
      <c r="BP531">
        <v>1</v>
      </c>
      <c r="BQ531" t="s">
        <v>232</v>
      </c>
      <c r="BR531" s="45">
        <f>ISNUMBER(SEARCH($BR$1,Таблица1[[#This Row],[31_1 Описание и характеристика товара]]))*1</f>
        <v>1</v>
      </c>
      <c r="BT531" t="s">
        <v>150</v>
      </c>
      <c r="BU531">
        <v>33</v>
      </c>
      <c r="BV531">
        <v>0</v>
      </c>
      <c r="BW531">
        <v>0</v>
      </c>
      <c r="BY531">
        <v>0</v>
      </c>
      <c r="CA531" t="s">
        <v>106</v>
      </c>
      <c r="CB531" t="s">
        <v>142</v>
      </c>
      <c r="CC531" t="s">
        <v>112</v>
      </c>
      <c r="CD531" t="s">
        <v>112</v>
      </c>
      <c r="CE531" t="s">
        <v>121</v>
      </c>
      <c r="CF531">
        <v>17092.03</v>
      </c>
      <c r="CG531" t="s">
        <v>144</v>
      </c>
      <c r="CH531">
        <v>4000000</v>
      </c>
      <c r="CI531">
        <v>17092.03</v>
      </c>
      <c r="CJ531">
        <v>0</v>
      </c>
      <c r="CK531" t="s">
        <v>112</v>
      </c>
      <c r="CL531" t="s">
        <v>112</v>
      </c>
      <c r="CM531">
        <v>41742.239999999998</v>
      </c>
      <c r="CN531">
        <v>3801332</v>
      </c>
      <c r="CO531">
        <v>0</v>
      </c>
      <c r="CP531">
        <v>1</v>
      </c>
      <c r="CQ531">
        <v>4177438.1</v>
      </c>
      <c r="CR531">
        <v>49539.79</v>
      </c>
      <c r="CS531" t="s">
        <v>145</v>
      </c>
      <c r="CT531">
        <v>49566.886999999995</v>
      </c>
      <c r="CU531">
        <v>2.9</v>
      </c>
      <c r="CV531">
        <v>45</v>
      </c>
      <c r="CW531" t="s">
        <v>171</v>
      </c>
      <c r="CX531" t="s">
        <v>463</v>
      </c>
      <c r="CY531">
        <v>93</v>
      </c>
    </row>
    <row r="532" spans="1:103" x14ac:dyDescent="0.25">
      <c r="A532" t="s">
        <v>106</v>
      </c>
      <c r="B532" s="38">
        <v>44929</v>
      </c>
      <c r="C532" s="43">
        <f>IF(YEAR(Таблица1[[#This Row],[Дата]])=2023,MONTH(Таблица1[[#This Row],[Дата]]),0)</f>
        <v>1</v>
      </c>
      <c r="D532" t="s">
        <v>1323</v>
      </c>
      <c r="E532" t="s">
        <v>108</v>
      </c>
      <c r="F532" t="s">
        <v>1324</v>
      </c>
      <c r="G532" t="s">
        <v>110</v>
      </c>
      <c r="H532" t="s">
        <v>111</v>
      </c>
      <c r="I532" t="s">
        <v>112</v>
      </c>
      <c r="J532" t="s">
        <v>112</v>
      </c>
      <c r="K532" t="s">
        <v>112</v>
      </c>
      <c r="L532" t="s">
        <v>150</v>
      </c>
      <c r="M532" t="s">
        <v>1060</v>
      </c>
      <c r="N532" t="s">
        <v>112</v>
      </c>
      <c r="O532" t="s">
        <v>112</v>
      </c>
      <c r="P532">
        <v>1</v>
      </c>
      <c r="Q532">
        <v>0</v>
      </c>
      <c r="R532">
        <v>1</v>
      </c>
      <c r="S532">
        <v>33</v>
      </c>
      <c r="T532" t="s">
        <v>166</v>
      </c>
      <c r="U532" t="s">
        <v>152</v>
      </c>
      <c r="V532" t="s">
        <v>153</v>
      </c>
      <c r="W532" t="s">
        <v>154</v>
      </c>
      <c r="X532" t="s">
        <v>119</v>
      </c>
      <c r="Y532" t="s">
        <v>112</v>
      </c>
      <c r="Z532" t="s">
        <v>166</v>
      </c>
      <c r="AA532" t="s">
        <v>152</v>
      </c>
      <c r="AB532" t="s">
        <v>153</v>
      </c>
      <c r="AC532" t="s">
        <v>154</v>
      </c>
      <c r="AD532" t="s">
        <v>119</v>
      </c>
      <c r="AE532" t="s">
        <v>112</v>
      </c>
      <c r="AF532" t="s">
        <v>121</v>
      </c>
      <c r="AG532" t="s">
        <v>122</v>
      </c>
      <c r="AH532">
        <v>4223827.53</v>
      </c>
      <c r="AI532" t="s">
        <v>166</v>
      </c>
      <c r="AJ532" t="s">
        <v>152</v>
      </c>
      <c r="AK532" t="s">
        <v>153</v>
      </c>
      <c r="AL532" t="s">
        <v>154</v>
      </c>
      <c r="AM532" t="s">
        <v>119</v>
      </c>
      <c r="AN532" t="s">
        <v>112</v>
      </c>
      <c r="AO532" t="s">
        <v>121</v>
      </c>
      <c r="AP532" t="s">
        <v>122</v>
      </c>
      <c r="AQ532" t="s">
        <v>122</v>
      </c>
      <c r="AR532" t="s">
        <v>124</v>
      </c>
      <c r="AS532" t="s">
        <v>125</v>
      </c>
      <c r="AT532">
        <v>2</v>
      </c>
      <c r="AU532" t="s">
        <v>126</v>
      </c>
      <c r="AV532" t="s">
        <v>155</v>
      </c>
      <c r="AW532" t="s">
        <v>156</v>
      </c>
      <c r="AX532">
        <v>1</v>
      </c>
      <c r="AY532" t="s">
        <v>129</v>
      </c>
      <c r="AZ532">
        <v>42251.64</v>
      </c>
      <c r="BA532">
        <v>3847722</v>
      </c>
      <c r="BB532">
        <v>50089.919999999998</v>
      </c>
      <c r="BC532">
        <v>91.066800000000001</v>
      </c>
      <c r="BD532" t="s">
        <v>130</v>
      </c>
      <c r="BE532" t="s">
        <v>112</v>
      </c>
      <c r="BF532" t="s">
        <v>157</v>
      </c>
      <c r="BG532" t="s">
        <v>133</v>
      </c>
      <c r="BH532" t="s">
        <v>167</v>
      </c>
      <c r="BI532" t="s">
        <v>168</v>
      </c>
      <c r="BJ532" t="s">
        <v>112</v>
      </c>
      <c r="BK532" t="s">
        <v>112</v>
      </c>
      <c r="BL532" t="s">
        <v>169</v>
      </c>
      <c r="BM532" t="s">
        <v>159</v>
      </c>
      <c r="BN532" t="s">
        <v>726</v>
      </c>
      <c r="BO532" t="s">
        <v>161</v>
      </c>
      <c r="BP532">
        <v>1</v>
      </c>
      <c r="BQ532" t="s">
        <v>162</v>
      </c>
      <c r="BR532" s="45">
        <f>ISNUMBER(SEARCH($BR$1,Таблица1[[#This Row],[31_1 Описание и характеристика товара]]))*1</f>
        <v>1</v>
      </c>
      <c r="BT532" t="s">
        <v>150</v>
      </c>
      <c r="BU532">
        <v>33</v>
      </c>
      <c r="BV532">
        <v>0</v>
      </c>
      <c r="BW532">
        <v>0</v>
      </c>
      <c r="BY532">
        <v>0</v>
      </c>
      <c r="CA532" t="s">
        <v>106</v>
      </c>
      <c r="CB532" t="s">
        <v>142</v>
      </c>
      <c r="CC532" t="s">
        <v>112</v>
      </c>
      <c r="CD532" t="s">
        <v>112</v>
      </c>
      <c r="CE532" t="s">
        <v>121</v>
      </c>
      <c r="CF532">
        <v>17137.55</v>
      </c>
      <c r="CG532" t="s">
        <v>144</v>
      </c>
      <c r="CH532">
        <v>4000000</v>
      </c>
      <c r="CI532">
        <v>17137.55</v>
      </c>
      <c r="CJ532">
        <v>0</v>
      </c>
      <c r="CK532" t="s">
        <v>112</v>
      </c>
      <c r="CL532" t="s">
        <v>112</v>
      </c>
      <c r="CM532">
        <v>42251.64</v>
      </c>
      <c r="CN532">
        <v>3847722</v>
      </c>
      <c r="CO532">
        <v>0</v>
      </c>
      <c r="CP532">
        <v>1</v>
      </c>
      <c r="CQ532">
        <v>4223827.53</v>
      </c>
      <c r="CR532">
        <v>50089.919999999998</v>
      </c>
      <c r="CS532" t="s">
        <v>145</v>
      </c>
      <c r="CT532">
        <v>50041.645999999993</v>
      </c>
      <c r="CU532">
        <v>2.92</v>
      </c>
      <c r="CV532">
        <v>45</v>
      </c>
      <c r="CW532" t="s">
        <v>171</v>
      </c>
      <c r="CX532" t="s">
        <v>172</v>
      </c>
      <c r="CY532">
        <v>150</v>
      </c>
    </row>
    <row r="533" spans="1:103" x14ac:dyDescent="0.25">
      <c r="A533" t="s">
        <v>106</v>
      </c>
      <c r="B533" s="38">
        <v>44988</v>
      </c>
      <c r="C533" s="43">
        <f>IF(YEAR(Таблица1[[#This Row],[Дата]])=2023,MONTH(Таблица1[[#This Row],[Дата]]),0)</f>
        <v>3</v>
      </c>
      <c r="D533" t="s">
        <v>1174</v>
      </c>
      <c r="E533" t="s">
        <v>108</v>
      </c>
      <c r="F533" t="s">
        <v>1175</v>
      </c>
      <c r="G533" t="s">
        <v>110</v>
      </c>
      <c r="H533" t="s">
        <v>111</v>
      </c>
      <c r="I533" t="s">
        <v>112</v>
      </c>
      <c r="J533" t="s">
        <v>112</v>
      </c>
      <c r="K533" t="s">
        <v>112</v>
      </c>
      <c r="L533" t="s">
        <v>150</v>
      </c>
      <c r="M533" t="s">
        <v>1176</v>
      </c>
      <c r="N533" t="s">
        <v>112</v>
      </c>
      <c r="O533" t="s">
        <v>112</v>
      </c>
      <c r="P533">
        <v>1</v>
      </c>
      <c r="Q533">
        <v>0</v>
      </c>
      <c r="R533">
        <v>1</v>
      </c>
      <c r="S533">
        <v>33</v>
      </c>
      <c r="T533" t="s">
        <v>166</v>
      </c>
      <c r="U533" t="s">
        <v>152</v>
      </c>
      <c r="V533" t="s">
        <v>153</v>
      </c>
      <c r="W533" t="s">
        <v>154</v>
      </c>
      <c r="X533" t="s">
        <v>119</v>
      </c>
      <c r="Y533" t="s">
        <v>112</v>
      </c>
      <c r="Z533" t="s">
        <v>166</v>
      </c>
      <c r="AA533" t="s">
        <v>152</v>
      </c>
      <c r="AB533" t="s">
        <v>153</v>
      </c>
      <c r="AC533" t="s">
        <v>154</v>
      </c>
      <c r="AD533" t="s">
        <v>119</v>
      </c>
      <c r="AE533" t="s">
        <v>112</v>
      </c>
      <c r="AF533" t="s">
        <v>121</v>
      </c>
      <c r="AG533" t="s">
        <v>122</v>
      </c>
      <c r="AH533">
        <v>4344745.54</v>
      </c>
      <c r="AI533" t="s">
        <v>166</v>
      </c>
      <c r="AJ533" t="s">
        <v>152</v>
      </c>
      <c r="AK533" t="s">
        <v>153</v>
      </c>
      <c r="AL533" t="s">
        <v>154</v>
      </c>
      <c r="AM533" t="s">
        <v>119</v>
      </c>
      <c r="AN533" t="s">
        <v>112</v>
      </c>
      <c r="AO533" t="s">
        <v>121</v>
      </c>
      <c r="AP533" t="s">
        <v>122</v>
      </c>
      <c r="AQ533" t="s">
        <v>122</v>
      </c>
      <c r="AR533" t="s">
        <v>124</v>
      </c>
      <c r="AS533" t="s">
        <v>125</v>
      </c>
      <c r="AT533">
        <v>2</v>
      </c>
      <c r="AU533" t="s">
        <v>126</v>
      </c>
      <c r="AV533" t="s">
        <v>155</v>
      </c>
      <c r="AW533" t="s">
        <v>156</v>
      </c>
      <c r="AX533">
        <v>1</v>
      </c>
      <c r="AY533" t="s">
        <v>129</v>
      </c>
      <c r="AZ533">
        <v>47439.68</v>
      </c>
      <c r="BA533">
        <v>3996793</v>
      </c>
      <c r="BB533">
        <v>56276.1</v>
      </c>
      <c r="BC533">
        <v>84.25</v>
      </c>
      <c r="BD533" t="s">
        <v>130</v>
      </c>
      <c r="BE533" t="s">
        <v>112</v>
      </c>
      <c r="BF533" t="s">
        <v>157</v>
      </c>
      <c r="BG533" t="s">
        <v>133</v>
      </c>
      <c r="BH533" t="s">
        <v>167</v>
      </c>
      <c r="BI533" t="s">
        <v>168</v>
      </c>
      <c r="BJ533" t="s">
        <v>112</v>
      </c>
      <c r="BK533" t="s">
        <v>112</v>
      </c>
      <c r="BL533" t="s">
        <v>169</v>
      </c>
      <c r="BM533" t="s">
        <v>159</v>
      </c>
      <c r="BN533" t="s">
        <v>726</v>
      </c>
      <c r="BO533" t="s">
        <v>161</v>
      </c>
      <c r="BP533">
        <v>1</v>
      </c>
      <c r="BQ533" t="s">
        <v>232</v>
      </c>
      <c r="BR533" s="45">
        <f>ISNUMBER(SEARCH($BR$1,Таблица1[[#This Row],[31_1 Описание и характеристика товара]]))*1</f>
        <v>1</v>
      </c>
      <c r="BT533" t="s">
        <v>150</v>
      </c>
      <c r="BU533">
        <v>33</v>
      </c>
      <c r="BV533">
        <v>0</v>
      </c>
      <c r="BW533">
        <v>0</v>
      </c>
      <c r="BY533">
        <v>0</v>
      </c>
      <c r="CA533" t="s">
        <v>106</v>
      </c>
      <c r="CB533" t="s">
        <v>142</v>
      </c>
      <c r="CC533" t="s">
        <v>112</v>
      </c>
      <c r="CD533" t="s">
        <v>112</v>
      </c>
      <c r="CE533" t="s">
        <v>121</v>
      </c>
      <c r="CF533">
        <v>16961.75</v>
      </c>
      <c r="CG533" t="s">
        <v>144</v>
      </c>
      <c r="CH533">
        <v>4000000</v>
      </c>
      <c r="CI533">
        <v>16961.75</v>
      </c>
      <c r="CJ533">
        <v>0</v>
      </c>
      <c r="CK533" t="s">
        <v>112</v>
      </c>
      <c r="CL533" t="s">
        <v>112</v>
      </c>
      <c r="CM533">
        <v>47439.68</v>
      </c>
      <c r="CN533">
        <v>3996793</v>
      </c>
      <c r="CO533">
        <v>0</v>
      </c>
      <c r="CP533">
        <v>1</v>
      </c>
      <c r="CQ533">
        <v>4344745.54</v>
      </c>
      <c r="CR533">
        <v>56276.1</v>
      </c>
      <c r="CS533" t="s">
        <v>145</v>
      </c>
      <c r="CT533">
        <v>56275.694150000003</v>
      </c>
      <c r="CU533">
        <v>3.3178000000000001</v>
      </c>
      <c r="CV533">
        <v>45</v>
      </c>
      <c r="CW533" t="s">
        <v>171</v>
      </c>
      <c r="CX533" t="s">
        <v>172</v>
      </c>
      <c r="CY533">
        <v>174</v>
      </c>
    </row>
    <row r="534" spans="1:103" x14ac:dyDescent="0.25">
      <c r="A534" t="s">
        <v>106</v>
      </c>
      <c r="B534" s="38">
        <v>44947</v>
      </c>
      <c r="C534" s="43">
        <f>IF(YEAR(Таблица1[[#This Row],[Дата]])=2023,MONTH(Таблица1[[#This Row],[Дата]]),0)</f>
        <v>1</v>
      </c>
      <c r="D534" t="s">
        <v>1177</v>
      </c>
      <c r="E534" t="s">
        <v>108</v>
      </c>
      <c r="F534" t="s">
        <v>1178</v>
      </c>
      <c r="G534" t="s">
        <v>110</v>
      </c>
      <c r="H534" t="s">
        <v>111</v>
      </c>
      <c r="I534" t="s">
        <v>112</v>
      </c>
      <c r="J534" t="s">
        <v>112</v>
      </c>
      <c r="K534" t="s">
        <v>112</v>
      </c>
      <c r="L534" t="s">
        <v>150</v>
      </c>
      <c r="M534" t="s">
        <v>1176</v>
      </c>
      <c r="N534" t="s">
        <v>112</v>
      </c>
      <c r="O534" t="s">
        <v>112</v>
      </c>
      <c r="P534">
        <v>1</v>
      </c>
      <c r="Q534">
        <v>0</v>
      </c>
      <c r="R534">
        <v>1</v>
      </c>
      <c r="S534">
        <v>33</v>
      </c>
      <c r="T534" t="s">
        <v>166</v>
      </c>
      <c r="U534" t="s">
        <v>152</v>
      </c>
      <c r="V534" t="s">
        <v>153</v>
      </c>
      <c r="W534" t="s">
        <v>154</v>
      </c>
      <c r="X534" t="s">
        <v>119</v>
      </c>
      <c r="Y534" t="s">
        <v>112</v>
      </c>
      <c r="Z534" t="s">
        <v>166</v>
      </c>
      <c r="AA534" t="s">
        <v>152</v>
      </c>
      <c r="AB534" t="s">
        <v>153</v>
      </c>
      <c r="AC534" t="s">
        <v>154</v>
      </c>
      <c r="AD534" t="s">
        <v>119</v>
      </c>
      <c r="AE534" t="s">
        <v>112</v>
      </c>
      <c r="AF534" t="s">
        <v>121</v>
      </c>
      <c r="AG534" t="s">
        <v>122</v>
      </c>
      <c r="AH534">
        <v>4355505.95</v>
      </c>
      <c r="AI534" t="s">
        <v>166</v>
      </c>
      <c r="AJ534" t="s">
        <v>152</v>
      </c>
      <c r="AK534" t="s">
        <v>153</v>
      </c>
      <c r="AL534" t="s">
        <v>154</v>
      </c>
      <c r="AM534" t="s">
        <v>119</v>
      </c>
      <c r="AN534" t="s">
        <v>112</v>
      </c>
      <c r="AO534" t="s">
        <v>121</v>
      </c>
      <c r="AP534" t="s">
        <v>122</v>
      </c>
      <c r="AQ534" t="s">
        <v>122</v>
      </c>
      <c r="AR534" t="s">
        <v>124</v>
      </c>
      <c r="AS534" t="s">
        <v>125</v>
      </c>
      <c r="AT534">
        <v>2</v>
      </c>
      <c r="AU534" t="s">
        <v>126</v>
      </c>
      <c r="AV534" t="s">
        <v>155</v>
      </c>
      <c r="AW534" t="s">
        <v>156</v>
      </c>
      <c r="AX534">
        <v>1</v>
      </c>
      <c r="AY534" t="s">
        <v>129</v>
      </c>
      <c r="AZ534">
        <v>47567.4</v>
      </c>
      <c r="BA534">
        <v>4007553</v>
      </c>
      <c r="BB534">
        <v>56415.47</v>
      </c>
      <c r="BC534">
        <v>84.25</v>
      </c>
      <c r="BD534" t="s">
        <v>130</v>
      </c>
      <c r="BE534" t="s">
        <v>112</v>
      </c>
      <c r="BF534" t="s">
        <v>157</v>
      </c>
      <c r="BG534" t="s">
        <v>133</v>
      </c>
      <c r="BH534" t="s">
        <v>167</v>
      </c>
      <c r="BI534" t="s">
        <v>168</v>
      </c>
      <c r="BJ534" t="s">
        <v>112</v>
      </c>
      <c r="BK534" t="s">
        <v>112</v>
      </c>
      <c r="BL534" t="s">
        <v>169</v>
      </c>
      <c r="BM534" t="s">
        <v>159</v>
      </c>
      <c r="BN534" t="s">
        <v>726</v>
      </c>
      <c r="BO534" t="s">
        <v>161</v>
      </c>
      <c r="BP534">
        <v>1</v>
      </c>
      <c r="BQ534" t="s">
        <v>162</v>
      </c>
      <c r="BR534" s="45">
        <f>ISNUMBER(SEARCH($BR$1,Таблица1[[#This Row],[31_1 Описание и характеристика товара]]))*1</f>
        <v>1</v>
      </c>
      <c r="BT534" t="s">
        <v>150</v>
      </c>
      <c r="BU534">
        <v>33</v>
      </c>
      <c r="BV534">
        <v>0</v>
      </c>
      <c r="BW534">
        <v>0</v>
      </c>
      <c r="BY534">
        <v>0</v>
      </c>
      <c r="CA534" t="s">
        <v>106</v>
      </c>
      <c r="CB534" t="s">
        <v>142</v>
      </c>
      <c r="CC534" t="s">
        <v>112</v>
      </c>
      <c r="CD534" t="s">
        <v>112</v>
      </c>
      <c r="CE534" t="s">
        <v>121</v>
      </c>
      <c r="CF534">
        <v>16968.900000000001</v>
      </c>
      <c r="CG534" t="s">
        <v>144</v>
      </c>
      <c r="CH534">
        <v>4000000</v>
      </c>
      <c r="CI534">
        <v>16968.900000000001</v>
      </c>
      <c r="CJ534">
        <v>0</v>
      </c>
      <c r="CK534" t="s">
        <v>112</v>
      </c>
      <c r="CL534" t="s">
        <v>112</v>
      </c>
      <c r="CM534">
        <v>47567.4</v>
      </c>
      <c r="CN534">
        <v>4007553</v>
      </c>
      <c r="CO534">
        <v>0</v>
      </c>
      <c r="CP534">
        <v>1</v>
      </c>
      <c r="CQ534">
        <v>4355505.95</v>
      </c>
      <c r="CR534">
        <v>56415.47</v>
      </c>
      <c r="CS534" t="s">
        <v>145</v>
      </c>
      <c r="CT534">
        <v>56414.804940000009</v>
      </c>
      <c r="CU534">
        <v>3.3246000000000002</v>
      </c>
      <c r="CV534">
        <v>45</v>
      </c>
      <c r="CW534" t="s">
        <v>171</v>
      </c>
      <c r="CX534" t="s">
        <v>372</v>
      </c>
      <c r="CY534">
        <v>21</v>
      </c>
    </row>
    <row r="535" spans="1:103" x14ac:dyDescent="0.25">
      <c r="A535" t="s">
        <v>106</v>
      </c>
      <c r="B535" s="38">
        <v>45273</v>
      </c>
      <c r="C535" s="43">
        <f>IF(YEAR(Таблица1[[#This Row],[Дата]])=2023,MONTH(Таблица1[[#This Row],[Дата]]),0)</f>
        <v>12</v>
      </c>
      <c r="D535" t="s">
        <v>930</v>
      </c>
      <c r="E535" t="s">
        <v>108</v>
      </c>
      <c r="F535" t="s">
        <v>931</v>
      </c>
      <c r="G535" t="s">
        <v>110</v>
      </c>
      <c r="H535" t="s">
        <v>111</v>
      </c>
      <c r="I535" t="s">
        <v>112</v>
      </c>
      <c r="J535" t="s">
        <v>112</v>
      </c>
      <c r="K535" t="s">
        <v>112</v>
      </c>
      <c r="L535" t="s">
        <v>150</v>
      </c>
      <c r="M535" t="s">
        <v>151</v>
      </c>
      <c r="N535" t="s">
        <v>112</v>
      </c>
      <c r="O535" t="s">
        <v>112</v>
      </c>
      <c r="P535">
        <v>1</v>
      </c>
      <c r="Q535">
        <v>0</v>
      </c>
      <c r="R535">
        <v>1</v>
      </c>
      <c r="S535">
        <v>33</v>
      </c>
      <c r="T535" t="s">
        <v>166</v>
      </c>
      <c r="U535" t="s">
        <v>152</v>
      </c>
      <c r="V535" t="s">
        <v>153</v>
      </c>
      <c r="W535" t="s">
        <v>154</v>
      </c>
      <c r="X535" t="s">
        <v>119</v>
      </c>
      <c r="Y535" t="s">
        <v>112</v>
      </c>
      <c r="Z535" t="s">
        <v>166</v>
      </c>
      <c r="AA535" t="s">
        <v>152</v>
      </c>
      <c r="AB535" t="s">
        <v>153</v>
      </c>
      <c r="AC535" t="s">
        <v>154</v>
      </c>
      <c r="AD535" t="s">
        <v>119</v>
      </c>
      <c r="AE535" t="s">
        <v>112</v>
      </c>
      <c r="AF535" t="s">
        <v>121</v>
      </c>
      <c r="AG535" t="s">
        <v>122</v>
      </c>
      <c r="AH535">
        <v>3664629.28</v>
      </c>
      <c r="AI535" t="s">
        <v>166</v>
      </c>
      <c r="AJ535" t="s">
        <v>152</v>
      </c>
      <c r="AK535" t="s">
        <v>153</v>
      </c>
      <c r="AL535" t="s">
        <v>154</v>
      </c>
      <c r="AM535" t="s">
        <v>119</v>
      </c>
      <c r="AN535" t="s">
        <v>112</v>
      </c>
      <c r="AO535" t="s">
        <v>121</v>
      </c>
      <c r="AP535" t="s">
        <v>122</v>
      </c>
      <c r="AQ535" t="s">
        <v>122</v>
      </c>
      <c r="AR535" t="s">
        <v>124</v>
      </c>
      <c r="AS535" t="s">
        <v>125</v>
      </c>
      <c r="AT535">
        <v>2</v>
      </c>
      <c r="AU535" t="s">
        <v>126</v>
      </c>
      <c r="AV535" t="s">
        <v>155</v>
      </c>
      <c r="AW535" t="s">
        <v>156</v>
      </c>
      <c r="AX535">
        <v>1</v>
      </c>
      <c r="AY535" t="s">
        <v>129</v>
      </c>
      <c r="AZ535">
        <v>41162.49</v>
      </c>
      <c r="BA535">
        <v>3314371</v>
      </c>
      <c r="BB535">
        <v>48736.5</v>
      </c>
      <c r="BC535">
        <v>80.519199999999998</v>
      </c>
      <c r="BD535" t="s">
        <v>130</v>
      </c>
      <c r="BE535" t="s">
        <v>112</v>
      </c>
      <c r="BF535" t="s">
        <v>157</v>
      </c>
      <c r="BG535" t="s">
        <v>133</v>
      </c>
      <c r="BH535" t="s">
        <v>134</v>
      </c>
      <c r="BI535" t="s">
        <v>112</v>
      </c>
      <c r="BJ535" t="s">
        <v>112</v>
      </c>
      <c r="BK535" t="s">
        <v>112</v>
      </c>
      <c r="BL535" t="s">
        <v>169</v>
      </c>
      <c r="BM535" t="s">
        <v>159</v>
      </c>
      <c r="BN535" t="s">
        <v>212</v>
      </c>
      <c r="BO535" t="s">
        <v>161</v>
      </c>
      <c r="BP535">
        <v>1</v>
      </c>
      <c r="BQ535" t="s">
        <v>232</v>
      </c>
      <c r="BR535" s="45">
        <f>ISNUMBER(SEARCH($BR$1,Таблица1[[#This Row],[31_1 Описание и характеристика товара]]))*1</f>
        <v>1</v>
      </c>
      <c r="BT535" t="s">
        <v>150</v>
      </c>
      <c r="BU535">
        <v>33</v>
      </c>
      <c r="BV535">
        <v>0</v>
      </c>
      <c r="BW535">
        <v>0</v>
      </c>
      <c r="BY535">
        <v>0</v>
      </c>
      <c r="CA535" t="s">
        <v>106</v>
      </c>
      <c r="CB535" t="s">
        <v>142</v>
      </c>
      <c r="CC535" t="s">
        <v>112</v>
      </c>
      <c r="CD535" t="s">
        <v>112</v>
      </c>
      <c r="CE535" t="s">
        <v>121</v>
      </c>
      <c r="CF535">
        <v>16577.310000000001</v>
      </c>
      <c r="CG535" t="s">
        <v>144</v>
      </c>
      <c r="CH535">
        <v>4000000</v>
      </c>
      <c r="CI535">
        <v>16469.310000000001</v>
      </c>
      <c r="CJ535">
        <v>0</v>
      </c>
      <c r="CK535" t="s">
        <v>112</v>
      </c>
      <c r="CL535" t="s">
        <v>112</v>
      </c>
      <c r="CM535">
        <v>41162.49</v>
      </c>
      <c r="CN535">
        <v>3314371</v>
      </c>
      <c r="CO535">
        <v>0</v>
      </c>
      <c r="CP535">
        <v>1</v>
      </c>
      <c r="CQ535">
        <v>3664629.28</v>
      </c>
      <c r="CR535">
        <v>48736.5</v>
      </c>
      <c r="CS535" t="s">
        <v>145</v>
      </c>
      <c r="CT535">
        <v>48735.982152000004</v>
      </c>
      <c r="CU535">
        <v>2.9592000000000001</v>
      </c>
      <c r="CV535">
        <v>45</v>
      </c>
      <c r="CW535" t="s">
        <v>171</v>
      </c>
      <c r="CX535" t="s">
        <v>172</v>
      </c>
      <c r="CY535">
        <v>1</v>
      </c>
    </row>
    <row r="536" spans="1:103" x14ac:dyDescent="0.25">
      <c r="A536" t="s">
        <v>106</v>
      </c>
      <c r="B536" s="38">
        <v>45129</v>
      </c>
      <c r="C536" s="43">
        <f>IF(YEAR(Таблица1[[#This Row],[Дата]])=2023,MONTH(Таблица1[[#This Row],[Дата]]),0)</f>
        <v>7</v>
      </c>
      <c r="D536" t="s">
        <v>932</v>
      </c>
      <c r="E536" t="s">
        <v>108</v>
      </c>
      <c r="F536" t="s">
        <v>933</v>
      </c>
      <c r="G536" t="s">
        <v>110</v>
      </c>
      <c r="H536" t="s">
        <v>111</v>
      </c>
      <c r="I536" t="s">
        <v>112</v>
      </c>
      <c r="J536" t="s">
        <v>112</v>
      </c>
      <c r="K536" t="s">
        <v>112</v>
      </c>
      <c r="L536" t="s">
        <v>150</v>
      </c>
      <c r="M536" t="s">
        <v>151</v>
      </c>
      <c r="N536" t="s">
        <v>112</v>
      </c>
      <c r="O536" t="s">
        <v>112</v>
      </c>
      <c r="P536">
        <v>1</v>
      </c>
      <c r="Q536">
        <v>0</v>
      </c>
      <c r="R536">
        <v>1</v>
      </c>
      <c r="S536">
        <v>33</v>
      </c>
      <c r="T536" t="s">
        <v>166</v>
      </c>
      <c r="U536" t="s">
        <v>152</v>
      </c>
      <c r="V536" t="s">
        <v>153</v>
      </c>
      <c r="W536" t="s">
        <v>154</v>
      </c>
      <c r="X536" t="s">
        <v>119</v>
      </c>
      <c r="Y536" t="s">
        <v>112</v>
      </c>
      <c r="Z536" t="s">
        <v>166</v>
      </c>
      <c r="AA536" t="s">
        <v>152</v>
      </c>
      <c r="AB536" t="s">
        <v>153</v>
      </c>
      <c r="AC536" t="s">
        <v>154</v>
      </c>
      <c r="AD536" t="s">
        <v>119</v>
      </c>
      <c r="AE536" t="s">
        <v>112</v>
      </c>
      <c r="AF536" t="s">
        <v>121</v>
      </c>
      <c r="AG536" t="s">
        <v>122</v>
      </c>
      <c r="AH536">
        <v>3569512.76</v>
      </c>
      <c r="AI536" t="s">
        <v>166</v>
      </c>
      <c r="AJ536" t="s">
        <v>152</v>
      </c>
      <c r="AK536" t="s">
        <v>153</v>
      </c>
      <c r="AL536" t="s">
        <v>154</v>
      </c>
      <c r="AM536" t="s">
        <v>119</v>
      </c>
      <c r="AN536" t="s">
        <v>112</v>
      </c>
      <c r="AO536" t="s">
        <v>121</v>
      </c>
      <c r="AP536" t="s">
        <v>122</v>
      </c>
      <c r="AQ536" t="s">
        <v>122</v>
      </c>
      <c r="AR536" t="s">
        <v>124</v>
      </c>
      <c r="AS536" t="s">
        <v>125</v>
      </c>
      <c r="AT536">
        <v>2</v>
      </c>
      <c r="AU536" t="s">
        <v>126</v>
      </c>
      <c r="AV536" t="s">
        <v>155</v>
      </c>
      <c r="AW536" t="s">
        <v>156</v>
      </c>
      <c r="AX536">
        <v>1</v>
      </c>
      <c r="AY536" t="s">
        <v>129</v>
      </c>
      <c r="AZ536">
        <v>39981.199999999997</v>
      </c>
      <c r="BA536">
        <v>3219254</v>
      </c>
      <c r="BB536">
        <v>47471.53</v>
      </c>
      <c r="BC536">
        <v>80.519199999999998</v>
      </c>
      <c r="BD536" t="s">
        <v>130</v>
      </c>
      <c r="BE536" t="s">
        <v>112</v>
      </c>
      <c r="BF536" t="s">
        <v>157</v>
      </c>
      <c r="BG536" t="s">
        <v>133</v>
      </c>
      <c r="BH536" t="s">
        <v>134</v>
      </c>
      <c r="BI536" t="s">
        <v>112</v>
      </c>
      <c r="BJ536" t="s">
        <v>112</v>
      </c>
      <c r="BK536" t="s">
        <v>112</v>
      </c>
      <c r="BL536" t="s">
        <v>169</v>
      </c>
      <c r="BM536" t="s">
        <v>159</v>
      </c>
      <c r="BN536" t="s">
        <v>212</v>
      </c>
      <c r="BO536" t="s">
        <v>161</v>
      </c>
      <c r="BP536">
        <v>1</v>
      </c>
      <c r="BQ536" t="s">
        <v>934</v>
      </c>
      <c r="BR536" s="45">
        <f>ISNUMBER(SEARCH($BR$1,Таблица1[[#This Row],[31_1 Описание и характеристика товара]]))*1</f>
        <v>1</v>
      </c>
      <c r="BT536" t="s">
        <v>150</v>
      </c>
      <c r="BU536">
        <v>33</v>
      </c>
      <c r="BV536">
        <v>0</v>
      </c>
      <c r="BW536">
        <v>0</v>
      </c>
      <c r="BY536">
        <v>0</v>
      </c>
      <c r="CA536" t="s">
        <v>106</v>
      </c>
      <c r="CB536" t="s">
        <v>142</v>
      </c>
      <c r="CC536" t="s">
        <v>112</v>
      </c>
      <c r="CD536" t="s">
        <v>112</v>
      </c>
      <c r="CE536" t="s">
        <v>121</v>
      </c>
      <c r="CF536">
        <v>16036.89</v>
      </c>
      <c r="CG536" t="s">
        <v>144</v>
      </c>
      <c r="CH536">
        <v>4000000</v>
      </c>
      <c r="CI536">
        <v>15856.89</v>
      </c>
      <c r="CJ536">
        <v>0</v>
      </c>
      <c r="CK536" t="s">
        <v>112</v>
      </c>
      <c r="CL536" t="s">
        <v>112</v>
      </c>
      <c r="CM536">
        <v>39981.199999999997</v>
      </c>
      <c r="CN536">
        <v>3219254</v>
      </c>
      <c r="CO536">
        <v>0</v>
      </c>
      <c r="CP536">
        <v>1</v>
      </c>
      <c r="CQ536">
        <v>3569512.76</v>
      </c>
      <c r="CR536">
        <v>47471.53</v>
      </c>
      <c r="CS536" t="s">
        <v>145</v>
      </c>
      <c r="CT536">
        <v>47470.771592999998</v>
      </c>
      <c r="CU536">
        <v>2.9937</v>
      </c>
      <c r="CV536">
        <v>45</v>
      </c>
      <c r="CW536" t="s">
        <v>171</v>
      </c>
      <c r="CX536" t="s">
        <v>172</v>
      </c>
      <c r="CY536">
        <v>325</v>
      </c>
    </row>
    <row r="537" spans="1:103" x14ac:dyDescent="0.25">
      <c r="A537" t="s">
        <v>106</v>
      </c>
      <c r="B537" s="38">
        <v>44935</v>
      </c>
      <c r="C537" s="43">
        <f>IF(YEAR(Таблица1[[#This Row],[Дата]])=2023,MONTH(Таблица1[[#This Row],[Дата]]),0)</f>
        <v>1</v>
      </c>
      <c r="D537" t="s">
        <v>935</v>
      </c>
      <c r="E537" t="s">
        <v>108</v>
      </c>
      <c r="F537" t="s">
        <v>936</v>
      </c>
      <c r="G537" t="s">
        <v>110</v>
      </c>
      <c r="H537" t="s">
        <v>111</v>
      </c>
      <c r="I537" t="s">
        <v>112</v>
      </c>
      <c r="J537" t="s">
        <v>112</v>
      </c>
      <c r="K537" t="s">
        <v>112</v>
      </c>
      <c r="L537" t="s">
        <v>150</v>
      </c>
      <c r="M537" t="s">
        <v>151</v>
      </c>
      <c r="N537" t="s">
        <v>112</v>
      </c>
      <c r="O537" t="s">
        <v>112</v>
      </c>
      <c r="P537">
        <v>1</v>
      </c>
      <c r="Q537">
        <v>0</v>
      </c>
      <c r="R537">
        <v>1</v>
      </c>
      <c r="S537">
        <v>33</v>
      </c>
      <c r="T537" t="s">
        <v>166</v>
      </c>
      <c r="U537" t="s">
        <v>152</v>
      </c>
      <c r="V537" t="s">
        <v>153</v>
      </c>
      <c r="W537" t="s">
        <v>154</v>
      </c>
      <c r="X537" t="s">
        <v>119</v>
      </c>
      <c r="Y537" t="s">
        <v>112</v>
      </c>
      <c r="Z537" t="s">
        <v>166</v>
      </c>
      <c r="AA537" t="s">
        <v>152</v>
      </c>
      <c r="AB537" t="s">
        <v>153</v>
      </c>
      <c r="AC537" t="s">
        <v>154</v>
      </c>
      <c r="AD537" t="s">
        <v>119</v>
      </c>
      <c r="AE537" t="s">
        <v>112</v>
      </c>
      <c r="AF537" t="s">
        <v>121</v>
      </c>
      <c r="AG537" t="s">
        <v>122</v>
      </c>
      <c r="AH537">
        <v>3332475.51</v>
      </c>
      <c r="AI537" t="s">
        <v>166</v>
      </c>
      <c r="AJ537" t="s">
        <v>152</v>
      </c>
      <c r="AK537" t="s">
        <v>153</v>
      </c>
      <c r="AL537" t="s">
        <v>154</v>
      </c>
      <c r="AM537" t="s">
        <v>119</v>
      </c>
      <c r="AN537" t="s">
        <v>112</v>
      </c>
      <c r="AO537" t="s">
        <v>121</v>
      </c>
      <c r="AP537" t="s">
        <v>122</v>
      </c>
      <c r="AQ537" t="s">
        <v>122</v>
      </c>
      <c r="AR537" t="s">
        <v>124</v>
      </c>
      <c r="AS537" t="s">
        <v>125</v>
      </c>
      <c r="AT537">
        <v>2</v>
      </c>
      <c r="AU537" t="s">
        <v>126</v>
      </c>
      <c r="AV537" t="s">
        <v>155</v>
      </c>
      <c r="AW537" t="s">
        <v>156</v>
      </c>
      <c r="AX537">
        <v>1</v>
      </c>
      <c r="AY537" t="s">
        <v>129</v>
      </c>
      <c r="AZ537">
        <v>36337.339999999997</v>
      </c>
      <c r="BA537">
        <v>2925854</v>
      </c>
      <c r="BB537">
        <v>44319.14</v>
      </c>
      <c r="BC537">
        <v>80.519199999999998</v>
      </c>
      <c r="BD537" t="s">
        <v>130</v>
      </c>
      <c r="BE537" t="s">
        <v>112</v>
      </c>
      <c r="BF537" t="s">
        <v>157</v>
      </c>
      <c r="BG537" t="s">
        <v>133</v>
      </c>
      <c r="BH537" t="s">
        <v>134</v>
      </c>
      <c r="BI537" t="s">
        <v>112</v>
      </c>
      <c r="BJ537" t="s">
        <v>112</v>
      </c>
      <c r="BK537" t="s">
        <v>112</v>
      </c>
      <c r="BL537" t="s">
        <v>169</v>
      </c>
      <c r="BM537" t="s">
        <v>159</v>
      </c>
      <c r="BN537" t="s">
        <v>212</v>
      </c>
      <c r="BO537" t="s">
        <v>161</v>
      </c>
      <c r="BP537">
        <v>1</v>
      </c>
      <c r="BQ537" t="s">
        <v>937</v>
      </c>
      <c r="BR537" s="45">
        <f>ISNUMBER(SEARCH($BR$1,Таблица1[[#This Row],[31_1 Описание и характеристика товара]]))*1</f>
        <v>1</v>
      </c>
      <c r="BT537" t="s">
        <v>150</v>
      </c>
      <c r="BU537">
        <v>33</v>
      </c>
      <c r="BV537">
        <v>0</v>
      </c>
      <c r="BW537">
        <v>0</v>
      </c>
      <c r="BY537">
        <v>0</v>
      </c>
      <c r="CA537" t="s">
        <v>106</v>
      </c>
      <c r="CB537" t="s">
        <v>142</v>
      </c>
      <c r="CC537" t="s">
        <v>112</v>
      </c>
      <c r="CD537" t="s">
        <v>112</v>
      </c>
      <c r="CE537" t="s">
        <v>121</v>
      </c>
      <c r="CF537">
        <v>16069.84</v>
      </c>
      <c r="CG537" t="s">
        <v>144</v>
      </c>
      <c r="CH537">
        <v>4000000</v>
      </c>
      <c r="CI537">
        <v>16000.24</v>
      </c>
      <c r="CJ537">
        <v>0</v>
      </c>
      <c r="CK537" t="s">
        <v>112</v>
      </c>
      <c r="CL537" t="s">
        <v>112</v>
      </c>
      <c r="CM537">
        <v>36337.339999999997</v>
      </c>
      <c r="CN537">
        <v>2925854</v>
      </c>
      <c r="CO537">
        <v>0</v>
      </c>
      <c r="CP537">
        <v>1</v>
      </c>
      <c r="CQ537">
        <v>3332475.51</v>
      </c>
      <c r="CR537">
        <v>44319.14</v>
      </c>
      <c r="CS537" t="s">
        <v>145</v>
      </c>
      <c r="CT537">
        <v>44319.064775999999</v>
      </c>
      <c r="CU537">
        <v>2.7698999999999998</v>
      </c>
      <c r="CV537">
        <v>45</v>
      </c>
      <c r="CW537" t="s">
        <v>171</v>
      </c>
      <c r="CX537" t="s">
        <v>369</v>
      </c>
      <c r="CY537">
        <v>153</v>
      </c>
    </row>
    <row r="538" spans="1:103" x14ac:dyDescent="0.25">
      <c r="A538" t="s">
        <v>106</v>
      </c>
      <c r="B538" s="38">
        <v>44649</v>
      </c>
      <c r="C538" s="43">
        <f>IF(YEAR(Таблица1[[#This Row],[Дата]])=2023,MONTH(Таблица1[[#This Row],[Дата]]),0)</f>
        <v>0</v>
      </c>
      <c r="D538" t="s">
        <v>577</v>
      </c>
      <c r="E538" t="s">
        <v>108</v>
      </c>
      <c r="F538" t="s">
        <v>578</v>
      </c>
      <c r="G538" t="s">
        <v>110</v>
      </c>
      <c r="H538" t="s">
        <v>111</v>
      </c>
      <c r="I538" t="s">
        <v>112</v>
      </c>
      <c r="J538" t="s">
        <v>112</v>
      </c>
      <c r="K538" t="s">
        <v>112</v>
      </c>
      <c r="L538" t="s">
        <v>150</v>
      </c>
      <c r="M538" t="s">
        <v>151</v>
      </c>
      <c r="N538" t="s">
        <v>112</v>
      </c>
      <c r="O538" t="s">
        <v>112</v>
      </c>
      <c r="P538">
        <v>1</v>
      </c>
      <c r="Q538">
        <v>0</v>
      </c>
      <c r="R538">
        <v>1</v>
      </c>
      <c r="S538">
        <v>33</v>
      </c>
      <c r="T538" t="s">
        <v>166</v>
      </c>
      <c r="U538" t="s">
        <v>152</v>
      </c>
      <c r="V538" t="s">
        <v>153</v>
      </c>
      <c r="W538" t="s">
        <v>154</v>
      </c>
      <c r="X538" t="s">
        <v>119</v>
      </c>
      <c r="Y538" t="s">
        <v>112</v>
      </c>
      <c r="Z538" t="s">
        <v>166</v>
      </c>
      <c r="AA538" t="s">
        <v>152</v>
      </c>
      <c r="AB538" t="s">
        <v>153</v>
      </c>
      <c r="AC538" t="s">
        <v>154</v>
      </c>
      <c r="AD538" t="s">
        <v>119</v>
      </c>
      <c r="AE538" t="s">
        <v>112</v>
      </c>
      <c r="AF538" t="s">
        <v>121</v>
      </c>
      <c r="AG538" t="s">
        <v>122</v>
      </c>
      <c r="AH538">
        <v>3507381.21</v>
      </c>
      <c r="AI538" t="s">
        <v>166</v>
      </c>
      <c r="AJ538" t="s">
        <v>152</v>
      </c>
      <c r="AK538" t="s">
        <v>153</v>
      </c>
      <c r="AL538" t="s">
        <v>154</v>
      </c>
      <c r="AM538" t="s">
        <v>119</v>
      </c>
      <c r="AN538" t="s">
        <v>112</v>
      </c>
      <c r="AO538" t="s">
        <v>121</v>
      </c>
      <c r="AP538" t="s">
        <v>122</v>
      </c>
      <c r="AQ538" t="s">
        <v>122</v>
      </c>
      <c r="AR538" t="s">
        <v>124</v>
      </c>
      <c r="AS538" t="s">
        <v>125</v>
      </c>
      <c r="AT538">
        <v>2</v>
      </c>
      <c r="AU538" t="s">
        <v>126</v>
      </c>
      <c r="AV538" t="s">
        <v>155</v>
      </c>
      <c r="AW538" t="s">
        <v>156</v>
      </c>
      <c r="AX538">
        <v>1</v>
      </c>
      <c r="AY538" t="s">
        <v>129</v>
      </c>
      <c r="AZ538">
        <v>39859.480000000003</v>
      </c>
      <c r="BA538">
        <v>3162272</v>
      </c>
      <c r="BB538">
        <v>47483.99</v>
      </c>
      <c r="BC538">
        <v>79.335499999999996</v>
      </c>
      <c r="BD538" t="s">
        <v>130</v>
      </c>
      <c r="BE538" t="s">
        <v>112</v>
      </c>
      <c r="BF538" t="s">
        <v>157</v>
      </c>
      <c r="BG538" t="s">
        <v>133</v>
      </c>
      <c r="BH538" t="s">
        <v>134</v>
      </c>
      <c r="BI538" t="s">
        <v>112</v>
      </c>
      <c r="BJ538" t="s">
        <v>112</v>
      </c>
      <c r="BK538" t="s">
        <v>112</v>
      </c>
      <c r="BL538" t="s">
        <v>169</v>
      </c>
      <c r="BM538" t="s">
        <v>159</v>
      </c>
      <c r="BN538" t="s">
        <v>212</v>
      </c>
      <c r="BO538" t="s">
        <v>161</v>
      </c>
      <c r="BP538">
        <v>1</v>
      </c>
      <c r="BQ538" t="s">
        <v>579</v>
      </c>
      <c r="BR538" s="45">
        <f>ISNUMBER(SEARCH($BR$1,Таблица1[[#This Row],[31_1 Описание и характеристика товара]]))*1</f>
        <v>1</v>
      </c>
      <c r="BT538" t="s">
        <v>150</v>
      </c>
      <c r="BU538">
        <v>33</v>
      </c>
      <c r="BV538">
        <v>0</v>
      </c>
      <c r="BW538">
        <v>0</v>
      </c>
      <c r="BY538">
        <v>0</v>
      </c>
      <c r="CA538" t="s">
        <v>106</v>
      </c>
      <c r="CB538" t="s">
        <v>142</v>
      </c>
      <c r="CC538" t="s">
        <v>112</v>
      </c>
      <c r="CD538" t="s">
        <v>112</v>
      </c>
      <c r="CE538" t="s">
        <v>121</v>
      </c>
      <c r="CF538">
        <v>16871.78</v>
      </c>
      <c r="CG538" t="s">
        <v>144</v>
      </c>
      <c r="CH538">
        <v>4000000</v>
      </c>
      <c r="CI538">
        <v>16806.98</v>
      </c>
      <c r="CJ538">
        <v>0</v>
      </c>
      <c r="CK538" t="s">
        <v>112</v>
      </c>
      <c r="CL538" t="s">
        <v>112</v>
      </c>
      <c r="CM538">
        <v>39859.480000000003</v>
      </c>
      <c r="CN538">
        <v>3162272</v>
      </c>
      <c r="CO538">
        <v>0</v>
      </c>
      <c r="CP538">
        <v>1</v>
      </c>
      <c r="CQ538">
        <v>3507381.21</v>
      </c>
      <c r="CR538">
        <v>47483.99</v>
      </c>
      <c r="CS538" t="s">
        <v>145</v>
      </c>
      <c r="CT538">
        <v>47484.760593999999</v>
      </c>
      <c r="CU538">
        <v>2.8252999999999999</v>
      </c>
      <c r="CV538">
        <v>45</v>
      </c>
      <c r="CW538" t="s">
        <v>171</v>
      </c>
      <c r="CX538" t="s">
        <v>372</v>
      </c>
      <c r="CY538">
        <v>182</v>
      </c>
    </row>
    <row r="539" spans="1:103" x14ac:dyDescent="0.25">
      <c r="A539" t="s">
        <v>106</v>
      </c>
      <c r="B539" s="38">
        <v>44797</v>
      </c>
      <c r="C539" s="43">
        <f>IF(YEAR(Таблица1[[#This Row],[Дата]])=2023,MONTH(Таблица1[[#This Row],[Дата]]),0)</f>
        <v>0</v>
      </c>
      <c r="D539" t="s">
        <v>574</v>
      </c>
      <c r="E539" t="s">
        <v>108</v>
      </c>
      <c r="F539" t="s">
        <v>575</v>
      </c>
      <c r="G539" t="s">
        <v>110</v>
      </c>
      <c r="H539" t="s">
        <v>111</v>
      </c>
      <c r="I539" t="s">
        <v>112</v>
      </c>
      <c r="J539" t="s">
        <v>112</v>
      </c>
      <c r="K539" t="s">
        <v>112</v>
      </c>
      <c r="L539" t="s">
        <v>150</v>
      </c>
      <c r="M539" t="s">
        <v>151</v>
      </c>
      <c r="N539" t="s">
        <v>112</v>
      </c>
      <c r="O539" t="s">
        <v>112</v>
      </c>
      <c r="P539">
        <v>1</v>
      </c>
      <c r="Q539">
        <v>0</v>
      </c>
      <c r="R539">
        <v>1</v>
      </c>
      <c r="S539">
        <v>33</v>
      </c>
      <c r="T539" t="s">
        <v>166</v>
      </c>
      <c r="U539" t="s">
        <v>152</v>
      </c>
      <c r="V539" t="s">
        <v>153</v>
      </c>
      <c r="W539" t="s">
        <v>154</v>
      </c>
      <c r="X539" t="s">
        <v>119</v>
      </c>
      <c r="Y539" t="s">
        <v>112</v>
      </c>
      <c r="Z539" t="s">
        <v>166</v>
      </c>
      <c r="AA539" t="s">
        <v>152</v>
      </c>
      <c r="AB539" t="s">
        <v>153</v>
      </c>
      <c r="AC539" t="s">
        <v>154</v>
      </c>
      <c r="AD539" t="s">
        <v>119</v>
      </c>
      <c r="AE539" t="s">
        <v>112</v>
      </c>
      <c r="AF539" t="s">
        <v>121</v>
      </c>
      <c r="AG539" t="s">
        <v>122</v>
      </c>
      <c r="AH539">
        <v>3833954.68</v>
      </c>
      <c r="AI539" t="s">
        <v>166</v>
      </c>
      <c r="AJ539" t="s">
        <v>152</v>
      </c>
      <c r="AK539" t="s">
        <v>153</v>
      </c>
      <c r="AL539" t="s">
        <v>154</v>
      </c>
      <c r="AM539" t="s">
        <v>119</v>
      </c>
      <c r="AN539" t="s">
        <v>112</v>
      </c>
      <c r="AO539" t="s">
        <v>121</v>
      </c>
      <c r="AP539" t="s">
        <v>122</v>
      </c>
      <c r="AQ539" t="s">
        <v>122</v>
      </c>
      <c r="AR539" t="s">
        <v>124</v>
      </c>
      <c r="AS539" t="s">
        <v>125</v>
      </c>
      <c r="AT539">
        <v>2</v>
      </c>
      <c r="AU539" t="s">
        <v>126</v>
      </c>
      <c r="AV539" t="s">
        <v>155</v>
      </c>
      <c r="AW539" t="s">
        <v>156</v>
      </c>
      <c r="AX539">
        <v>1</v>
      </c>
      <c r="AY539" t="s">
        <v>129</v>
      </c>
      <c r="AZ539">
        <v>43975.839999999997</v>
      </c>
      <c r="BA539">
        <v>3488845</v>
      </c>
      <c r="BB539">
        <v>51905.24</v>
      </c>
      <c r="BC539">
        <v>79.335499999999996</v>
      </c>
      <c r="BD539" t="s">
        <v>130</v>
      </c>
      <c r="BE539" t="s">
        <v>112</v>
      </c>
      <c r="BF539" t="s">
        <v>157</v>
      </c>
      <c r="BG539" t="s">
        <v>133</v>
      </c>
      <c r="BH539" t="s">
        <v>134</v>
      </c>
      <c r="BI539" t="s">
        <v>112</v>
      </c>
      <c r="BJ539" t="s">
        <v>112</v>
      </c>
      <c r="BK539" t="s">
        <v>112</v>
      </c>
      <c r="BL539" t="s">
        <v>169</v>
      </c>
      <c r="BM539" t="s">
        <v>159</v>
      </c>
      <c r="BN539" t="s">
        <v>212</v>
      </c>
      <c r="BO539" t="s">
        <v>161</v>
      </c>
      <c r="BP539">
        <v>1</v>
      </c>
      <c r="BQ539" t="s">
        <v>576</v>
      </c>
      <c r="BR539" s="45">
        <f>ISNUMBER(SEARCH($BR$1,Таблица1[[#This Row],[31_1 Описание и характеристика товара]]))*1</f>
        <v>1</v>
      </c>
      <c r="BT539" t="s">
        <v>150</v>
      </c>
      <c r="BU539">
        <v>33</v>
      </c>
      <c r="BV539">
        <v>0</v>
      </c>
      <c r="BW539">
        <v>0</v>
      </c>
      <c r="BY539">
        <v>0</v>
      </c>
      <c r="CA539" t="s">
        <v>106</v>
      </c>
      <c r="CB539" t="s">
        <v>142</v>
      </c>
      <c r="CC539" t="s">
        <v>112</v>
      </c>
      <c r="CD539" t="s">
        <v>112</v>
      </c>
      <c r="CE539" t="s">
        <v>121</v>
      </c>
      <c r="CF539">
        <v>16799.71</v>
      </c>
      <c r="CG539" t="s">
        <v>144</v>
      </c>
      <c r="CH539">
        <v>4000000</v>
      </c>
      <c r="CI539">
        <v>16734.91</v>
      </c>
      <c r="CJ539">
        <v>0</v>
      </c>
      <c r="CK539" t="s">
        <v>112</v>
      </c>
      <c r="CL539" t="s">
        <v>112</v>
      </c>
      <c r="CM539">
        <v>43975.839999999997</v>
      </c>
      <c r="CN539">
        <v>3488845</v>
      </c>
      <c r="CO539">
        <v>0</v>
      </c>
      <c r="CP539">
        <v>1</v>
      </c>
      <c r="CQ539">
        <v>3833954.68</v>
      </c>
      <c r="CR539">
        <v>51905.24</v>
      </c>
      <c r="CS539" t="s">
        <v>145</v>
      </c>
      <c r="CT539">
        <v>51904.996855999998</v>
      </c>
      <c r="CU539">
        <v>3.1015999999999999</v>
      </c>
      <c r="CV539">
        <v>45</v>
      </c>
      <c r="CW539" t="s">
        <v>171</v>
      </c>
      <c r="CX539" t="s">
        <v>172</v>
      </c>
      <c r="CY539">
        <v>152</v>
      </c>
    </row>
    <row r="540" spans="1:103" x14ac:dyDescent="0.25">
      <c r="A540" t="s">
        <v>106</v>
      </c>
      <c r="B540" s="38">
        <v>45283</v>
      </c>
      <c r="C540" s="43">
        <f>IF(YEAR(Таблица1[[#This Row],[Дата]])=2023,MONTH(Таблица1[[#This Row],[Дата]]),0)</f>
        <v>12</v>
      </c>
      <c r="D540" t="s">
        <v>881</v>
      </c>
      <c r="E540" t="s">
        <v>108</v>
      </c>
      <c r="F540" t="s">
        <v>882</v>
      </c>
      <c r="G540" t="s">
        <v>110</v>
      </c>
      <c r="H540" t="s">
        <v>111</v>
      </c>
      <c r="I540" t="s">
        <v>112</v>
      </c>
      <c r="J540" t="s">
        <v>112</v>
      </c>
      <c r="K540" t="s">
        <v>112</v>
      </c>
      <c r="L540" t="s">
        <v>150</v>
      </c>
      <c r="M540" t="s">
        <v>151</v>
      </c>
      <c r="N540" t="s">
        <v>112</v>
      </c>
      <c r="O540" t="s">
        <v>112</v>
      </c>
      <c r="P540">
        <v>1</v>
      </c>
      <c r="R540">
        <v>1</v>
      </c>
      <c r="S540">
        <v>33</v>
      </c>
      <c r="T540" t="s">
        <v>112</v>
      </c>
      <c r="U540" t="s">
        <v>152</v>
      </c>
      <c r="V540" t="s">
        <v>153</v>
      </c>
      <c r="W540" t="s">
        <v>154</v>
      </c>
      <c r="X540" t="s">
        <v>119</v>
      </c>
      <c r="Y540" t="s">
        <v>112</v>
      </c>
      <c r="Z540" t="s">
        <v>112</v>
      </c>
      <c r="AA540" t="s">
        <v>152</v>
      </c>
      <c r="AB540" t="s">
        <v>153</v>
      </c>
      <c r="AC540" t="s">
        <v>154</v>
      </c>
      <c r="AD540" t="s">
        <v>119</v>
      </c>
      <c r="AE540" t="s">
        <v>112</v>
      </c>
      <c r="AF540" t="s">
        <v>121</v>
      </c>
      <c r="AG540" t="s">
        <v>122</v>
      </c>
      <c r="AH540">
        <v>4279206.25</v>
      </c>
      <c r="AI540" t="s">
        <v>112</v>
      </c>
      <c r="AJ540" t="s">
        <v>152</v>
      </c>
      <c r="AK540" t="s">
        <v>153</v>
      </c>
      <c r="AL540" t="s">
        <v>154</v>
      </c>
      <c r="AM540" t="s">
        <v>119</v>
      </c>
      <c r="AN540" t="s">
        <v>112</v>
      </c>
      <c r="AO540" t="s">
        <v>121</v>
      </c>
      <c r="AP540" t="s">
        <v>122</v>
      </c>
      <c r="AQ540" t="s">
        <v>122</v>
      </c>
      <c r="AR540" t="s">
        <v>124</v>
      </c>
      <c r="AS540" t="s">
        <v>125</v>
      </c>
      <c r="AT540">
        <v>2</v>
      </c>
      <c r="AU540" t="s">
        <v>126</v>
      </c>
      <c r="AV540" t="s">
        <v>155</v>
      </c>
      <c r="AW540" t="s">
        <v>156</v>
      </c>
      <c r="AY540" t="s">
        <v>129</v>
      </c>
      <c r="AZ540">
        <v>40148.28</v>
      </c>
      <c r="BC540">
        <v>96.95</v>
      </c>
      <c r="BD540" t="s">
        <v>112</v>
      </c>
      <c r="BE540" t="s">
        <v>112</v>
      </c>
      <c r="BF540" t="s">
        <v>157</v>
      </c>
      <c r="BG540" t="s">
        <v>133</v>
      </c>
      <c r="BH540" t="s">
        <v>134</v>
      </c>
      <c r="BI540" t="s">
        <v>112</v>
      </c>
      <c r="BJ540" t="s">
        <v>112</v>
      </c>
      <c r="BK540" t="s">
        <v>112</v>
      </c>
      <c r="BL540" t="s">
        <v>158</v>
      </c>
      <c r="BM540" t="s">
        <v>159</v>
      </c>
      <c r="BN540" t="s">
        <v>212</v>
      </c>
      <c r="BO540" t="s">
        <v>161</v>
      </c>
      <c r="BQ540" t="s">
        <v>205</v>
      </c>
      <c r="BR540" s="45">
        <f>ISNUMBER(SEARCH($BR$1,Таблица1[[#This Row],[31_1 Описание и характеристика товара]]))*1</f>
        <v>1</v>
      </c>
      <c r="BT540" t="s">
        <v>150</v>
      </c>
      <c r="BU540">
        <v>33</v>
      </c>
      <c r="BV540">
        <v>0</v>
      </c>
      <c r="BW540">
        <v>0</v>
      </c>
      <c r="BY540">
        <v>0</v>
      </c>
      <c r="CA540" t="s">
        <v>106</v>
      </c>
      <c r="CB540" t="s">
        <v>142</v>
      </c>
      <c r="CC540" t="s">
        <v>112</v>
      </c>
      <c r="CD540" t="s">
        <v>112</v>
      </c>
      <c r="CE540" t="s">
        <v>121</v>
      </c>
      <c r="CF540">
        <v>16836.88</v>
      </c>
      <c r="CG540" t="s">
        <v>144</v>
      </c>
      <c r="CH540">
        <v>4000000</v>
      </c>
      <c r="CI540">
        <v>16800.88</v>
      </c>
      <c r="CJ540">
        <v>0</v>
      </c>
      <c r="CK540" t="s">
        <v>112</v>
      </c>
      <c r="CL540" t="s">
        <v>112</v>
      </c>
      <c r="CM540">
        <v>40148.28</v>
      </c>
      <c r="CO540">
        <v>0</v>
      </c>
      <c r="CP540">
        <v>1</v>
      </c>
      <c r="CQ540">
        <v>4279206.25</v>
      </c>
      <c r="CR540">
        <v>47603.54</v>
      </c>
      <c r="CS540" t="s">
        <v>145</v>
      </c>
      <c r="CT540">
        <v>47546.490400000002</v>
      </c>
      <c r="CU540">
        <v>2.83</v>
      </c>
      <c r="CV540">
        <v>45</v>
      </c>
      <c r="CX540" t="s">
        <v>233</v>
      </c>
      <c r="CY540">
        <v>314</v>
      </c>
    </row>
    <row r="541" spans="1:103" x14ac:dyDescent="0.25">
      <c r="A541" t="s">
        <v>106</v>
      </c>
      <c r="B541" s="38">
        <v>45223</v>
      </c>
      <c r="C541" s="43">
        <f>IF(YEAR(Таблица1[[#This Row],[Дата]])=2023,MONTH(Таблица1[[#This Row],[Дата]]),0)</f>
        <v>10</v>
      </c>
      <c r="D541" t="s">
        <v>837</v>
      </c>
      <c r="E541" t="s">
        <v>108</v>
      </c>
      <c r="F541" t="s">
        <v>838</v>
      </c>
      <c r="G541" t="s">
        <v>110</v>
      </c>
      <c r="H541" t="s">
        <v>111</v>
      </c>
      <c r="I541" t="s">
        <v>112</v>
      </c>
      <c r="J541" t="s">
        <v>112</v>
      </c>
      <c r="K541" t="s">
        <v>112</v>
      </c>
      <c r="L541" t="s">
        <v>150</v>
      </c>
      <c r="M541" t="s">
        <v>151</v>
      </c>
      <c r="N541" t="s">
        <v>112</v>
      </c>
      <c r="O541" t="s">
        <v>112</v>
      </c>
      <c r="P541">
        <v>1</v>
      </c>
      <c r="R541">
        <v>1</v>
      </c>
      <c r="S541">
        <v>33</v>
      </c>
      <c r="T541" t="s">
        <v>112</v>
      </c>
      <c r="U541" t="s">
        <v>152</v>
      </c>
      <c r="V541" t="s">
        <v>153</v>
      </c>
      <c r="W541" t="s">
        <v>154</v>
      </c>
      <c r="X541" t="s">
        <v>119</v>
      </c>
      <c r="Y541" t="s">
        <v>112</v>
      </c>
      <c r="Z541" t="s">
        <v>112</v>
      </c>
      <c r="AA541" t="s">
        <v>152</v>
      </c>
      <c r="AB541" t="s">
        <v>153</v>
      </c>
      <c r="AC541" t="s">
        <v>154</v>
      </c>
      <c r="AD541" t="s">
        <v>119</v>
      </c>
      <c r="AE541" t="s">
        <v>112</v>
      </c>
      <c r="AF541" t="s">
        <v>121</v>
      </c>
      <c r="AG541" t="s">
        <v>122</v>
      </c>
      <c r="AH541">
        <v>3807959.44</v>
      </c>
      <c r="AI541" t="s">
        <v>112</v>
      </c>
      <c r="AJ541" t="s">
        <v>152</v>
      </c>
      <c r="AK541" t="s">
        <v>153</v>
      </c>
      <c r="AL541" t="s">
        <v>154</v>
      </c>
      <c r="AM541" t="s">
        <v>119</v>
      </c>
      <c r="AN541" t="s">
        <v>112</v>
      </c>
      <c r="AO541" t="s">
        <v>121</v>
      </c>
      <c r="AP541" t="s">
        <v>122</v>
      </c>
      <c r="AQ541" t="s">
        <v>122</v>
      </c>
      <c r="AR541" t="s">
        <v>124</v>
      </c>
      <c r="AS541" t="s">
        <v>125</v>
      </c>
      <c r="AT541">
        <v>2</v>
      </c>
      <c r="AU541" t="s">
        <v>126</v>
      </c>
      <c r="AV541" t="s">
        <v>155</v>
      </c>
      <c r="AW541" t="s">
        <v>156</v>
      </c>
      <c r="AY541" t="s">
        <v>129</v>
      </c>
      <c r="AZ541">
        <v>35287.56</v>
      </c>
      <c r="BC541">
        <v>96.95</v>
      </c>
      <c r="BD541" t="s">
        <v>112</v>
      </c>
      <c r="BE541" t="s">
        <v>112</v>
      </c>
      <c r="BF541" t="s">
        <v>157</v>
      </c>
      <c r="BG541" t="s">
        <v>133</v>
      </c>
      <c r="BH541" t="s">
        <v>134</v>
      </c>
      <c r="BI541" t="s">
        <v>112</v>
      </c>
      <c r="BJ541" t="s">
        <v>112</v>
      </c>
      <c r="BK541" t="s">
        <v>112</v>
      </c>
      <c r="BL541" t="s">
        <v>158</v>
      </c>
      <c r="BM541" t="s">
        <v>159</v>
      </c>
      <c r="BN541" t="s">
        <v>212</v>
      </c>
      <c r="BO541" t="s">
        <v>161</v>
      </c>
      <c r="BQ541" t="s">
        <v>616</v>
      </c>
      <c r="BR541" s="45">
        <f>ISNUMBER(SEARCH($BR$1,Таблица1[[#This Row],[31_1 Описание и характеристика товара]]))*1</f>
        <v>1</v>
      </c>
      <c r="BT541" t="s">
        <v>150</v>
      </c>
      <c r="BU541">
        <v>33</v>
      </c>
      <c r="BV541">
        <v>0</v>
      </c>
      <c r="BW541">
        <v>0</v>
      </c>
      <c r="BY541">
        <v>0</v>
      </c>
      <c r="CA541" t="s">
        <v>106</v>
      </c>
      <c r="CB541" t="s">
        <v>142</v>
      </c>
      <c r="CC541" t="s">
        <v>112</v>
      </c>
      <c r="CD541" t="s">
        <v>112</v>
      </c>
      <c r="CE541" t="s">
        <v>121</v>
      </c>
      <c r="CF541">
        <v>17353.91</v>
      </c>
      <c r="CG541" t="s">
        <v>144</v>
      </c>
      <c r="CH541">
        <v>4000000</v>
      </c>
      <c r="CI541">
        <v>17353.91</v>
      </c>
      <c r="CJ541">
        <v>0</v>
      </c>
      <c r="CK541" t="s">
        <v>112</v>
      </c>
      <c r="CL541" t="s">
        <v>112</v>
      </c>
      <c r="CM541">
        <v>35287.56</v>
      </c>
      <c r="CO541">
        <v>0</v>
      </c>
      <c r="CP541">
        <v>1</v>
      </c>
      <c r="CQ541">
        <v>3807959.44</v>
      </c>
      <c r="CR541">
        <v>42361.21</v>
      </c>
      <c r="CS541" t="s">
        <v>145</v>
      </c>
      <c r="CT541">
        <v>42343.540399999998</v>
      </c>
      <c r="CU541">
        <v>2.44</v>
      </c>
      <c r="CV541">
        <v>45</v>
      </c>
      <c r="CX541" t="s">
        <v>163</v>
      </c>
      <c r="CY541">
        <v>317</v>
      </c>
    </row>
    <row r="542" spans="1:103" x14ac:dyDescent="0.25">
      <c r="A542" t="s">
        <v>106</v>
      </c>
      <c r="B542" s="38">
        <v>44966</v>
      </c>
      <c r="C542" s="43">
        <f>IF(YEAR(Таблица1[[#This Row],[Дата]])=2023,MONTH(Таблица1[[#This Row],[Дата]]),0)</f>
        <v>2</v>
      </c>
      <c r="D542" t="s">
        <v>770</v>
      </c>
      <c r="E542" t="s">
        <v>108</v>
      </c>
      <c r="F542" t="s">
        <v>771</v>
      </c>
      <c r="G542" t="s">
        <v>110</v>
      </c>
      <c r="H542" t="s">
        <v>111</v>
      </c>
      <c r="I542" t="s">
        <v>112</v>
      </c>
      <c r="J542" t="s">
        <v>112</v>
      </c>
      <c r="K542" t="s">
        <v>112</v>
      </c>
      <c r="L542" t="s">
        <v>150</v>
      </c>
      <c r="M542" t="s">
        <v>151</v>
      </c>
      <c r="N542" t="s">
        <v>112</v>
      </c>
      <c r="O542" t="s">
        <v>112</v>
      </c>
      <c r="P542">
        <v>1</v>
      </c>
      <c r="R542">
        <v>1</v>
      </c>
      <c r="S542">
        <v>33</v>
      </c>
      <c r="T542" t="s">
        <v>112</v>
      </c>
      <c r="U542" t="s">
        <v>152</v>
      </c>
      <c r="V542" t="s">
        <v>153</v>
      </c>
      <c r="W542" t="s">
        <v>154</v>
      </c>
      <c r="X542" t="s">
        <v>119</v>
      </c>
      <c r="Y542" t="s">
        <v>112</v>
      </c>
      <c r="Z542" t="s">
        <v>112</v>
      </c>
      <c r="AA542" t="s">
        <v>152</v>
      </c>
      <c r="AB542" t="s">
        <v>153</v>
      </c>
      <c r="AC542" t="s">
        <v>154</v>
      </c>
      <c r="AD542" t="s">
        <v>119</v>
      </c>
      <c r="AE542" t="s">
        <v>112</v>
      </c>
      <c r="AF542" t="s">
        <v>121</v>
      </c>
      <c r="AG542" t="s">
        <v>122</v>
      </c>
      <c r="AH542">
        <v>4235782.34</v>
      </c>
      <c r="AI542" t="s">
        <v>112</v>
      </c>
      <c r="AJ542" t="s">
        <v>152</v>
      </c>
      <c r="AK542" t="s">
        <v>153</v>
      </c>
      <c r="AL542" t="s">
        <v>154</v>
      </c>
      <c r="AM542" t="s">
        <v>119</v>
      </c>
      <c r="AN542" t="s">
        <v>112</v>
      </c>
      <c r="AO542" t="s">
        <v>121</v>
      </c>
      <c r="AP542" t="s">
        <v>122</v>
      </c>
      <c r="AQ542" t="s">
        <v>122</v>
      </c>
      <c r="AR542" t="s">
        <v>124</v>
      </c>
      <c r="AS542" t="s">
        <v>125</v>
      </c>
      <c r="AT542">
        <v>2</v>
      </c>
      <c r="AU542" t="s">
        <v>126</v>
      </c>
      <c r="AV542" t="s">
        <v>155</v>
      </c>
      <c r="AW542" t="s">
        <v>156</v>
      </c>
      <c r="AY542" t="s">
        <v>129</v>
      </c>
      <c r="AZ542">
        <v>39700.379999999997</v>
      </c>
      <c r="BC542">
        <v>96.95</v>
      </c>
      <c r="BD542" t="s">
        <v>112</v>
      </c>
      <c r="BE542" t="s">
        <v>112</v>
      </c>
      <c r="BF542" t="s">
        <v>157</v>
      </c>
      <c r="BG542" t="s">
        <v>133</v>
      </c>
      <c r="BH542" t="s">
        <v>134</v>
      </c>
      <c r="BI542" t="s">
        <v>112</v>
      </c>
      <c r="BJ542" t="s">
        <v>112</v>
      </c>
      <c r="BK542" t="s">
        <v>112</v>
      </c>
      <c r="BL542" t="s">
        <v>158</v>
      </c>
      <c r="BM542" t="s">
        <v>159</v>
      </c>
      <c r="BN542" t="s">
        <v>212</v>
      </c>
      <c r="BO542" t="s">
        <v>161</v>
      </c>
      <c r="BQ542" t="s">
        <v>772</v>
      </c>
      <c r="BR542" s="45">
        <f>ISNUMBER(SEARCH($BR$1,Таблица1[[#This Row],[31_1 Описание и характеристика товара]]))*1</f>
        <v>1</v>
      </c>
      <c r="BT542" t="s">
        <v>150</v>
      </c>
      <c r="BU542">
        <v>33</v>
      </c>
      <c r="BV542">
        <v>0</v>
      </c>
      <c r="BW542">
        <v>0</v>
      </c>
      <c r="BY542">
        <v>0</v>
      </c>
      <c r="CA542" t="s">
        <v>106</v>
      </c>
      <c r="CB542" t="s">
        <v>142</v>
      </c>
      <c r="CC542" t="s">
        <v>112</v>
      </c>
      <c r="CD542" t="s">
        <v>112</v>
      </c>
      <c r="CE542" t="s">
        <v>121</v>
      </c>
      <c r="CF542">
        <v>16483.36</v>
      </c>
      <c r="CG542" t="s">
        <v>144</v>
      </c>
      <c r="CH542">
        <v>4000000</v>
      </c>
      <c r="CI542">
        <v>16405.96</v>
      </c>
      <c r="CJ542">
        <v>0</v>
      </c>
      <c r="CK542" t="s">
        <v>112</v>
      </c>
      <c r="CL542" t="s">
        <v>112</v>
      </c>
      <c r="CM542">
        <v>39700.379999999997</v>
      </c>
      <c r="CO542">
        <v>0</v>
      </c>
      <c r="CP542">
        <v>1</v>
      </c>
      <c r="CQ542">
        <v>4235782.34</v>
      </c>
      <c r="CR542">
        <v>47120.480000000003</v>
      </c>
      <c r="CS542" t="s">
        <v>145</v>
      </c>
      <c r="CT542">
        <v>47085.105199999998</v>
      </c>
      <c r="CU542">
        <v>2.87</v>
      </c>
      <c r="CV542">
        <v>45</v>
      </c>
      <c r="CX542" t="s">
        <v>163</v>
      </c>
      <c r="CY542">
        <v>108</v>
      </c>
    </row>
    <row r="543" spans="1:103" x14ac:dyDescent="0.25">
      <c r="A543" t="s">
        <v>106</v>
      </c>
      <c r="B543" s="38">
        <v>45141</v>
      </c>
      <c r="C543" s="43">
        <f>IF(YEAR(Таблица1[[#This Row],[Дата]])=2023,MONTH(Таблица1[[#This Row],[Дата]]),0)</f>
        <v>8</v>
      </c>
      <c r="D543" t="s">
        <v>762</v>
      </c>
      <c r="E543" t="s">
        <v>108</v>
      </c>
      <c r="F543" t="s">
        <v>763</v>
      </c>
      <c r="G543" t="s">
        <v>110</v>
      </c>
      <c r="H543" t="s">
        <v>111</v>
      </c>
      <c r="I543" t="s">
        <v>112</v>
      </c>
      <c r="J543" t="s">
        <v>112</v>
      </c>
      <c r="K543" t="s">
        <v>112</v>
      </c>
      <c r="L543" t="s">
        <v>150</v>
      </c>
      <c r="M543" t="s">
        <v>151</v>
      </c>
      <c r="N543" t="s">
        <v>112</v>
      </c>
      <c r="O543" t="s">
        <v>112</v>
      </c>
      <c r="P543">
        <v>1</v>
      </c>
      <c r="R543">
        <v>1</v>
      </c>
      <c r="S543">
        <v>33</v>
      </c>
      <c r="T543" t="s">
        <v>112</v>
      </c>
      <c r="U543" t="s">
        <v>152</v>
      </c>
      <c r="V543" t="s">
        <v>153</v>
      </c>
      <c r="W543" t="s">
        <v>154</v>
      </c>
      <c r="X543" t="s">
        <v>119</v>
      </c>
      <c r="Y543" t="s">
        <v>112</v>
      </c>
      <c r="Z543" t="s">
        <v>112</v>
      </c>
      <c r="AA543" t="s">
        <v>152</v>
      </c>
      <c r="AB543" t="s">
        <v>153</v>
      </c>
      <c r="AC543" t="s">
        <v>154</v>
      </c>
      <c r="AD543" t="s">
        <v>119</v>
      </c>
      <c r="AE543" t="s">
        <v>112</v>
      </c>
      <c r="AF543" t="s">
        <v>121</v>
      </c>
      <c r="AG543" t="s">
        <v>122</v>
      </c>
      <c r="AH543">
        <v>4214265.26</v>
      </c>
      <c r="AI543" t="s">
        <v>112</v>
      </c>
      <c r="AJ543" t="s">
        <v>152</v>
      </c>
      <c r="AK543" t="s">
        <v>153</v>
      </c>
      <c r="AL543" t="s">
        <v>154</v>
      </c>
      <c r="AM543" t="s">
        <v>119</v>
      </c>
      <c r="AN543" t="s">
        <v>112</v>
      </c>
      <c r="AO543" t="s">
        <v>121</v>
      </c>
      <c r="AP543" t="s">
        <v>122</v>
      </c>
      <c r="AQ543" t="s">
        <v>122</v>
      </c>
      <c r="AR543" t="s">
        <v>124</v>
      </c>
      <c r="AS543" t="s">
        <v>125</v>
      </c>
      <c r="AT543">
        <v>2</v>
      </c>
      <c r="AU543" t="s">
        <v>126</v>
      </c>
      <c r="AV543" t="s">
        <v>155</v>
      </c>
      <c r="AW543" t="s">
        <v>156</v>
      </c>
      <c r="AY543" t="s">
        <v>129</v>
      </c>
      <c r="AZ543">
        <v>38948.44</v>
      </c>
      <c r="BC543">
        <v>96.95</v>
      </c>
      <c r="BD543" t="s">
        <v>112</v>
      </c>
      <c r="BE543" t="s">
        <v>112</v>
      </c>
      <c r="BF543" t="s">
        <v>157</v>
      </c>
      <c r="BG543" t="s">
        <v>133</v>
      </c>
      <c r="BH543" t="s">
        <v>134</v>
      </c>
      <c r="BI543" t="s">
        <v>112</v>
      </c>
      <c r="BJ543" t="s">
        <v>112</v>
      </c>
      <c r="BK543" t="s">
        <v>112</v>
      </c>
      <c r="BL543" t="s">
        <v>158</v>
      </c>
      <c r="BM543" t="s">
        <v>159</v>
      </c>
      <c r="BN543" t="s">
        <v>212</v>
      </c>
      <c r="BO543" t="s">
        <v>161</v>
      </c>
      <c r="BQ543" t="s">
        <v>205</v>
      </c>
      <c r="BR543" s="45">
        <f>ISNUMBER(SEARCH($BR$1,Таблица1[[#This Row],[31_1 Описание и характеристика товара]]))*1</f>
        <v>1</v>
      </c>
      <c r="BT543" t="s">
        <v>150</v>
      </c>
      <c r="BU543">
        <v>33</v>
      </c>
      <c r="BV543">
        <v>0</v>
      </c>
      <c r="BW543">
        <v>0</v>
      </c>
      <c r="BY543">
        <v>0</v>
      </c>
      <c r="CA543" t="s">
        <v>106</v>
      </c>
      <c r="CB543" t="s">
        <v>142</v>
      </c>
      <c r="CC543" t="s">
        <v>112</v>
      </c>
      <c r="CD543" t="s">
        <v>112</v>
      </c>
      <c r="CE543" t="s">
        <v>121</v>
      </c>
      <c r="CF543">
        <v>16475.22</v>
      </c>
      <c r="CG543" t="s">
        <v>144</v>
      </c>
      <c r="CH543">
        <v>4000000</v>
      </c>
      <c r="CI543">
        <v>16367.22</v>
      </c>
      <c r="CJ543">
        <v>0</v>
      </c>
      <c r="CK543" t="s">
        <v>112</v>
      </c>
      <c r="CL543" t="s">
        <v>112</v>
      </c>
      <c r="CM543">
        <v>38948.44</v>
      </c>
      <c r="CO543">
        <v>0</v>
      </c>
      <c r="CP543">
        <v>1</v>
      </c>
      <c r="CQ543">
        <v>4214265.26</v>
      </c>
      <c r="CR543">
        <v>46881.11</v>
      </c>
      <c r="CS543" t="s">
        <v>145</v>
      </c>
      <c r="CT543">
        <v>46810.249199999998</v>
      </c>
      <c r="CU543">
        <v>2.86</v>
      </c>
      <c r="CV543">
        <v>45</v>
      </c>
      <c r="CX543" t="s">
        <v>233</v>
      </c>
      <c r="CY543">
        <v>42</v>
      </c>
    </row>
    <row r="544" spans="1:103" x14ac:dyDescent="0.25">
      <c r="A544" t="s">
        <v>106</v>
      </c>
      <c r="B544" s="38">
        <v>45195</v>
      </c>
      <c r="C544" s="43">
        <f>IF(YEAR(Таблица1[[#This Row],[Дата]])=2023,MONTH(Таблица1[[#This Row],[Дата]]),0)</f>
        <v>9</v>
      </c>
      <c r="D544" t="s">
        <v>1512</v>
      </c>
      <c r="E544" t="s">
        <v>108</v>
      </c>
      <c r="F544" t="s">
        <v>1513</v>
      </c>
      <c r="G544" t="s">
        <v>110</v>
      </c>
      <c r="H544" t="s">
        <v>111</v>
      </c>
      <c r="I544" t="s">
        <v>112</v>
      </c>
      <c r="J544" t="s">
        <v>112</v>
      </c>
      <c r="K544" t="s">
        <v>112</v>
      </c>
      <c r="L544" t="s">
        <v>150</v>
      </c>
      <c r="M544" t="s">
        <v>151</v>
      </c>
      <c r="N544" t="s">
        <v>112</v>
      </c>
      <c r="O544" t="s">
        <v>112</v>
      </c>
      <c r="P544">
        <v>1</v>
      </c>
      <c r="R544">
        <v>1</v>
      </c>
      <c r="S544">
        <v>33</v>
      </c>
      <c r="T544" t="s">
        <v>112</v>
      </c>
      <c r="U544" t="s">
        <v>152</v>
      </c>
      <c r="V544" t="s">
        <v>153</v>
      </c>
      <c r="W544" t="s">
        <v>154</v>
      </c>
      <c r="X544" t="s">
        <v>119</v>
      </c>
      <c r="Y544" t="s">
        <v>112</v>
      </c>
      <c r="Z544" t="s">
        <v>112</v>
      </c>
      <c r="AA544" t="s">
        <v>152</v>
      </c>
      <c r="AB544" t="s">
        <v>153</v>
      </c>
      <c r="AC544" t="s">
        <v>154</v>
      </c>
      <c r="AD544" t="s">
        <v>119</v>
      </c>
      <c r="AE544" t="s">
        <v>112</v>
      </c>
      <c r="AF544" t="s">
        <v>121</v>
      </c>
      <c r="AG544" t="s">
        <v>122</v>
      </c>
      <c r="AH544">
        <v>4658095.59</v>
      </c>
      <c r="AI544" t="s">
        <v>112</v>
      </c>
      <c r="AJ544" t="s">
        <v>152</v>
      </c>
      <c r="AK544" t="s">
        <v>153</v>
      </c>
      <c r="AL544" t="s">
        <v>154</v>
      </c>
      <c r="AM544" t="s">
        <v>119</v>
      </c>
      <c r="AN544" t="s">
        <v>112</v>
      </c>
      <c r="AO544" t="s">
        <v>121</v>
      </c>
      <c r="AP544" t="s">
        <v>122</v>
      </c>
      <c r="AQ544" t="s">
        <v>122</v>
      </c>
      <c r="AR544" t="s">
        <v>124</v>
      </c>
      <c r="AS544" t="s">
        <v>125</v>
      </c>
      <c r="AT544">
        <v>2</v>
      </c>
      <c r="AU544" t="s">
        <v>126</v>
      </c>
      <c r="AV544" t="s">
        <v>155</v>
      </c>
      <c r="AW544" t="s">
        <v>156</v>
      </c>
      <c r="AY544" t="s">
        <v>129</v>
      </c>
      <c r="AZ544">
        <v>43285.24</v>
      </c>
      <c r="BC544">
        <v>98.531400000000005</v>
      </c>
      <c r="BD544" t="s">
        <v>112</v>
      </c>
      <c r="BE544" t="s">
        <v>112</v>
      </c>
      <c r="BF544" t="s">
        <v>157</v>
      </c>
      <c r="BG544" t="s">
        <v>133</v>
      </c>
      <c r="BH544" t="s">
        <v>134</v>
      </c>
      <c r="BI544" t="s">
        <v>112</v>
      </c>
      <c r="BJ544" t="s">
        <v>112</v>
      </c>
      <c r="BK544" t="s">
        <v>112</v>
      </c>
      <c r="BL544" t="s">
        <v>158</v>
      </c>
      <c r="BM544" t="s">
        <v>159</v>
      </c>
      <c r="BN544" t="s">
        <v>212</v>
      </c>
      <c r="BO544" t="s">
        <v>161</v>
      </c>
      <c r="BQ544" t="s">
        <v>205</v>
      </c>
      <c r="BR544" s="45">
        <f>ISNUMBER(SEARCH($BR$1,Таблица1[[#This Row],[31_1 Описание и характеристика товара]]))*1</f>
        <v>1</v>
      </c>
      <c r="BT544" t="s">
        <v>150</v>
      </c>
      <c r="BU544">
        <v>33</v>
      </c>
      <c r="BV544">
        <v>0</v>
      </c>
      <c r="BW544">
        <v>0</v>
      </c>
      <c r="BY544">
        <v>0</v>
      </c>
      <c r="CA544" t="s">
        <v>106</v>
      </c>
      <c r="CB544" t="s">
        <v>142</v>
      </c>
      <c r="CC544" t="s">
        <v>112</v>
      </c>
      <c r="CD544" t="s">
        <v>112</v>
      </c>
      <c r="CE544" t="s">
        <v>121</v>
      </c>
      <c r="CF544">
        <v>16539.64</v>
      </c>
      <c r="CG544" t="s">
        <v>144</v>
      </c>
      <c r="CH544">
        <v>4000000</v>
      </c>
      <c r="CI544">
        <v>16467.64</v>
      </c>
      <c r="CJ544">
        <v>0</v>
      </c>
      <c r="CK544" t="s">
        <v>112</v>
      </c>
      <c r="CL544" t="s">
        <v>112</v>
      </c>
      <c r="CM544">
        <v>43285.24</v>
      </c>
      <c r="CO544">
        <v>0</v>
      </c>
      <c r="CP544">
        <v>1</v>
      </c>
      <c r="CQ544">
        <v>4658095.59</v>
      </c>
      <c r="CR544">
        <v>50566.34</v>
      </c>
      <c r="CS544" t="s">
        <v>145</v>
      </c>
      <c r="CT544">
        <v>50555.654799999997</v>
      </c>
      <c r="CU544">
        <v>3.07</v>
      </c>
      <c r="CV544">
        <v>45</v>
      </c>
      <c r="CX544" t="s">
        <v>729</v>
      </c>
      <c r="CY544">
        <v>544</v>
      </c>
    </row>
    <row r="545" spans="1:103" x14ac:dyDescent="0.25">
      <c r="A545" t="s">
        <v>106</v>
      </c>
      <c r="B545" s="38">
        <v>45060</v>
      </c>
      <c r="C545" s="43">
        <f>IF(YEAR(Таблица1[[#This Row],[Дата]])=2023,MONTH(Таблица1[[#This Row],[Дата]]),0)</f>
        <v>5</v>
      </c>
      <c r="D545" t="s">
        <v>1494</v>
      </c>
      <c r="E545" t="s">
        <v>108</v>
      </c>
      <c r="F545" t="s">
        <v>1495</v>
      </c>
      <c r="G545" t="s">
        <v>110</v>
      </c>
      <c r="H545" t="s">
        <v>111</v>
      </c>
      <c r="I545" t="s">
        <v>112</v>
      </c>
      <c r="J545" t="s">
        <v>112</v>
      </c>
      <c r="K545" t="s">
        <v>112</v>
      </c>
      <c r="L545" t="s">
        <v>150</v>
      </c>
      <c r="M545" t="s">
        <v>151</v>
      </c>
      <c r="N545" t="s">
        <v>112</v>
      </c>
      <c r="O545" t="s">
        <v>112</v>
      </c>
      <c r="P545">
        <v>1</v>
      </c>
      <c r="R545">
        <v>1</v>
      </c>
      <c r="S545">
        <v>33</v>
      </c>
      <c r="T545" t="s">
        <v>112</v>
      </c>
      <c r="U545" t="s">
        <v>152</v>
      </c>
      <c r="V545" t="s">
        <v>153</v>
      </c>
      <c r="W545" t="s">
        <v>154</v>
      </c>
      <c r="X545" t="s">
        <v>119</v>
      </c>
      <c r="Y545" t="s">
        <v>112</v>
      </c>
      <c r="Z545" t="s">
        <v>112</v>
      </c>
      <c r="AA545" t="s">
        <v>152</v>
      </c>
      <c r="AB545" t="s">
        <v>153</v>
      </c>
      <c r="AC545" t="s">
        <v>154</v>
      </c>
      <c r="AD545" t="s">
        <v>119</v>
      </c>
      <c r="AE545" t="s">
        <v>112</v>
      </c>
      <c r="AF545" t="s">
        <v>121</v>
      </c>
      <c r="AG545" t="s">
        <v>122</v>
      </c>
      <c r="AH545">
        <v>4514516.62</v>
      </c>
      <c r="AI545" t="s">
        <v>112</v>
      </c>
      <c r="AJ545" t="s">
        <v>152</v>
      </c>
      <c r="AK545" t="s">
        <v>153</v>
      </c>
      <c r="AL545" t="s">
        <v>154</v>
      </c>
      <c r="AM545" t="s">
        <v>119</v>
      </c>
      <c r="AN545" t="s">
        <v>112</v>
      </c>
      <c r="AO545" t="s">
        <v>121</v>
      </c>
      <c r="AP545" t="s">
        <v>122</v>
      </c>
      <c r="AQ545" t="s">
        <v>122</v>
      </c>
      <c r="AR545" t="s">
        <v>124</v>
      </c>
      <c r="AS545" t="s">
        <v>125</v>
      </c>
      <c r="AT545">
        <v>2</v>
      </c>
      <c r="AU545" t="s">
        <v>126</v>
      </c>
      <c r="AV545" t="s">
        <v>155</v>
      </c>
      <c r="AW545" t="s">
        <v>156</v>
      </c>
      <c r="AY545" t="s">
        <v>129</v>
      </c>
      <c r="AZ545">
        <v>41828.050000000003</v>
      </c>
      <c r="BC545">
        <v>98.531400000000005</v>
      </c>
      <c r="BD545" t="s">
        <v>112</v>
      </c>
      <c r="BE545" t="s">
        <v>112</v>
      </c>
      <c r="BF545" t="s">
        <v>157</v>
      </c>
      <c r="BG545" t="s">
        <v>133</v>
      </c>
      <c r="BH545" t="s">
        <v>134</v>
      </c>
      <c r="BI545" t="s">
        <v>112</v>
      </c>
      <c r="BJ545" t="s">
        <v>112</v>
      </c>
      <c r="BK545" t="s">
        <v>112</v>
      </c>
      <c r="BL545" t="s">
        <v>158</v>
      </c>
      <c r="BM545" t="s">
        <v>159</v>
      </c>
      <c r="BN545" t="s">
        <v>212</v>
      </c>
      <c r="BO545" t="s">
        <v>161</v>
      </c>
      <c r="BQ545" t="s">
        <v>232</v>
      </c>
      <c r="BR545" s="45">
        <f>ISNUMBER(SEARCH($BR$1,Таблица1[[#This Row],[31_1 Описание и характеристика товара]]))*1</f>
        <v>1</v>
      </c>
      <c r="BT545" t="s">
        <v>150</v>
      </c>
      <c r="BU545">
        <v>33</v>
      </c>
      <c r="BV545">
        <v>0</v>
      </c>
      <c r="BW545">
        <v>0</v>
      </c>
      <c r="BY545">
        <v>0</v>
      </c>
      <c r="CA545" t="s">
        <v>106</v>
      </c>
      <c r="CB545" t="s">
        <v>142</v>
      </c>
      <c r="CC545" t="s">
        <v>112</v>
      </c>
      <c r="CD545" t="s">
        <v>112</v>
      </c>
      <c r="CE545" t="s">
        <v>121</v>
      </c>
      <c r="CF545">
        <v>14751.7</v>
      </c>
      <c r="CG545" t="s">
        <v>144</v>
      </c>
      <c r="CH545">
        <v>4000000</v>
      </c>
      <c r="CI545">
        <v>14557.3</v>
      </c>
      <c r="CJ545">
        <v>0</v>
      </c>
      <c r="CK545" t="s">
        <v>112</v>
      </c>
      <c r="CL545" t="s">
        <v>112</v>
      </c>
      <c r="CM545">
        <v>41828.050000000003</v>
      </c>
      <c r="CP545">
        <v>1</v>
      </c>
      <c r="CQ545">
        <v>4514516.62</v>
      </c>
      <c r="CR545">
        <v>49007.71</v>
      </c>
      <c r="CS545" t="s">
        <v>145</v>
      </c>
      <c r="CT545">
        <v>49058.101000000002</v>
      </c>
      <c r="CU545">
        <v>3.37</v>
      </c>
      <c r="CV545">
        <v>45</v>
      </c>
      <c r="CX545" t="s">
        <v>1140</v>
      </c>
      <c r="CY545">
        <v>152</v>
      </c>
    </row>
    <row r="546" spans="1:103" x14ac:dyDescent="0.25">
      <c r="A546" t="s">
        <v>106</v>
      </c>
      <c r="B546" s="38">
        <v>44951</v>
      </c>
      <c r="C546" s="43">
        <f>IF(YEAR(Таблица1[[#This Row],[Дата]])=2023,MONTH(Таблица1[[#This Row],[Дата]]),0)</f>
        <v>1</v>
      </c>
      <c r="D546" t="s">
        <v>1506</v>
      </c>
      <c r="E546" t="s">
        <v>108</v>
      </c>
      <c r="F546" t="s">
        <v>1507</v>
      </c>
      <c r="G546" t="s">
        <v>110</v>
      </c>
      <c r="H546" t="s">
        <v>111</v>
      </c>
      <c r="I546" t="s">
        <v>112</v>
      </c>
      <c r="J546" t="s">
        <v>112</v>
      </c>
      <c r="K546" t="s">
        <v>112</v>
      </c>
      <c r="L546" t="s">
        <v>150</v>
      </c>
      <c r="M546" t="s">
        <v>151</v>
      </c>
      <c r="N546" t="s">
        <v>112</v>
      </c>
      <c r="O546" t="s">
        <v>112</v>
      </c>
      <c r="P546">
        <v>1</v>
      </c>
      <c r="R546">
        <v>1</v>
      </c>
      <c r="S546">
        <v>33</v>
      </c>
      <c r="T546" t="s">
        <v>112</v>
      </c>
      <c r="U546" t="s">
        <v>152</v>
      </c>
      <c r="V546" t="s">
        <v>153</v>
      </c>
      <c r="W546" t="s">
        <v>154</v>
      </c>
      <c r="X546" t="s">
        <v>119</v>
      </c>
      <c r="Y546" t="s">
        <v>112</v>
      </c>
      <c r="Z546" t="s">
        <v>112</v>
      </c>
      <c r="AA546" t="s">
        <v>152</v>
      </c>
      <c r="AB546" t="s">
        <v>153</v>
      </c>
      <c r="AC546" t="s">
        <v>154</v>
      </c>
      <c r="AD546" t="s">
        <v>119</v>
      </c>
      <c r="AE546" t="s">
        <v>112</v>
      </c>
      <c r="AF546" t="s">
        <v>121</v>
      </c>
      <c r="AG546" t="s">
        <v>122</v>
      </c>
      <c r="AH546">
        <v>4590404.51</v>
      </c>
      <c r="AI546" t="s">
        <v>112</v>
      </c>
      <c r="AJ546" t="s">
        <v>152</v>
      </c>
      <c r="AK546" t="s">
        <v>153</v>
      </c>
      <c r="AL546" t="s">
        <v>154</v>
      </c>
      <c r="AM546" t="s">
        <v>119</v>
      </c>
      <c r="AN546" t="s">
        <v>112</v>
      </c>
      <c r="AO546" t="s">
        <v>121</v>
      </c>
      <c r="AP546" t="s">
        <v>122</v>
      </c>
      <c r="AQ546" t="s">
        <v>122</v>
      </c>
      <c r="AR546" t="s">
        <v>124</v>
      </c>
      <c r="AS546" t="s">
        <v>125</v>
      </c>
      <c r="AT546">
        <v>2</v>
      </c>
      <c r="AU546" t="s">
        <v>126</v>
      </c>
      <c r="AV546" t="s">
        <v>155</v>
      </c>
      <c r="AW546" t="s">
        <v>156</v>
      </c>
      <c r="AY546" t="s">
        <v>129</v>
      </c>
      <c r="AZ546">
        <v>42598.239999999998</v>
      </c>
      <c r="BC546">
        <v>98.531400000000005</v>
      </c>
      <c r="BD546" t="s">
        <v>112</v>
      </c>
      <c r="BE546" t="s">
        <v>112</v>
      </c>
      <c r="BF546" t="s">
        <v>157</v>
      </c>
      <c r="BG546" t="s">
        <v>133</v>
      </c>
      <c r="BH546" t="s">
        <v>167</v>
      </c>
      <c r="BI546" t="s">
        <v>112</v>
      </c>
      <c r="BJ546" t="s">
        <v>112</v>
      </c>
      <c r="BK546" t="s">
        <v>112</v>
      </c>
      <c r="BL546" t="s">
        <v>158</v>
      </c>
      <c r="BM546" t="s">
        <v>159</v>
      </c>
      <c r="BN546" t="s">
        <v>160</v>
      </c>
      <c r="BO546" t="s">
        <v>161</v>
      </c>
      <c r="BQ546" t="s">
        <v>205</v>
      </c>
      <c r="BR546" s="45">
        <f>ISNUMBER(SEARCH($BR$1,Таблица1[[#This Row],[31_1 Описание и характеристика товара]]))*1</f>
        <v>1</v>
      </c>
      <c r="BT546" t="s">
        <v>150</v>
      </c>
      <c r="BU546">
        <v>33</v>
      </c>
      <c r="BV546">
        <v>0</v>
      </c>
      <c r="BW546">
        <v>0</v>
      </c>
      <c r="BY546">
        <v>0</v>
      </c>
      <c r="CA546" t="s">
        <v>106</v>
      </c>
      <c r="CB546" t="s">
        <v>142</v>
      </c>
      <c r="CC546" t="s">
        <v>112</v>
      </c>
      <c r="CD546" t="s">
        <v>112</v>
      </c>
      <c r="CE546" t="s">
        <v>121</v>
      </c>
      <c r="CF546">
        <v>14869.76</v>
      </c>
      <c r="CG546" t="s">
        <v>144</v>
      </c>
      <c r="CH546">
        <v>4000000</v>
      </c>
      <c r="CI546">
        <v>14563.76</v>
      </c>
      <c r="CJ546">
        <v>0</v>
      </c>
      <c r="CK546" t="s">
        <v>112</v>
      </c>
      <c r="CL546" t="s">
        <v>112</v>
      </c>
      <c r="CM546">
        <v>42598.239999999998</v>
      </c>
      <c r="CO546">
        <v>0</v>
      </c>
      <c r="CP546">
        <v>1</v>
      </c>
      <c r="CQ546">
        <v>4590404.51</v>
      </c>
      <c r="CR546">
        <v>49831.519999999997</v>
      </c>
      <c r="CS546" t="s">
        <v>145</v>
      </c>
      <c r="CT546">
        <v>49808.059200000003</v>
      </c>
      <c r="CU546">
        <v>3.42</v>
      </c>
      <c r="CV546">
        <v>45</v>
      </c>
      <c r="CX546" t="s">
        <v>233</v>
      </c>
      <c r="CY546">
        <v>288</v>
      </c>
    </row>
    <row r="547" spans="1:103" x14ac:dyDescent="0.25">
      <c r="A547" t="s">
        <v>106</v>
      </c>
      <c r="B547" s="38">
        <v>44623</v>
      </c>
      <c r="C547" s="43">
        <f>IF(YEAR(Таблица1[[#This Row],[Дата]])=2023,MONTH(Таблица1[[#This Row],[Дата]]),0)</f>
        <v>0</v>
      </c>
      <c r="D547" t="s">
        <v>1537</v>
      </c>
      <c r="E547" t="s">
        <v>108</v>
      </c>
      <c r="F547" t="s">
        <v>1538</v>
      </c>
      <c r="G547" t="s">
        <v>110</v>
      </c>
      <c r="H547" t="s">
        <v>111</v>
      </c>
      <c r="I547" t="s">
        <v>112</v>
      </c>
      <c r="J547" t="s">
        <v>112</v>
      </c>
      <c r="K547" t="s">
        <v>112</v>
      </c>
      <c r="L547" t="s">
        <v>150</v>
      </c>
      <c r="M547" t="s">
        <v>151</v>
      </c>
      <c r="N547" t="s">
        <v>112</v>
      </c>
      <c r="O547" t="s">
        <v>112</v>
      </c>
      <c r="P547">
        <v>1</v>
      </c>
      <c r="R547">
        <v>1</v>
      </c>
      <c r="S547">
        <v>33</v>
      </c>
      <c r="T547" t="s">
        <v>112</v>
      </c>
      <c r="U547" t="s">
        <v>152</v>
      </c>
      <c r="V547" t="s">
        <v>153</v>
      </c>
      <c r="W547" t="s">
        <v>154</v>
      </c>
      <c r="X547" t="s">
        <v>119</v>
      </c>
      <c r="Y547" t="s">
        <v>112</v>
      </c>
      <c r="Z547" t="s">
        <v>112</v>
      </c>
      <c r="AA547" t="s">
        <v>152</v>
      </c>
      <c r="AB547" t="s">
        <v>153</v>
      </c>
      <c r="AC547" t="s">
        <v>154</v>
      </c>
      <c r="AD547" t="s">
        <v>119</v>
      </c>
      <c r="AE547" t="s">
        <v>112</v>
      </c>
      <c r="AF547" t="s">
        <v>121</v>
      </c>
      <c r="AG547" t="s">
        <v>122</v>
      </c>
      <c r="AH547">
        <v>4033264.63</v>
      </c>
      <c r="AI547" t="s">
        <v>112</v>
      </c>
      <c r="AJ547" t="s">
        <v>152</v>
      </c>
      <c r="AK547" t="s">
        <v>153</v>
      </c>
      <c r="AL547" t="s">
        <v>154</v>
      </c>
      <c r="AM547" t="s">
        <v>119</v>
      </c>
      <c r="AN547" t="s">
        <v>112</v>
      </c>
      <c r="AO547" t="s">
        <v>121</v>
      </c>
      <c r="AP547" t="s">
        <v>122</v>
      </c>
      <c r="AQ547" t="s">
        <v>122</v>
      </c>
      <c r="AR547" t="s">
        <v>124</v>
      </c>
      <c r="AS547" t="s">
        <v>125</v>
      </c>
      <c r="AT547">
        <v>2</v>
      </c>
      <c r="AU547" t="s">
        <v>126</v>
      </c>
      <c r="AV547" t="s">
        <v>155</v>
      </c>
      <c r="AW547" t="s">
        <v>156</v>
      </c>
      <c r="AY547" t="s">
        <v>129</v>
      </c>
      <c r="AZ547">
        <v>36943.800000000003</v>
      </c>
      <c r="BC547">
        <v>98.531400000000005</v>
      </c>
      <c r="BD547" t="s">
        <v>112</v>
      </c>
      <c r="BE547" t="s">
        <v>112</v>
      </c>
      <c r="BF547" t="s">
        <v>157</v>
      </c>
      <c r="BG547" t="s">
        <v>133</v>
      </c>
      <c r="BH547" t="s">
        <v>134</v>
      </c>
      <c r="BI547" t="s">
        <v>112</v>
      </c>
      <c r="BJ547" t="s">
        <v>112</v>
      </c>
      <c r="BK547" t="s">
        <v>112</v>
      </c>
      <c r="BL547" t="s">
        <v>158</v>
      </c>
      <c r="BM547" t="s">
        <v>159</v>
      </c>
      <c r="BN547" t="s">
        <v>212</v>
      </c>
      <c r="BO547" t="s">
        <v>161</v>
      </c>
      <c r="BQ547" t="s">
        <v>281</v>
      </c>
      <c r="BR547" s="45">
        <f>ISNUMBER(SEARCH($BR$1,Таблица1[[#This Row],[31_1 Описание и характеристика товара]]))*1</f>
        <v>1</v>
      </c>
      <c r="BT547" t="s">
        <v>150</v>
      </c>
      <c r="BU547">
        <v>33</v>
      </c>
      <c r="BV547">
        <v>0</v>
      </c>
      <c r="BW547">
        <v>0</v>
      </c>
      <c r="BY547">
        <v>0</v>
      </c>
      <c r="CA547" t="s">
        <v>106</v>
      </c>
      <c r="CB547" t="s">
        <v>142</v>
      </c>
      <c r="CC547" t="s">
        <v>112</v>
      </c>
      <c r="CD547" t="s">
        <v>112</v>
      </c>
      <c r="CE547" t="s">
        <v>121</v>
      </c>
      <c r="CF547">
        <v>14767.2</v>
      </c>
      <c r="CG547" t="s">
        <v>144</v>
      </c>
      <c r="CH547">
        <v>4000000</v>
      </c>
      <c r="CI547">
        <v>14320.8</v>
      </c>
      <c r="CJ547">
        <v>0</v>
      </c>
      <c r="CK547" t="s">
        <v>112</v>
      </c>
      <c r="CL547" t="s">
        <v>112</v>
      </c>
      <c r="CM547">
        <v>36943.800000000003</v>
      </c>
      <c r="CO547">
        <v>0</v>
      </c>
      <c r="CP547">
        <v>1</v>
      </c>
      <c r="CQ547">
        <v>4033264.63</v>
      </c>
      <c r="CR547">
        <v>43783.44</v>
      </c>
      <c r="CS547" t="s">
        <v>145</v>
      </c>
      <c r="CT547">
        <v>43821.648000000001</v>
      </c>
      <c r="CU547">
        <v>3.06</v>
      </c>
      <c r="CV547">
        <v>45</v>
      </c>
      <c r="CX547" t="s">
        <v>206</v>
      </c>
      <c r="CY547">
        <v>4</v>
      </c>
    </row>
    <row r="548" spans="1:103" x14ac:dyDescent="0.25">
      <c r="A548" t="s">
        <v>106</v>
      </c>
      <c r="B548" s="38">
        <v>45207</v>
      </c>
      <c r="C548" s="43">
        <f>IF(YEAR(Таблица1[[#This Row],[Дата]])=2023,MONTH(Таблица1[[#This Row],[Дата]]),0)</f>
        <v>10</v>
      </c>
      <c r="D548" t="s">
        <v>1924</v>
      </c>
      <c r="E548" t="s">
        <v>108</v>
      </c>
      <c r="F548" t="s">
        <v>1925</v>
      </c>
      <c r="G548" t="s">
        <v>110</v>
      </c>
      <c r="H548" t="s">
        <v>111</v>
      </c>
      <c r="I548" t="s">
        <v>112</v>
      </c>
      <c r="J548" t="s">
        <v>112</v>
      </c>
      <c r="K548" t="s">
        <v>112</v>
      </c>
      <c r="L548" t="s">
        <v>150</v>
      </c>
      <c r="M548" t="s">
        <v>151</v>
      </c>
      <c r="N548" t="s">
        <v>112</v>
      </c>
      <c r="O548" t="s">
        <v>112</v>
      </c>
      <c r="P548">
        <v>1</v>
      </c>
      <c r="R548">
        <v>1</v>
      </c>
      <c r="S548">
        <v>33</v>
      </c>
      <c r="T548" t="s">
        <v>112</v>
      </c>
      <c r="U548" t="s">
        <v>152</v>
      </c>
      <c r="V548" t="s">
        <v>153</v>
      </c>
      <c r="W548" t="s">
        <v>154</v>
      </c>
      <c r="X548" t="s">
        <v>119</v>
      </c>
      <c r="Y548" t="s">
        <v>112</v>
      </c>
      <c r="Z548" t="s">
        <v>112</v>
      </c>
      <c r="AA548" t="s">
        <v>152</v>
      </c>
      <c r="AB548" t="s">
        <v>153</v>
      </c>
      <c r="AC548" t="s">
        <v>154</v>
      </c>
      <c r="AD548" t="s">
        <v>119</v>
      </c>
      <c r="AE548" t="s">
        <v>112</v>
      </c>
      <c r="AF548" t="s">
        <v>121</v>
      </c>
      <c r="AG548" t="s">
        <v>122</v>
      </c>
      <c r="AH548">
        <v>4092717.51</v>
      </c>
      <c r="AI548" t="s">
        <v>112</v>
      </c>
      <c r="AJ548" t="s">
        <v>152</v>
      </c>
      <c r="AK548" t="s">
        <v>153</v>
      </c>
      <c r="AL548" t="s">
        <v>154</v>
      </c>
      <c r="AM548" t="s">
        <v>119</v>
      </c>
      <c r="AN548" t="s">
        <v>112</v>
      </c>
      <c r="AO548" t="s">
        <v>121</v>
      </c>
      <c r="AP548" t="s">
        <v>122</v>
      </c>
      <c r="AQ548" t="s">
        <v>122</v>
      </c>
      <c r="AR548" t="s">
        <v>124</v>
      </c>
      <c r="AS548" t="s">
        <v>125</v>
      </c>
      <c r="AT548">
        <v>2</v>
      </c>
      <c r="AU548" t="s">
        <v>126</v>
      </c>
      <c r="AV548" t="s">
        <v>155</v>
      </c>
      <c r="AW548" t="s">
        <v>156</v>
      </c>
      <c r="AY548" t="s">
        <v>129</v>
      </c>
      <c r="AZ548">
        <v>35564.04</v>
      </c>
      <c r="BC548">
        <v>103.1066</v>
      </c>
      <c r="BD548" t="s">
        <v>112</v>
      </c>
      <c r="BE548" t="s">
        <v>112</v>
      </c>
      <c r="BF548" t="s">
        <v>157</v>
      </c>
      <c r="BG548" t="s">
        <v>133</v>
      </c>
      <c r="BH548" t="s">
        <v>134</v>
      </c>
      <c r="BI548" t="s">
        <v>112</v>
      </c>
      <c r="BJ548" t="s">
        <v>112</v>
      </c>
      <c r="BK548" t="s">
        <v>112</v>
      </c>
      <c r="BL548" t="s">
        <v>169</v>
      </c>
      <c r="BM548" t="s">
        <v>159</v>
      </c>
      <c r="BN548" t="s">
        <v>212</v>
      </c>
      <c r="BO548" t="s">
        <v>161</v>
      </c>
      <c r="BQ548" t="s">
        <v>281</v>
      </c>
      <c r="BR548" s="45">
        <f>ISNUMBER(SEARCH($BR$1,Таблица1[[#This Row],[31_1 Описание и характеристика товара]]))*1</f>
        <v>1</v>
      </c>
      <c r="BT548" t="s">
        <v>150</v>
      </c>
      <c r="BU548">
        <v>33</v>
      </c>
      <c r="CA548" t="s">
        <v>106</v>
      </c>
      <c r="CB548" t="s">
        <v>142</v>
      </c>
      <c r="CC548" t="s">
        <v>112</v>
      </c>
      <c r="CD548" t="s">
        <v>112</v>
      </c>
      <c r="CE548" t="s">
        <v>121</v>
      </c>
      <c r="CF548">
        <v>16563.849999999999</v>
      </c>
      <c r="CG548" t="s">
        <v>144</v>
      </c>
      <c r="CH548">
        <v>4000000</v>
      </c>
      <c r="CI548">
        <v>16434.25</v>
      </c>
      <c r="CK548" t="s">
        <v>112</v>
      </c>
      <c r="CL548" t="s">
        <v>112</v>
      </c>
      <c r="CM548">
        <v>35564.04</v>
      </c>
      <c r="CO548">
        <v>0</v>
      </c>
      <c r="CP548">
        <v>1</v>
      </c>
      <c r="CQ548">
        <v>4092717.51</v>
      </c>
      <c r="CR548">
        <v>42641.62</v>
      </c>
      <c r="CS548" t="s">
        <v>145</v>
      </c>
      <c r="CT548">
        <v>42564.707499999997</v>
      </c>
      <c r="CU548">
        <v>2.59</v>
      </c>
      <c r="CV548">
        <v>45</v>
      </c>
      <c r="CX548" t="s">
        <v>729</v>
      </c>
      <c r="CY548">
        <v>288</v>
      </c>
    </row>
    <row r="549" spans="1:103" x14ac:dyDescent="0.25">
      <c r="A549" t="s">
        <v>106</v>
      </c>
      <c r="B549" s="38">
        <v>45167</v>
      </c>
      <c r="C549" s="43">
        <f>IF(YEAR(Таблица1[[#This Row],[Дата]])=2023,MONTH(Таблица1[[#This Row],[Дата]]),0)</f>
        <v>8</v>
      </c>
      <c r="D549" t="s">
        <v>1992</v>
      </c>
      <c r="E549" t="s">
        <v>108</v>
      </c>
      <c r="F549" t="s">
        <v>1993</v>
      </c>
      <c r="G549" t="s">
        <v>110</v>
      </c>
      <c r="H549" t="s">
        <v>111</v>
      </c>
      <c r="I549" t="s">
        <v>112</v>
      </c>
      <c r="J549" t="s">
        <v>112</v>
      </c>
      <c r="K549" t="s">
        <v>112</v>
      </c>
      <c r="L549" t="s">
        <v>150</v>
      </c>
      <c r="M549" t="s">
        <v>151</v>
      </c>
      <c r="N549" t="s">
        <v>112</v>
      </c>
      <c r="O549" t="s">
        <v>112</v>
      </c>
      <c r="P549">
        <v>1</v>
      </c>
      <c r="R549">
        <v>1</v>
      </c>
      <c r="S549">
        <v>33</v>
      </c>
      <c r="T549" t="s">
        <v>112</v>
      </c>
      <c r="U549" t="s">
        <v>152</v>
      </c>
      <c r="V549" t="s">
        <v>153</v>
      </c>
      <c r="W549" t="s">
        <v>154</v>
      </c>
      <c r="X549" t="s">
        <v>119</v>
      </c>
      <c r="Y549" t="s">
        <v>112</v>
      </c>
      <c r="Z549" t="s">
        <v>112</v>
      </c>
      <c r="AA549" t="s">
        <v>152</v>
      </c>
      <c r="AB549" t="s">
        <v>153</v>
      </c>
      <c r="AC549" t="s">
        <v>154</v>
      </c>
      <c r="AD549" t="s">
        <v>119</v>
      </c>
      <c r="AE549" t="s">
        <v>112</v>
      </c>
      <c r="AF549" t="s">
        <v>121</v>
      </c>
      <c r="AG549" t="s">
        <v>122</v>
      </c>
      <c r="AH549">
        <v>5186521.8099999996</v>
      </c>
      <c r="AI549" t="s">
        <v>112</v>
      </c>
      <c r="AJ549" t="s">
        <v>152</v>
      </c>
      <c r="AK549" t="s">
        <v>153</v>
      </c>
      <c r="AL549" t="s">
        <v>154</v>
      </c>
      <c r="AM549" t="s">
        <v>119</v>
      </c>
      <c r="AN549" t="s">
        <v>112</v>
      </c>
      <c r="AO549" t="s">
        <v>121</v>
      </c>
      <c r="AP549" t="s">
        <v>122</v>
      </c>
      <c r="AQ549" t="s">
        <v>122</v>
      </c>
      <c r="AR549" t="s">
        <v>124</v>
      </c>
      <c r="AS549" t="s">
        <v>125</v>
      </c>
      <c r="AT549">
        <v>2</v>
      </c>
      <c r="AU549" t="s">
        <v>126</v>
      </c>
      <c r="AV549" t="s">
        <v>155</v>
      </c>
      <c r="AW549" t="s">
        <v>156</v>
      </c>
      <c r="AY549" t="s">
        <v>129</v>
      </c>
      <c r="AZ549">
        <v>46172.52</v>
      </c>
      <c r="BC549">
        <v>103.1066</v>
      </c>
      <c r="BD549" t="s">
        <v>112</v>
      </c>
      <c r="BE549" t="s">
        <v>112</v>
      </c>
      <c r="BF549" t="s">
        <v>157</v>
      </c>
      <c r="BG549" t="s">
        <v>133</v>
      </c>
      <c r="BH549" t="s">
        <v>167</v>
      </c>
      <c r="BI549" t="s">
        <v>112</v>
      </c>
      <c r="BJ549" t="s">
        <v>112</v>
      </c>
      <c r="BK549" t="s">
        <v>112</v>
      </c>
      <c r="BL549" t="s">
        <v>169</v>
      </c>
      <c r="BM549" t="s">
        <v>159</v>
      </c>
      <c r="BN549" t="s">
        <v>160</v>
      </c>
      <c r="BO549" t="s">
        <v>161</v>
      </c>
      <c r="BQ549" t="s">
        <v>232</v>
      </c>
      <c r="BR549" s="45">
        <f>ISNUMBER(SEARCH($BR$1,Таблица1[[#This Row],[31_1 Описание и характеристика товара]]))*1</f>
        <v>1</v>
      </c>
      <c r="BT549" t="s">
        <v>150</v>
      </c>
      <c r="BU549">
        <v>33</v>
      </c>
      <c r="CA549" t="s">
        <v>106</v>
      </c>
      <c r="CB549" t="s">
        <v>142</v>
      </c>
      <c r="CC549" t="s">
        <v>112</v>
      </c>
      <c r="CD549" t="s">
        <v>112</v>
      </c>
      <c r="CE549" t="s">
        <v>121</v>
      </c>
      <c r="CF549">
        <v>16913.98</v>
      </c>
      <c r="CG549" t="s">
        <v>144</v>
      </c>
      <c r="CH549">
        <v>4000000</v>
      </c>
      <c r="CI549">
        <v>16877.98</v>
      </c>
      <c r="CK549" t="s">
        <v>112</v>
      </c>
      <c r="CL549" t="s">
        <v>112</v>
      </c>
      <c r="CM549">
        <v>46172.52</v>
      </c>
      <c r="CO549">
        <v>0</v>
      </c>
      <c r="CP549">
        <v>1</v>
      </c>
      <c r="CQ549">
        <v>5186521.8099999996</v>
      </c>
      <c r="CR549">
        <v>54037.86</v>
      </c>
      <c r="CS549" t="s">
        <v>145</v>
      </c>
      <c r="CT549">
        <v>54009.536</v>
      </c>
      <c r="CU549">
        <v>3.2</v>
      </c>
      <c r="CV549">
        <v>45</v>
      </c>
      <c r="CX549" t="s">
        <v>163</v>
      </c>
      <c r="CY549">
        <v>131</v>
      </c>
    </row>
    <row r="550" spans="1:103" x14ac:dyDescent="0.25">
      <c r="A550" t="s">
        <v>106</v>
      </c>
      <c r="B550" s="38">
        <v>44692</v>
      </c>
      <c r="C550" s="43">
        <f>IF(YEAR(Таблица1[[#This Row],[Дата]])=2023,MONTH(Таблица1[[#This Row],[Дата]]),0)</f>
        <v>0</v>
      </c>
      <c r="D550" t="s">
        <v>1719</v>
      </c>
      <c r="E550" t="s">
        <v>108</v>
      </c>
      <c r="F550" t="s">
        <v>1720</v>
      </c>
      <c r="G550" t="s">
        <v>110</v>
      </c>
      <c r="H550" t="s">
        <v>111</v>
      </c>
      <c r="I550" t="s">
        <v>112</v>
      </c>
      <c r="J550" t="s">
        <v>112</v>
      </c>
      <c r="K550" t="s">
        <v>112</v>
      </c>
      <c r="L550" t="s">
        <v>150</v>
      </c>
      <c r="M550" t="s">
        <v>151</v>
      </c>
      <c r="N550" t="s">
        <v>112</v>
      </c>
      <c r="O550" t="s">
        <v>112</v>
      </c>
      <c r="R550">
        <v>1</v>
      </c>
      <c r="S550">
        <v>33</v>
      </c>
      <c r="T550" t="s">
        <v>112</v>
      </c>
      <c r="U550" t="s">
        <v>1704</v>
      </c>
      <c r="V550" t="s">
        <v>153</v>
      </c>
      <c r="W550" t="s">
        <v>154</v>
      </c>
      <c r="X550" t="s">
        <v>112</v>
      </c>
      <c r="Y550" t="s">
        <v>112</v>
      </c>
      <c r="Z550" t="s">
        <v>166</v>
      </c>
      <c r="AA550" t="s">
        <v>152</v>
      </c>
      <c r="AB550" t="s">
        <v>153</v>
      </c>
      <c r="AC550" t="s">
        <v>154</v>
      </c>
      <c r="AD550" t="s">
        <v>119</v>
      </c>
      <c r="AE550" t="s">
        <v>112</v>
      </c>
      <c r="AF550" t="s">
        <v>121</v>
      </c>
      <c r="AG550" t="s">
        <v>122</v>
      </c>
      <c r="AH550">
        <v>4813711.78</v>
      </c>
      <c r="AI550" t="s">
        <v>166</v>
      </c>
      <c r="AJ550" t="s">
        <v>152</v>
      </c>
      <c r="AK550" t="s">
        <v>153</v>
      </c>
      <c r="AL550" t="s">
        <v>154</v>
      </c>
      <c r="AM550" t="s">
        <v>119</v>
      </c>
      <c r="AN550" t="s">
        <v>112</v>
      </c>
      <c r="AO550" t="s">
        <v>121</v>
      </c>
      <c r="AP550" t="s">
        <v>122</v>
      </c>
      <c r="AQ550" t="s">
        <v>122</v>
      </c>
      <c r="AR550" t="s">
        <v>124</v>
      </c>
      <c r="AS550" t="s">
        <v>125</v>
      </c>
      <c r="AU550" t="s">
        <v>126</v>
      </c>
      <c r="AV550" t="s">
        <v>155</v>
      </c>
      <c r="AW550" t="s">
        <v>156</v>
      </c>
      <c r="AY550" t="s">
        <v>129</v>
      </c>
      <c r="AZ550">
        <v>40452.839999999997</v>
      </c>
      <c r="BC550">
        <v>107.9723</v>
      </c>
      <c r="BD550" t="s">
        <v>112</v>
      </c>
      <c r="BE550" t="s">
        <v>112</v>
      </c>
      <c r="BF550" t="s">
        <v>112</v>
      </c>
      <c r="BG550" t="s">
        <v>133</v>
      </c>
      <c r="BH550" t="s">
        <v>134</v>
      </c>
      <c r="BI550" t="s">
        <v>112</v>
      </c>
      <c r="BJ550" t="s">
        <v>112</v>
      </c>
      <c r="BK550" t="s">
        <v>112</v>
      </c>
      <c r="BL550" t="s">
        <v>112</v>
      </c>
      <c r="BM550" t="s">
        <v>112</v>
      </c>
      <c r="BN550" t="s">
        <v>112</v>
      </c>
      <c r="BO550" t="s">
        <v>161</v>
      </c>
      <c r="BQ550" t="s">
        <v>162</v>
      </c>
      <c r="BR550" s="45">
        <f>ISNUMBER(SEARCH($BR$1,Таблица1[[#This Row],[31_1 Описание и характеристика товара]]))*1</f>
        <v>1</v>
      </c>
      <c r="BT550" t="s">
        <v>150</v>
      </c>
      <c r="BU550">
        <v>33</v>
      </c>
      <c r="BV550">
        <v>0</v>
      </c>
      <c r="BW550">
        <v>0</v>
      </c>
      <c r="CA550" t="s">
        <v>106</v>
      </c>
      <c r="CB550" t="s">
        <v>142</v>
      </c>
      <c r="CC550" t="s">
        <v>112</v>
      </c>
      <c r="CD550" t="s">
        <v>112</v>
      </c>
      <c r="CE550" t="s">
        <v>121</v>
      </c>
      <c r="CF550">
        <v>16456.330000000002</v>
      </c>
      <c r="CG550" t="s">
        <v>144</v>
      </c>
      <c r="CH550">
        <v>4000000</v>
      </c>
      <c r="CI550">
        <v>16326.73</v>
      </c>
      <c r="CJ550">
        <v>0</v>
      </c>
      <c r="CK550" t="s">
        <v>112</v>
      </c>
      <c r="CL550" t="s">
        <v>112</v>
      </c>
      <c r="CM550">
        <v>40452.839999999997</v>
      </c>
      <c r="CO550">
        <v>0</v>
      </c>
      <c r="CP550">
        <v>1</v>
      </c>
      <c r="CQ550">
        <v>4813711.78</v>
      </c>
      <c r="CR550">
        <v>49016.17</v>
      </c>
      <c r="CS550" t="s">
        <v>145</v>
      </c>
      <c r="CT550">
        <v>48980.19</v>
      </c>
      <c r="CU550">
        <v>3</v>
      </c>
      <c r="CY550">
        <v>314</v>
      </c>
    </row>
    <row r="551" spans="1:103" x14ac:dyDescent="0.25">
      <c r="A551" t="s">
        <v>106</v>
      </c>
      <c r="B551" s="38">
        <v>44634</v>
      </c>
      <c r="C551" s="43">
        <f>IF(YEAR(Таблица1[[#This Row],[Дата]])=2023,MONTH(Таблица1[[#This Row],[Дата]]),0)</f>
        <v>0</v>
      </c>
      <c r="D551" t="s">
        <v>1717</v>
      </c>
      <c r="E551" t="s">
        <v>108</v>
      </c>
      <c r="F551" t="s">
        <v>1718</v>
      </c>
      <c r="G551" t="s">
        <v>110</v>
      </c>
      <c r="H551" t="s">
        <v>111</v>
      </c>
      <c r="I551" t="s">
        <v>112</v>
      </c>
      <c r="J551" t="s">
        <v>112</v>
      </c>
      <c r="K551" t="s">
        <v>112</v>
      </c>
      <c r="L551" t="s">
        <v>150</v>
      </c>
      <c r="M551" t="s">
        <v>151</v>
      </c>
      <c r="N551" t="s">
        <v>112</v>
      </c>
      <c r="O551" t="s">
        <v>112</v>
      </c>
      <c r="R551">
        <v>1</v>
      </c>
      <c r="S551">
        <v>33</v>
      </c>
      <c r="T551" t="s">
        <v>112</v>
      </c>
      <c r="U551" t="s">
        <v>1704</v>
      </c>
      <c r="V551" t="s">
        <v>153</v>
      </c>
      <c r="W551" t="s">
        <v>154</v>
      </c>
      <c r="X551" t="s">
        <v>112</v>
      </c>
      <c r="Y551" t="s">
        <v>112</v>
      </c>
      <c r="Z551" t="s">
        <v>166</v>
      </c>
      <c r="AA551" t="s">
        <v>152</v>
      </c>
      <c r="AB551" t="s">
        <v>153</v>
      </c>
      <c r="AC551" t="s">
        <v>154</v>
      </c>
      <c r="AD551" t="s">
        <v>119</v>
      </c>
      <c r="AE551" t="s">
        <v>112</v>
      </c>
      <c r="AF551" t="s">
        <v>121</v>
      </c>
      <c r="AG551" t="s">
        <v>122</v>
      </c>
      <c r="AH551">
        <v>5137430.01</v>
      </c>
      <c r="AI551" t="s">
        <v>166</v>
      </c>
      <c r="AJ551" t="s">
        <v>152</v>
      </c>
      <c r="AK551" t="s">
        <v>153</v>
      </c>
      <c r="AL551" t="s">
        <v>154</v>
      </c>
      <c r="AM551" t="s">
        <v>119</v>
      </c>
      <c r="AN551" t="s">
        <v>112</v>
      </c>
      <c r="AO551" t="s">
        <v>121</v>
      </c>
      <c r="AP551" t="s">
        <v>122</v>
      </c>
      <c r="AQ551" t="s">
        <v>122</v>
      </c>
      <c r="AR551" t="s">
        <v>124</v>
      </c>
      <c r="AS551" t="s">
        <v>125</v>
      </c>
      <c r="AU551" t="s">
        <v>126</v>
      </c>
      <c r="AV551" t="s">
        <v>155</v>
      </c>
      <c r="AW551" t="s">
        <v>156</v>
      </c>
      <c r="AY551" t="s">
        <v>129</v>
      </c>
      <c r="AZ551">
        <v>43451</v>
      </c>
      <c r="BC551">
        <v>107.9723</v>
      </c>
      <c r="BD551" t="s">
        <v>112</v>
      </c>
      <c r="BE551" t="s">
        <v>112</v>
      </c>
      <c r="BF551" t="s">
        <v>112</v>
      </c>
      <c r="BG551" t="s">
        <v>133</v>
      </c>
      <c r="BH551" t="s">
        <v>167</v>
      </c>
      <c r="BI551" t="s">
        <v>112</v>
      </c>
      <c r="BJ551" t="s">
        <v>112</v>
      </c>
      <c r="BK551" t="s">
        <v>112</v>
      </c>
      <c r="BL551" t="s">
        <v>112</v>
      </c>
      <c r="BM551" t="s">
        <v>112</v>
      </c>
      <c r="BN551" t="s">
        <v>112</v>
      </c>
      <c r="BO551" t="s">
        <v>161</v>
      </c>
      <c r="BQ551" t="s">
        <v>205</v>
      </c>
      <c r="BR551" s="45">
        <f>ISNUMBER(SEARCH($BR$1,Таблица1[[#This Row],[31_1 Описание и характеристика товара]]))*1</f>
        <v>1</v>
      </c>
      <c r="BT551" t="s">
        <v>150</v>
      </c>
      <c r="BU551">
        <v>33</v>
      </c>
      <c r="BV551">
        <v>0</v>
      </c>
      <c r="BW551">
        <v>0</v>
      </c>
      <c r="CA551" t="s">
        <v>106</v>
      </c>
      <c r="CB551" t="s">
        <v>142</v>
      </c>
      <c r="CC551" t="s">
        <v>112</v>
      </c>
      <c r="CD551" t="s">
        <v>112</v>
      </c>
      <c r="CE551" t="s">
        <v>121</v>
      </c>
      <c r="CF551">
        <v>16608.900000000001</v>
      </c>
      <c r="CG551" t="s">
        <v>144</v>
      </c>
      <c r="CH551">
        <v>4000000</v>
      </c>
      <c r="CI551">
        <v>16518.91</v>
      </c>
      <c r="CJ551">
        <v>0</v>
      </c>
      <c r="CK551" t="s">
        <v>112</v>
      </c>
      <c r="CL551" t="s">
        <v>112</v>
      </c>
      <c r="CM551">
        <v>43451</v>
      </c>
      <c r="CO551">
        <v>0</v>
      </c>
      <c r="CP551">
        <v>1</v>
      </c>
      <c r="CQ551">
        <v>5137430.01</v>
      </c>
      <c r="CR551">
        <v>52312.47</v>
      </c>
      <c r="CS551" t="s">
        <v>145</v>
      </c>
      <c r="CT551">
        <v>52364.9447</v>
      </c>
      <c r="CU551">
        <v>3.17</v>
      </c>
      <c r="CY551">
        <v>70</v>
      </c>
    </row>
    <row r="552" spans="1:103" x14ac:dyDescent="0.25">
      <c r="A552" t="s">
        <v>106</v>
      </c>
      <c r="B552" s="38">
        <v>44662</v>
      </c>
      <c r="C552" s="43">
        <f>IF(YEAR(Таблица1[[#This Row],[Дата]])=2023,MONTH(Таблица1[[#This Row],[Дата]]),0)</f>
        <v>0</v>
      </c>
      <c r="D552" t="s">
        <v>1715</v>
      </c>
      <c r="E552" t="s">
        <v>108</v>
      </c>
      <c r="F552" t="s">
        <v>1716</v>
      </c>
      <c r="G552" t="s">
        <v>110</v>
      </c>
      <c r="H552" t="s">
        <v>111</v>
      </c>
      <c r="I552" t="s">
        <v>112</v>
      </c>
      <c r="J552" t="s">
        <v>112</v>
      </c>
      <c r="K552" t="s">
        <v>112</v>
      </c>
      <c r="L552" t="s">
        <v>150</v>
      </c>
      <c r="M552" t="s">
        <v>151</v>
      </c>
      <c r="N552" t="s">
        <v>112</v>
      </c>
      <c r="O552" t="s">
        <v>112</v>
      </c>
      <c r="R552">
        <v>1</v>
      </c>
      <c r="S552">
        <v>33</v>
      </c>
      <c r="T552" t="s">
        <v>112</v>
      </c>
      <c r="U552" t="s">
        <v>1704</v>
      </c>
      <c r="V552" t="s">
        <v>153</v>
      </c>
      <c r="W552" t="s">
        <v>154</v>
      </c>
      <c r="X552" t="s">
        <v>112</v>
      </c>
      <c r="Y552" t="s">
        <v>112</v>
      </c>
      <c r="Z552" t="s">
        <v>166</v>
      </c>
      <c r="AA552" t="s">
        <v>152</v>
      </c>
      <c r="AB552" t="s">
        <v>153</v>
      </c>
      <c r="AC552" t="s">
        <v>154</v>
      </c>
      <c r="AD552" t="s">
        <v>119</v>
      </c>
      <c r="AE552" t="s">
        <v>112</v>
      </c>
      <c r="AF552" t="s">
        <v>121</v>
      </c>
      <c r="AG552" t="s">
        <v>122</v>
      </c>
      <c r="AH552">
        <v>4786379.67</v>
      </c>
      <c r="AI552" t="s">
        <v>166</v>
      </c>
      <c r="AJ552" t="s">
        <v>152</v>
      </c>
      <c r="AK552" t="s">
        <v>153</v>
      </c>
      <c r="AL552" t="s">
        <v>154</v>
      </c>
      <c r="AM552" t="s">
        <v>119</v>
      </c>
      <c r="AN552" t="s">
        <v>112</v>
      </c>
      <c r="AO552" t="s">
        <v>121</v>
      </c>
      <c r="AP552" t="s">
        <v>122</v>
      </c>
      <c r="AQ552" t="s">
        <v>122</v>
      </c>
      <c r="AR552" t="s">
        <v>124</v>
      </c>
      <c r="AS552" t="s">
        <v>125</v>
      </c>
      <c r="AU552" t="s">
        <v>126</v>
      </c>
      <c r="AV552" t="s">
        <v>155</v>
      </c>
      <c r="AW552" t="s">
        <v>156</v>
      </c>
      <c r="AY552" t="s">
        <v>129</v>
      </c>
      <c r="AZ552">
        <v>40199.699999999997</v>
      </c>
      <c r="BC552">
        <v>107.9723</v>
      </c>
      <c r="BD552" t="s">
        <v>112</v>
      </c>
      <c r="BE552" t="s">
        <v>112</v>
      </c>
      <c r="BF552" t="s">
        <v>112</v>
      </c>
      <c r="BG552" t="s">
        <v>133</v>
      </c>
      <c r="BH552" t="s">
        <v>167</v>
      </c>
      <c r="BI552" t="s">
        <v>112</v>
      </c>
      <c r="BJ552" t="s">
        <v>112</v>
      </c>
      <c r="BK552" t="s">
        <v>112</v>
      </c>
      <c r="BL552" t="s">
        <v>112</v>
      </c>
      <c r="BM552" t="s">
        <v>112</v>
      </c>
      <c r="BN552" t="s">
        <v>112</v>
      </c>
      <c r="BO552" t="s">
        <v>161</v>
      </c>
      <c r="BQ552" t="s">
        <v>162</v>
      </c>
      <c r="BR552" s="45">
        <f>ISNUMBER(SEARCH($BR$1,Таблица1[[#This Row],[31_1 Описание и характеристика товара]]))*1</f>
        <v>1</v>
      </c>
      <c r="BT552" t="s">
        <v>150</v>
      </c>
      <c r="BU552">
        <v>33</v>
      </c>
      <c r="BV552">
        <v>0</v>
      </c>
      <c r="BW552">
        <v>0</v>
      </c>
      <c r="CA552" t="s">
        <v>106</v>
      </c>
      <c r="CB552" t="s">
        <v>142</v>
      </c>
      <c r="CC552" t="s">
        <v>112</v>
      </c>
      <c r="CD552" t="s">
        <v>112</v>
      </c>
      <c r="CE552" t="s">
        <v>121</v>
      </c>
      <c r="CF552">
        <v>16436.060000000001</v>
      </c>
      <c r="CG552" t="s">
        <v>144</v>
      </c>
      <c r="CH552">
        <v>4000000</v>
      </c>
      <c r="CI552">
        <v>16328.06</v>
      </c>
      <c r="CJ552">
        <v>0</v>
      </c>
      <c r="CK552" t="s">
        <v>112</v>
      </c>
      <c r="CL552" t="s">
        <v>112</v>
      </c>
      <c r="CM552">
        <v>40199.699999999997</v>
      </c>
      <c r="CO552">
        <v>0</v>
      </c>
      <c r="CP552">
        <v>1</v>
      </c>
      <c r="CQ552">
        <v>4786379.67</v>
      </c>
      <c r="CR552">
        <v>48737.86</v>
      </c>
      <c r="CS552" t="s">
        <v>145</v>
      </c>
      <c r="CT552">
        <v>48657.618799999997</v>
      </c>
      <c r="CU552">
        <v>2.98</v>
      </c>
      <c r="CY552">
        <v>229</v>
      </c>
    </row>
    <row r="553" spans="1:103" x14ac:dyDescent="0.25">
      <c r="A553" t="s">
        <v>106</v>
      </c>
      <c r="B553" s="38">
        <v>44884</v>
      </c>
      <c r="C553" s="43">
        <f>IF(YEAR(Таблица1[[#This Row],[Дата]])=2023,MONTH(Таблица1[[#This Row],[Дата]]),0)</f>
        <v>0</v>
      </c>
      <c r="D553" t="s">
        <v>1713</v>
      </c>
      <c r="E553" t="s">
        <v>108</v>
      </c>
      <c r="F553" t="s">
        <v>1714</v>
      </c>
      <c r="G553" t="s">
        <v>110</v>
      </c>
      <c r="H553" t="s">
        <v>111</v>
      </c>
      <c r="I553" t="s">
        <v>112</v>
      </c>
      <c r="J553" t="s">
        <v>112</v>
      </c>
      <c r="K553" t="s">
        <v>112</v>
      </c>
      <c r="L553" t="s">
        <v>150</v>
      </c>
      <c r="M553" t="s">
        <v>151</v>
      </c>
      <c r="N553" t="s">
        <v>112</v>
      </c>
      <c r="O553" t="s">
        <v>112</v>
      </c>
      <c r="R553">
        <v>1</v>
      </c>
      <c r="S553">
        <v>33</v>
      </c>
      <c r="T553" t="s">
        <v>112</v>
      </c>
      <c r="U553" t="s">
        <v>1704</v>
      </c>
      <c r="V553" t="s">
        <v>153</v>
      </c>
      <c r="W553" t="s">
        <v>154</v>
      </c>
      <c r="X553" t="s">
        <v>112</v>
      </c>
      <c r="Y553" t="s">
        <v>112</v>
      </c>
      <c r="Z553" t="s">
        <v>166</v>
      </c>
      <c r="AA553" t="s">
        <v>152</v>
      </c>
      <c r="AB553" t="s">
        <v>153</v>
      </c>
      <c r="AC553" t="s">
        <v>154</v>
      </c>
      <c r="AD553" t="s">
        <v>119</v>
      </c>
      <c r="AE553" t="s">
        <v>112</v>
      </c>
      <c r="AF553" t="s">
        <v>121</v>
      </c>
      <c r="AG553" t="s">
        <v>122</v>
      </c>
      <c r="AH553">
        <v>5595451.75</v>
      </c>
      <c r="AI553" t="s">
        <v>166</v>
      </c>
      <c r="AJ553" t="s">
        <v>152</v>
      </c>
      <c r="AK553" t="s">
        <v>153</v>
      </c>
      <c r="AL553" t="s">
        <v>154</v>
      </c>
      <c r="AM553" t="s">
        <v>119</v>
      </c>
      <c r="AN553" t="s">
        <v>112</v>
      </c>
      <c r="AO553" t="s">
        <v>121</v>
      </c>
      <c r="AP553" t="s">
        <v>122</v>
      </c>
      <c r="AQ553" t="s">
        <v>122</v>
      </c>
      <c r="AR553" t="s">
        <v>124</v>
      </c>
      <c r="AS553" t="s">
        <v>125</v>
      </c>
      <c r="AU553" t="s">
        <v>126</v>
      </c>
      <c r="AV553" t="s">
        <v>155</v>
      </c>
      <c r="AW553" t="s">
        <v>156</v>
      </c>
      <c r="AY553" t="s">
        <v>129</v>
      </c>
      <c r="AZ553">
        <v>47173.03</v>
      </c>
      <c r="BC553">
        <v>107.9723</v>
      </c>
      <c r="BD553" t="s">
        <v>112</v>
      </c>
      <c r="BE553" t="s">
        <v>112</v>
      </c>
      <c r="BF553" t="s">
        <v>112</v>
      </c>
      <c r="BG553" t="s">
        <v>133</v>
      </c>
      <c r="BH553" t="s">
        <v>167</v>
      </c>
      <c r="BI553" t="s">
        <v>112</v>
      </c>
      <c r="BJ553" t="s">
        <v>112</v>
      </c>
      <c r="BK553" t="s">
        <v>112</v>
      </c>
      <c r="BL553" t="s">
        <v>112</v>
      </c>
      <c r="BM553" t="s">
        <v>112</v>
      </c>
      <c r="BN553" t="s">
        <v>112</v>
      </c>
      <c r="BO553" t="s">
        <v>161</v>
      </c>
      <c r="BQ553" t="s">
        <v>205</v>
      </c>
      <c r="BR553" s="45">
        <f>ISNUMBER(SEARCH($BR$1,Таблица1[[#This Row],[31_1 Описание и характеристика товара]]))*1</f>
        <v>1</v>
      </c>
      <c r="BT553" t="s">
        <v>150</v>
      </c>
      <c r="BU553">
        <v>33</v>
      </c>
      <c r="BV553">
        <v>0</v>
      </c>
      <c r="BW553">
        <v>0</v>
      </c>
      <c r="CA553" t="s">
        <v>106</v>
      </c>
      <c r="CB553" t="s">
        <v>142</v>
      </c>
      <c r="CC553" t="s">
        <v>112</v>
      </c>
      <c r="CD553" t="s">
        <v>112</v>
      </c>
      <c r="CE553" t="s">
        <v>121</v>
      </c>
      <c r="CF553">
        <v>16286.36</v>
      </c>
      <c r="CG553" t="s">
        <v>144</v>
      </c>
      <c r="CH553">
        <v>4000000</v>
      </c>
      <c r="CI553">
        <v>16243.16</v>
      </c>
      <c r="CJ553">
        <v>0</v>
      </c>
      <c r="CK553" t="s">
        <v>112</v>
      </c>
      <c r="CL553" t="s">
        <v>112</v>
      </c>
      <c r="CM553">
        <v>47173.03</v>
      </c>
      <c r="CO553">
        <v>0</v>
      </c>
      <c r="CP553">
        <v>1</v>
      </c>
      <c r="CQ553">
        <v>5595451.75</v>
      </c>
      <c r="CR553">
        <v>56976.33</v>
      </c>
      <c r="CS553" t="s">
        <v>145</v>
      </c>
      <c r="CT553">
        <v>57013.491599999994</v>
      </c>
      <c r="CU553">
        <v>3.51</v>
      </c>
      <c r="CY553">
        <v>243</v>
      </c>
    </row>
    <row r="554" spans="1:103" x14ac:dyDescent="0.25">
      <c r="A554" t="s">
        <v>106</v>
      </c>
      <c r="B554" s="38">
        <v>44752</v>
      </c>
      <c r="C554" s="43">
        <f>IF(YEAR(Таблица1[[#This Row],[Дата]])=2023,MONTH(Таблица1[[#This Row],[Дата]]),0)</f>
        <v>0</v>
      </c>
      <c r="D554" t="s">
        <v>1711</v>
      </c>
      <c r="E554" t="s">
        <v>108</v>
      </c>
      <c r="F554" t="s">
        <v>1712</v>
      </c>
      <c r="G554" t="s">
        <v>110</v>
      </c>
      <c r="H554" t="s">
        <v>111</v>
      </c>
      <c r="I554" t="s">
        <v>112</v>
      </c>
      <c r="J554" t="s">
        <v>112</v>
      </c>
      <c r="K554" t="s">
        <v>112</v>
      </c>
      <c r="L554" t="s">
        <v>150</v>
      </c>
      <c r="M554" t="s">
        <v>151</v>
      </c>
      <c r="N554" t="s">
        <v>112</v>
      </c>
      <c r="O554" t="s">
        <v>112</v>
      </c>
      <c r="R554">
        <v>1</v>
      </c>
      <c r="S554">
        <v>33</v>
      </c>
      <c r="T554" t="s">
        <v>112</v>
      </c>
      <c r="U554" t="s">
        <v>1704</v>
      </c>
      <c r="V554" t="s">
        <v>153</v>
      </c>
      <c r="W554" t="s">
        <v>154</v>
      </c>
      <c r="X554" t="s">
        <v>112</v>
      </c>
      <c r="Y554" t="s">
        <v>112</v>
      </c>
      <c r="Z554" t="s">
        <v>166</v>
      </c>
      <c r="AA554" t="s">
        <v>152</v>
      </c>
      <c r="AB554" t="s">
        <v>153</v>
      </c>
      <c r="AC554" t="s">
        <v>154</v>
      </c>
      <c r="AD554" t="s">
        <v>119</v>
      </c>
      <c r="AE554" t="s">
        <v>112</v>
      </c>
      <c r="AF554" t="s">
        <v>121</v>
      </c>
      <c r="AG554" t="s">
        <v>122</v>
      </c>
      <c r="AH554">
        <v>5128114.16</v>
      </c>
      <c r="AI554" t="s">
        <v>166</v>
      </c>
      <c r="AJ554" t="s">
        <v>152</v>
      </c>
      <c r="AK554" t="s">
        <v>153</v>
      </c>
      <c r="AL554" t="s">
        <v>154</v>
      </c>
      <c r="AM554" t="s">
        <v>119</v>
      </c>
      <c r="AN554" t="s">
        <v>112</v>
      </c>
      <c r="AO554" t="s">
        <v>121</v>
      </c>
      <c r="AP554" t="s">
        <v>122</v>
      </c>
      <c r="AQ554" t="s">
        <v>122</v>
      </c>
      <c r="AR554" t="s">
        <v>124</v>
      </c>
      <c r="AS554" t="s">
        <v>125</v>
      </c>
      <c r="AU554" t="s">
        <v>126</v>
      </c>
      <c r="AV554" t="s">
        <v>155</v>
      </c>
      <c r="AW554" t="s">
        <v>156</v>
      </c>
      <c r="AY554" t="s">
        <v>129</v>
      </c>
      <c r="AZ554">
        <v>43364.72</v>
      </c>
      <c r="BC554">
        <v>107.9723</v>
      </c>
      <c r="BD554" t="s">
        <v>112</v>
      </c>
      <c r="BE554" t="s">
        <v>112</v>
      </c>
      <c r="BF554" t="s">
        <v>112</v>
      </c>
      <c r="BG554" t="s">
        <v>133</v>
      </c>
      <c r="BH554" t="s">
        <v>167</v>
      </c>
      <c r="BI554" t="s">
        <v>112</v>
      </c>
      <c r="BJ554" t="s">
        <v>112</v>
      </c>
      <c r="BK554" t="s">
        <v>112</v>
      </c>
      <c r="BL554" t="s">
        <v>112</v>
      </c>
      <c r="BM554" t="s">
        <v>112</v>
      </c>
      <c r="BN554" t="s">
        <v>112</v>
      </c>
      <c r="BO554" t="s">
        <v>161</v>
      </c>
      <c r="BQ554" t="s">
        <v>232</v>
      </c>
      <c r="BR554" s="45">
        <f>ISNUMBER(SEARCH($BR$1,Таблица1[[#This Row],[31_1 Описание и характеристика товара]]))*1</f>
        <v>1</v>
      </c>
      <c r="BT554" t="s">
        <v>150</v>
      </c>
      <c r="BU554">
        <v>33</v>
      </c>
      <c r="BV554">
        <v>0</v>
      </c>
      <c r="BW554">
        <v>0</v>
      </c>
      <c r="CA554" t="s">
        <v>106</v>
      </c>
      <c r="CB554" t="s">
        <v>142</v>
      </c>
      <c r="CC554" t="s">
        <v>112</v>
      </c>
      <c r="CD554" t="s">
        <v>112</v>
      </c>
      <c r="CE554" t="s">
        <v>121</v>
      </c>
      <c r="CF554">
        <v>16244.42</v>
      </c>
      <c r="CG554" t="s">
        <v>144</v>
      </c>
      <c r="CH554">
        <v>4000000</v>
      </c>
      <c r="CI554">
        <v>16181.46</v>
      </c>
      <c r="CJ554">
        <v>0</v>
      </c>
      <c r="CK554" t="s">
        <v>112</v>
      </c>
      <c r="CL554" t="s">
        <v>112</v>
      </c>
      <c r="CM554">
        <v>43364.72</v>
      </c>
      <c r="CO554">
        <v>0</v>
      </c>
      <c r="CP554">
        <v>1</v>
      </c>
      <c r="CQ554">
        <v>5128114.16</v>
      </c>
      <c r="CR554">
        <v>52217.61</v>
      </c>
      <c r="CS554" t="s">
        <v>145</v>
      </c>
      <c r="CT554">
        <v>52266.1158</v>
      </c>
      <c r="CU554">
        <v>3.23</v>
      </c>
      <c r="CY554">
        <v>211</v>
      </c>
    </row>
    <row r="555" spans="1:103" x14ac:dyDescent="0.25">
      <c r="A555" t="s">
        <v>106</v>
      </c>
      <c r="B555" s="38">
        <v>44879</v>
      </c>
      <c r="C555" s="43">
        <f>IF(YEAR(Таблица1[[#This Row],[Дата]])=2023,MONTH(Таблица1[[#This Row],[Дата]]),0)</f>
        <v>0</v>
      </c>
      <c r="D555" t="s">
        <v>1707</v>
      </c>
      <c r="E555" t="s">
        <v>108</v>
      </c>
      <c r="F555" t="s">
        <v>1708</v>
      </c>
      <c r="G555" t="s">
        <v>110</v>
      </c>
      <c r="H555" t="s">
        <v>111</v>
      </c>
      <c r="I555" t="s">
        <v>112</v>
      </c>
      <c r="J555" t="s">
        <v>112</v>
      </c>
      <c r="K555" t="s">
        <v>112</v>
      </c>
      <c r="L555" t="s">
        <v>150</v>
      </c>
      <c r="M555" t="s">
        <v>151</v>
      </c>
      <c r="N555" t="s">
        <v>112</v>
      </c>
      <c r="O555" t="s">
        <v>112</v>
      </c>
      <c r="R555">
        <v>1</v>
      </c>
      <c r="S555">
        <v>33</v>
      </c>
      <c r="T555" t="s">
        <v>112</v>
      </c>
      <c r="U555" t="s">
        <v>1704</v>
      </c>
      <c r="V555" t="s">
        <v>153</v>
      </c>
      <c r="W555" t="s">
        <v>154</v>
      </c>
      <c r="X555" t="s">
        <v>112</v>
      </c>
      <c r="Y555" t="s">
        <v>112</v>
      </c>
      <c r="Z555" t="s">
        <v>166</v>
      </c>
      <c r="AA555" t="s">
        <v>152</v>
      </c>
      <c r="AB555" t="s">
        <v>153</v>
      </c>
      <c r="AC555" t="s">
        <v>154</v>
      </c>
      <c r="AD555" t="s">
        <v>119</v>
      </c>
      <c r="AE555" t="s">
        <v>112</v>
      </c>
      <c r="AF555" t="s">
        <v>121</v>
      </c>
      <c r="AG555" t="s">
        <v>122</v>
      </c>
      <c r="AH555">
        <v>4427907.3099999996</v>
      </c>
      <c r="AI555" t="s">
        <v>166</v>
      </c>
      <c r="AJ555" t="s">
        <v>152</v>
      </c>
      <c r="AK555" t="s">
        <v>153</v>
      </c>
      <c r="AL555" t="s">
        <v>154</v>
      </c>
      <c r="AM555" t="s">
        <v>119</v>
      </c>
      <c r="AN555" t="s">
        <v>112</v>
      </c>
      <c r="AO555" t="s">
        <v>121</v>
      </c>
      <c r="AP555" t="s">
        <v>122</v>
      </c>
      <c r="AQ555" t="s">
        <v>122</v>
      </c>
      <c r="AR555" t="s">
        <v>124</v>
      </c>
      <c r="AS555" t="s">
        <v>125</v>
      </c>
      <c r="AU555" t="s">
        <v>126</v>
      </c>
      <c r="AV555" t="s">
        <v>155</v>
      </c>
      <c r="AW555" t="s">
        <v>156</v>
      </c>
      <c r="AY555" t="s">
        <v>129</v>
      </c>
      <c r="AZ555">
        <v>36879.660000000003</v>
      </c>
      <c r="BC555">
        <v>107.9723</v>
      </c>
      <c r="BD555" t="s">
        <v>112</v>
      </c>
      <c r="BE555" t="s">
        <v>112</v>
      </c>
      <c r="BF555" t="s">
        <v>112</v>
      </c>
      <c r="BG555" t="s">
        <v>133</v>
      </c>
      <c r="BH555" t="s">
        <v>167</v>
      </c>
      <c r="BI555" t="s">
        <v>112</v>
      </c>
      <c r="BJ555" t="s">
        <v>112</v>
      </c>
      <c r="BK555" t="s">
        <v>112</v>
      </c>
      <c r="BL555" t="s">
        <v>112</v>
      </c>
      <c r="BM555" t="s">
        <v>112</v>
      </c>
      <c r="BN555" t="s">
        <v>112</v>
      </c>
      <c r="BO555" t="s">
        <v>161</v>
      </c>
      <c r="BQ555" t="s">
        <v>213</v>
      </c>
      <c r="BR555" s="45">
        <f>ISNUMBER(SEARCH($BR$1,Таблица1[[#This Row],[31_1 Описание и характеристика товара]]))*1</f>
        <v>1</v>
      </c>
      <c r="BT555" t="s">
        <v>150</v>
      </c>
      <c r="BU555">
        <v>33</v>
      </c>
      <c r="BV555">
        <v>0</v>
      </c>
      <c r="BW555">
        <v>0</v>
      </c>
      <c r="CA555" t="s">
        <v>106</v>
      </c>
      <c r="CB555" t="s">
        <v>142</v>
      </c>
      <c r="CC555" t="s">
        <v>112</v>
      </c>
      <c r="CD555" t="s">
        <v>112</v>
      </c>
      <c r="CE555" t="s">
        <v>121</v>
      </c>
      <c r="CF555">
        <v>15028.89</v>
      </c>
      <c r="CG555" t="s">
        <v>144</v>
      </c>
      <c r="CH555">
        <v>4000000</v>
      </c>
      <c r="CI555">
        <v>14640.09</v>
      </c>
      <c r="CJ555">
        <v>0</v>
      </c>
      <c r="CK555" t="s">
        <v>112</v>
      </c>
      <c r="CL555" t="s">
        <v>112</v>
      </c>
      <c r="CM555">
        <v>36879.660000000003</v>
      </c>
      <c r="CO555">
        <v>0</v>
      </c>
      <c r="CP555">
        <v>1</v>
      </c>
      <c r="CQ555">
        <v>4427907.3099999996</v>
      </c>
      <c r="CR555">
        <v>45087.68</v>
      </c>
      <c r="CS555" t="s">
        <v>145</v>
      </c>
      <c r="CT555">
        <v>45091.477200000001</v>
      </c>
      <c r="CU555">
        <v>3.08</v>
      </c>
      <c r="CY555">
        <v>571</v>
      </c>
    </row>
    <row r="556" spans="1:103" x14ac:dyDescent="0.25">
      <c r="A556" t="s">
        <v>106</v>
      </c>
      <c r="B556" s="38">
        <v>45247</v>
      </c>
      <c r="C556" s="43">
        <f>IF(YEAR(Таблица1[[#This Row],[Дата]])=2023,MONTH(Таблица1[[#This Row],[Дата]]),0)</f>
        <v>11</v>
      </c>
      <c r="D556" t="s">
        <v>1705</v>
      </c>
      <c r="E556" t="s">
        <v>108</v>
      </c>
      <c r="F556" t="s">
        <v>1706</v>
      </c>
      <c r="G556" t="s">
        <v>110</v>
      </c>
      <c r="H556" t="s">
        <v>111</v>
      </c>
      <c r="I556" t="s">
        <v>112</v>
      </c>
      <c r="J556" t="s">
        <v>112</v>
      </c>
      <c r="K556" t="s">
        <v>112</v>
      </c>
      <c r="L556" t="s">
        <v>150</v>
      </c>
      <c r="M556" t="s">
        <v>151</v>
      </c>
      <c r="N556" t="s">
        <v>112</v>
      </c>
      <c r="O556" t="s">
        <v>112</v>
      </c>
      <c r="R556">
        <v>1</v>
      </c>
      <c r="S556">
        <v>33</v>
      </c>
      <c r="T556" t="s">
        <v>112</v>
      </c>
      <c r="U556" t="s">
        <v>1704</v>
      </c>
      <c r="V556" t="s">
        <v>153</v>
      </c>
      <c r="W556" t="s">
        <v>154</v>
      </c>
      <c r="X556" t="s">
        <v>112</v>
      </c>
      <c r="Y556" t="s">
        <v>112</v>
      </c>
      <c r="Z556" t="s">
        <v>166</v>
      </c>
      <c r="AA556" t="s">
        <v>152</v>
      </c>
      <c r="AB556" t="s">
        <v>153</v>
      </c>
      <c r="AC556" t="s">
        <v>154</v>
      </c>
      <c r="AD556" t="s">
        <v>119</v>
      </c>
      <c r="AE556" t="s">
        <v>112</v>
      </c>
      <c r="AF556" t="s">
        <v>121</v>
      </c>
      <c r="AG556" t="s">
        <v>122</v>
      </c>
      <c r="AH556">
        <v>5095934.09</v>
      </c>
      <c r="AI556" t="s">
        <v>166</v>
      </c>
      <c r="AJ556" t="s">
        <v>152</v>
      </c>
      <c r="AK556" t="s">
        <v>153</v>
      </c>
      <c r="AL556" t="s">
        <v>154</v>
      </c>
      <c r="AM556" t="s">
        <v>119</v>
      </c>
      <c r="AN556" t="s">
        <v>112</v>
      </c>
      <c r="AO556" t="s">
        <v>121</v>
      </c>
      <c r="AP556" t="s">
        <v>122</v>
      </c>
      <c r="AQ556" t="s">
        <v>122</v>
      </c>
      <c r="AR556" t="s">
        <v>124</v>
      </c>
      <c r="AS556" t="s">
        <v>125</v>
      </c>
      <c r="AU556" t="s">
        <v>126</v>
      </c>
      <c r="AV556" t="s">
        <v>155</v>
      </c>
      <c r="AW556" t="s">
        <v>156</v>
      </c>
      <c r="AY556" t="s">
        <v>129</v>
      </c>
      <c r="AZ556">
        <v>43066.68</v>
      </c>
      <c r="BC556">
        <v>107.9723</v>
      </c>
      <c r="BD556" t="s">
        <v>112</v>
      </c>
      <c r="BE556" t="s">
        <v>112</v>
      </c>
      <c r="BF556" t="s">
        <v>112</v>
      </c>
      <c r="BG556" t="s">
        <v>133</v>
      </c>
      <c r="BH556" t="s">
        <v>167</v>
      </c>
      <c r="BI556" t="s">
        <v>112</v>
      </c>
      <c r="BJ556" t="s">
        <v>112</v>
      </c>
      <c r="BK556" t="s">
        <v>112</v>
      </c>
      <c r="BL556" t="s">
        <v>112</v>
      </c>
      <c r="BM556" t="s">
        <v>112</v>
      </c>
      <c r="BN556" t="s">
        <v>112</v>
      </c>
      <c r="BO556" t="s">
        <v>161</v>
      </c>
      <c r="BQ556" t="s">
        <v>232</v>
      </c>
      <c r="BR556" s="45">
        <f>ISNUMBER(SEARCH($BR$1,Таблица1[[#This Row],[31_1 Описание и характеристика товара]]))*1</f>
        <v>1</v>
      </c>
      <c r="BT556" t="s">
        <v>150</v>
      </c>
      <c r="BU556">
        <v>33</v>
      </c>
      <c r="BV556">
        <v>0</v>
      </c>
      <c r="BW556">
        <v>0</v>
      </c>
      <c r="CA556" t="s">
        <v>106</v>
      </c>
      <c r="CB556" t="s">
        <v>142</v>
      </c>
      <c r="CC556" t="s">
        <v>112</v>
      </c>
      <c r="CD556" t="s">
        <v>112</v>
      </c>
      <c r="CE556" t="s">
        <v>121</v>
      </c>
      <c r="CF556">
        <v>16049.48</v>
      </c>
      <c r="CG556" t="s">
        <v>144</v>
      </c>
      <c r="CH556">
        <v>4000000</v>
      </c>
      <c r="CI556">
        <v>15923.48</v>
      </c>
      <c r="CJ556">
        <v>0</v>
      </c>
      <c r="CK556" t="s">
        <v>112</v>
      </c>
      <c r="CL556" t="s">
        <v>112</v>
      </c>
      <c r="CM556">
        <v>43066.68</v>
      </c>
      <c r="CO556">
        <v>0</v>
      </c>
      <c r="CP556">
        <v>1</v>
      </c>
      <c r="CQ556">
        <v>5095934.09</v>
      </c>
      <c r="CR556">
        <v>51889.93</v>
      </c>
      <c r="CS556" t="s">
        <v>145</v>
      </c>
      <c r="CT556">
        <v>51910.544799999996</v>
      </c>
      <c r="CU556">
        <v>3.26</v>
      </c>
      <c r="CY556">
        <v>42</v>
      </c>
    </row>
    <row r="557" spans="1:103" x14ac:dyDescent="0.25">
      <c r="A557" t="s">
        <v>106</v>
      </c>
      <c r="B557" s="38">
        <v>45249</v>
      </c>
      <c r="C557" s="43">
        <f>IF(YEAR(Таблица1[[#This Row],[Дата]])=2023,MONTH(Таблица1[[#This Row],[Дата]]),0)</f>
        <v>11</v>
      </c>
      <c r="D557" t="s">
        <v>1702</v>
      </c>
      <c r="E557" t="s">
        <v>108</v>
      </c>
      <c r="F557" t="s">
        <v>1703</v>
      </c>
      <c r="G557" t="s">
        <v>110</v>
      </c>
      <c r="H557" t="s">
        <v>111</v>
      </c>
      <c r="I557" t="s">
        <v>112</v>
      </c>
      <c r="J557" t="s">
        <v>112</v>
      </c>
      <c r="K557" t="s">
        <v>112</v>
      </c>
      <c r="L557" t="s">
        <v>150</v>
      </c>
      <c r="M557" t="s">
        <v>151</v>
      </c>
      <c r="N557" t="s">
        <v>112</v>
      </c>
      <c r="O557" t="s">
        <v>112</v>
      </c>
      <c r="R557">
        <v>1</v>
      </c>
      <c r="S557">
        <v>33</v>
      </c>
      <c r="T557" t="s">
        <v>112</v>
      </c>
      <c r="U557" t="s">
        <v>1704</v>
      </c>
      <c r="V557" t="s">
        <v>153</v>
      </c>
      <c r="W557" t="s">
        <v>154</v>
      </c>
      <c r="X557" t="s">
        <v>112</v>
      </c>
      <c r="Y557" t="s">
        <v>112</v>
      </c>
      <c r="Z557" t="s">
        <v>166</v>
      </c>
      <c r="AA557" t="s">
        <v>152</v>
      </c>
      <c r="AB557" t="s">
        <v>153</v>
      </c>
      <c r="AC557" t="s">
        <v>154</v>
      </c>
      <c r="AD557" t="s">
        <v>119</v>
      </c>
      <c r="AE557" t="s">
        <v>112</v>
      </c>
      <c r="AF557" t="s">
        <v>121</v>
      </c>
      <c r="AG557" t="s">
        <v>122</v>
      </c>
      <c r="AH557">
        <v>4849242.22</v>
      </c>
      <c r="AI557" t="s">
        <v>166</v>
      </c>
      <c r="AJ557" t="s">
        <v>152</v>
      </c>
      <c r="AK557" t="s">
        <v>153</v>
      </c>
      <c r="AL557" t="s">
        <v>154</v>
      </c>
      <c r="AM557" t="s">
        <v>119</v>
      </c>
      <c r="AN557" t="s">
        <v>112</v>
      </c>
      <c r="AO557" t="s">
        <v>121</v>
      </c>
      <c r="AP557" t="s">
        <v>122</v>
      </c>
      <c r="AQ557" t="s">
        <v>122</v>
      </c>
      <c r="AR557" t="s">
        <v>124</v>
      </c>
      <c r="AS557" t="s">
        <v>125</v>
      </c>
      <c r="AU557" t="s">
        <v>126</v>
      </c>
      <c r="AV557" t="s">
        <v>155</v>
      </c>
      <c r="AW557" t="s">
        <v>156</v>
      </c>
      <c r="AY557" t="s">
        <v>129</v>
      </c>
      <c r="AZ557">
        <v>40781.910000000003</v>
      </c>
      <c r="BC557">
        <v>107.9723</v>
      </c>
      <c r="BD557" t="s">
        <v>112</v>
      </c>
      <c r="BE557" t="s">
        <v>112</v>
      </c>
      <c r="BF557" t="s">
        <v>112</v>
      </c>
      <c r="BG557" t="s">
        <v>133</v>
      </c>
      <c r="BH557" t="s">
        <v>167</v>
      </c>
      <c r="BI557" t="s">
        <v>112</v>
      </c>
      <c r="BJ557" t="s">
        <v>112</v>
      </c>
      <c r="BK557" t="s">
        <v>112</v>
      </c>
      <c r="BL557" t="s">
        <v>112</v>
      </c>
      <c r="BM557" t="s">
        <v>112</v>
      </c>
      <c r="BN557" t="s">
        <v>112</v>
      </c>
      <c r="BO557" t="s">
        <v>161</v>
      </c>
      <c r="BQ557" t="s">
        <v>162</v>
      </c>
      <c r="BR557" s="45">
        <f>ISNUMBER(SEARCH($BR$1,Таблица1[[#This Row],[31_1 Описание и характеристика товара]]))*1</f>
        <v>1</v>
      </c>
      <c r="BT557" t="s">
        <v>150</v>
      </c>
      <c r="BU557">
        <v>33</v>
      </c>
      <c r="BV557">
        <v>0</v>
      </c>
      <c r="BW557">
        <v>0</v>
      </c>
      <c r="CA557" t="s">
        <v>106</v>
      </c>
      <c r="CB557" t="s">
        <v>142</v>
      </c>
      <c r="CC557" t="s">
        <v>112</v>
      </c>
      <c r="CD557" t="s">
        <v>112</v>
      </c>
      <c r="CE557" t="s">
        <v>121</v>
      </c>
      <c r="CF557">
        <v>16610.77</v>
      </c>
      <c r="CG557" t="s">
        <v>144</v>
      </c>
      <c r="CH557">
        <v>4000000</v>
      </c>
      <c r="CI557">
        <v>16502.77</v>
      </c>
      <c r="CJ557">
        <v>0</v>
      </c>
      <c r="CK557" t="s">
        <v>112</v>
      </c>
      <c r="CL557" t="s">
        <v>112</v>
      </c>
      <c r="CM557">
        <v>40781.910000000003</v>
      </c>
      <c r="CO557">
        <v>0</v>
      </c>
      <c r="CP557">
        <v>1</v>
      </c>
      <c r="CQ557">
        <v>4849242.22</v>
      </c>
      <c r="CR557">
        <v>49377.97</v>
      </c>
      <c r="CS557" t="s">
        <v>145</v>
      </c>
      <c r="CT557">
        <v>49343.282300000006</v>
      </c>
      <c r="CU557">
        <v>2.99</v>
      </c>
      <c r="CY557">
        <v>36</v>
      </c>
    </row>
    <row r="558" spans="1:103" x14ac:dyDescent="0.25">
      <c r="A558" t="s">
        <v>106</v>
      </c>
      <c r="B558" s="38">
        <v>44965</v>
      </c>
      <c r="C558" s="43">
        <f>IF(YEAR(Таблица1[[#This Row],[Дата]])=2023,MONTH(Таблица1[[#This Row],[Дата]]),0)</f>
        <v>2</v>
      </c>
      <c r="D558" t="s">
        <v>1486</v>
      </c>
      <c r="E558" t="s">
        <v>108</v>
      </c>
      <c r="F558" t="s">
        <v>1487</v>
      </c>
      <c r="G558" t="s">
        <v>110</v>
      </c>
      <c r="H558" t="s">
        <v>111</v>
      </c>
      <c r="I558" t="s">
        <v>112</v>
      </c>
      <c r="J558" t="s">
        <v>112</v>
      </c>
      <c r="K558" t="s">
        <v>112</v>
      </c>
      <c r="L558" t="s">
        <v>150</v>
      </c>
      <c r="M558" t="s">
        <v>1439</v>
      </c>
      <c r="N558" t="s">
        <v>112</v>
      </c>
      <c r="O558" t="s">
        <v>112</v>
      </c>
      <c r="P558">
        <v>1</v>
      </c>
      <c r="Q558">
        <v>0</v>
      </c>
      <c r="R558">
        <v>1</v>
      </c>
      <c r="S558">
        <v>33</v>
      </c>
      <c r="T558" t="s">
        <v>166</v>
      </c>
      <c r="U558" t="s">
        <v>152</v>
      </c>
      <c r="V558" t="s">
        <v>153</v>
      </c>
      <c r="W558" t="s">
        <v>154</v>
      </c>
      <c r="X558" t="s">
        <v>119</v>
      </c>
      <c r="Y558" t="s">
        <v>112</v>
      </c>
      <c r="Z558" t="s">
        <v>166</v>
      </c>
      <c r="AA558" t="s">
        <v>152</v>
      </c>
      <c r="AB558" t="s">
        <v>153</v>
      </c>
      <c r="AC558" t="s">
        <v>154</v>
      </c>
      <c r="AD558" t="s">
        <v>119</v>
      </c>
      <c r="AE558" t="s">
        <v>112</v>
      </c>
      <c r="AF558" t="s">
        <v>121</v>
      </c>
      <c r="AG558" t="s">
        <v>122</v>
      </c>
      <c r="AH558">
        <v>4664162.87</v>
      </c>
      <c r="AI558" t="s">
        <v>166</v>
      </c>
      <c r="AJ558" t="s">
        <v>152</v>
      </c>
      <c r="AK558" t="s">
        <v>153</v>
      </c>
      <c r="AL558" t="s">
        <v>154</v>
      </c>
      <c r="AM558" t="s">
        <v>119</v>
      </c>
      <c r="AN558" t="s">
        <v>112</v>
      </c>
      <c r="AO558" t="s">
        <v>121</v>
      </c>
      <c r="AP558" t="s">
        <v>122</v>
      </c>
      <c r="AQ558" t="s">
        <v>122</v>
      </c>
      <c r="AR558" t="s">
        <v>124</v>
      </c>
      <c r="AS558" t="s">
        <v>125</v>
      </c>
      <c r="AT558">
        <v>2</v>
      </c>
      <c r="AU558" t="s">
        <v>126</v>
      </c>
      <c r="AV558" t="s">
        <v>155</v>
      </c>
      <c r="AW558" t="s">
        <v>156</v>
      </c>
      <c r="AX558">
        <v>1</v>
      </c>
      <c r="AY558" t="s">
        <v>129</v>
      </c>
      <c r="AZ558">
        <v>42197.16</v>
      </c>
      <c r="BA558">
        <v>4248359</v>
      </c>
      <c r="BB558">
        <v>51723.06</v>
      </c>
      <c r="BC558">
        <v>100.6788</v>
      </c>
      <c r="BD558" t="s">
        <v>130</v>
      </c>
      <c r="BE558" t="s">
        <v>112</v>
      </c>
      <c r="BF558" t="s">
        <v>157</v>
      </c>
      <c r="BG558" t="s">
        <v>133</v>
      </c>
      <c r="BH558" t="s">
        <v>134</v>
      </c>
      <c r="BI558" t="s">
        <v>112</v>
      </c>
      <c r="BJ558" t="s">
        <v>112</v>
      </c>
      <c r="BK558" t="s">
        <v>112</v>
      </c>
      <c r="BL558" t="s">
        <v>169</v>
      </c>
      <c r="BM558" t="s">
        <v>159</v>
      </c>
      <c r="BN558" t="s">
        <v>722</v>
      </c>
      <c r="BO558" t="s">
        <v>161</v>
      </c>
      <c r="BP558">
        <v>1</v>
      </c>
      <c r="BQ558" t="s">
        <v>1488</v>
      </c>
      <c r="BR558" s="45">
        <f>ISNUMBER(SEARCH($BR$1,Таблица1[[#This Row],[31_1 Описание и характеристика товара]]))*1</f>
        <v>1</v>
      </c>
      <c r="BT558" t="s">
        <v>150</v>
      </c>
      <c r="BU558">
        <v>33</v>
      </c>
      <c r="BV558">
        <v>0</v>
      </c>
      <c r="BW558">
        <v>0</v>
      </c>
      <c r="BY558">
        <v>0</v>
      </c>
      <c r="CA558" t="s">
        <v>106</v>
      </c>
      <c r="CB558" t="s">
        <v>142</v>
      </c>
      <c r="CC558" t="s">
        <v>112</v>
      </c>
      <c r="CD558" t="s">
        <v>112</v>
      </c>
      <c r="CE558" t="s">
        <v>121</v>
      </c>
      <c r="CF558">
        <v>17221.55</v>
      </c>
      <c r="CG558" t="s">
        <v>144</v>
      </c>
      <c r="CH558">
        <v>4000000</v>
      </c>
      <c r="CI558">
        <v>17221.55</v>
      </c>
      <c r="CJ558">
        <v>0</v>
      </c>
      <c r="CK558" t="s">
        <v>112</v>
      </c>
      <c r="CL558" t="s">
        <v>112</v>
      </c>
      <c r="CM558">
        <v>42197.16</v>
      </c>
      <c r="CN558">
        <v>4248359</v>
      </c>
      <c r="CO558">
        <v>0</v>
      </c>
      <c r="CP558">
        <v>1</v>
      </c>
      <c r="CQ558">
        <v>4664162.87</v>
      </c>
      <c r="CR558">
        <v>51723.06</v>
      </c>
      <c r="CS558" t="s">
        <v>145</v>
      </c>
      <c r="CT558">
        <v>51664.649999999994</v>
      </c>
      <c r="CU558">
        <v>3</v>
      </c>
      <c r="CV558">
        <v>45</v>
      </c>
      <c r="CW558" t="s">
        <v>171</v>
      </c>
      <c r="CX558" t="s">
        <v>372</v>
      </c>
      <c r="CY558">
        <v>80</v>
      </c>
    </row>
    <row r="559" spans="1:103" x14ac:dyDescent="0.25">
      <c r="A559" t="s">
        <v>106</v>
      </c>
      <c r="B559" s="38">
        <v>45257</v>
      </c>
      <c r="C559" s="43">
        <f>IF(YEAR(Таблица1[[#This Row],[Дата]])=2023,MONTH(Таблица1[[#This Row],[Дата]]),0)</f>
        <v>11</v>
      </c>
      <c r="D559" t="s">
        <v>1483</v>
      </c>
      <c r="E559" t="s">
        <v>108</v>
      </c>
      <c r="F559" t="s">
        <v>1484</v>
      </c>
      <c r="G559" t="s">
        <v>110</v>
      </c>
      <c r="H559" t="s">
        <v>111</v>
      </c>
      <c r="I559" t="s">
        <v>112</v>
      </c>
      <c r="J559" t="s">
        <v>112</v>
      </c>
      <c r="K559" t="s">
        <v>112</v>
      </c>
      <c r="L559" t="s">
        <v>150</v>
      </c>
      <c r="M559" t="s">
        <v>1439</v>
      </c>
      <c r="N559" t="s">
        <v>112</v>
      </c>
      <c r="O559" t="s">
        <v>112</v>
      </c>
      <c r="P559">
        <v>1</v>
      </c>
      <c r="Q559">
        <v>0</v>
      </c>
      <c r="R559">
        <v>1</v>
      </c>
      <c r="S559">
        <v>33</v>
      </c>
      <c r="T559" t="s">
        <v>166</v>
      </c>
      <c r="U559" t="s">
        <v>152</v>
      </c>
      <c r="V559" t="s">
        <v>153</v>
      </c>
      <c r="W559" t="s">
        <v>154</v>
      </c>
      <c r="X559" t="s">
        <v>119</v>
      </c>
      <c r="Y559" t="s">
        <v>112</v>
      </c>
      <c r="Z559" t="s">
        <v>166</v>
      </c>
      <c r="AA559" t="s">
        <v>152</v>
      </c>
      <c r="AB559" t="s">
        <v>153</v>
      </c>
      <c r="AC559" t="s">
        <v>154</v>
      </c>
      <c r="AD559" t="s">
        <v>119</v>
      </c>
      <c r="AE559" t="s">
        <v>112</v>
      </c>
      <c r="AF559" t="s">
        <v>121</v>
      </c>
      <c r="AG559" t="s">
        <v>122</v>
      </c>
      <c r="AH559">
        <v>4931924.18</v>
      </c>
      <c r="AI559" t="s">
        <v>166</v>
      </c>
      <c r="AJ559" t="s">
        <v>152</v>
      </c>
      <c r="AK559" t="s">
        <v>153</v>
      </c>
      <c r="AL559" t="s">
        <v>154</v>
      </c>
      <c r="AM559" t="s">
        <v>119</v>
      </c>
      <c r="AN559" t="s">
        <v>112</v>
      </c>
      <c r="AO559" t="s">
        <v>121</v>
      </c>
      <c r="AP559" t="s">
        <v>122</v>
      </c>
      <c r="AQ559" t="s">
        <v>122</v>
      </c>
      <c r="AR559" t="s">
        <v>124</v>
      </c>
      <c r="AS559" t="s">
        <v>125</v>
      </c>
      <c r="AT559">
        <v>2</v>
      </c>
      <c r="AU559" t="s">
        <v>126</v>
      </c>
      <c r="AV559" t="s">
        <v>155</v>
      </c>
      <c r="AW559" t="s">
        <v>156</v>
      </c>
      <c r="AX559">
        <v>1</v>
      </c>
      <c r="AY559" t="s">
        <v>129</v>
      </c>
      <c r="AZ559">
        <v>44156.72</v>
      </c>
      <c r="BA559">
        <v>4445646</v>
      </c>
      <c r="BB559">
        <v>54692.39</v>
      </c>
      <c r="BC559">
        <v>100.6788</v>
      </c>
      <c r="BD559" t="s">
        <v>130</v>
      </c>
      <c r="BE559" t="s">
        <v>112</v>
      </c>
      <c r="BF559" t="s">
        <v>157</v>
      </c>
      <c r="BG559" t="s">
        <v>133</v>
      </c>
      <c r="BH559" t="s">
        <v>134</v>
      </c>
      <c r="BI559" t="s">
        <v>112</v>
      </c>
      <c r="BJ559" t="s">
        <v>112</v>
      </c>
      <c r="BK559" t="s">
        <v>112</v>
      </c>
      <c r="BL559" t="s">
        <v>169</v>
      </c>
      <c r="BM559" t="s">
        <v>159</v>
      </c>
      <c r="BN559" t="s">
        <v>722</v>
      </c>
      <c r="BO559" t="s">
        <v>161</v>
      </c>
      <c r="BP559">
        <v>1</v>
      </c>
      <c r="BQ559" t="s">
        <v>1485</v>
      </c>
      <c r="BR559" s="45">
        <f>ISNUMBER(SEARCH($BR$1,Таблица1[[#This Row],[31_1 Описание и характеристика товара]]))*1</f>
        <v>1</v>
      </c>
      <c r="BT559" t="s">
        <v>150</v>
      </c>
      <c r="BU559">
        <v>33</v>
      </c>
      <c r="BV559">
        <v>0</v>
      </c>
      <c r="BW559">
        <v>0</v>
      </c>
      <c r="BY559">
        <v>0</v>
      </c>
      <c r="CA559" t="s">
        <v>106</v>
      </c>
      <c r="CB559" t="s">
        <v>142</v>
      </c>
      <c r="CC559" t="s">
        <v>112</v>
      </c>
      <c r="CD559" t="s">
        <v>112</v>
      </c>
      <c r="CE559" t="s">
        <v>121</v>
      </c>
      <c r="CF559">
        <v>17099.11</v>
      </c>
      <c r="CG559" t="s">
        <v>144</v>
      </c>
      <c r="CH559">
        <v>4000000</v>
      </c>
      <c r="CI559">
        <v>17063.11</v>
      </c>
      <c r="CJ559">
        <v>0</v>
      </c>
      <c r="CK559" t="s">
        <v>112</v>
      </c>
      <c r="CL559" t="s">
        <v>112</v>
      </c>
      <c r="CM559">
        <v>44156.72</v>
      </c>
      <c r="CN559">
        <v>4445646</v>
      </c>
      <c r="CO559">
        <v>0</v>
      </c>
      <c r="CP559">
        <v>1</v>
      </c>
      <c r="CQ559">
        <v>4931924.18</v>
      </c>
      <c r="CR559">
        <v>54692.39</v>
      </c>
      <c r="CS559" t="s">
        <v>145</v>
      </c>
      <c r="CT559">
        <v>54772.583100000003</v>
      </c>
      <c r="CU559">
        <v>3.21</v>
      </c>
      <c r="CV559">
        <v>45</v>
      </c>
      <c r="CW559" t="s">
        <v>171</v>
      </c>
      <c r="CX559" t="s">
        <v>463</v>
      </c>
      <c r="CY559">
        <v>544</v>
      </c>
    </row>
    <row r="560" spans="1:103" x14ac:dyDescent="0.25">
      <c r="A560" t="s">
        <v>106</v>
      </c>
      <c r="B560" s="38">
        <v>45118</v>
      </c>
      <c r="C560" s="43">
        <f>IF(YEAR(Таблица1[[#This Row],[Дата]])=2023,MONTH(Таблица1[[#This Row],[Дата]]),0)</f>
        <v>7</v>
      </c>
      <c r="D560" t="s">
        <v>1489</v>
      </c>
      <c r="E560" t="s">
        <v>108</v>
      </c>
      <c r="F560" t="s">
        <v>1490</v>
      </c>
      <c r="G560" t="s">
        <v>110</v>
      </c>
      <c r="H560" t="s">
        <v>111</v>
      </c>
      <c r="I560" t="s">
        <v>112</v>
      </c>
      <c r="J560" t="s">
        <v>112</v>
      </c>
      <c r="K560" t="s">
        <v>112</v>
      </c>
      <c r="L560" t="s">
        <v>150</v>
      </c>
      <c r="M560" t="s">
        <v>1439</v>
      </c>
      <c r="N560" t="s">
        <v>112</v>
      </c>
      <c r="O560" t="s">
        <v>112</v>
      </c>
      <c r="P560">
        <v>1</v>
      </c>
      <c r="Q560">
        <v>0</v>
      </c>
      <c r="R560">
        <v>1</v>
      </c>
      <c r="S560">
        <v>33</v>
      </c>
      <c r="T560" t="s">
        <v>166</v>
      </c>
      <c r="U560" t="s">
        <v>152</v>
      </c>
      <c r="V560" t="s">
        <v>153</v>
      </c>
      <c r="W560" t="s">
        <v>154</v>
      </c>
      <c r="X560" t="s">
        <v>119</v>
      </c>
      <c r="Y560" t="s">
        <v>112</v>
      </c>
      <c r="Z560" t="s">
        <v>166</v>
      </c>
      <c r="AA560" t="s">
        <v>152</v>
      </c>
      <c r="AB560" t="s">
        <v>153</v>
      </c>
      <c r="AC560" t="s">
        <v>154</v>
      </c>
      <c r="AD560" t="s">
        <v>119</v>
      </c>
      <c r="AE560" t="s">
        <v>112</v>
      </c>
      <c r="AF560" t="s">
        <v>121</v>
      </c>
      <c r="AG560" t="s">
        <v>122</v>
      </c>
      <c r="AH560">
        <v>4949486.59</v>
      </c>
      <c r="AI560" t="s">
        <v>166</v>
      </c>
      <c r="AJ560" t="s">
        <v>152</v>
      </c>
      <c r="AK560" t="s">
        <v>153</v>
      </c>
      <c r="AL560" t="s">
        <v>154</v>
      </c>
      <c r="AM560" t="s">
        <v>119</v>
      </c>
      <c r="AN560" t="s">
        <v>112</v>
      </c>
      <c r="AO560" t="s">
        <v>121</v>
      </c>
      <c r="AP560" t="s">
        <v>122</v>
      </c>
      <c r="AQ560" t="s">
        <v>122</v>
      </c>
      <c r="AR560" t="s">
        <v>124</v>
      </c>
      <c r="AS560" t="s">
        <v>125</v>
      </c>
      <c r="AT560">
        <v>2</v>
      </c>
      <c r="AU560" t="s">
        <v>126</v>
      </c>
      <c r="AV560" t="s">
        <v>155</v>
      </c>
      <c r="AW560" t="s">
        <v>156</v>
      </c>
      <c r="AX560">
        <v>1</v>
      </c>
      <c r="AY560" t="s">
        <v>129</v>
      </c>
      <c r="AZ560">
        <v>45031.16</v>
      </c>
      <c r="BA560">
        <v>4533683</v>
      </c>
      <c r="BB560">
        <v>54887.14</v>
      </c>
      <c r="BC560">
        <v>100.6788</v>
      </c>
      <c r="BD560" t="s">
        <v>130</v>
      </c>
      <c r="BE560" t="s">
        <v>112</v>
      </c>
      <c r="BF560" t="s">
        <v>157</v>
      </c>
      <c r="BG560" t="s">
        <v>133</v>
      </c>
      <c r="BH560" t="s">
        <v>134</v>
      </c>
      <c r="BI560" t="s">
        <v>112</v>
      </c>
      <c r="BJ560" t="s">
        <v>112</v>
      </c>
      <c r="BK560" t="s">
        <v>112</v>
      </c>
      <c r="BL560" t="s">
        <v>169</v>
      </c>
      <c r="BM560" t="s">
        <v>159</v>
      </c>
      <c r="BN560" t="s">
        <v>722</v>
      </c>
      <c r="BO560" t="s">
        <v>161</v>
      </c>
      <c r="BP560">
        <v>1</v>
      </c>
      <c r="BQ560" t="s">
        <v>1491</v>
      </c>
      <c r="BR560" s="45">
        <f>ISNUMBER(SEARCH($BR$1,Таблица1[[#This Row],[31_1 Описание и характеристика товара]]))*1</f>
        <v>1</v>
      </c>
      <c r="BT560" t="s">
        <v>150</v>
      </c>
      <c r="BU560">
        <v>33</v>
      </c>
      <c r="BV560">
        <v>0</v>
      </c>
      <c r="BW560">
        <v>0</v>
      </c>
      <c r="BY560">
        <v>0</v>
      </c>
      <c r="CA560" t="s">
        <v>106</v>
      </c>
      <c r="CB560" t="s">
        <v>142</v>
      </c>
      <c r="CC560" t="s">
        <v>112</v>
      </c>
      <c r="CD560" t="s">
        <v>112</v>
      </c>
      <c r="CE560" t="s">
        <v>121</v>
      </c>
      <c r="CF560">
        <v>16989.57</v>
      </c>
      <c r="CG560" t="s">
        <v>144</v>
      </c>
      <c r="CH560">
        <v>4000000</v>
      </c>
      <c r="CI560">
        <v>16989.57</v>
      </c>
      <c r="CJ560">
        <v>0</v>
      </c>
      <c r="CK560" t="s">
        <v>112</v>
      </c>
      <c r="CL560" t="s">
        <v>112</v>
      </c>
      <c r="CM560">
        <v>45031.16</v>
      </c>
      <c r="CN560">
        <v>4533683</v>
      </c>
      <c r="CO560">
        <v>0</v>
      </c>
      <c r="CP560">
        <v>1</v>
      </c>
      <c r="CQ560">
        <v>4949486.59</v>
      </c>
      <c r="CR560">
        <v>54887.14</v>
      </c>
      <c r="CS560" t="s">
        <v>145</v>
      </c>
      <c r="CT560">
        <v>54876.311099999999</v>
      </c>
      <c r="CU560">
        <v>3.23</v>
      </c>
      <c r="CV560">
        <v>45</v>
      </c>
      <c r="CW560" t="s">
        <v>171</v>
      </c>
      <c r="CX560" t="s">
        <v>172</v>
      </c>
      <c r="CY560">
        <v>144</v>
      </c>
    </row>
    <row r="561" spans="1:103" x14ac:dyDescent="0.25">
      <c r="A561" t="s">
        <v>106</v>
      </c>
      <c r="B561" s="38">
        <v>45044</v>
      </c>
      <c r="C561" s="43">
        <f>IF(YEAR(Таблица1[[#This Row],[Дата]])=2023,MONTH(Таблица1[[#This Row],[Дата]]),0)</f>
        <v>4</v>
      </c>
      <c r="D561" t="s">
        <v>1313</v>
      </c>
      <c r="E561" t="s">
        <v>108</v>
      </c>
      <c r="F561" t="s">
        <v>1314</v>
      </c>
      <c r="G561" t="s">
        <v>110</v>
      </c>
      <c r="H561" t="s">
        <v>111</v>
      </c>
      <c r="I561" t="s">
        <v>112</v>
      </c>
      <c r="J561" t="s">
        <v>112</v>
      </c>
      <c r="K561" t="s">
        <v>112</v>
      </c>
      <c r="L561" t="s">
        <v>150</v>
      </c>
      <c r="M561" t="s">
        <v>1060</v>
      </c>
      <c r="N561" t="s">
        <v>112</v>
      </c>
      <c r="O561" t="s">
        <v>112</v>
      </c>
      <c r="P561">
        <v>1</v>
      </c>
      <c r="Q561">
        <v>0</v>
      </c>
      <c r="R561">
        <v>1</v>
      </c>
      <c r="S561">
        <v>33</v>
      </c>
      <c r="T561" t="s">
        <v>166</v>
      </c>
      <c r="U561" t="s">
        <v>152</v>
      </c>
      <c r="V561" t="s">
        <v>153</v>
      </c>
      <c r="W561" t="s">
        <v>154</v>
      </c>
      <c r="X561" t="s">
        <v>119</v>
      </c>
      <c r="Y561" t="s">
        <v>112</v>
      </c>
      <c r="Z561" t="s">
        <v>166</v>
      </c>
      <c r="AA561" t="s">
        <v>152</v>
      </c>
      <c r="AB561" t="s">
        <v>153</v>
      </c>
      <c r="AC561" t="s">
        <v>154</v>
      </c>
      <c r="AD561" t="s">
        <v>119</v>
      </c>
      <c r="AE561" t="s">
        <v>112</v>
      </c>
      <c r="AF561" t="s">
        <v>121</v>
      </c>
      <c r="AG561" t="s">
        <v>122</v>
      </c>
      <c r="AH561">
        <v>4024046.27</v>
      </c>
      <c r="AI561" t="s">
        <v>166</v>
      </c>
      <c r="AJ561" t="s">
        <v>152</v>
      </c>
      <c r="AK561" t="s">
        <v>153</v>
      </c>
      <c r="AL561" t="s">
        <v>154</v>
      </c>
      <c r="AM561" t="s">
        <v>119</v>
      </c>
      <c r="AN561" t="s">
        <v>112</v>
      </c>
      <c r="AO561" t="s">
        <v>121</v>
      </c>
      <c r="AP561" t="s">
        <v>122</v>
      </c>
      <c r="AQ561" t="s">
        <v>122</v>
      </c>
      <c r="AR561" t="s">
        <v>124</v>
      </c>
      <c r="AS561" t="s">
        <v>125</v>
      </c>
      <c r="AT561">
        <v>2</v>
      </c>
      <c r="AU561" t="s">
        <v>126</v>
      </c>
      <c r="AV561" t="s">
        <v>155</v>
      </c>
      <c r="AW561" t="s">
        <v>156</v>
      </c>
      <c r="AX561">
        <v>1</v>
      </c>
      <c r="AY561" t="s">
        <v>129</v>
      </c>
      <c r="AZ561">
        <v>40388.76</v>
      </c>
      <c r="BA561">
        <v>3650736</v>
      </c>
      <c r="BB561">
        <v>48111.22</v>
      </c>
      <c r="BC561">
        <v>90.389899999999997</v>
      </c>
      <c r="BD561" t="s">
        <v>130</v>
      </c>
      <c r="BE561" t="s">
        <v>112</v>
      </c>
      <c r="BF561" t="s">
        <v>157</v>
      </c>
      <c r="BG561" t="s">
        <v>133</v>
      </c>
      <c r="BH561" t="s">
        <v>134</v>
      </c>
      <c r="BI561" t="s">
        <v>112</v>
      </c>
      <c r="BJ561" t="s">
        <v>112</v>
      </c>
      <c r="BK561" t="s">
        <v>112</v>
      </c>
      <c r="BL561" t="s">
        <v>169</v>
      </c>
      <c r="BM561" t="s">
        <v>159</v>
      </c>
      <c r="BN561" t="s">
        <v>722</v>
      </c>
      <c r="BO561" t="s">
        <v>161</v>
      </c>
      <c r="BP561">
        <v>1</v>
      </c>
      <c r="BQ561" t="s">
        <v>232</v>
      </c>
      <c r="BR561" s="45">
        <f>ISNUMBER(SEARCH($BR$1,Таблица1[[#This Row],[31_1 Описание и характеристика товара]]))*1</f>
        <v>1</v>
      </c>
      <c r="BT561" t="s">
        <v>150</v>
      </c>
      <c r="BU561">
        <v>33</v>
      </c>
      <c r="BV561">
        <v>0</v>
      </c>
      <c r="BW561">
        <v>0</v>
      </c>
      <c r="BY561">
        <v>0</v>
      </c>
      <c r="CA561" t="s">
        <v>106</v>
      </c>
      <c r="CB561" t="s">
        <v>142</v>
      </c>
      <c r="CC561" t="s">
        <v>112</v>
      </c>
      <c r="CD561" t="s">
        <v>112</v>
      </c>
      <c r="CE561" t="s">
        <v>121</v>
      </c>
      <c r="CF561">
        <v>15895.79</v>
      </c>
      <c r="CG561" t="s">
        <v>144</v>
      </c>
      <c r="CH561">
        <v>4000000</v>
      </c>
      <c r="CI561">
        <v>15730.79</v>
      </c>
      <c r="CJ561">
        <v>0</v>
      </c>
      <c r="CK561" t="s">
        <v>112</v>
      </c>
      <c r="CL561" t="s">
        <v>112</v>
      </c>
      <c r="CM561">
        <v>40388.76</v>
      </c>
      <c r="CN561">
        <v>3650736</v>
      </c>
      <c r="CO561">
        <v>0</v>
      </c>
      <c r="CP561">
        <v>1</v>
      </c>
      <c r="CQ561">
        <v>4024046.27</v>
      </c>
      <c r="CR561">
        <v>48111.22</v>
      </c>
      <c r="CS561" t="s">
        <v>145</v>
      </c>
      <c r="CT561">
        <v>48136.217400000001</v>
      </c>
      <c r="CU561">
        <v>3.06</v>
      </c>
      <c r="CV561">
        <v>45</v>
      </c>
      <c r="CW561" t="s">
        <v>171</v>
      </c>
      <c r="CX561" t="s">
        <v>350</v>
      </c>
      <c r="CY561">
        <v>579</v>
      </c>
    </row>
    <row r="562" spans="1:103" x14ac:dyDescent="0.25">
      <c r="A562" t="s">
        <v>106</v>
      </c>
      <c r="B562" s="38">
        <v>45134</v>
      </c>
      <c r="C562" s="43">
        <f>IF(YEAR(Таблица1[[#This Row],[Дата]])=2023,MONTH(Таблица1[[#This Row],[Дата]]),0)</f>
        <v>7</v>
      </c>
      <c r="D562" t="s">
        <v>1317</v>
      </c>
      <c r="E562" t="s">
        <v>108</v>
      </c>
      <c r="F562" t="s">
        <v>1318</v>
      </c>
      <c r="G562" t="s">
        <v>110</v>
      </c>
      <c r="H562" t="s">
        <v>111</v>
      </c>
      <c r="I562" t="s">
        <v>112</v>
      </c>
      <c r="J562" t="s">
        <v>112</v>
      </c>
      <c r="K562" t="s">
        <v>112</v>
      </c>
      <c r="L562" t="s">
        <v>150</v>
      </c>
      <c r="M562" t="s">
        <v>1060</v>
      </c>
      <c r="N562" t="s">
        <v>112</v>
      </c>
      <c r="O562" t="s">
        <v>112</v>
      </c>
      <c r="P562">
        <v>1</v>
      </c>
      <c r="Q562">
        <v>0</v>
      </c>
      <c r="R562">
        <v>1</v>
      </c>
      <c r="S562">
        <v>33</v>
      </c>
      <c r="T562" t="s">
        <v>166</v>
      </c>
      <c r="U562" t="s">
        <v>152</v>
      </c>
      <c r="V562" t="s">
        <v>153</v>
      </c>
      <c r="W562" t="s">
        <v>154</v>
      </c>
      <c r="X562" t="s">
        <v>119</v>
      </c>
      <c r="Y562" t="s">
        <v>112</v>
      </c>
      <c r="Z562" t="s">
        <v>166</v>
      </c>
      <c r="AA562" t="s">
        <v>152</v>
      </c>
      <c r="AB562" t="s">
        <v>153</v>
      </c>
      <c r="AC562" t="s">
        <v>154</v>
      </c>
      <c r="AD562" t="s">
        <v>119</v>
      </c>
      <c r="AE562" t="s">
        <v>112</v>
      </c>
      <c r="AF562" t="s">
        <v>121</v>
      </c>
      <c r="AG562" t="s">
        <v>122</v>
      </c>
      <c r="AH562">
        <v>4454041.87</v>
      </c>
      <c r="AI562" t="s">
        <v>166</v>
      </c>
      <c r="AJ562" t="s">
        <v>152</v>
      </c>
      <c r="AK562" t="s">
        <v>153</v>
      </c>
      <c r="AL562" t="s">
        <v>154</v>
      </c>
      <c r="AM562" t="s">
        <v>119</v>
      </c>
      <c r="AN562" t="s">
        <v>112</v>
      </c>
      <c r="AO562" t="s">
        <v>121</v>
      </c>
      <c r="AP562" t="s">
        <v>122</v>
      </c>
      <c r="AQ562" t="s">
        <v>122</v>
      </c>
      <c r="AR562" t="s">
        <v>124</v>
      </c>
      <c r="AS562" t="s">
        <v>125</v>
      </c>
      <c r="AT562">
        <v>2</v>
      </c>
      <c r="AU562" t="s">
        <v>126</v>
      </c>
      <c r="AV562" t="s">
        <v>155</v>
      </c>
      <c r="AW562" t="s">
        <v>156</v>
      </c>
      <c r="AX562">
        <v>1</v>
      </c>
      <c r="AY562" t="s">
        <v>129</v>
      </c>
      <c r="AZ562">
        <v>45145.88</v>
      </c>
      <c r="BA562">
        <v>4080732</v>
      </c>
      <c r="BB562">
        <v>53252.21</v>
      </c>
      <c r="BC562">
        <v>90.389899999999997</v>
      </c>
      <c r="BD562" t="s">
        <v>130</v>
      </c>
      <c r="BE562" t="s">
        <v>112</v>
      </c>
      <c r="BF562" t="s">
        <v>157</v>
      </c>
      <c r="BG562" t="s">
        <v>133</v>
      </c>
      <c r="BH562" t="s">
        <v>134</v>
      </c>
      <c r="BI562" t="s">
        <v>112</v>
      </c>
      <c r="BJ562" t="s">
        <v>112</v>
      </c>
      <c r="BK562" t="s">
        <v>112</v>
      </c>
      <c r="BL562" t="s">
        <v>169</v>
      </c>
      <c r="BM562" t="s">
        <v>159</v>
      </c>
      <c r="BN562" t="s">
        <v>722</v>
      </c>
      <c r="BO562" t="s">
        <v>161</v>
      </c>
      <c r="BP562">
        <v>1</v>
      </c>
      <c r="BQ562" t="s">
        <v>466</v>
      </c>
      <c r="BR562" s="45">
        <f>ISNUMBER(SEARCH($BR$1,Таблица1[[#This Row],[31_1 Описание и характеристика товара]]))*1</f>
        <v>1</v>
      </c>
      <c r="BT562" t="s">
        <v>150</v>
      </c>
      <c r="BU562">
        <v>33</v>
      </c>
      <c r="BV562">
        <v>0</v>
      </c>
      <c r="BW562">
        <v>0</v>
      </c>
      <c r="BY562">
        <v>0</v>
      </c>
      <c r="CA562" t="s">
        <v>106</v>
      </c>
      <c r="CB562" t="s">
        <v>142</v>
      </c>
      <c r="CC562" t="s">
        <v>112</v>
      </c>
      <c r="CD562" t="s">
        <v>112</v>
      </c>
      <c r="CE562" t="s">
        <v>121</v>
      </c>
      <c r="CF562">
        <v>17029.580000000002</v>
      </c>
      <c r="CG562" t="s">
        <v>144</v>
      </c>
      <c r="CH562">
        <v>4000000</v>
      </c>
      <c r="CI562">
        <v>17029.580000000002</v>
      </c>
      <c r="CJ562">
        <v>0</v>
      </c>
      <c r="CK562" t="s">
        <v>112</v>
      </c>
      <c r="CL562" t="s">
        <v>112</v>
      </c>
      <c r="CM562">
        <v>45145.88</v>
      </c>
      <c r="CN562">
        <v>4080732</v>
      </c>
      <c r="CO562">
        <v>0</v>
      </c>
      <c r="CP562">
        <v>1</v>
      </c>
      <c r="CQ562">
        <v>4454041.87</v>
      </c>
      <c r="CR562">
        <v>53252.21</v>
      </c>
      <c r="CS562" t="s">
        <v>145</v>
      </c>
      <c r="CT562">
        <v>53302.585400000004</v>
      </c>
      <c r="CU562">
        <v>3.13</v>
      </c>
      <c r="CV562">
        <v>45</v>
      </c>
      <c r="CW562" t="s">
        <v>171</v>
      </c>
      <c r="CX562" t="s">
        <v>369</v>
      </c>
      <c r="CY562">
        <v>42</v>
      </c>
    </row>
    <row r="563" spans="1:103" x14ac:dyDescent="0.25">
      <c r="A563" t="s">
        <v>106</v>
      </c>
      <c r="B563" s="38">
        <v>45081</v>
      </c>
      <c r="C563" s="43">
        <f>IF(YEAR(Таблица1[[#This Row],[Дата]])=2023,MONTH(Таблица1[[#This Row],[Дата]]),0)</f>
        <v>6</v>
      </c>
      <c r="D563" t="s">
        <v>1319</v>
      </c>
      <c r="E563" t="s">
        <v>108</v>
      </c>
      <c r="F563" t="s">
        <v>1320</v>
      </c>
      <c r="G563" t="s">
        <v>110</v>
      </c>
      <c r="H563" t="s">
        <v>111</v>
      </c>
      <c r="I563" t="s">
        <v>112</v>
      </c>
      <c r="J563" t="s">
        <v>112</v>
      </c>
      <c r="K563" t="s">
        <v>112</v>
      </c>
      <c r="L563" t="s">
        <v>150</v>
      </c>
      <c r="M563" t="s">
        <v>1060</v>
      </c>
      <c r="N563" t="s">
        <v>112</v>
      </c>
      <c r="O563" t="s">
        <v>112</v>
      </c>
      <c r="P563">
        <v>1</v>
      </c>
      <c r="Q563">
        <v>0</v>
      </c>
      <c r="R563">
        <v>1</v>
      </c>
      <c r="S563">
        <v>33</v>
      </c>
      <c r="T563" t="s">
        <v>166</v>
      </c>
      <c r="U563" t="s">
        <v>152</v>
      </c>
      <c r="V563" t="s">
        <v>153</v>
      </c>
      <c r="W563" t="s">
        <v>154</v>
      </c>
      <c r="X563" t="s">
        <v>119</v>
      </c>
      <c r="Y563" t="s">
        <v>112</v>
      </c>
      <c r="Z563" t="s">
        <v>166</v>
      </c>
      <c r="AA563" t="s">
        <v>152</v>
      </c>
      <c r="AB563" t="s">
        <v>153</v>
      </c>
      <c r="AC563" t="s">
        <v>154</v>
      </c>
      <c r="AD563" t="s">
        <v>119</v>
      </c>
      <c r="AE563" t="s">
        <v>112</v>
      </c>
      <c r="AF563" t="s">
        <v>121</v>
      </c>
      <c r="AG563" t="s">
        <v>122</v>
      </c>
      <c r="AH563">
        <v>4391810.2300000004</v>
      </c>
      <c r="AI563" t="s">
        <v>166</v>
      </c>
      <c r="AJ563" t="s">
        <v>152</v>
      </c>
      <c r="AK563" t="s">
        <v>153</v>
      </c>
      <c r="AL563" t="s">
        <v>154</v>
      </c>
      <c r="AM563" t="s">
        <v>119</v>
      </c>
      <c r="AN563" t="s">
        <v>112</v>
      </c>
      <c r="AO563" t="s">
        <v>121</v>
      </c>
      <c r="AP563" t="s">
        <v>122</v>
      </c>
      <c r="AQ563" t="s">
        <v>122</v>
      </c>
      <c r="AR563" t="s">
        <v>124</v>
      </c>
      <c r="AS563" t="s">
        <v>125</v>
      </c>
      <c r="AT563">
        <v>2</v>
      </c>
      <c r="AU563" t="s">
        <v>126</v>
      </c>
      <c r="AV563" t="s">
        <v>155</v>
      </c>
      <c r="AW563" t="s">
        <v>156</v>
      </c>
      <c r="AX563">
        <v>1</v>
      </c>
      <c r="AY563" t="s">
        <v>129</v>
      </c>
      <c r="AZ563">
        <v>44457.4</v>
      </c>
      <c r="BA563">
        <v>4018500</v>
      </c>
      <c r="BB563">
        <v>52508.18</v>
      </c>
      <c r="BC563">
        <v>90.389899999999997</v>
      </c>
      <c r="BD563" t="s">
        <v>130</v>
      </c>
      <c r="BE563" t="s">
        <v>112</v>
      </c>
      <c r="BF563" t="s">
        <v>157</v>
      </c>
      <c r="BG563" t="s">
        <v>133</v>
      </c>
      <c r="BH563" t="s">
        <v>134</v>
      </c>
      <c r="BI563" t="s">
        <v>112</v>
      </c>
      <c r="BJ563" t="s">
        <v>112</v>
      </c>
      <c r="BK563" t="s">
        <v>112</v>
      </c>
      <c r="BL563" t="s">
        <v>169</v>
      </c>
      <c r="BM563" t="s">
        <v>159</v>
      </c>
      <c r="BN563" t="s">
        <v>722</v>
      </c>
      <c r="BO563" t="s">
        <v>161</v>
      </c>
      <c r="BP563">
        <v>1</v>
      </c>
      <c r="BQ563" t="s">
        <v>232</v>
      </c>
      <c r="BR563" s="45">
        <f>ISNUMBER(SEARCH($BR$1,Таблица1[[#This Row],[31_1 Описание и характеристика товара]]))*1</f>
        <v>1</v>
      </c>
      <c r="BT563" t="s">
        <v>150</v>
      </c>
      <c r="BU563">
        <v>33</v>
      </c>
      <c r="BV563">
        <v>0</v>
      </c>
      <c r="BW563">
        <v>0</v>
      </c>
      <c r="BY563">
        <v>0</v>
      </c>
      <c r="CA563" t="s">
        <v>106</v>
      </c>
      <c r="CB563" t="s">
        <v>142</v>
      </c>
      <c r="CC563" t="s">
        <v>112</v>
      </c>
      <c r="CD563" t="s">
        <v>112</v>
      </c>
      <c r="CE563" t="s">
        <v>121</v>
      </c>
      <c r="CF563">
        <v>16885.439999999999</v>
      </c>
      <c r="CG563" t="s">
        <v>144</v>
      </c>
      <c r="CH563">
        <v>4000000</v>
      </c>
      <c r="CI563">
        <v>16885.439999999999</v>
      </c>
      <c r="CJ563">
        <v>0</v>
      </c>
      <c r="CK563" t="s">
        <v>112</v>
      </c>
      <c r="CL563" t="s">
        <v>112</v>
      </c>
      <c r="CM563">
        <v>44457.4</v>
      </c>
      <c r="CN563">
        <v>4018500</v>
      </c>
      <c r="CO563">
        <v>0</v>
      </c>
      <c r="CP563">
        <v>1</v>
      </c>
      <c r="CQ563">
        <v>4391810.2300000004</v>
      </c>
      <c r="CR563">
        <v>52508.18</v>
      </c>
      <c r="CS563" t="s">
        <v>145</v>
      </c>
      <c r="CT563">
        <v>52513.718399999991</v>
      </c>
      <c r="CU563">
        <v>3.11</v>
      </c>
      <c r="CV563">
        <v>45</v>
      </c>
      <c r="CW563" t="s">
        <v>171</v>
      </c>
      <c r="CX563" t="s">
        <v>463</v>
      </c>
      <c r="CY563">
        <v>343</v>
      </c>
    </row>
    <row r="564" spans="1:103" x14ac:dyDescent="0.25">
      <c r="A564" t="s">
        <v>106</v>
      </c>
      <c r="B564" s="38">
        <v>45249</v>
      </c>
      <c r="C564" s="43">
        <f>IF(YEAR(Таблица1[[#This Row],[Дата]])=2023,MONTH(Таблица1[[#This Row],[Дата]]),0)</f>
        <v>11</v>
      </c>
      <c r="D564" t="s">
        <v>1054</v>
      </c>
      <c r="E564" t="s">
        <v>108</v>
      </c>
      <c r="F564" t="s">
        <v>1055</v>
      </c>
      <c r="G564" t="s">
        <v>110</v>
      </c>
      <c r="H564" t="s">
        <v>111</v>
      </c>
      <c r="I564" t="s">
        <v>112</v>
      </c>
      <c r="J564" t="s">
        <v>112</v>
      </c>
      <c r="K564" t="s">
        <v>112</v>
      </c>
      <c r="L564" t="s">
        <v>150</v>
      </c>
      <c r="M564" t="s">
        <v>1036</v>
      </c>
      <c r="N564" t="s">
        <v>112</v>
      </c>
      <c r="O564" t="s">
        <v>112</v>
      </c>
      <c r="P564">
        <v>1</v>
      </c>
      <c r="Q564">
        <v>0</v>
      </c>
      <c r="R564">
        <v>1</v>
      </c>
      <c r="S564">
        <v>33</v>
      </c>
      <c r="T564" t="s">
        <v>166</v>
      </c>
      <c r="U564" t="s">
        <v>152</v>
      </c>
      <c r="V564" t="s">
        <v>153</v>
      </c>
      <c r="W564" t="s">
        <v>154</v>
      </c>
      <c r="X564" t="s">
        <v>119</v>
      </c>
      <c r="Y564" t="s">
        <v>112</v>
      </c>
      <c r="Z564" t="s">
        <v>166</v>
      </c>
      <c r="AA564" t="s">
        <v>152</v>
      </c>
      <c r="AB564" t="s">
        <v>153</v>
      </c>
      <c r="AC564" t="s">
        <v>154</v>
      </c>
      <c r="AD564" t="s">
        <v>119</v>
      </c>
      <c r="AE564" t="s">
        <v>112</v>
      </c>
      <c r="AF564" t="s">
        <v>121</v>
      </c>
      <c r="AG564" t="s">
        <v>122</v>
      </c>
      <c r="AH564">
        <v>4235274</v>
      </c>
      <c r="AI564" t="s">
        <v>166</v>
      </c>
      <c r="AJ564" t="s">
        <v>152</v>
      </c>
      <c r="AK564" t="s">
        <v>153</v>
      </c>
      <c r="AL564" t="s">
        <v>154</v>
      </c>
      <c r="AM564" t="s">
        <v>119</v>
      </c>
      <c r="AN564" t="s">
        <v>112</v>
      </c>
      <c r="AO564" t="s">
        <v>121</v>
      </c>
      <c r="AP564" t="s">
        <v>122</v>
      </c>
      <c r="AQ564" t="s">
        <v>122</v>
      </c>
      <c r="AR564" t="s">
        <v>124</v>
      </c>
      <c r="AS564" t="s">
        <v>125</v>
      </c>
      <c r="AT564">
        <v>2</v>
      </c>
      <c r="AU564" t="s">
        <v>126</v>
      </c>
      <c r="AV564" t="s">
        <v>155</v>
      </c>
      <c r="AW564" t="s">
        <v>156</v>
      </c>
      <c r="AX564">
        <v>1</v>
      </c>
      <c r="AY564" t="s">
        <v>129</v>
      </c>
      <c r="AZ564">
        <v>42006.77</v>
      </c>
      <c r="BA564">
        <v>3780756</v>
      </c>
      <c r="BB564">
        <v>51854.7</v>
      </c>
      <c r="BC564">
        <v>90.003500000000003</v>
      </c>
      <c r="BD564" t="s">
        <v>130</v>
      </c>
      <c r="BE564" t="s">
        <v>112</v>
      </c>
      <c r="BF564" t="s">
        <v>157</v>
      </c>
      <c r="BG564" t="s">
        <v>133</v>
      </c>
      <c r="BH564" t="s">
        <v>167</v>
      </c>
      <c r="BI564" t="s">
        <v>168</v>
      </c>
      <c r="BJ564" t="s">
        <v>112</v>
      </c>
      <c r="BK564" t="s">
        <v>112</v>
      </c>
      <c r="BL564" t="s">
        <v>169</v>
      </c>
      <c r="BM564" t="s">
        <v>159</v>
      </c>
      <c r="BN564" t="s">
        <v>726</v>
      </c>
      <c r="BO564" t="s">
        <v>161</v>
      </c>
      <c r="BP564">
        <v>1</v>
      </c>
      <c r="BQ564" t="s">
        <v>205</v>
      </c>
      <c r="BR564" s="45">
        <f>ISNUMBER(SEARCH($BR$1,Таблица1[[#This Row],[31_1 Описание и характеристика товара]]))*1</f>
        <v>1</v>
      </c>
      <c r="BT564" t="s">
        <v>150</v>
      </c>
      <c r="BU564">
        <v>33</v>
      </c>
      <c r="BV564">
        <v>0</v>
      </c>
      <c r="BW564">
        <v>0</v>
      </c>
      <c r="BY564">
        <v>0</v>
      </c>
      <c r="CA564" t="s">
        <v>106</v>
      </c>
      <c r="CB564" t="s">
        <v>142</v>
      </c>
      <c r="CC564" t="s">
        <v>112</v>
      </c>
      <c r="CD564" t="s">
        <v>112</v>
      </c>
      <c r="CE564" t="s">
        <v>121</v>
      </c>
      <c r="CF564">
        <v>15801.9</v>
      </c>
      <c r="CG564" t="s">
        <v>144</v>
      </c>
      <c r="CH564">
        <v>4000000</v>
      </c>
      <c r="CI564">
        <v>15654.3</v>
      </c>
      <c r="CJ564">
        <v>0</v>
      </c>
      <c r="CK564" t="s">
        <v>112</v>
      </c>
      <c r="CL564" t="s">
        <v>112</v>
      </c>
      <c r="CM564">
        <v>42006.77</v>
      </c>
      <c r="CN564">
        <v>3780756</v>
      </c>
      <c r="CO564">
        <v>0</v>
      </c>
      <c r="CP564">
        <v>1</v>
      </c>
      <c r="CQ564">
        <v>4235274</v>
      </c>
      <c r="CR564">
        <v>51854.7</v>
      </c>
      <c r="CS564" t="s">
        <v>145</v>
      </c>
      <c r="CT564">
        <v>51854.868749999994</v>
      </c>
      <c r="CU564">
        <v>3.3125</v>
      </c>
      <c r="CV564">
        <v>45</v>
      </c>
      <c r="CW564" t="s">
        <v>171</v>
      </c>
      <c r="CX564" t="s">
        <v>350</v>
      </c>
      <c r="CY564">
        <v>229</v>
      </c>
    </row>
    <row r="565" spans="1:103" x14ac:dyDescent="0.25">
      <c r="A565" t="s">
        <v>106</v>
      </c>
      <c r="B565" s="38">
        <v>45085</v>
      </c>
      <c r="C565" s="43">
        <f>IF(YEAR(Таблица1[[#This Row],[Дата]])=2023,MONTH(Таблица1[[#This Row],[Дата]]),0)</f>
        <v>6</v>
      </c>
      <c r="D565" t="s">
        <v>920</v>
      </c>
      <c r="E565" t="s">
        <v>108</v>
      </c>
      <c r="F565" t="s">
        <v>921</v>
      </c>
      <c r="G565" t="s">
        <v>110</v>
      </c>
      <c r="H565" t="s">
        <v>111</v>
      </c>
      <c r="I565" t="s">
        <v>112</v>
      </c>
      <c r="J565" t="s">
        <v>112</v>
      </c>
      <c r="K565" t="s">
        <v>112</v>
      </c>
      <c r="L565" t="s">
        <v>150</v>
      </c>
      <c r="M565" t="s">
        <v>151</v>
      </c>
      <c r="N565" t="s">
        <v>112</v>
      </c>
      <c r="O565" t="s">
        <v>112</v>
      </c>
      <c r="P565">
        <v>1</v>
      </c>
      <c r="Q565">
        <v>0</v>
      </c>
      <c r="R565">
        <v>1</v>
      </c>
      <c r="S565">
        <v>33</v>
      </c>
      <c r="T565" t="s">
        <v>166</v>
      </c>
      <c r="U565" t="s">
        <v>152</v>
      </c>
      <c r="V565" t="s">
        <v>153</v>
      </c>
      <c r="W565" t="s">
        <v>154</v>
      </c>
      <c r="X565" t="s">
        <v>119</v>
      </c>
      <c r="Y565" t="s">
        <v>112</v>
      </c>
      <c r="Z565" t="s">
        <v>166</v>
      </c>
      <c r="AA565" t="s">
        <v>152</v>
      </c>
      <c r="AB565" t="s">
        <v>153</v>
      </c>
      <c r="AC565" t="s">
        <v>154</v>
      </c>
      <c r="AD565" t="s">
        <v>119</v>
      </c>
      <c r="AE565" t="s">
        <v>112</v>
      </c>
      <c r="AF565" t="s">
        <v>121</v>
      </c>
      <c r="AG565" t="s">
        <v>122</v>
      </c>
      <c r="AH565">
        <v>3937318.16</v>
      </c>
      <c r="AI565" t="s">
        <v>166</v>
      </c>
      <c r="AJ565" t="s">
        <v>152</v>
      </c>
      <c r="AK565" t="s">
        <v>153</v>
      </c>
      <c r="AL565" t="s">
        <v>154</v>
      </c>
      <c r="AM565" t="s">
        <v>119</v>
      </c>
      <c r="AN565" t="s">
        <v>112</v>
      </c>
      <c r="AO565" t="s">
        <v>121</v>
      </c>
      <c r="AP565" t="s">
        <v>122</v>
      </c>
      <c r="AQ565" t="s">
        <v>122</v>
      </c>
      <c r="AR565" t="s">
        <v>124</v>
      </c>
      <c r="AS565" t="s">
        <v>125</v>
      </c>
      <c r="AT565">
        <v>2</v>
      </c>
      <c r="AU565" t="s">
        <v>126</v>
      </c>
      <c r="AV565" t="s">
        <v>155</v>
      </c>
      <c r="AW565" t="s">
        <v>156</v>
      </c>
      <c r="AX565">
        <v>1</v>
      </c>
      <c r="AY565" t="s">
        <v>129</v>
      </c>
      <c r="AZ565">
        <v>44493.919999999998</v>
      </c>
      <c r="BA565">
        <v>3586664</v>
      </c>
      <c r="BB565">
        <v>52176.93</v>
      </c>
      <c r="BC565">
        <v>80.610200000000006</v>
      </c>
      <c r="BD565" t="s">
        <v>130</v>
      </c>
      <c r="BE565" t="s">
        <v>112</v>
      </c>
      <c r="BF565" t="s">
        <v>157</v>
      </c>
      <c r="BG565" t="s">
        <v>133</v>
      </c>
      <c r="BH565" t="s">
        <v>134</v>
      </c>
      <c r="BI565" t="s">
        <v>112</v>
      </c>
      <c r="BJ565" t="s">
        <v>112</v>
      </c>
      <c r="BK565" t="s">
        <v>112</v>
      </c>
      <c r="BL565" t="s">
        <v>169</v>
      </c>
      <c r="BM565" t="s">
        <v>159</v>
      </c>
      <c r="BN565" t="s">
        <v>212</v>
      </c>
      <c r="BO565" t="s">
        <v>161</v>
      </c>
      <c r="BP565">
        <v>1</v>
      </c>
      <c r="BQ565" t="s">
        <v>922</v>
      </c>
      <c r="BR565" s="45">
        <f>ISNUMBER(SEARCH($BR$1,Таблица1[[#This Row],[31_1 Описание и характеристика товара]]))*1</f>
        <v>1</v>
      </c>
      <c r="BT565" t="s">
        <v>150</v>
      </c>
      <c r="BU565">
        <v>33</v>
      </c>
      <c r="BV565">
        <v>0</v>
      </c>
      <c r="BW565">
        <v>0</v>
      </c>
      <c r="BY565">
        <v>0</v>
      </c>
      <c r="CA565" t="s">
        <v>106</v>
      </c>
      <c r="CB565" t="s">
        <v>142</v>
      </c>
      <c r="CC565" t="s">
        <v>112</v>
      </c>
      <c r="CD565" t="s">
        <v>112</v>
      </c>
      <c r="CE565" t="s">
        <v>121</v>
      </c>
      <c r="CF565">
        <v>15313.3</v>
      </c>
      <c r="CG565" t="s">
        <v>144</v>
      </c>
      <c r="CH565">
        <v>4000000</v>
      </c>
      <c r="CI565">
        <v>15129.7</v>
      </c>
      <c r="CJ565">
        <v>0</v>
      </c>
      <c r="CK565" t="s">
        <v>112</v>
      </c>
      <c r="CL565" t="s">
        <v>112</v>
      </c>
      <c r="CM565">
        <v>44493.919999999998</v>
      </c>
      <c r="CN565">
        <v>3586664</v>
      </c>
      <c r="CO565">
        <v>0</v>
      </c>
      <c r="CP565">
        <v>1</v>
      </c>
      <c r="CQ565">
        <v>3937318.16</v>
      </c>
      <c r="CR565">
        <v>52176.93</v>
      </c>
      <c r="CS565" t="s">
        <v>145</v>
      </c>
      <c r="CT565">
        <v>52176.28342</v>
      </c>
      <c r="CU565">
        <v>3.4485999999999999</v>
      </c>
      <c r="CV565">
        <v>45</v>
      </c>
      <c r="CW565" t="s">
        <v>171</v>
      </c>
      <c r="CX565" t="s">
        <v>350</v>
      </c>
      <c r="CY565">
        <v>546</v>
      </c>
    </row>
    <row r="566" spans="1:103" x14ac:dyDescent="0.25">
      <c r="A566" t="s">
        <v>106</v>
      </c>
      <c r="B566" s="38">
        <v>45290</v>
      </c>
      <c r="C566" s="43">
        <f>IF(YEAR(Таблица1[[#This Row],[Дата]])=2023,MONTH(Таблица1[[#This Row],[Дата]]),0)</f>
        <v>12</v>
      </c>
      <c r="D566" t="s">
        <v>928</v>
      </c>
      <c r="E566" t="s">
        <v>108</v>
      </c>
      <c r="F566" t="s">
        <v>929</v>
      </c>
      <c r="G566" t="s">
        <v>110</v>
      </c>
      <c r="H566" t="s">
        <v>111</v>
      </c>
      <c r="I566" t="s">
        <v>112</v>
      </c>
      <c r="J566" t="s">
        <v>112</v>
      </c>
      <c r="K566" t="s">
        <v>112</v>
      </c>
      <c r="L566" t="s">
        <v>150</v>
      </c>
      <c r="M566" t="s">
        <v>151</v>
      </c>
      <c r="N566" t="s">
        <v>112</v>
      </c>
      <c r="O566" t="s">
        <v>112</v>
      </c>
      <c r="P566">
        <v>1</v>
      </c>
      <c r="Q566">
        <v>0</v>
      </c>
      <c r="R566">
        <v>1</v>
      </c>
      <c r="S566">
        <v>33</v>
      </c>
      <c r="T566" t="s">
        <v>166</v>
      </c>
      <c r="U566" t="s">
        <v>152</v>
      </c>
      <c r="V566" t="s">
        <v>153</v>
      </c>
      <c r="W566" t="s">
        <v>154</v>
      </c>
      <c r="X566" t="s">
        <v>119</v>
      </c>
      <c r="Y566" t="s">
        <v>112</v>
      </c>
      <c r="Z566" t="s">
        <v>166</v>
      </c>
      <c r="AA566" t="s">
        <v>152</v>
      </c>
      <c r="AB566" t="s">
        <v>153</v>
      </c>
      <c r="AC566" t="s">
        <v>154</v>
      </c>
      <c r="AD566" t="s">
        <v>119</v>
      </c>
      <c r="AE566" t="s">
        <v>112</v>
      </c>
      <c r="AF566" t="s">
        <v>121</v>
      </c>
      <c r="AG566" t="s">
        <v>122</v>
      </c>
      <c r="AH566">
        <v>3533444.94</v>
      </c>
      <c r="AI566" t="s">
        <v>166</v>
      </c>
      <c r="AJ566" t="s">
        <v>152</v>
      </c>
      <c r="AK566" t="s">
        <v>153</v>
      </c>
      <c r="AL566" t="s">
        <v>154</v>
      </c>
      <c r="AM566" t="s">
        <v>119</v>
      </c>
      <c r="AN566" t="s">
        <v>112</v>
      </c>
      <c r="AO566" t="s">
        <v>121</v>
      </c>
      <c r="AP566" t="s">
        <v>122</v>
      </c>
      <c r="AQ566" t="s">
        <v>122</v>
      </c>
      <c r="AR566" t="s">
        <v>124</v>
      </c>
      <c r="AS566" t="s">
        <v>125</v>
      </c>
      <c r="AT566">
        <v>2</v>
      </c>
      <c r="AU566" t="s">
        <v>126</v>
      </c>
      <c r="AV566" t="s">
        <v>155</v>
      </c>
      <c r="AW566" t="s">
        <v>156</v>
      </c>
      <c r="AX566">
        <v>1</v>
      </c>
      <c r="AY566" t="s">
        <v>129</v>
      </c>
      <c r="AZ566">
        <v>39483.72</v>
      </c>
      <c r="BA566">
        <v>3182791</v>
      </c>
      <c r="BB566">
        <v>46824.84</v>
      </c>
      <c r="BC566">
        <v>80.610200000000006</v>
      </c>
      <c r="BD566" t="s">
        <v>130</v>
      </c>
      <c r="BE566" t="s">
        <v>112</v>
      </c>
      <c r="BF566" t="s">
        <v>157</v>
      </c>
      <c r="BG566" t="s">
        <v>133</v>
      </c>
      <c r="BH566" t="s">
        <v>134</v>
      </c>
      <c r="BI566" t="s">
        <v>112</v>
      </c>
      <c r="BJ566" t="s">
        <v>112</v>
      </c>
      <c r="BK566" t="s">
        <v>112</v>
      </c>
      <c r="BL566" t="s">
        <v>169</v>
      </c>
      <c r="BM566" t="s">
        <v>159</v>
      </c>
      <c r="BN566" t="s">
        <v>212</v>
      </c>
      <c r="BO566" t="s">
        <v>161</v>
      </c>
      <c r="BP566">
        <v>1</v>
      </c>
      <c r="BQ566" t="s">
        <v>205</v>
      </c>
      <c r="BR566" s="45">
        <f>ISNUMBER(SEARCH($BR$1,Таблица1[[#This Row],[31_1 Описание и характеристика товара]]))*1</f>
        <v>1</v>
      </c>
      <c r="BT566" t="s">
        <v>150</v>
      </c>
      <c r="BU566">
        <v>33</v>
      </c>
      <c r="BV566">
        <v>0</v>
      </c>
      <c r="BW566">
        <v>0</v>
      </c>
      <c r="BY566">
        <v>0</v>
      </c>
      <c r="CA566" t="s">
        <v>106</v>
      </c>
      <c r="CB566" t="s">
        <v>142</v>
      </c>
      <c r="CC566" t="s">
        <v>112</v>
      </c>
      <c r="CD566" t="s">
        <v>112</v>
      </c>
      <c r="CE566" t="s">
        <v>121</v>
      </c>
      <c r="CF566">
        <v>16055.92</v>
      </c>
      <c r="CG566" t="s">
        <v>144</v>
      </c>
      <c r="CH566">
        <v>4000000</v>
      </c>
      <c r="CI566">
        <v>15836.32</v>
      </c>
      <c r="CJ566">
        <v>0</v>
      </c>
      <c r="CK566" t="s">
        <v>112</v>
      </c>
      <c r="CL566" t="s">
        <v>112</v>
      </c>
      <c r="CM566">
        <v>39483.72</v>
      </c>
      <c r="CN566">
        <v>3182791</v>
      </c>
      <c r="CO566">
        <v>0</v>
      </c>
      <c r="CP566">
        <v>1</v>
      </c>
      <c r="CQ566">
        <v>3533444.94</v>
      </c>
      <c r="CR566">
        <v>46824.84</v>
      </c>
      <c r="CS566" t="s">
        <v>145</v>
      </c>
      <c r="CT566">
        <v>46824.830975999997</v>
      </c>
      <c r="CU566">
        <v>2.9567999999999999</v>
      </c>
      <c r="CV566">
        <v>45</v>
      </c>
      <c r="CW566" t="s">
        <v>171</v>
      </c>
      <c r="CX566" t="s">
        <v>369</v>
      </c>
      <c r="CY566">
        <v>140</v>
      </c>
    </row>
    <row r="567" spans="1:103" x14ac:dyDescent="0.25">
      <c r="A567" t="s">
        <v>106</v>
      </c>
      <c r="B567" s="38">
        <v>45179</v>
      </c>
      <c r="C567" s="43">
        <f>IF(YEAR(Таблица1[[#This Row],[Дата]])=2023,MONTH(Таблица1[[#This Row],[Дата]]),0)</f>
        <v>9</v>
      </c>
      <c r="D567" t="s">
        <v>925</v>
      </c>
      <c r="E567" t="s">
        <v>108</v>
      </c>
      <c r="F567" t="s">
        <v>926</v>
      </c>
      <c r="G567" t="s">
        <v>110</v>
      </c>
      <c r="H567" t="s">
        <v>111</v>
      </c>
      <c r="I567" t="s">
        <v>112</v>
      </c>
      <c r="J567" t="s">
        <v>112</v>
      </c>
      <c r="K567" t="s">
        <v>112</v>
      </c>
      <c r="L567" t="s">
        <v>150</v>
      </c>
      <c r="M567" t="s">
        <v>151</v>
      </c>
      <c r="N567" t="s">
        <v>112</v>
      </c>
      <c r="O567" t="s">
        <v>112</v>
      </c>
      <c r="P567">
        <v>1</v>
      </c>
      <c r="Q567">
        <v>0</v>
      </c>
      <c r="R567">
        <v>1</v>
      </c>
      <c r="S567">
        <v>33</v>
      </c>
      <c r="T567" t="s">
        <v>166</v>
      </c>
      <c r="U567" t="s">
        <v>152</v>
      </c>
      <c r="V567" t="s">
        <v>153</v>
      </c>
      <c r="W567" t="s">
        <v>154</v>
      </c>
      <c r="X567" t="s">
        <v>119</v>
      </c>
      <c r="Y567" t="s">
        <v>112</v>
      </c>
      <c r="Z567" t="s">
        <v>166</v>
      </c>
      <c r="AA567" t="s">
        <v>152</v>
      </c>
      <c r="AB567" t="s">
        <v>153</v>
      </c>
      <c r="AC567" t="s">
        <v>154</v>
      </c>
      <c r="AD567" t="s">
        <v>119</v>
      </c>
      <c r="AE567" t="s">
        <v>112</v>
      </c>
      <c r="AF567" t="s">
        <v>121</v>
      </c>
      <c r="AG567" t="s">
        <v>122</v>
      </c>
      <c r="AH567">
        <v>3451343.45</v>
      </c>
      <c r="AI567" t="s">
        <v>166</v>
      </c>
      <c r="AJ567" t="s">
        <v>152</v>
      </c>
      <c r="AK567" t="s">
        <v>153</v>
      </c>
      <c r="AL567" t="s">
        <v>154</v>
      </c>
      <c r="AM567" t="s">
        <v>119</v>
      </c>
      <c r="AN567" t="s">
        <v>112</v>
      </c>
      <c r="AO567" t="s">
        <v>121</v>
      </c>
      <c r="AP567" t="s">
        <v>122</v>
      </c>
      <c r="AQ567" t="s">
        <v>122</v>
      </c>
      <c r="AR567" t="s">
        <v>124</v>
      </c>
      <c r="AS567" t="s">
        <v>125</v>
      </c>
      <c r="AT567">
        <v>2</v>
      </c>
      <c r="AU567" t="s">
        <v>126</v>
      </c>
      <c r="AV567" t="s">
        <v>155</v>
      </c>
      <c r="AW567" t="s">
        <v>156</v>
      </c>
      <c r="AX567">
        <v>1</v>
      </c>
      <c r="AY567" t="s">
        <v>129</v>
      </c>
      <c r="AZ567">
        <v>38465.22</v>
      </c>
      <c r="BA567">
        <v>3100689</v>
      </c>
      <c r="BB567">
        <v>45736.84</v>
      </c>
      <c r="BC567">
        <v>80.610200000000006</v>
      </c>
      <c r="BD567" t="s">
        <v>130</v>
      </c>
      <c r="BE567" t="s">
        <v>112</v>
      </c>
      <c r="BF567" t="s">
        <v>157</v>
      </c>
      <c r="BG567" t="s">
        <v>133</v>
      </c>
      <c r="BH567" t="s">
        <v>134</v>
      </c>
      <c r="BI567" t="s">
        <v>112</v>
      </c>
      <c r="BJ567" t="s">
        <v>112</v>
      </c>
      <c r="BK567" t="s">
        <v>112</v>
      </c>
      <c r="BL567" t="s">
        <v>169</v>
      </c>
      <c r="BM567" t="s">
        <v>159</v>
      </c>
      <c r="BN567" t="s">
        <v>212</v>
      </c>
      <c r="BO567" t="s">
        <v>161</v>
      </c>
      <c r="BP567">
        <v>1</v>
      </c>
      <c r="BQ567" t="s">
        <v>927</v>
      </c>
      <c r="BR567" s="45">
        <f>ISNUMBER(SEARCH($BR$1,Таблица1[[#This Row],[31_1 Описание и характеристика товара]]))*1</f>
        <v>1</v>
      </c>
      <c r="BT567" t="s">
        <v>150</v>
      </c>
      <c r="BU567">
        <v>33</v>
      </c>
      <c r="BV567">
        <v>0</v>
      </c>
      <c r="BW567">
        <v>0</v>
      </c>
      <c r="BY567">
        <v>0</v>
      </c>
      <c r="CA567" t="s">
        <v>106</v>
      </c>
      <c r="CB567" t="s">
        <v>142</v>
      </c>
      <c r="CC567" t="s">
        <v>112</v>
      </c>
      <c r="CD567" t="s">
        <v>112</v>
      </c>
      <c r="CE567" t="s">
        <v>121</v>
      </c>
      <c r="CF567">
        <v>16490.05</v>
      </c>
      <c r="CG567" t="s">
        <v>144</v>
      </c>
      <c r="CH567">
        <v>4000000</v>
      </c>
      <c r="CI567">
        <v>16446.849999999999</v>
      </c>
      <c r="CJ567">
        <v>0</v>
      </c>
      <c r="CK567" t="s">
        <v>112</v>
      </c>
      <c r="CL567" t="s">
        <v>112</v>
      </c>
      <c r="CM567">
        <v>38465.22</v>
      </c>
      <c r="CN567">
        <v>3100689</v>
      </c>
      <c r="CO567">
        <v>0</v>
      </c>
      <c r="CP567">
        <v>1</v>
      </c>
      <c r="CQ567">
        <v>3451343.45</v>
      </c>
      <c r="CR567">
        <v>45736.84</v>
      </c>
      <c r="CS567" t="s">
        <v>145</v>
      </c>
      <c r="CT567">
        <v>45737.045164999996</v>
      </c>
      <c r="CU567">
        <v>2.7808999999999999</v>
      </c>
      <c r="CV567">
        <v>45</v>
      </c>
      <c r="CW567" t="s">
        <v>171</v>
      </c>
      <c r="CX567" t="s">
        <v>372</v>
      </c>
      <c r="CY567">
        <v>163</v>
      </c>
    </row>
    <row r="568" spans="1:103" x14ac:dyDescent="0.25">
      <c r="A568" t="s">
        <v>106</v>
      </c>
      <c r="B568" s="38">
        <v>44800</v>
      </c>
      <c r="C568" s="43">
        <f>IF(YEAR(Таблица1[[#This Row],[Дата]])=2023,MONTH(Таблица1[[#This Row],[Дата]]),0)</f>
        <v>0</v>
      </c>
      <c r="D568" t="s">
        <v>569</v>
      </c>
      <c r="E568" t="s">
        <v>108</v>
      </c>
      <c r="F568" t="s">
        <v>570</v>
      </c>
      <c r="G568" t="s">
        <v>110</v>
      </c>
      <c r="H568" t="s">
        <v>111</v>
      </c>
      <c r="I568" t="s">
        <v>112</v>
      </c>
      <c r="J568" t="s">
        <v>112</v>
      </c>
      <c r="K568" t="s">
        <v>112</v>
      </c>
      <c r="L568" t="s">
        <v>150</v>
      </c>
      <c r="M568" t="s">
        <v>151</v>
      </c>
      <c r="N568" t="s">
        <v>112</v>
      </c>
      <c r="O568" t="s">
        <v>112</v>
      </c>
      <c r="P568">
        <v>1</v>
      </c>
      <c r="Q568">
        <v>0</v>
      </c>
      <c r="R568">
        <v>1</v>
      </c>
      <c r="S568">
        <v>33</v>
      </c>
      <c r="T568" t="s">
        <v>166</v>
      </c>
      <c r="U568" t="s">
        <v>152</v>
      </c>
      <c r="V568" t="s">
        <v>153</v>
      </c>
      <c r="W568" t="s">
        <v>154</v>
      </c>
      <c r="X568" t="s">
        <v>119</v>
      </c>
      <c r="Y568" t="s">
        <v>112</v>
      </c>
      <c r="Z568" t="s">
        <v>166</v>
      </c>
      <c r="AA568" t="s">
        <v>152</v>
      </c>
      <c r="AB568" t="s">
        <v>153</v>
      </c>
      <c r="AC568" t="s">
        <v>154</v>
      </c>
      <c r="AD568" t="s">
        <v>119</v>
      </c>
      <c r="AE568" t="s">
        <v>112</v>
      </c>
      <c r="AF568" t="s">
        <v>121</v>
      </c>
      <c r="AG568" t="s">
        <v>122</v>
      </c>
      <c r="AH568">
        <v>3685884.25</v>
      </c>
      <c r="AI568" t="s">
        <v>166</v>
      </c>
      <c r="AJ568" t="s">
        <v>152</v>
      </c>
      <c r="AK568" t="s">
        <v>153</v>
      </c>
      <c r="AL568" t="s">
        <v>154</v>
      </c>
      <c r="AM568" t="s">
        <v>119</v>
      </c>
      <c r="AN568" t="s">
        <v>112</v>
      </c>
      <c r="AO568" t="s">
        <v>121</v>
      </c>
      <c r="AP568" t="s">
        <v>122</v>
      </c>
      <c r="AQ568" t="s">
        <v>122</v>
      </c>
      <c r="AR568" t="s">
        <v>124</v>
      </c>
      <c r="AS568" t="s">
        <v>125</v>
      </c>
      <c r="AT568">
        <v>2</v>
      </c>
      <c r="AU568" t="s">
        <v>126</v>
      </c>
      <c r="AV568" t="s">
        <v>155</v>
      </c>
      <c r="AW568" t="s">
        <v>156</v>
      </c>
      <c r="AX568">
        <v>1</v>
      </c>
      <c r="AY568" t="s">
        <v>129</v>
      </c>
      <c r="AZ568">
        <v>42501.88</v>
      </c>
      <c r="BA568">
        <v>3343665</v>
      </c>
      <c r="BB568">
        <v>50059.07</v>
      </c>
      <c r="BC568">
        <v>78.671000000000006</v>
      </c>
      <c r="BD568" t="s">
        <v>130</v>
      </c>
      <c r="BE568" t="s">
        <v>112</v>
      </c>
      <c r="BF568" t="s">
        <v>157</v>
      </c>
      <c r="BG568" t="s">
        <v>133</v>
      </c>
      <c r="BH568" t="s">
        <v>134</v>
      </c>
      <c r="BI568" t="s">
        <v>112</v>
      </c>
      <c r="BJ568" t="s">
        <v>112</v>
      </c>
      <c r="BK568" t="s">
        <v>112</v>
      </c>
      <c r="BL568" t="s">
        <v>169</v>
      </c>
      <c r="BM568" t="s">
        <v>159</v>
      </c>
      <c r="BN568" t="s">
        <v>212</v>
      </c>
      <c r="BO568" t="s">
        <v>161</v>
      </c>
      <c r="BP568">
        <v>1</v>
      </c>
      <c r="BQ568" t="s">
        <v>571</v>
      </c>
      <c r="BR568" s="45">
        <f>ISNUMBER(SEARCH($BR$1,Таблица1[[#This Row],[31_1 Описание и характеристика товара]]))*1</f>
        <v>1</v>
      </c>
      <c r="BT568" t="s">
        <v>150</v>
      </c>
      <c r="BU568">
        <v>33</v>
      </c>
      <c r="BV568">
        <v>0</v>
      </c>
      <c r="BW568">
        <v>0</v>
      </c>
      <c r="BY568">
        <v>0</v>
      </c>
      <c r="CA568" t="s">
        <v>106</v>
      </c>
      <c r="CB568" t="s">
        <v>142</v>
      </c>
      <c r="CC568" t="s">
        <v>112</v>
      </c>
      <c r="CD568" t="s">
        <v>112</v>
      </c>
      <c r="CE568" t="s">
        <v>121</v>
      </c>
      <c r="CF568">
        <v>16869.98</v>
      </c>
      <c r="CG568" t="s">
        <v>144</v>
      </c>
      <c r="CH568">
        <v>4000000</v>
      </c>
      <c r="CI568">
        <v>16812.38</v>
      </c>
      <c r="CJ568">
        <v>0</v>
      </c>
      <c r="CK568" t="s">
        <v>112</v>
      </c>
      <c r="CL568" t="s">
        <v>112</v>
      </c>
      <c r="CM568">
        <v>42501.88</v>
      </c>
      <c r="CN568">
        <v>3343665</v>
      </c>
      <c r="CO568">
        <v>0</v>
      </c>
      <c r="CP568">
        <v>1</v>
      </c>
      <c r="CQ568">
        <v>3685884.25</v>
      </c>
      <c r="CR568">
        <v>50059.07</v>
      </c>
      <c r="CS568" t="s">
        <v>145</v>
      </c>
      <c r="CT568">
        <v>50058.861450000004</v>
      </c>
      <c r="CU568">
        <v>2.9775</v>
      </c>
      <c r="CV568">
        <v>45</v>
      </c>
      <c r="CW568" t="s">
        <v>171</v>
      </c>
      <c r="CX568" t="s">
        <v>350</v>
      </c>
      <c r="CY568">
        <v>568</v>
      </c>
    </row>
    <row r="569" spans="1:103" x14ac:dyDescent="0.25">
      <c r="A569" t="s">
        <v>106</v>
      </c>
      <c r="B569" s="38">
        <v>44600</v>
      </c>
      <c r="C569" s="43">
        <f>IF(YEAR(Таблица1[[#This Row],[Дата]])=2023,MONTH(Таблица1[[#This Row],[Дата]]),0)</f>
        <v>0</v>
      </c>
      <c r="D569" t="s">
        <v>566</v>
      </c>
      <c r="E569" t="s">
        <v>108</v>
      </c>
      <c r="F569" t="s">
        <v>567</v>
      </c>
      <c r="G569" t="s">
        <v>110</v>
      </c>
      <c r="H569" t="s">
        <v>111</v>
      </c>
      <c r="I569" t="s">
        <v>112</v>
      </c>
      <c r="J569" t="s">
        <v>112</v>
      </c>
      <c r="K569" t="s">
        <v>112</v>
      </c>
      <c r="L569" t="s">
        <v>150</v>
      </c>
      <c r="M569" t="s">
        <v>151</v>
      </c>
      <c r="N569" t="s">
        <v>112</v>
      </c>
      <c r="O569" t="s">
        <v>112</v>
      </c>
      <c r="P569">
        <v>1</v>
      </c>
      <c r="Q569">
        <v>0</v>
      </c>
      <c r="R569">
        <v>1</v>
      </c>
      <c r="S569">
        <v>33</v>
      </c>
      <c r="T569" t="s">
        <v>166</v>
      </c>
      <c r="U569" t="s">
        <v>152</v>
      </c>
      <c r="V569" t="s">
        <v>153</v>
      </c>
      <c r="W569" t="s">
        <v>154</v>
      </c>
      <c r="X569" t="s">
        <v>119</v>
      </c>
      <c r="Y569" t="s">
        <v>112</v>
      </c>
      <c r="Z569" t="s">
        <v>166</v>
      </c>
      <c r="AA569" t="s">
        <v>152</v>
      </c>
      <c r="AB569" t="s">
        <v>153</v>
      </c>
      <c r="AC569" t="s">
        <v>154</v>
      </c>
      <c r="AD569" t="s">
        <v>119</v>
      </c>
      <c r="AE569" t="s">
        <v>112</v>
      </c>
      <c r="AF569" t="s">
        <v>121</v>
      </c>
      <c r="AG569" t="s">
        <v>122</v>
      </c>
      <c r="AH569">
        <v>3726311.7</v>
      </c>
      <c r="AI569" t="s">
        <v>166</v>
      </c>
      <c r="AJ569" t="s">
        <v>152</v>
      </c>
      <c r="AK569" t="s">
        <v>153</v>
      </c>
      <c r="AL569" t="s">
        <v>154</v>
      </c>
      <c r="AM569" t="s">
        <v>119</v>
      </c>
      <c r="AN569" t="s">
        <v>112</v>
      </c>
      <c r="AO569" t="s">
        <v>121</v>
      </c>
      <c r="AP569" t="s">
        <v>122</v>
      </c>
      <c r="AQ569" t="s">
        <v>122</v>
      </c>
      <c r="AR569" t="s">
        <v>124</v>
      </c>
      <c r="AS569" t="s">
        <v>125</v>
      </c>
      <c r="AT569">
        <v>2</v>
      </c>
      <c r="AU569" t="s">
        <v>126</v>
      </c>
      <c r="AV569" t="s">
        <v>155</v>
      </c>
      <c r="AW569" t="s">
        <v>156</v>
      </c>
      <c r="AX569">
        <v>1</v>
      </c>
      <c r="AY569" t="s">
        <v>129</v>
      </c>
      <c r="AZ569">
        <v>43015.76</v>
      </c>
      <c r="BA569">
        <v>3384093</v>
      </c>
      <c r="BB569">
        <v>50608.13</v>
      </c>
      <c r="BC569">
        <v>78.671000000000006</v>
      </c>
      <c r="BD569" t="s">
        <v>130</v>
      </c>
      <c r="BE569" t="s">
        <v>112</v>
      </c>
      <c r="BF569" t="s">
        <v>157</v>
      </c>
      <c r="BG569" t="s">
        <v>133</v>
      </c>
      <c r="BH569" t="s">
        <v>134</v>
      </c>
      <c r="BI569" t="s">
        <v>112</v>
      </c>
      <c r="BJ569" t="s">
        <v>112</v>
      </c>
      <c r="BK569" t="s">
        <v>112</v>
      </c>
      <c r="BL569" t="s">
        <v>169</v>
      </c>
      <c r="BM569" t="s">
        <v>159</v>
      </c>
      <c r="BN569" t="s">
        <v>212</v>
      </c>
      <c r="BO569" t="s">
        <v>161</v>
      </c>
      <c r="BP569">
        <v>1</v>
      </c>
      <c r="BQ569" t="s">
        <v>568</v>
      </c>
      <c r="BR569" s="45">
        <f>ISNUMBER(SEARCH($BR$1,Таблица1[[#This Row],[31_1 Описание и характеристика товара]]))*1</f>
        <v>1</v>
      </c>
      <c r="BT569" t="s">
        <v>150</v>
      </c>
      <c r="BU569">
        <v>33</v>
      </c>
      <c r="BV569">
        <v>0</v>
      </c>
      <c r="BW569">
        <v>0</v>
      </c>
      <c r="BY569">
        <v>0</v>
      </c>
      <c r="CA569" t="s">
        <v>106</v>
      </c>
      <c r="CB569" t="s">
        <v>142</v>
      </c>
      <c r="CC569" t="s">
        <v>112</v>
      </c>
      <c r="CD569" t="s">
        <v>112</v>
      </c>
      <c r="CE569" t="s">
        <v>121</v>
      </c>
      <c r="CF569">
        <v>16833.05</v>
      </c>
      <c r="CG569" t="s">
        <v>144</v>
      </c>
      <c r="CH569">
        <v>4000000</v>
      </c>
      <c r="CI569">
        <v>16779.05</v>
      </c>
      <c r="CJ569">
        <v>0</v>
      </c>
      <c r="CK569" t="s">
        <v>112</v>
      </c>
      <c r="CL569" t="s">
        <v>112</v>
      </c>
      <c r="CM569">
        <v>43015.76</v>
      </c>
      <c r="CN569">
        <v>3384093</v>
      </c>
      <c r="CO569">
        <v>0</v>
      </c>
      <c r="CP569">
        <v>1</v>
      </c>
      <c r="CQ569">
        <v>3726311.7</v>
      </c>
      <c r="CR569">
        <v>50608.13</v>
      </c>
      <c r="CS569" t="s">
        <v>145</v>
      </c>
      <c r="CT569">
        <v>50607.292704999993</v>
      </c>
      <c r="CU569">
        <v>3.0160999999999998</v>
      </c>
      <c r="CV569">
        <v>45</v>
      </c>
      <c r="CW569" t="s">
        <v>171</v>
      </c>
      <c r="CX569" t="s">
        <v>372</v>
      </c>
      <c r="CY569">
        <v>68</v>
      </c>
    </row>
    <row r="570" spans="1:103" x14ac:dyDescent="0.25">
      <c r="A570" t="s">
        <v>106</v>
      </c>
      <c r="B570" s="38">
        <v>44634</v>
      </c>
      <c r="C570" s="43">
        <f>IF(YEAR(Таблица1[[#This Row],[Дата]])=2023,MONTH(Таблица1[[#This Row],[Дата]]),0)</f>
        <v>0</v>
      </c>
      <c r="D570" t="s">
        <v>559</v>
      </c>
      <c r="E570" t="s">
        <v>108</v>
      </c>
      <c r="F570" t="s">
        <v>560</v>
      </c>
      <c r="G570" t="s">
        <v>110</v>
      </c>
      <c r="H570" t="s">
        <v>111</v>
      </c>
      <c r="I570" t="s">
        <v>112</v>
      </c>
      <c r="J570" t="s">
        <v>112</v>
      </c>
      <c r="K570" t="s">
        <v>112</v>
      </c>
      <c r="L570" t="s">
        <v>150</v>
      </c>
      <c r="M570" t="s">
        <v>151</v>
      </c>
      <c r="N570" t="s">
        <v>112</v>
      </c>
      <c r="O570" t="s">
        <v>112</v>
      </c>
      <c r="P570">
        <v>1</v>
      </c>
      <c r="Q570">
        <v>0</v>
      </c>
      <c r="R570">
        <v>1</v>
      </c>
      <c r="S570">
        <v>38</v>
      </c>
      <c r="T570" t="s">
        <v>166</v>
      </c>
      <c r="U570" t="s">
        <v>152</v>
      </c>
      <c r="V570" t="s">
        <v>153</v>
      </c>
      <c r="W570" t="s">
        <v>154</v>
      </c>
      <c r="X570" t="s">
        <v>119</v>
      </c>
      <c r="Y570" t="s">
        <v>112</v>
      </c>
      <c r="Z570" t="s">
        <v>166</v>
      </c>
      <c r="AA570" t="s">
        <v>152</v>
      </c>
      <c r="AB570" t="s">
        <v>153</v>
      </c>
      <c r="AC570" t="s">
        <v>154</v>
      </c>
      <c r="AD570" t="s">
        <v>119</v>
      </c>
      <c r="AE570" t="s">
        <v>112</v>
      </c>
      <c r="AF570" t="s">
        <v>121</v>
      </c>
      <c r="AG570" t="s">
        <v>122</v>
      </c>
      <c r="AH570">
        <v>4001225.94</v>
      </c>
      <c r="AI570" t="s">
        <v>166</v>
      </c>
      <c r="AJ570" t="s">
        <v>152</v>
      </c>
      <c r="AK570" t="s">
        <v>153</v>
      </c>
      <c r="AL570" t="s">
        <v>154</v>
      </c>
      <c r="AM570" t="s">
        <v>119</v>
      </c>
      <c r="AN570" t="s">
        <v>112</v>
      </c>
      <c r="AO570" t="s">
        <v>121</v>
      </c>
      <c r="AP570" t="s">
        <v>122</v>
      </c>
      <c r="AQ570" t="s">
        <v>122</v>
      </c>
      <c r="AR570" t="s">
        <v>124</v>
      </c>
      <c r="AS570" t="s">
        <v>125</v>
      </c>
      <c r="AT570">
        <v>2</v>
      </c>
      <c r="AU570" t="s">
        <v>126</v>
      </c>
      <c r="AV570" t="s">
        <v>155</v>
      </c>
      <c r="AW570" t="s">
        <v>156</v>
      </c>
      <c r="AX570">
        <v>1</v>
      </c>
      <c r="AY570" t="s">
        <v>129</v>
      </c>
      <c r="AZ570">
        <v>46510.239999999998</v>
      </c>
      <c r="BA570">
        <v>3659007</v>
      </c>
      <c r="BB570">
        <v>54341.82</v>
      </c>
      <c r="BC570">
        <v>78.671000000000006</v>
      </c>
      <c r="BD570" t="s">
        <v>130</v>
      </c>
      <c r="BE570" t="s">
        <v>112</v>
      </c>
      <c r="BF570" t="s">
        <v>157</v>
      </c>
      <c r="BG570" t="s">
        <v>133</v>
      </c>
      <c r="BH570" t="s">
        <v>134</v>
      </c>
      <c r="BI570" t="s">
        <v>112</v>
      </c>
      <c r="BJ570" t="s">
        <v>112</v>
      </c>
      <c r="BK570" t="s">
        <v>112</v>
      </c>
      <c r="BL570" t="s">
        <v>169</v>
      </c>
      <c r="BM570" t="s">
        <v>159</v>
      </c>
      <c r="BN570" t="s">
        <v>212</v>
      </c>
      <c r="BO570" t="s">
        <v>161</v>
      </c>
      <c r="BP570">
        <v>1</v>
      </c>
      <c r="BQ570" t="s">
        <v>561</v>
      </c>
      <c r="BR570" s="45">
        <f>ISNUMBER(SEARCH($BR$1,Таблица1[[#This Row],[31_1 Описание и характеристика товара]]))*1</f>
        <v>1</v>
      </c>
      <c r="BT570" t="s">
        <v>150</v>
      </c>
      <c r="BU570">
        <v>38</v>
      </c>
      <c r="BV570">
        <v>0</v>
      </c>
      <c r="BW570">
        <v>0</v>
      </c>
      <c r="BY570">
        <v>0</v>
      </c>
      <c r="CA570" t="s">
        <v>106</v>
      </c>
      <c r="CB570" t="s">
        <v>142</v>
      </c>
      <c r="CC570" t="s">
        <v>112</v>
      </c>
      <c r="CD570" t="s">
        <v>112</v>
      </c>
      <c r="CE570" t="s">
        <v>121</v>
      </c>
      <c r="CF570">
        <v>19681.93</v>
      </c>
      <c r="CG570" t="s">
        <v>144</v>
      </c>
      <c r="CH570">
        <v>4000000</v>
      </c>
      <c r="CI570">
        <v>19617.13</v>
      </c>
      <c r="CJ570">
        <v>0</v>
      </c>
      <c r="CK570" t="s">
        <v>112</v>
      </c>
      <c r="CL570" t="s">
        <v>112</v>
      </c>
      <c r="CM570">
        <v>46510.239999999998</v>
      </c>
      <c r="CN570">
        <v>3659007</v>
      </c>
      <c r="CO570">
        <v>0</v>
      </c>
      <c r="CP570">
        <v>1</v>
      </c>
      <c r="CQ570">
        <v>4001225.94</v>
      </c>
      <c r="CR570">
        <v>54341.82</v>
      </c>
      <c r="CS570" t="s">
        <v>145</v>
      </c>
      <c r="CT570">
        <v>54341.411812999999</v>
      </c>
      <c r="CU570">
        <v>2.7700999999999998</v>
      </c>
      <c r="CV570">
        <v>45</v>
      </c>
      <c r="CW570" t="s">
        <v>171</v>
      </c>
      <c r="CX570" t="s">
        <v>463</v>
      </c>
      <c r="CY570">
        <v>282</v>
      </c>
    </row>
    <row r="571" spans="1:103" x14ac:dyDescent="0.25">
      <c r="A571" t="s">
        <v>106</v>
      </c>
      <c r="B571" s="38">
        <v>44676</v>
      </c>
      <c r="C571" s="43">
        <f>IF(YEAR(Таблица1[[#This Row],[Дата]])=2023,MONTH(Таблица1[[#This Row],[Дата]]),0)</f>
        <v>0</v>
      </c>
      <c r="D571" t="s">
        <v>244</v>
      </c>
      <c r="E571" t="s">
        <v>108</v>
      </c>
      <c r="F571" t="s">
        <v>245</v>
      </c>
      <c r="G571" t="s">
        <v>110</v>
      </c>
      <c r="H571" t="s">
        <v>111</v>
      </c>
      <c r="I571" t="s">
        <v>112</v>
      </c>
      <c r="J571" t="s">
        <v>112</v>
      </c>
      <c r="K571" t="s">
        <v>112</v>
      </c>
      <c r="L571" t="s">
        <v>175</v>
      </c>
      <c r="M571" t="s">
        <v>176</v>
      </c>
      <c r="N571" t="s">
        <v>112</v>
      </c>
      <c r="O571" t="s">
        <v>112</v>
      </c>
      <c r="P571">
        <v>1</v>
      </c>
      <c r="R571">
        <v>1</v>
      </c>
      <c r="S571">
        <v>33</v>
      </c>
      <c r="T571" t="s">
        <v>166</v>
      </c>
      <c r="U571" t="s">
        <v>152</v>
      </c>
      <c r="V571" t="s">
        <v>153</v>
      </c>
      <c r="W571" t="s">
        <v>177</v>
      </c>
      <c r="X571" t="s">
        <v>119</v>
      </c>
      <c r="Y571" t="s">
        <v>112</v>
      </c>
      <c r="Z571" t="s">
        <v>166</v>
      </c>
      <c r="AA571" t="s">
        <v>152</v>
      </c>
      <c r="AB571" t="s">
        <v>153</v>
      </c>
      <c r="AC571" t="s">
        <v>177</v>
      </c>
      <c r="AD571" t="s">
        <v>119</v>
      </c>
      <c r="AE571" t="s">
        <v>112</v>
      </c>
      <c r="AF571" t="s">
        <v>121</v>
      </c>
      <c r="AG571" t="s">
        <v>122</v>
      </c>
      <c r="AH571">
        <v>3182376.41</v>
      </c>
      <c r="AI571" t="s">
        <v>166</v>
      </c>
      <c r="AJ571" t="s">
        <v>152</v>
      </c>
      <c r="AK571" t="s">
        <v>153</v>
      </c>
      <c r="AL571" t="s">
        <v>177</v>
      </c>
      <c r="AM571" t="s">
        <v>119</v>
      </c>
      <c r="AN571" t="s">
        <v>112</v>
      </c>
      <c r="AO571" t="s">
        <v>121</v>
      </c>
      <c r="AP571" t="s">
        <v>122</v>
      </c>
      <c r="AQ571" t="s">
        <v>122</v>
      </c>
      <c r="AR571" t="s">
        <v>124</v>
      </c>
      <c r="AS571" t="s">
        <v>125</v>
      </c>
      <c r="AT571">
        <v>2</v>
      </c>
      <c r="AU571" t="s">
        <v>106</v>
      </c>
      <c r="AV571" t="s">
        <v>155</v>
      </c>
      <c r="AW571" t="s">
        <v>156</v>
      </c>
      <c r="AX571">
        <v>1</v>
      </c>
      <c r="AY571" t="s">
        <v>129</v>
      </c>
      <c r="AZ571">
        <v>40008.54</v>
      </c>
      <c r="BA571">
        <v>2925148</v>
      </c>
      <c r="BB571">
        <v>47094.41</v>
      </c>
      <c r="BC571">
        <v>73.113100000000003</v>
      </c>
      <c r="BD571" t="s">
        <v>130</v>
      </c>
      <c r="BE571" t="s">
        <v>112</v>
      </c>
      <c r="BF571" t="s">
        <v>157</v>
      </c>
      <c r="BG571" t="s">
        <v>133</v>
      </c>
      <c r="BH571" t="s">
        <v>134</v>
      </c>
      <c r="BI571" t="s">
        <v>112</v>
      </c>
      <c r="BJ571" t="s">
        <v>178</v>
      </c>
      <c r="BK571" t="s">
        <v>112</v>
      </c>
      <c r="BL571" t="s">
        <v>125</v>
      </c>
      <c r="BM571" t="s">
        <v>179</v>
      </c>
      <c r="BN571" t="s">
        <v>180</v>
      </c>
      <c r="BO571" t="s">
        <v>181</v>
      </c>
      <c r="BP571">
        <v>1</v>
      </c>
      <c r="BQ571" t="s">
        <v>199</v>
      </c>
      <c r="BR571" s="45">
        <f>ISNUMBER(SEARCH($BR$1,Таблица1[[#This Row],[31_1 Описание и характеристика товара]]))*1</f>
        <v>1</v>
      </c>
      <c r="BT571" t="s">
        <v>150</v>
      </c>
      <c r="BU571">
        <v>33</v>
      </c>
      <c r="BV571">
        <v>1</v>
      </c>
      <c r="CA571" t="s">
        <v>106</v>
      </c>
      <c r="CB571" t="s">
        <v>142</v>
      </c>
      <c r="CC571" t="s">
        <v>112</v>
      </c>
      <c r="CD571" t="s">
        <v>112</v>
      </c>
      <c r="CE571" t="s">
        <v>121</v>
      </c>
      <c r="CF571">
        <v>17072.66</v>
      </c>
      <c r="CG571" t="s">
        <v>144</v>
      </c>
      <c r="CH571">
        <v>4000000</v>
      </c>
      <c r="CI571">
        <v>16982.66</v>
      </c>
      <c r="CK571" t="s">
        <v>112</v>
      </c>
      <c r="CL571" t="s">
        <v>112</v>
      </c>
      <c r="CM571">
        <v>40008.54</v>
      </c>
      <c r="CN571">
        <v>2925148</v>
      </c>
      <c r="CO571">
        <v>0</v>
      </c>
      <c r="CP571">
        <v>1</v>
      </c>
      <c r="CQ571">
        <v>3182376.41</v>
      </c>
      <c r="CR571">
        <v>47094.41</v>
      </c>
      <c r="CS571" t="s">
        <v>145</v>
      </c>
      <c r="CT571">
        <v>47094.614446</v>
      </c>
      <c r="CU571">
        <v>2.7730999999999999</v>
      </c>
      <c r="CV571">
        <v>941</v>
      </c>
      <c r="CW571" t="s">
        <v>183</v>
      </c>
      <c r="CX571" t="s">
        <v>147</v>
      </c>
      <c r="CY571">
        <v>560</v>
      </c>
    </row>
    <row r="572" spans="1:103" x14ac:dyDescent="0.25">
      <c r="A572" t="s">
        <v>106</v>
      </c>
      <c r="B572" s="38">
        <v>44764</v>
      </c>
      <c r="C572" s="43">
        <f>IF(YEAR(Таблица1[[#This Row],[Дата]])=2023,MONTH(Таблица1[[#This Row],[Дата]]),0)</f>
        <v>0</v>
      </c>
      <c r="D572" t="s">
        <v>240</v>
      </c>
      <c r="E572" t="s">
        <v>108</v>
      </c>
      <c r="F572" t="s">
        <v>241</v>
      </c>
      <c r="G572" t="s">
        <v>3244</v>
      </c>
      <c r="H572" t="s">
        <v>111</v>
      </c>
      <c r="I572" t="s">
        <v>112</v>
      </c>
      <c r="J572" t="s">
        <v>112</v>
      </c>
      <c r="K572" t="s">
        <v>112</v>
      </c>
      <c r="L572" t="s">
        <v>175</v>
      </c>
      <c r="M572" t="s">
        <v>176</v>
      </c>
      <c r="N572" t="s">
        <v>112</v>
      </c>
      <c r="O572" t="s">
        <v>112</v>
      </c>
      <c r="P572">
        <v>1</v>
      </c>
      <c r="R572">
        <v>1</v>
      </c>
      <c r="S572">
        <v>33</v>
      </c>
      <c r="T572" t="s">
        <v>166</v>
      </c>
      <c r="U572" t="s">
        <v>152</v>
      </c>
      <c r="V572" t="s">
        <v>153</v>
      </c>
      <c r="W572" t="s">
        <v>177</v>
      </c>
      <c r="X572" t="s">
        <v>119</v>
      </c>
      <c r="Y572" t="s">
        <v>112</v>
      </c>
      <c r="Z572" t="s">
        <v>166</v>
      </c>
      <c r="AA572" t="s">
        <v>152</v>
      </c>
      <c r="AB572" t="s">
        <v>153</v>
      </c>
      <c r="AC572" t="s">
        <v>177</v>
      </c>
      <c r="AD572" t="s">
        <v>119</v>
      </c>
      <c r="AE572" t="s">
        <v>112</v>
      </c>
      <c r="AF572" t="s">
        <v>121</v>
      </c>
      <c r="AG572" t="s">
        <v>122</v>
      </c>
      <c r="AH572">
        <v>3279996.29</v>
      </c>
      <c r="AI572" t="s">
        <v>166</v>
      </c>
      <c r="AJ572" t="s">
        <v>152</v>
      </c>
      <c r="AK572" t="s">
        <v>153</v>
      </c>
      <c r="AL572" t="s">
        <v>177</v>
      </c>
      <c r="AM572" t="s">
        <v>119</v>
      </c>
      <c r="AN572" t="s">
        <v>112</v>
      </c>
      <c r="AO572" t="s">
        <v>121</v>
      </c>
      <c r="AP572" t="s">
        <v>122</v>
      </c>
      <c r="AQ572" t="s">
        <v>122</v>
      </c>
      <c r="AR572" t="s">
        <v>124</v>
      </c>
      <c r="AS572" t="s">
        <v>125</v>
      </c>
      <c r="AT572">
        <v>2</v>
      </c>
      <c r="AU572" t="s">
        <v>106</v>
      </c>
      <c r="AV572" t="s">
        <v>155</v>
      </c>
      <c r="AW572" t="s">
        <v>156</v>
      </c>
      <c r="AX572">
        <v>1</v>
      </c>
      <c r="AY572" t="s">
        <v>129</v>
      </c>
      <c r="AZ572">
        <v>41343.730000000003</v>
      </c>
      <c r="BA572">
        <v>3022768</v>
      </c>
      <c r="BB572">
        <v>48539.040000000001</v>
      </c>
      <c r="BC572">
        <v>73.113100000000003</v>
      </c>
      <c r="BD572" t="s">
        <v>130</v>
      </c>
      <c r="BE572" t="s">
        <v>112</v>
      </c>
      <c r="BF572" t="s">
        <v>157</v>
      </c>
      <c r="BG572" t="s">
        <v>133</v>
      </c>
      <c r="BH572" t="s">
        <v>134</v>
      </c>
      <c r="BI572" t="s">
        <v>112</v>
      </c>
      <c r="BJ572" t="s">
        <v>178</v>
      </c>
      <c r="BK572" t="s">
        <v>112</v>
      </c>
      <c r="BL572" t="s">
        <v>125</v>
      </c>
      <c r="BM572" t="s">
        <v>179</v>
      </c>
      <c r="BN572" t="s">
        <v>180</v>
      </c>
      <c r="BO572" t="s">
        <v>181</v>
      </c>
      <c r="BP572">
        <v>1</v>
      </c>
      <c r="BQ572" t="s">
        <v>202</v>
      </c>
      <c r="BR572" s="45">
        <f>ISNUMBER(SEARCH($BR$1,Таблица1[[#This Row],[31_1 Описание и характеристика товара]]))*1</f>
        <v>1</v>
      </c>
      <c r="BT572" t="s">
        <v>150</v>
      </c>
      <c r="BU572">
        <v>33</v>
      </c>
      <c r="BV572">
        <v>1</v>
      </c>
      <c r="CA572" t="s">
        <v>106</v>
      </c>
      <c r="CB572" t="s">
        <v>142</v>
      </c>
      <c r="CC572" t="s">
        <v>112</v>
      </c>
      <c r="CD572" t="s">
        <v>112</v>
      </c>
      <c r="CE572" t="s">
        <v>121</v>
      </c>
      <c r="CF572">
        <v>17243.75</v>
      </c>
      <c r="CG572" t="s">
        <v>144</v>
      </c>
      <c r="CH572">
        <v>4000000</v>
      </c>
      <c r="CI572">
        <v>17243.75</v>
      </c>
      <c r="CK572" t="s">
        <v>112</v>
      </c>
      <c r="CL572" t="s">
        <v>112</v>
      </c>
      <c r="CM572">
        <v>41343.730000000003</v>
      </c>
      <c r="CN572">
        <v>3022768</v>
      </c>
      <c r="CO572">
        <v>0</v>
      </c>
      <c r="CP572">
        <v>1</v>
      </c>
      <c r="CQ572">
        <v>3279996.29</v>
      </c>
      <c r="CR572">
        <v>48539.040000000001</v>
      </c>
      <c r="CS572" t="s">
        <v>145</v>
      </c>
      <c r="CT572">
        <v>48539.431875000002</v>
      </c>
      <c r="CU572">
        <v>2.8149000000000002</v>
      </c>
      <c r="CV572">
        <v>941</v>
      </c>
      <c r="CW572" t="s">
        <v>183</v>
      </c>
      <c r="CX572" t="s">
        <v>147</v>
      </c>
      <c r="CY572">
        <v>560</v>
      </c>
    </row>
    <row r="573" spans="1:103" x14ac:dyDescent="0.25">
      <c r="A573" t="s">
        <v>106</v>
      </c>
      <c r="B573" s="38">
        <v>44625</v>
      </c>
      <c r="C573" s="43">
        <f>IF(YEAR(Таблица1[[#This Row],[Дата]])=2023,MONTH(Таблица1[[#This Row],[Дата]]),0)</f>
        <v>0</v>
      </c>
      <c r="D573" t="s">
        <v>246</v>
      </c>
      <c r="E573" t="s">
        <v>108</v>
      </c>
      <c r="F573" t="s">
        <v>247</v>
      </c>
      <c r="G573" t="s">
        <v>3244</v>
      </c>
      <c r="H573" t="s">
        <v>111</v>
      </c>
      <c r="I573" t="s">
        <v>112</v>
      </c>
      <c r="J573" t="s">
        <v>112</v>
      </c>
      <c r="K573" t="s">
        <v>112</v>
      </c>
      <c r="L573" t="s">
        <v>175</v>
      </c>
      <c r="M573" t="s">
        <v>176</v>
      </c>
      <c r="N573" t="s">
        <v>112</v>
      </c>
      <c r="O573" t="s">
        <v>112</v>
      </c>
      <c r="P573">
        <v>1</v>
      </c>
      <c r="Q573">
        <v>0</v>
      </c>
      <c r="R573">
        <v>1</v>
      </c>
      <c r="S573">
        <v>33</v>
      </c>
      <c r="T573" t="s">
        <v>166</v>
      </c>
      <c r="U573" t="s">
        <v>152</v>
      </c>
      <c r="V573" t="s">
        <v>153</v>
      </c>
      <c r="W573" t="s">
        <v>177</v>
      </c>
      <c r="X573" t="s">
        <v>119</v>
      </c>
      <c r="Y573" t="s">
        <v>112</v>
      </c>
      <c r="Z573" t="s">
        <v>166</v>
      </c>
      <c r="AA573" t="s">
        <v>152</v>
      </c>
      <c r="AB573" t="s">
        <v>153</v>
      </c>
      <c r="AC573" t="s">
        <v>177</v>
      </c>
      <c r="AD573" t="s">
        <v>119</v>
      </c>
      <c r="AE573" t="s">
        <v>112</v>
      </c>
      <c r="AF573" t="s">
        <v>121</v>
      </c>
      <c r="AG573" t="s">
        <v>122</v>
      </c>
      <c r="AH573">
        <v>3718204.77</v>
      </c>
      <c r="AI573" t="s">
        <v>166</v>
      </c>
      <c r="AJ573" t="s">
        <v>152</v>
      </c>
      <c r="AK573" t="s">
        <v>153</v>
      </c>
      <c r="AL573" t="s">
        <v>177</v>
      </c>
      <c r="AM573" t="s">
        <v>119</v>
      </c>
      <c r="AN573" t="s">
        <v>112</v>
      </c>
      <c r="AO573" t="s">
        <v>121</v>
      </c>
      <c r="AP573" t="s">
        <v>122</v>
      </c>
      <c r="AQ573" t="s">
        <v>122</v>
      </c>
      <c r="AR573" t="s">
        <v>124</v>
      </c>
      <c r="AS573" t="s">
        <v>125</v>
      </c>
      <c r="AT573">
        <v>2</v>
      </c>
      <c r="AU573" t="s">
        <v>106</v>
      </c>
      <c r="AV573" t="s">
        <v>155</v>
      </c>
      <c r="AW573" t="s">
        <v>156</v>
      </c>
      <c r="AX573">
        <v>1</v>
      </c>
      <c r="AY573" t="s">
        <v>129</v>
      </c>
      <c r="AZ573">
        <v>47337.3</v>
      </c>
      <c r="BA573">
        <v>3460977</v>
      </c>
      <c r="BB573">
        <v>55023.87</v>
      </c>
      <c r="BC573">
        <v>73.113100000000003</v>
      </c>
      <c r="BD573" t="s">
        <v>130</v>
      </c>
      <c r="BE573" t="s">
        <v>112</v>
      </c>
      <c r="BF573" t="s">
        <v>157</v>
      </c>
      <c r="BG573" t="s">
        <v>133</v>
      </c>
      <c r="BH573" t="s">
        <v>134</v>
      </c>
      <c r="BI573" t="s">
        <v>112</v>
      </c>
      <c r="BJ573" t="s">
        <v>178</v>
      </c>
      <c r="BK573" t="s">
        <v>112</v>
      </c>
      <c r="BL573" t="s">
        <v>125</v>
      </c>
      <c r="BM573" t="s">
        <v>179</v>
      </c>
      <c r="BN573" t="s">
        <v>180</v>
      </c>
      <c r="BO573" t="s">
        <v>181</v>
      </c>
      <c r="BP573">
        <v>1</v>
      </c>
      <c r="BQ573" t="s">
        <v>199</v>
      </c>
      <c r="BR573" s="45">
        <f>ISNUMBER(SEARCH($BR$1,Таблица1[[#This Row],[31_1 Описание и характеристика товара]]))*1</f>
        <v>1</v>
      </c>
      <c r="BT573" t="s">
        <v>150</v>
      </c>
      <c r="BU573">
        <v>33</v>
      </c>
      <c r="BV573">
        <v>1</v>
      </c>
      <c r="BW573">
        <v>0</v>
      </c>
      <c r="BY573">
        <v>0</v>
      </c>
      <c r="CA573" t="s">
        <v>106</v>
      </c>
      <c r="CB573" t="s">
        <v>142</v>
      </c>
      <c r="CC573" t="s">
        <v>112</v>
      </c>
      <c r="CD573" t="s">
        <v>112</v>
      </c>
      <c r="CE573" t="s">
        <v>121</v>
      </c>
      <c r="CF573">
        <v>16646.240000000002</v>
      </c>
      <c r="CG573" t="s">
        <v>144</v>
      </c>
      <c r="CH573">
        <v>4000000</v>
      </c>
      <c r="CI573">
        <v>16484.240000000002</v>
      </c>
      <c r="CJ573">
        <v>0</v>
      </c>
      <c r="CK573" t="s">
        <v>112</v>
      </c>
      <c r="CL573" t="s">
        <v>112</v>
      </c>
      <c r="CM573">
        <v>47337.3</v>
      </c>
      <c r="CN573">
        <v>3460977</v>
      </c>
      <c r="CO573">
        <v>0</v>
      </c>
      <c r="CP573">
        <v>1</v>
      </c>
      <c r="CQ573">
        <v>3718204.77</v>
      </c>
      <c r="CR573">
        <v>55023.87</v>
      </c>
      <c r="CS573" t="s">
        <v>145</v>
      </c>
      <c r="CT573">
        <v>55024.393120000008</v>
      </c>
      <c r="CU573">
        <v>3.3380000000000001</v>
      </c>
      <c r="CV573">
        <v>941</v>
      </c>
      <c r="CW573" t="s">
        <v>183</v>
      </c>
      <c r="CX573" t="s">
        <v>147</v>
      </c>
      <c r="CY573">
        <v>1</v>
      </c>
    </row>
    <row r="574" spans="1:103" x14ac:dyDescent="0.25">
      <c r="A574" t="s">
        <v>106</v>
      </c>
      <c r="B574" s="38">
        <v>44586</v>
      </c>
      <c r="C574" s="43">
        <f>IF(YEAR(Таблица1[[#This Row],[Дата]])=2023,MONTH(Таблица1[[#This Row],[Дата]]),0)</f>
        <v>0</v>
      </c>
      <c r="D574" t="s">
        <v>256</v>
      </c>
      <c r="E574" t="s">
        <v>108</v>
      </c>
      <c r="F574" t="s">
        <v>257</v>
      </c>
      <c r="G574" t="s">
        <v>3244</v>
      </c>
      <c r="H574" t="s">
        <v>111</v>
      </c>
      <c r="I574" t="s">
        <v>112</v>
      </c>
      <c r="J574" t="s">
        <v>112</v>
      </c>
      <c r="K574" t="s">
        <v>112</v>
      </c>
      <c r="L574" t="s">
        <v>175</v>
      </c>
      <c r="M574" t="s">
        <v>176</v>
      </c>
      <c r="N574" t="s">
        <v>112</v>
      </c>
      <c r="O574" t="s">
        <v>112</v>
      </c>
      <c r="P574">
        <v>1</v>
      </c>
      <c r="Q574">
        <v>0</v>
      </c>
      <c r="R574">
        <v>1</v>
      </c>
      <c r="S574">
        <v>33</v>
      </c>
      <c r="T574" t="s">
        <v>166</v>
      </c>
      <c r="U574" t="s">
        <v>152</v>
      </c>
      <c r="V574" t="s">
        <v>153</v>
      </c>
      <c r="W574" t="s">
        <v>177</v>
      </c>
      <c r="X574" t="s">
        <v>119</v>
      </c>
      <c r="Y574" t="s">
        <v>112</v>
      </c>
      <c r="Z574" t="s">
        <v>166</v>
      </c>
      <c r="AA574" t="s">
        <v>152</v>
      </c>
      <c r="AB574" t="s">
        <v>153</v>
      </c>
      <c r="AC574" t="s">
        <v>177</v>
      </c>
      <c r="AD574" t="s">
        <v>119</v>
      </c>
      <c r="AE574" t="s">
        <v>112</v>
      </c>
      <c r="AF574" t="s">
        <v>121</v>
      </c>
      <c r="AG574" t="s">
        <v>122</v>
      </c>
      <c r="AH574">
        <v>2984409.53</v>
      </c>
      <c r="AI574" t="s">
        <v>166</v>
      </c>
      <c r="AJ574" t="s">
        <v>152</v>
      </c>
      <c r="AK574" t="s">
        <v>153</v>
      </c>
      <c r="AL574" t="s">
        <v>177</v>
      </c>
      <c r="AM574" t="s">
        <v>119</v>
      </c>
      <c r="AN574" t="s">
        <v>112</v>
      </c>
      <c r="AO574" t="s">
        <v>121</v>
      </c>
      <c r="AP574" t="s">
        <v>122</v>
      </c>
      <c r="AQ574" t="s">
        <v>122</v>
      </c>
      <c r="AR574" t="s">
        <v>124</v>
      </c>
      <c r="AS574" t="s">
        <v>125</v>
      </c>
      <c r="AT574">
        <v>2</v>
      </c>
      <c r="AU574" t="s">
        <v>106</v>
      </c>
      <c r="AV574" t="s">
        <v>155</v>
      </c>
      <c r="AW574" t="s">
        <v>156</v>
      </c>
      <c r="AX574">
        <v>1</v>
      </c>
      <c r="AY574" t="s">
        <v>129</v>
      </c>
      <c r="AZ574">
        <v>37300.86</v>
      </c>
      <c r="BA574">
        <v>2727182</v>
      </c>
      <c r="BB574">
        <v>44164.800000000003</v>
      </c>
      <c r="BC574">
        <v>73.113100000000003</v>
      </c>
      <c r="BD574" t="s">
        <v>130</v>
      </c>
      <c r="BE574" t="s">
        <v>112</v>
      </c>
      <c r="BF574" t="s">
        <v>157</v>
      </c>
      <c r="BG574" t="s">
        <v>133</v>
      </c>
      <c r="BH574" t="s">
        <v>134</v>
      </c>
      <c r="BI574" t="s">
        <v>112</v>
      </c>
      <c r="BJ574" t="s">
        <v>178</v>
      </c>
      <c r="BK574" t="s">
        <v>112</v>
      </c>
      <c r="BL574" t="s">
        <v>125</v>
      </c>
      <c r="BM574" t="s">
        <v>179</v>
      </c>
      <c r="BN574" t="s">
        <v>180</v>
      </c>
      <c r="BO574" t="s">
        <v>181</v>
      </c>
      <c r="BP574">
        <v>1</v>
      </c>
      <c r="BQ574" t="s">
        <v>258</v>
      </c>
      <c r="BR574" s="45">
        <f>ISNUMBER(SEARCH($BR$1,Таблица1[[#This Row],[31_1 Описание и характеристика товара]]))*1</f>
        <v>1</v>
      </c>
      <c r="BT574" t="s">
        <v>150</v>
      </c>
      <c r="BU574">
        <v>33</v>
      </c>
      <c r="BV574">
        <v>1</v>
      </c>
      <c r="BW574">
        <v>0</v>
      </c>
      <c r="BY574">
        <v>0</v>
      </c>
      <c r="CA574" t="s">
        <v>106</v>
      </c>
      <c r="CB574" t="s">
        <v>142</v>
      </c>
      <c r="CC574" t="s">
        <v>112</v>
      </c>
      <c r="CD574" t="s">
        <v>112</v>
      </c>
      <c r="CE574" t="s">
        <v>121</v>
      </c>
      <c r="CF574">
        <v>15075.84</v>
      </c>
      <c r="CG574" t="s">
        <v>144</v>
      </c>
      <c r="CH574">
        <v>4000000</v>
      </c>
      <c r="CI574">
        <v>14804.65</v>
      </c>
      <c r="CJ574">
        <v>0</v>
      </c>
      <c r="CK574" t="s">
        <v>112</v>
      </c>
      <c r="CL574" t="s">
        <v>112</v>
      </c>
      <c r="CM574">
        <v>37300.86</v>
      </c>
      <c r="CN574">
        <v>2727182</v>
      </c>
      <c r="CO574">
        <v>0</v>
      </c>
      <c r="CP574">
        <v>1</v>
      </c>
      <c r="CQ574">
        <v>2984409.53</v>
      </c>
      <c r="CR574">
        <v>44164.800000000003</v>
      </c>
      <c r="CS574" t="s">
        <v>145</v>
      </c>
      <c r="CT574">
        <v>44165.231879999999</v>
      </c>
      <c r="CU574">
        <v>2.9832000000000001</v>
      </c>
      <c r="CV574">
        <v>941</v>
      </c>
      <c r="CW574" t="s">
        <v>183</v>
      </c>
      <c r="CX574" t="s">
        <v>147</v>
      </c>
      <c r="CY574">
        <v>564</v>
      </c>
    </row>
    <row r="575" spans="1:103" x14ac:dyDescent="0.25">
      <c r="A575" t="s">
        <v>106</v>
      </c>
      <c r="B575" s="38">
        <v>44920</v>
      </c>
      <c r="C575" s="43">
        <f>IF(YEAR(Таблица1[[#This Row],[Дата]])=2023,MONTH(Таблица1[[#This Row],[Дата]]),0)</f>
        <v>0</v>
      </c>
      <c r="D575" t="s">
        <v>238</v>
      </c>
      <c r="E575" t="s">
        <v>108</v>
      </c>
      <c r="F575" t="s">
        <v>239</v>
      </c>
      <c r="G575" t="s">
        <v>3244</v>
      </c>
      <c r="H575" t="s">
        <v>111</v>
      </c>
      <c r="I575" t="s">
        <v>112</v>
      </c>
      <c r="J575" t="s">
        <v>112</v>
      </c>
      <c r="K575" t="s">
        <v>112</v>
      </c>
      <c r="L575" t="s">
        <v>175</v>
      </c>
      <c r="M575" t="s">
        <v>176</v>
      </c>
      <c r="N575" t="s">
        <v>112</v>
      </c>
      <c r="O575" t="s">
        <v>112</v>
      </c>
      <c r="P575">
        <v>1</v>
      </c>
      <c r="Q575">
        <v>0</v>
      </c>
      <c r="R575">
        <v>1</v>
      </c>
      <c r="S575">
        <v>33</v>
      </c>
      <c r="T575" t="s">
        <v>166</v>
      </c>
      <c r="U575" t="s">
        <v>152</v>
      </c>
      <c r="V575" t="s">
        <v>153</v>
      </c>
      <c r="W575" t="s">
        <v>177</v>
      </c>
      <c r="X575" t="s">
        <v>119</v>
      </c>
      <c r="Y575" t="s">
        <v>112</v>
      </c>
      <c r="Z575" t="s">
        <v>166</v>
      </c>
      <c r="AA575" t="s">
        <v>152</v>
      </c>
      <c r="AB575" t="s">
        <v>153</v>
      </c>
      <c r="AC575" t="s">
        <v>177</v>
      </c>
      <c r="AD575" t="s">
        <v>119</v>
      </c>
      <c r="AE575" t="s">
        <v>112</v>
      </c>
      <c r="AF575" t="s">
        <v>121</v>
      </c>
      <c r="AG575" t="s">
        <v>122</v>
      </c>
      <c r="AH575">
        <v>3611028.28</v>
      </c>
      <c r="AI575" t="s">
        <v>166</v>
      </c>
      <c r="AJ575" t="s">
        <v>152</v>
      </c>
      <c r="AK575" t="s">
        <v>153</v>
      </c>
      <c r="AL575" t="s">
        <v>177</v>
      </c>
      <c r="AM575" t="s">
        <v>119</v>
      </c>
      <c r="AN575" t="s">
        <v>112</v>
      </c>
      <c r="AO575" t="s">
        <v>121</v>
      </c>
      <c r="AP575" t="s">
        <v>122</v>
      </c>
      <c r="AQ575" t="s">
        <v>122</v>
      </c>
      <c r="AR575" t="s">
        <v>124</v>
      </c>
      <c r="AS575" t="s">
        <v>125</v>
      </c>
      <c r="AT575">
        <v>2</v>
      </c>
      <c r="AU575" t="s">
        <v>106</v>
      </c>
      <c r="AV575" t="s">
        <v>155</v>
      </c>
      <c r="AW575" t="s">
        <v>156</v>
      </c>
      <c r="AX575">
        <v>1</v>
      </c>
      <c r="AY575" t="s">
        <v>129</v>
      </c>
      <c r="AZ575">
        <v>45871.4</v>
      </c>
      <c r="BA575">
        <v>3353800</v>
      </c>
      <c r="BB575">
        <v>53437.81</v>
      </c>
      <c r="BC575">
        <v>73.113100000000003</v>
      </c>
      <c r="BD575" t="s">
        <v>130</v>
      </c>
      <c r="BE575" t="s">
        <v>112</v>
      </c>
      <c r="BF575" t="s">
        <v>157</v>
      </c>
      <c r="BG575" t="s">
        <v>133</v>
      </c>
      <c r="BH575" t="s">
        <v>134</v>
      </c>
      <c r="BI575" t="s">
        <v>112</v>
      </c>
      <c r="BJ575" t="s">
        <v>178</v>
      </c>
      <c r="BK575" t="s">
        <v>112</v>
      </c>
      <c r="BL575" t="s">
        <v>125</v>
      </c>
      <c r="BM575" t="s">
        <v>179</v>
      </c>
      <c r="BN575" t="s">
        <v>180</v>
      </c>
      <c r="BO575" t="s">
        <v>181</v>
      </c>
      <c r="BP575">
        <v>1</v>
      </c>
      <c r="BQ575" t="s">
        <v>199</v>
      </c>
      <c r="BR575" s="45">
        <f>ISNUMBER(SEARCH($BR$1,Таблица1[[#This Row],[31_1 Описание и характеристика товара]]))*1</f>
        <v>1</v>
      </c>
      <c r="BT575" t="s">
        <v>150</v>
      </c>
      <c r="BU575">
        <v>33</v>
      </c>
      <c r="BV575">
        <v>1</v>
      </c>
      <c r="BW575">
        <v>0</v>
      </c>
      <c r="BY575">
        <v>0</v>
      </c>
      <c r="CA575" t="s">
        <v>106</v>
      </c>
      <c r="CB575" t="s">
        <v>142</v>
      </c>
      <c r="CC575" t="s">
        <v>112</v>
      </c>
      <c r="CD575" t="s">
        <v>112</v>
      </c>
      <c r="CE575" t="s">
        <v>121</v>
      </c>
      <c r="CF575">
        <v>16475.37</v>
      </c>
      <c r="CG575" t="s">
        <v>144</v>
      </c>
      <c r="CH575">
        <v>4000000</v>
      </c>
      <c r="CI575">
        <v>16274.37</v>
      </c>
      <c r="CJ575">
        <v>0</v>
      </c>
      <c r="CK575" t="s">
        <v>112</v>
      </c>
      <c r="CL575" t="s">
        <v>112</v>
      </c>
      <c r="CM575">
        <v>45871.4</v>
      </c>
      <c r="CN575">
        <v>3353800</v>
      </c>
      <c r="CO575">
        <v>0</v>
      </c>
      <c r="CP575">
        <v>1</v>
      </c>
      <c r="CQ575">
        <v>3611028.28</v>
      </c>
      <c r="CR575">
        <v>53437.81</v>
      </c>
      <c r="CS575" t="s">
        <v>145</v>
      </c>
      <c r="CT575">
        <v>53438.521331999997</v>
      </c>
      <c r="CU575">
        <v>3.2835999999999999</v>
      </c>
      <c r="CV575">
        <v>941</v>
      </c>
      <c r="CW575" t="s">
        <v>183</v>
      </c>
      <c r="CX575" t="s">
        <v>147</v>
      </c>
      <c r="CY575">
        <v>46</v>
      </c>
    </row>
    <row r="576" spans="1:103" x14ac:dyDescent="0.25">
      <c r="A576" t="s">
        <v>106</v>
      </c>
      <c r="B576" s="38">
        <v>44676</v>
      </c>
      <c r="C576" s="43">
        <f>IF(YEAR(Таблица1[[#This Row],[Дата]])=2023,MONTH(Таблица1[[#This Row],[Дата]]),0)</f>
        <v>0</v>
      </c>
      <c r="D576" t="s">
        <v>252</v>
      </c>
      <c r="E576" t="s">
        <v>108</v>
      </c>
      <c r="F576" t="s">
        <v>253</v>
      </c>
      <c r="G576" t="s">
        <v>3244</v>
      </c>
      <c r="H576" t="s">
        <v>111</v>
      </c>
      <c r="I576" t="s">
        <v>112</v>
      </c>
      <c r="J576" t="s">
        <v>112</v>
      </c>
      <c r="K576" t="s">
        <v>112</v>
      </c>
      <c r="L576" t="s">
        <v>175</v>
      </c>
      <c r="M576" t="s">
        <v>176</v>
      </c>
      <c r="N576" t="s">
        <v>112</v>
      </c>
      <c r="O576" t="s">
        <v>112</v>
      </c>
      <c r="P576">
        <v>1</v>
      </c>
      <c r="Q576">
        <v>0</v>
      </c>
      <c r="R576">
        <v>1</v>
      </c>
      <c r="S576">
        <v>33</v>
      </c>
      <c r="T576" t="s">
        <v>166</v>
      </c>
      <c r="U576" t="s">
        <v>152</v>
      </c>
      <c r="V576" t="s">
        <v>153</v>
      </c>
      <c r="W576" t="s">
        <v>177</v>
      </c>
      <c r="X576" t="s">
        <v>119</v>
      </c>
      <c r="Y576" t="s">
        <v>112</v>
      </c>
      <c r="Z576" t="s">
        <v>166</v>
      </c>
      <c r="AA576" t="s">
        <v>152</v>
      </c>
      <c r="AB576" t="s">
        <v>153</v>
      </c>
      <c r="AC576" t="s">
        <v>177</v>
      </c>
      <c r="AD576" t="s">
        <v>119</v>
      </c>
      <c r="AE576" t="s">
        <v>112</v>
      </c>
      <c r="AF576" t="s">
        <v>121</v>
      </c>
      <c r="AG576" t="s">
        <v>122</v>
      </c>
      <c r="AH576">
        <v>3329381.99</v>
      </c>
      <c r="AI576" t="s">
        <v>166</v>
      </c>
      <c r="AJ576" t="s">
        <v>152</v>
      </c>
      <c r="AK576" t="s">
        <v>153</v>
      </c>
      <c r="AL576" t="s">
        <v>177</v>
      </c>
      <c r="AM576" t="s">
        <v>119</v>
      </c>
      <c r="AN576" t="s">
        <v>112</v>
      </c>
      <c r="AO576" t="s">
        <v>121</v>
      </c>
      <c r="AP576" t="s">
        <v>122</v>
      </c>
      <c r="AQ576" t="s">
        <v>122</v>
      </c>
      <c r="AR576" t="s">
        <v>124</v>
      </c>
      <c r="AS576" t="s">
        <v>125</v>
      </c>
      <c r="AT576">
        <v>2</v>
      </c>
      <c r="AU576" t="s">
        <v>106</v>
      </c>
      <c r="AV576" t="s">
        <v>155</v>
      </c>
      <c r="AW576" t="s">
        <v>156</v>
      </c>
      <c r="AX576">
        <v>1</v>
      </c>
      <c r="AY576" t="s">
        <v>129</v>
      </c>
      <c r="AZ576">
        <v>42019.199999999997</v>
      </c>
      <c r="BA576">
        <v>3072154</v>
      </c>
      <c r="BB576">
        <v>49269.87</v>
      </c>
      <c r="BC576">
        <v>73.113100000000003</v>
      </c>
      <c r="BD576" t="s">
        <v>130</v>
      </c>
      <c r="BE576" t="s">
        <v>112</v>
      </c>
      <c r="BF576" t="s">
        <v>157</v>
      </c>
      <c r="BG576" t="s">
        <v>133</v>
      </c>
      <c r="BH576" t="s">
        <v>134</v>
      </c>
      <c r="BI576" t="s">
        <v>112</v>
      </c>
      <c r="BJ576" t="s">
        <v>178</v>
      </c>
      <c r="BK576" t="s">
        <v>112</v>
      </c>
      <c r="BL576" t="s">
        <v>125</v>
      </c>
      <c r="BM576" t="s">
        <v>179</v>
      </c>
      <c r="BN576" t="s">
        <v>180</v>
      </c>
      <c r="BO576" t="s">
        <v>181</v>
      </c>
      <c r="BP576">
        <v>1</v>
      </c>
      <c r="BQ576" t="s">
        <v>199</v>
      </c>
      <c r="BR576" s="45">
        <f>ISNUMBER(SEARCH($BR$1,Таблица1[[#This Row],[31_1 Описание и характеристика товара]]))*1</f>
        <v>1</v>
      </c>
      <c r="BT576" t="s">
        <v>150</v>
      </c>
      <c r="BU576">
        <v>33</v>
      </c>
      <c r="BV576">
        <v>1</v>
      </c>
      <c r="BW576">
        <v>0</v>
      </c>
      <c r="BY576">
        <v>0</v>
      </c>
      <c r="CA576" t="s">
        <v>106</v>
      </c>
      <c r="CB576" t="s">
        <v>142</v>
      </c>
      <c r="CC576" t="s">
        <v>112</v>
      </c>
      <c r="CD576" t="s">
        <v>112</v>
      </c>
      <c r="CE576" t="s">
        <v>121</v>
      </c>
      <c r="CF576">
        <v>17053.52</v>
      </c>
      <c r="CG576" t="s">
        <v>144</v>
      </c>
      <c r="CH576">
        <v>4000000</v>
      </c>
      <c r="CI576">
        <v>17053.52</v>
      </c>
      <c r="CJ576">
        <v>0</v>
      </c>
      <c r="CK576" t="s">
        <v>112</v>
      </c>
      <c r="CL576" t="s">
        <v>112</v>
      </c>
      <c r="CM576">
        <v>42019.199999999997</v>
      </c>
      <c r="CN576">
        <v>3072154</v>
      </c>
      <c r="CO576">
        <v>0</v>
      </c>
      <c r="CP576">
        <v>1</v>
      </c>
      <c r="CQ576">
        <v>3329381.99</v>
      </c>
      <c r="CR576">
        <v>49269.87</v>
      </c>
      <c r="CS576" t="s">
        <v>145</v>
      </c>
      <c r="CT576">
        <v>49269.324632000003</v>
      </c>
      <c r="CU576">
        <v>2.8891</v>
      </c>
      <c r="CV576">
        <v>941</v>
      </c>
      <c r="CW576" t="s">
        <v>183</v>
      </c>
      <c r="CX576" t="s">
        <v>147</v>
      </c>
      <c r="CY576">
        <v>210</v>
      </c>
    </row>
    <row r="577" spans="1:103" x14ac:dyDescent="0.25">
      <c r="A577" t="s">
        <v>106</v>
      </c>
      <c r="B577" s="38">
        <v>45235</v>
      </c>
      <c r="C577" s="43">
        <f>IF(YEAR(Таблица1[[#This Row],[Дата]])=2023,MONTH(Таблица1[[#This Row],[Дата]]),0)</f>
        <v>11</v>
      </c>
      <c r="D577" t="s">
        <v>776</v>
      </c>
      <c r="E577" t="s">
        <v>108</v>
      </c>
      <c r="F577" t="s">
        <v>777</v>
      </c>
      <c r="G577" t="s">
        <v>3244</v>
      </c>
      <c r="H577" t="s">
        <v>111</v>
      </c>
      <c r="I577" t="s">
        <v>112</v>
      </c>
      <c r="J577" t="s">
        <v>112</v>
      </c>
      <c r="K577" t="s">
        <v>112</v>
      </c>
      <c r="L577" t="s">
        <v>150</v>
      </c>
      <c r="M577" t="s">
        <v>151</v>
      </c>
      <c r="N577" t="s">
        <v>112</v>
      </c>
      <c r="O577" t="s">
        <v>112</v>
      </c>
      <c r="P577">
        <v>1</v>
      </c>
      <c r="R577">
        <v>1</v>
      </c>
      <c r="S577">
        <v>33</v>
      </c>
      <c r="T577" t="s">
        <v>112</v>
      </c>
      <c r="U577" t="s">
        <v>152</v>
      </c>
      <c r="V577" t="s">
        <v>153</v>
      </c>
      <c r="W577" t="s">
        <v>154</v>
      </c>
      <c r="X577" t="s">
        <v>119</v>
      </c>
      <c r="Y577" t="s">
        <v>112</v>
      </c>
      <c r="Z577" t="s">
        <v>112</v>
      </c>
      <c r="AA577" t="s">
        <v>152</v>
      </c>
      <c r="AB577" t="s">
        <v>153</v>
      </c>
      <c r="AC577" t="s">
        <v>154</v>
      </c>
      <c r="AD577" t="s">
        <v>119</v>
      </c>
      <c r="AE577" t="s">
        <v>112</v>
      </c>
      <c r="AF577" t="s">
        <v>121</v>
      </c>
      <c r="AG577" t="s">
        <v>122</v>
      </c>
      <c r="AH577">
        <v>3977677.48</v>
      </c>
      <c r="AI577" t="s">
        <v>112</v>
      </c>
      <c r="AJ577" t="s">
        <v>152</v>
      </c>
      <c r="AK577" t="s">
        <v>153</v>
      </c>
      <c r="AL577" t="s">
        <v>154</v>
      </c>
      <c r="AM577" t="s">
        <v>119</v>
      </c>
      <c r="AN577" t="s">
        <v>112</v>
      </c>
      <c r="AO577" t="s">
        <v>121</v>
      </c>
      <c r="AP577" t="s">
        <v>122</v>
      </c>
      <c r="AQ577" t="s">
        <v>122</v>
      </c>
      <c r="AR577" t="s">
        <v>124</v>
      </c>
      <c r="AS577" t="s">
        <v>125</v>
      </c>
      <c r="AT577">
        <v>2</v>
      </c>
      <c r="AU577" t="s">
        <v>126</v>
      </c>
      <c r="AV577" t="s">
        <v>155</v>
      </c>
      <c r="AW577" t="s">
        <v>156</v>
      </c>
      <c r="AY577" t="s">
        <v>129</v>
      </c>
      <c r="AZ577">
        <v>36847.32</v>
      </c>
      <c r="BC577">
        <v>97.403000000000006</v>
      </c>
      <c r="BD577" t="s">
        <v>112</v>
      </c>
      <c r="BE577" t="s">
        <v>112</v>
      </c>
      <c r="BF577" t="s">
        <v>157</v>
      </c>
      <c r="BG577" t="s">
        <v>133</v>
      </c>
      <c r="BH577" t="s">
        <v>134</v>
      </c>
      <c r="BI577" t="s">
        <v>112</v>
      </c>
      <c r="BJ577" t="s">
        <v>112</v>
      </c>
      <c r="BK577" t="s">
        <v>112</v>
      </c>
      <c r="BL577" t="s">
        <v>158</v>
      </c>
      <c r="BM577" t="s">
        <v>159</v>
      </c>
      <c r="BN577" t="s">
        <v>212</v>
      </c>
      <c r="BO577" t="s">
        <v>161</v>
      </c>
      <c r="BQ577" t="s">
        <v>213</v>
      </c>
      <c r="BR577" s="45">
        <f>ISNUMBER(SEARCH($BR$1,Таблица1[[#This Row],[31_1 Описание и характеристика товара]]))*1</f>
        <v>1</v>
      </c>
      <c r="BT577" t="s">
        <v>150</v>
      </c>
      <c r="BU577">
        <v>33</v>
      </c>
      <c r="BV577">
        <v>0</v>
      </c>
      <c r="BW577">
        <v>0</v>
      </c>
      <c r="BY577">
        <v>0</v>
      </c>
      <c r="CA577" t="s">
        <v>106</v>
      </c>
      <c r="CB577" t="s">
        <v>142</v>
      </c>
      <c r="CC577" t="s">
        <v>112</v>
      </c>
      <c r="CD577" t="s">
        <v>112</v>
      </c>
      <c r="CE577" t="s">
        <v>121</v>
      </c>
      <c r="CF577">
        <v>16718.8</v>
      </c>
      <c r="CG577" t="s">
        <v>144</v>
      </c>
      <c r="CH577">
        <v>4000000</v>
      </c>
      <c r="CI577">
        <v>16589.2</v>
      </c>
      <c r="CJ577">
        <v>0</v>
      </c>
      <c r="CK577" t="s">
        <v>112</v>
      </c>
      <c r="CL577" t="s">
        <v>112</v>
      </c>
      <c r="CM577">
        <v>36847.32</v>
      </c>
      <c r="CO577">
        <v>0</v>
      </c>
      <c r="CP577">
        <v>1</v>
      </c>
      <c r="CQ577">
        <v>3977677.48</v>
      </c>
      <c r="CR577">
        <v>44090.7</v>
      </c>
      <c r="CS577" t="s">
        <v>145</v>
      </c>
      <c r="CT577">
        <v>44127.272000000004</v>
      </c>
      <c r="CU577">
        <v>2.66</v>
      </c>
      <c r="CV577">
        <v>45</v>
      </c>
      <c r="CX577" t="s">
        <v>206</v>
      </c>
      <c r="CY577">
        <v>286</v>
      </c>
    </row>
    <row r="578" spans="1:103" x14ac:dyDescent="0.25">
      <c r="A578" t="s">
        <v>106</v>
      </c>
      <c r="B578" s="38">
        <v>45131</v>
      </c>
      <c r="C578" s="43">
        <f>IF(YEAR(Таблица1[[#This Row],[Дата]])=2023,MONTH(Таблица1[[#This Row],[Дата]]),0)</f>
        <v>7</v>
      </c>
      <c r="D578" t="s">
        <v>1508</v>
      </c>
      <c r="E578" t="s">
        <v>108</v>
      </c>
      <c r="F578" t="s">
        <v>1509</v>
      </c>
      <c r="G578" t="s">
        <v>3244</v>
      </c>
      <c r="H578" t="s">
        <v>111</v>
      </c>
      <c r="I578" t="s">
        <v>112</v>
      </c>
      <c r="J578" t="s">
        <v>112</v>
      </c>
      <c r="K578" t="s">
        <v>112</v>
      </c>
      <c r="L578" t="s">
        <v>150</v>
      </c>
      <c r="M578" t="s">
        <v>151</v>
      </c>
      <c r="N578" t="s">
        <v>112</v>
      </c>
      <c r="O578" t="s">
        <v>112</v>
      </c>
      <c r="P578">
        <v>1</v>
      </c>
      <c r="R578">
        <v>1</v>
      </c>
      <c r="S578">
        <v>33</v>
      </c>
      <c r="T578" t="s">
        <v>112</v>
      </c>
      <c r="U578" t="s">
        <v>152</v>
      </c>
      <c r="V578" t="s">
        <v>153</v>
      </c>
      <c r="W578" t="s">
        <v>154</v>
      </c>
      <c r="X578" t="s">
        <v>119</v>
      </c>
      <c r="Y578" t="s">
        <v>112</v>
      </c>
      <c r="Z578" t="s">
        <v>112</v>
      </c>
      <c r="AA578" t="s">
        <v>152</v>
      </c>
      <c r="AB578" t="s">
        <v>153</v>
      </c>
      <c r="AC578" t="s">
        <v>154</v>
      </c>
      <c r="AD578" t="s">
        <v>119</v>
      </c>
      <c r="AE578" t="s">
        <v>112</v>
      </c>
      <c r="AF578" t="s">
        <v>121</v>
      </c>
      <c r="AG578" t="s">
        <v>122</v>
      </c>
      <c r="AH578">
        <v>4409430.5199999996</v>
      </c>
      <c r="AI578" t="s">
        <v>112</v>
      </c>
      <c r="AJ578" t="s">
        <v>152</v>
      </c>
      <c r="AK578" t="s">
        <v>153</v>
      </c>
      <c r="AL578" t="s">
        <v>154</v>
      </c>
      <c r="AM578" t="s">
        <v>119</v>
      </c>
      <c r="AN578" t="s">
        <v>112</v>
      </c>
      <c r="AO578" t="s">
        <v>121</v>
      </c>
      <c r="AP578" t="s">
        <v>122</v>
      </c>
      <c r="AQ578" t="s">
        <v>122</v>
      </c>
      <c r="AR578" t="s">
        <v>124</v>
      </c>
      <c r="AS578" t="s">
        <v>125</v>
      </c>
      <c r="AT578">
        <v>2</v>
      </c>
      <c r="AU578" t="s">
        <v>126</v>
      </c>
      <c r="AV578" t="s">
        <v>155</v>
      </c>
      <c r="AW578" t="s">
        <v>156</v>
      </c>
      <c r="AY578" t="s">
        <v>129</v>
      </c>
      <c r="AZ578">
        <v>40859.800000000003</v>
      </c>
      <c r="BC578">
        <v>98.3155</v>
      </c>
      <c r="BD578" t="s">
        <v>112</v>
      </c>
      <c r="BE578" t="s">
        <v>112</v>
      </c>
      <c r="BF578" t="s">
        <v>157</v>
      </c>
      <c r="BG578" t="s">
        <v>133</v>
      </c>
      <c r="BH578" t="s">
        <v>134</v>
      </c>
      <c r="BI578" t="s">
        <v>112</v>
      </c>
      <c r="BJ578" t="s">
        <v>112</v>
      </c>
      <c r="BK578" t="s">
        <v>112</v>
      </c>
      <c r="BL578" t="s">
        <v>158</v>
      </c>
      <c r="BM578" t="s">
        <v>159</v>
      </c>
      <c r="BN578" t="s">
        <v>212</v>
      </c>
      <c r="BO578" t="s">
        <v>161</v>
      </c>
      <c r="BQ578" t="s">
        <v>232</v>
      </c>
      <c r="BR578" s="45">
        <f>ISNUMBER(SEARCH($BR$1,Таблица1[[#This Row],[31_1 Описание и характеристика товара]]))*1</f>
        <v>1</v>
      </c>
      <c r="BT578" t="s">
        <v>150</v>
      </c>
      <c r="BU578">
        <v>33</v>
      </c>
      <c r="BV578">
        <v>0</v>
      </c>
      <c r="BW578">
        <v>0</v>
      </c>
      <c r="BY578">
        <v>0</v>
      </c>
      <c r="CA578" t="s">
        <v>106</v>
      </c>
      <c r="CB578" t="s">
        <v>142</v>
      </c>
      <c r="CC578" t="s">
        <v>112</v>
      </c>
      <c r="CD578" t="s">
        <v>112</v>
      </c>
      <c r="CE578" t="s">
        <v>121</v>
      </c>
      <c r="CF578">
        <v>16974.78</v>
      </c>
      <c r="CG578" t="s">
        <v>144</v>
      </c>
      <c r="CH578">
        <v>4000000</v>
      </c>
      <c r="CI578">
        <v>16866.78</v>
      </c>
      <c r="CJ578">
        <v>0</v>
      </c>
      <c r="CK578" t="s">
        <v>112</v>
      </c>
      <c r="CL578" t="s">
        <v>112</v>
      </c>
      <c r="CM578">
        <v>40859.800000000003</v>
      </c>
      <c r="CO578">
        <v>0</v>
      </c>
      <c r="CP578">
        <v>1</v>
      </c>
      <c r="CQ578">
        <v>4409430.5199999996</v>
      </c>
      <c r="CR578">
        <v>47900.74</v>
      </c>
      <c r="CS578" t="s">
        <v>145</v>
      </c>
      <c r="CT578">
        <v>47901.655199999994</v>
      </c>
      <c r="CU578">
        <v>2.84</v>
      </c>
      <c r="CV578">
        <v>45</v>
      </c>
      <c r="CX578" t="s">
        <v>1140</v>
      </c>
      <c r="CY578">
        <v>15</v>
      </c>
    </row>
    <row r="579" spans="1:103" x14ac:dyDescent="0.25">
      <c r="A579" t="s">
        <v>106</v>
      </c>
      <c r="B579" s="38">
        <v>44731</v>
      </c>
      <c r="C579" s="43">
        <f>IF(YEAR(Таблица1[[#This Row],[Дата]])=2023,MONTH(Таблица1[[#This Row],[Дата]]),0)</f>
        <v>0</v>
      </c>
      <c r="D579" t="s">
        <v>1543</v>
      </c>
      <c r="E579" t="s">
        <v>108</v>
      </c>
      <c r="F579" t="s">
        <v>1544</v>
      </c>
      <c r="G579" t="s">
        <v>3244</v>
      </c>
      <c r="H579" t="s">
        <v>111</v>
      </c>
      <c r="I579" t="s">
        <v>112</v>
      </c>
      <c r="J579" t="s">
        <v>112</v>
      </c>
      <c r="K579" t="s">
        <v>112</v>
      </c>
      <c r="L579" t="s">
        <v>150</v>
      </c>
      <c r="M579" t="s">
        <v>151</v>
      </c>
      <c r="N579" t="s">
        <v>112</v>
      </c>
      <c r="O579" t="s">
        <v>112</v>
      </c>
      <c r="P579">
        <v>1</v>
      </c>
      <c r="R579">
        <v>1</v>
      </c>
      <c r="S579">
        <v>33</v>
      </c>
      <c r="T579" t="s">
        <v>112</v>
      </c>
      <c r="U579" t="s">
        <v>152</v>
      </c>
      <c r="V579" t="s">
        <v>153</v>
      </c>
      <c r="W579" t="s">
        <v>154</v>
      </c>
      <c r="X579" t="s">
        <v>119</v>
      </c>
      <c r="Y579" t="s">
        <v>112</v>
      </c>
      <c r="Z579" t="s">
        <v>112</v>
      </c>
      <c r="AA579" t="s">
        <v>152</v>
      </c>
      <c r="AB579" t="s">
        <v>153</v>
      </c>
      <c r="AC579" t="s">
        <v>154</v>
      </c>
      <c r="AD579" t="s">
        <v>119</v>
      </c>
      <c r="AE579" t="s">
        <v>112</v>
      </c>
      <c r="AF579" t="s">
        <v>121</v>
      </c>
      <c r="AG579" t="s">
        <v>122</v>
      </c>
      <c r="AH579">
        <v>4763985.7</v>
      </c>
      <c r="AI579" t="s">
        <v>112</v>
      </c>
      <c r="AJ579" t="s">
        <v>152</v>
      </c>
      <c r="AK579" t="s">
        <v>153</v>
      </c>
      <c r="AL579" t="s">
        <v>154</v>
      </c>
      <c r="AM579" t="s">
        <v>119</v>
      </c>
      <c r="AN579" t="s">
        <v>112</v>
      </c>
      <c r="AO579" t="s">
        <v>121</v>
      </c>
      <c r="AP579" t="s">
        <v>122</v>
      </c>
      <c r="AQ579" t="s">
        <v>122</v>
      </c>
      <c r="AR579" t="s">
        <v>124</v>
      </c>
      <c r="AS579" t="s">
        <v>125</v>
      </c>
      <c r="AT579">
        <v>2</v>
      </c>
      <c r="AU579" t="s">
        <v>126</v>
      </c>
      <c r="AV579" t="s">
        <v>155</v>
      </c>
      <c r="AW579" t="s">
        <v>156</v>
      </c>
      <c r="AY579" t="s">
        <v>129</v>
      </c>
      <c r="AZ579">
        <v>44466.1</v>
      </c>
      <c r="BC579">
        <v>98.3155</v>
      </c>
      <c r="BD579" t="s">
        <v>112</v>
      </c>
      <c r="BE579" t="s">
        <v>112</v>
      </c>
      <c r="BF579" t="s">
        <v>157</v>
      </c>
      <c r="BG579" t="s">
        <v>133</v>
      </c>
      <c r="BH579" t="s">
        <v>134</v>
      </c>
      <c r="BI579" t="s">
        <v>112</v>
      </c>
      <c r="BJ579" t="s">
        <v>112</v>
      </c>
      <c r="BK579" t="s">
        <v>112</v>
      </c>
      <c r="BL579" t="s">
        <v>158</v>
      </c>
      <c r="BM579" t="s">
        <v>159</v>
      </c>
      <c r="BN579" t="s">
        <v>212</v>
      </c>
      <c r="BO579" t="s">
        <v>161</v>
      </c>
      <c r="BQ579" t="s">
        <v>205</v>
      </c>
      <c r="BR579" s="45">
        <f>ISNUMBER(SEARCH($BR$1,Таблица1[[#This Row],[31_1 Описание и характеристика товара]]))*1</f>
        <v>1</v>
      </c>
      <c r="BT579" t="s">
        <v>150</v>
      </c>
      <c r="BU579">
        <v>33</v>
      </c>
      <c r="BV579">
        <v>0</v>
      </c>
      <c r="BW579">
        <v>0</v>
      </c>
      <c r="BY579">
        <v>0</v>
      </c>
      <c r="CA579" t="s">
        <v>106</v>
      </c>
      <c r="CB579" t="s">
        <v>142</v>
      </c>
      <c r="CC579" t="s">
        <v>112</v>
      </c>
      <c r="CD579" t="s">
        <v>112</v>
      </c>
      <c r="CE579" t="s">
        <v>121</v>
      </c>
      <c r="CF579">
        <v>17043.330000000002</v>
      </c>
      <c r="CG579" t="s">
        <v>144</v>
      </c>
      <c r="CH579">
        <v>4000000</v>
      </c>
      <c r="CI579">
        <v>16986.330000000002</v>
      </c>
      <c r="CJ579">
        <v>0</v>
      </c>
      <c r="CK579" t="s">
        <v>112</v>
      </c>
      <c r="CL579" t="s">
        <v>112</v>
      </c>
      <c r="CM579">
        <v>44466.1</v>
      </c>
      <c r="CO579">
        <v>0</v>
      </c>
      <c r="CP579">
        <v>1</v>
      </c>
      <c r="CQ579">
        <v>4763985.7</v>
      </c>
      <c r="CR579">
        <v>51752.36</v>
      </c>
      <c r="CS579" t="s">
        <v>145</v>
      </c>
      <c r="CT579">
        <v>51808.306499999999</v>
      </c>
      <c r="CU579">
        <v>3.05</v>
      </c>
      <c r="CV579">
        <v>45</v>
      </c>
      <c r="CX579" t="s">
        <v>729</v>
      </c>
      <c r="CY579">
        <v>180</v>
      </c>
    </row>
    <row r="580" spans="1:103" x14ac:dyDescent="0.25">
      <c r="A580" t="s">
        <v>106</v>
      </c>
      <c r="B580" s="38">
        <v>44608</v>
      </c>
      <c r="C580" s="43">
        <f>IF(YEAR(Таблица1[[#This Row],[Дата]])=2023,MONTH(Таблица1[[#This Row],[Дата]]),0)</f>
        <v>0</v>
      </c>
      <c r="D580" t="s">
        <v>1539</v>
      </c>
      <c r="E580" t="s">
        <v>108</v>
      </c>
      <c r="F580" t="s">
        <v>1540</v>
      </c>
      <c r="G580" t="s">
        <v>3244</v>
      </c>
      <c r="H580" t="s">
        <v>111</v>
      </c>
      <c r="I580" t="s">
        <v>112</v>
      </c>
      <c r="J580" t="s">
        <v>112</v>
      </c>
      <c r="K580" t="s">
        <v>112</v>
      </c>
      <c r="L580" t="s">
        <v>150</v>
      </c>
      <c r="M580" t="s">
        <v>151</v>
      </c>
      <c r="N580" t="s">
        <v>112</v>
      </c>
      <c r="O580" t="s">
        <v>112</v>
      </c>
      <c r="P580">
        <v>1</v>
      </c>
      <c r="R580">
        <v>1</v>
      </c>
      <c r="S580">
        <v>33</v>
      </c>
      <c r="T580" t="s">
        <v>112</v>
      </c>
      <c r="U580" t="s">
        <v>152</v>
      </c>
      <c r="V580" t="s">
        <v>153</v>
      </c>
      <c r="W580" t="s">
        <v>154</v>
      </c>
      <c r="X580" t="s">
        <v>119</v>
      </c>
      <c r="Y580" t="s">
        <v>112</v>
      </c>
      <c r="Z580" t="s">
        <v>112</v>
      </c>
      <c r="AA580" t="s">
        <v>152</v>
      </c>
      <c r="AB580" t="s">
        <v>153</v>
      </c>
      <c r="AC580" t="s">
        <v>154</v>
      </c>
      <c r="AD580" t="s">
        <v>119</v>
      </c>
      <c r="AE580" t="s">
        <v>112</v>
      </c>
      <c r="AF580" t="s">
        <v>121</v>
      </c>
      <c r="AG580" t="s">
        <v>122</v>
      </c>
      <c r="AH580">
        <v>5091720.42</v>
      </c>
      <c r="AI580" t="s">
        <v>112</v>
      </c>
      <c r="AJ580" t="s">
        <v>152</v>
      </c>
      <c r="AK580" t="s">
        <v>153</v>
      </c>
      <c r="AL580" t="s">
        <v>154</v>
      </c>
      <c r="AM580" t="s">
        <v>119</v>
      </c>
      <c r="AN580" t="s">
        <v>112</v>
      </c>
      <c r="AO580" t="s">
        <v>121</v>
      </c>
      <c r="AP580" t="s">
        <v>122</v>
      </c>
      <c r="AQ580" t="s">
        <v>122</v>
      </c>
      <c r="AR580" t="s">
        <v>124</v>
      </c>
      <c r="AS580" t="s">
        <v>125</v>
      </c>
      <c r="AT580">
        <v>2</v>
      </c>
      <c r="AU580" t="s">
        <v>126</v>
      </c>
      <c r="AV580" t="s">
        <v>155</v>
      </c>
      <c r="AW580" t="s">
        <v>156</v>
      </c>
      <c r="AY580" t="s">
        <v>129</v>
      </c>
      <c r="AZ580">
        <v>47799.6</v>
      </c>
      <c r="BC580">
        <v>98.3155</v>
      </c>
      <c r="BD580" t="s">
        <v>112</v>
      </c>
      <c r="BE580" t="s">
        <v>112</v>
      </c>
      <c r="BF580" t="s">
        <v>157</v>
      </c>
      <c r="BG580" t="s">
        <v>133</v>
      </c>
      <c r="BH580" t="s">
        <v>134</v>
      </c>
      <c r="BI580" t="s">
        <v>112</v>
      </c>
      <c r="BJ580" t="s">
        <v>112</v>
      </c>
      <c r="BK580" t="s">
        <v>112</v>
      </c>
      <c r="BL580" t="s">
        <v>158</v>
      </c>
      <c r="BM580" t="s">
        <v>159</v>
      </c>
      <c r="BN580" t="s">
        <v>212</v>
      </c>
      <c r="BO580" t="s">
        <v>161</v>
      </c>
      <c r="BQ580" t="s">
        <v>162</v>
      </c>
      <c r="BR580" s="45">
        <f>ISNUMBER(SEARCH($BR$1,Таблица1[[#This Row],[31_1 Описание и характеристика товара]]))*1</f>
        <v>1</v>
      </c>
      <c r="BT580" t="s">
        <v>150</v>
      </c>
      <c r="BU580">
        <v>33</v>
      </c>
      <c r="BV580">
        <v>0</v>
      </c>
      <c r="BW580">
        <v>0</v>
      </c>
      <c r="BY580">
        <v>0</v>
      </c>
      <c r="CA580" t="s">
        <v>106</v>
      </c>
      <c r="CB580" t="s">
        <v>142</v>
      </c>
      <c r="CC580" t="s">
        <v>112</v>
      </c>
      <c r="CD580" t="s">
        <v>112</v>
      </c>
      <c r="CE580" t="s">
        <v>121</v>
      </c>
      <c r="CF580">
        <v>16412.16</v>
      </c>
      <c r="CG580" t="s">
        <v>144</v>
      </c>
      <c r="CH580">
        <v>4000000</v>
      </c>
      <c r="CI580">
        <v>16412.16</v>
      </c>
      <c r="CJ580">
        <v>0</v>
      </c>
      <c r="CK580" t="s">
        <v>112</v>
      </c>
      <c r="CL580" t="s">
        <v>112</v>
      </c>
      <c r="CM580">
        <v>47799.6</v>
      </c>
      <c r="CO580">
        <v>0</v>
      </c>
      <c r="CP580">
        <v>1</v>
      </c>
      <c r="CQ580">
        <v>5091720.42</v>
      </c>
      <c r="CR580">
        <v>55312.62</v>
      </c>
      <c r="CS580" t="s">
        <v>145</v>
      </c>
      <c r="CT580">
        <v>55308.979200000002</v>
      </c>
      <c r="CU580">
        <v>3.37</v>
      </c>
      <c r="CV580">
        <v>45</v>
      </c>
      <c r="CX580" t="s">
        <v>163</v>
      </c>
      <c r="CY580">
        <v>152</v>
      </c>
    </row>
    <row r="581" spans="1:103" x14ac:dyDescent="0.25">
      <c r="A581" t="s">
        <v>106</v>
      </c>
      <c r="B581" s="38">
        <v>45106</v>
      </c>
      <c r="C581" s="43">
        <f>IF(YEAR(Таблица1[[#This Row],[Дата]])=2023,MONTH(Таблица1[[#This Row],[Дата]]),0)</f>
        <v>6</v>
      </c>
      <c r="D581" t="s">
        <v>2128</v>
      </c>
      <c r="E581" t="s">
        <v>108</v>
      </c>
      <c r="F581" t="s">
        <v>2129</v>
      </c>
      <c r="G581" t="s">
        <v>3244</v>
      </c>
      <c r="H581" t="s">
        <v>111</v>
      </c>
      <c r="I581" t="s">
        <v>112</v>
      </c>
      <c r="J581" t="s">
        <v>112</v>
      </c>
      <c r="K581" t="s">
        <v>112</v>
      </c>
      <c r="L581" t="s">
        <v>150</v>
      </c>
      <c r="M581" t="s">
        <v>151</v>
      </c>
      <c r="N581" t="s">
        <v>112</v>
      </c>
      <c r="O581" t="s">
        <v>112</v>
      </c>
      <c r="P581">
        <v>1</v>
      </c>
      <c r="R581">
        <v>1</v>
      </c>
      <c r="S581">
        <v>33</v>
      </c>
      <c r="T581" t="s">
        <v>112</v>
      </c>
      <c r="U581" t="s">
        <v>152</v>
      </c>
      <c r="V581" t="s">
        <v>153</v>
      </c>
      <c r="W581" t="s">
        <v>154</v>
      </c>
      <c r="X581" t="s">
        <v>119</v>
      </c>
      <c r="Y581" t="s">
        <v>112</v>
      </c>
      <c r="Z581" t="s">
        <v>112</v>
      </c>
      <c r="AA581" t="s">
        <v>152</v>
      </c>
      <c r="AB581" t="s">
        <v>153</v>
      </c>
      <c r="AC581" t="s">
        <v>154</v>
      </c>
      <c r="AD581" t="s">
        <v>119</v>
      </c>
      <c r="AE581" t="s">
        <v>112</v>
      </c>
      <c r="AF581" t="s">
        <v>121</v>
      </c>
      <c r="AG581" t="s">
        <v>122</v>
      </c>
      <c r="AH581">
        <v>5500152.5499999998</v>
      </c>
      <c r="AI581" t="s">
        <v>112</v>
      </c>
      <c r="AJ581" t="s">
        <v>152</v>
      </c>
      <c r="AK581" t="s">
        <v>153</v>
      </c>
      <c r="AL581" t="s">
        <v>154</v>
      </c>
      <c r="AM581" t="s">
        <v>119</v>
      </c>
      <c r="AN581" t="s">
        <v>112</v>
      </c>
      <c r="AO581" t="s">
        <v>121</v>
      </c>
      <c r="AP581" t="s">
        <v>122</v>
      </c>
      <c r="AQ581" t="s">
        <v>122</v>
      </c>
      <c r="AR581" t="s">
        <v>124</v>
      </c>
      <c r="AS581" t="s">
        <v>125</v>
      </c>
      <c r="AT581">
        <v>2</v>
      </c>
      <c r="AU581" t="s">
        <v>126</v>
      </c>
      <c r="AV581" t="s">
        <v>155</v>
      </c>
      <c r="AW581" t="s">
        <v>156</v>
      </c>
      <c r="AY581" t="s">
        <v>129</v>
      </c>
      <c r="AZ581">
        <v>49391.4</v>
      </c>
      <c r="BC581">
        <v>103.035</v>
      </c>
      <c r="BD581" t="s">
        <v>112</v>
      </c>
      <c r="BE581" t="s">
        <v>112</v>
      </c>
      <c r="BF581" t="s">
        <v>157</v>
      </c>
      <c r="BG581" t="s">
        <v>133</v>
      </c>
      <c r="BH581" t="s">
        <v>134</v>
      </c>
      <c r="BI581" t="s">
        <v>112</v>
      </c>
      <c r="BJ581" t="s">
        <v>112</v>
      </c>
      <c r="BK581" t="s">
        <v>112</v>
      </c>
      <c r="BL581" t="s">
        <v>158</v>
      </c>
      <c r="BM581" t="s">
        <v>159</v>
      </c>
      <c r="BN581" t="s">
        <v>212</v>
      </c>
      <c r="BO581" t="s">
        <v>161</v>
      </c>
      <c r="BQ581" t="s">
        <v>205</v>
      </c>
      <c r="BR581" s="45">
        <f>ISNUMBER(SEARCH($BR$1,Таблица1[[#This Row],[31_1 Описание и характеристика товара]]))*1</f>
        <v>1</v>
      </c>
      <c r="BT581" t="s">
        <v>150</v>
      </c>
      <c r="BU581">
        <v>33</v>
      </c>
      <c r="BV581">
        <v>0</v>
      </c>
      <c r="BW581">
        <v>0</v>
      </c>
      <c r="BY581">
        <v>0</v>
      </c>
      <c r="CA581" t="s">
        <v>106</v>
      </c>
      <c r="CB581" t="s">
        <v>142</v>
      </c>
      <c r="CC581" t="s">
        <v>112</v>
      </c>
      <c r="CD581" t="s">
        <v>112</v>
      </c>
      <c r="CE581" t="s">
        <v>121</v>
      </c>
      <c r="CF581">
        <v>16552.560000000001</v>
      </c>
      <c r="CG581" t="s">
        <v>144</v>
      </c>
      <c r="CH581">
        <v>4000000</v>
      </c>
      <c r="CI581">
        <v>16444.560000000001</v>
      </c>
      <c r="CJ581">
        <v>0</v>
      </c>
      <c r="CK581" t="s">
        <v>112</v>
      </c>
      <c r="CL581" t="s">
        <v>112</v>
      </c>
      <c r="CM581">
        <v>49391.4</v>
      </c>
      <c r="CO581">
        <v>0</v>
      </c>
      <c r="CP581">
        <v>1</v>
      </c>
      <c r="CQ581">
        <v>5500152.5499999998</v>
      </c>
      <c r="CR581">
        <v>56705.64</v>
      </c>
      <c r="CS581" t="s">
        <v>145</v>
      </c>
      <c r="CT581">
        <v>56733.732000000011</v>
      </c>
      <c r="CU581">
        <v>3.45</v>
      </c>
      <c r="CV581">
        <v>45</v>
      </c>
      <c r="CX581" t="s">
        <v>206</v>
      </c>
      <c r="CY581">
        <v>597</v>
      </c>
    </row>
    <row r="582" spans="1:103" x14ac:dyDescent="0.25">
      <c r="A582" t="s">
        <v>106</v>
      </c>
      <c r="B582" s="38">
        <v>44819</v>
      </c>
      <c r="C582" s="43">
        <f>IF(YEAR(Таблица1[[#This Row],[Дата]])=2023,MONTH(Таблица1[[#This Row],[Дата]]),0)</f>
        <v>0</v>
      </c>
      <c r="D582" t="s">
        <v>2128</v>
      </c>
      <c r="E582" t="s">
        <v>108</v>
      </c>
      <c r="F582" t="s">
        <v>2129</v>
      </c>
      <c r="G582" t="s">
        <v>3244</v>
      </c>
      <c r="H582" t="s">
        <v>111</v>
      </c>
      <c r="I582" t="s">
        <v>112</v>
      </c>
      <c r="J582" t="s">
        <v>112</v>
      </c>
      <c r="K582" t="s">
        <v>112</v>
      </c>
      <c r="L582" t="s">
        <v>150</v>
      </c>
      <c r="M582" t="s">
        <v>151</v>
      </c>
      <c r="N582" t="s">
        <v>112</v>
      </c>
      <c r="O582" t="s">
        <v>112</v>
      </c>
      <c r="P582">
        <v>1</v>
      </c>
      <c r="R582">
        <v>1</v>
      </c>
      <c r="S582">
        <v>33</v>
      </c>
      <c r="T582" t="s">
        <v>112</v>
      </c>
      <c r="U582" t="s">
        <v>152</v>
      </c>
      <c r="V582" t="s">
        <v>153</v>
      </c>
      <c r="W582" t="s">
        <v>154</v>
      </c>
      <c r="X582" t="s">
        <v>119</v>
      </c>
      <c r="Y582" t="s">
        <v>112</v>
      </c>
      <c r="Z582" t="s">
        <v>112</v>
      </c>
      <c r="AA582" t="s">
        <v>152</v>
      </c>
      <c r="AB582" t="s">
        <v>153</v>
      </c>
      <c r="AC582" t="s">
        <v>154</v>
      </c>
      <c r="AD582" t="s">
        <v>119</v>
      </c>
      <c r="AE582" t="s">
        <v>112</v>
      </c>
      <c r="AF582" t="s">
        <v>121</v>
      </c>
      <c r="AG582" t="s">
        <v>122</v>
      </c>
      <c r="AH582">
        <v>5500152.5499999998</v>
      </c>
      <c r="AI582" t="s">
        <v>112</v>
      </c>
      <c r="AJ582" t="s">
        <v>152</v>
      </c>
      <c r="AK582" t="s">
        <v>153</v>
      </c>
      <c r="AL582" t="s">
        <v>154</v>
      </c>
      <c r="AM582" t="s">
        <v>119</v>
      </c>
      <c r="AN582" t="s">
        <v>112</v>
      </c>
      <c r="AO582" t="s">
        <v>121</v>
      </c>
      <c r="AP582" t="s">
        <v>122</v>
      </c>
      <c r="AQ582" t="s">
        <v>122</v>
      </c>
      <c r="AR582" t="s">
        <v>124</v>
      </c>
      <c r="AS582" t="s">
        <v>125</v>
      </c>
      <c r="AT582">
        <v>2</v>
      </c>
      <c r="AU582" t="s">
        <v>126</v>
      </c>
      <c r="AV582" t="s">
        <v>155</v>
      </c>
      <c r="AW582" t="s">
        <v>156</v>
      </c>
      <c r="AY582" t="s">
        <v>129</v>
      </c>
      <c r="AZ582">
        <v>49391.4</v>
      </c>
      <c r="BC582">
        <v>103.035</v>
      </c>
      <c r="BD582" t="s">
        <v>112</v>
      </c>
      <c r="BE582" t="s">
        <v>112</v>
      </c>
      <c r="BF582" t="s">
        <v>157</v>
      </c>
      <c r="BG582" t="s">
        <v>133</v>
      </c>
      <c r="BH582" t="s">
        <v>134</v>
      </c>
      <c r="BI582" t="s">
        <v>112</v>
      </c>
      <c r="BJ582" t="s">
        <v>112</v>
      </c>
      <c r="BK582" t="s">
        <v>112</v>
      </c>
      <c r="BL582" t="s">
        <v>158</v>
      </c>
      <c r="BM582" t="s">
        <v>159</v>
      </c>
      <c r="BN582" t="s">
        <v>212</v>
      </c>
      <c r="BO582" t="s">
        <v>161</v>
      </c>
      <c r="BQ582" t="s">
        <v>205</v>
      </c>
      <c r="BR582" s="45">
        <f>ISNUMBER(SEARCH($BR$1,Таблица1[[#This Row],[31_1 Описание и характеристика товара]]))*1</f>
        <v>1</v>
      </c>
      <c r="BT582" t="s">
        <v>150</v>
      </c>
      <c r="BU582">
        <v>33</v>
      </c>
      <c r="BV582">
        <v>0</v>
      </c>
      <c r="BW582">
        <v>0</v>
      </c>
      <c r="BY582">
        <v>0</v>
      </c>
      <c r="CA582" t="s">
        <v>106</v>
      </c>
      <c r="CB582" t="s">
        <v>142</v>
      </c>
      <c r="CC582" t="s">
        <v>112</v>
      </c>
      <c r="CD582" t="s">
        <v>112</v>
      </c>
      <c r="CE582" t="s">
        <v>121</v>
      </c>
      <c r="CF582">
        <v>16552.560000000001</v>
      </c>
      <c r="CG582" t="s">
        <v>144</v>
      </c>
      <c r="CH582">
        <v>4000000</v>
      </c>
      <c r="CI582">
        <v>16444.560000000001</v>
      </c>
      <c r="CJ582">
        <v>0</v>
      </c>
      <c r="CK582" t="s">
        <v>112</v>
      </c>
      <c r="CL582" t="s">
        <v>112</v>
      </c>
      <c r="CM582">
        <v>49391.4</v>
      </c>
      <c r="CO582">
        <v>0</v>
      </c>
      <c r="CP582">
        <v>1</v>
      </c>
      <c r="CQ582">
        <v>5500152.5499999998</v>
      </c>
      <c r="CR582">
        <v>56705.64</v>
      </c>
      <c r="CS582" t="s">
        <v>145</v>
      </c>
      <c r="CT582">
        <v>56733.732000000011</v>
      </c>
      <c r="CU582">
        <v>3.45</v>
      </c>
      <c r="CV582">
        <v>45</v>
      </c>
      <c r="CX582" t="s">
        <v>206</v>
      </c>
      <c r="CY582">
        <v>597</v>
      </c>
    </row>
    <row r="583" spans="1:103" x14ac:dyDescent="0.25">
      <c r="A583" t="s">
        <v>106</v>
      </c>
      <c r="B583" s="38">
        <v>45237</v>
      </c>
      <c r="C583" s="43">
        <f>IF(YEAR(Таблица1[[#This Row],[Дата]])=2023,MONTH(Таблица1[[#This Row],[Дата]]),0)</f>
        <v>11</v>
      </c>
      <c r="D583" t="s">
        <v>1918</v>
      </c>
      <c r="E583" t="s">
        <v>108</v>
      </c>
      <c r="F583" t="s">
        <v>1919</v>
      </c>
      <c r="G583" t="s">
        <v>3244</v>
      </c>
      <c r="H583" t="s">
        <v>111</v>
      </c>
      <c r="I583" t="s">
        <v>112</v>
      </c>
      <c r="J583" t="s">
        <v>112</v>
      </c>
      <c r="K583" t="s">
        <v>112</v>
      </c>
      <c r="L583" t="s">
        <v>150</v>
      </c>
      <c r="M583" t="s">
        <v>151</v>
      </c>
      <c r="N583" t="s">
        <v>112</v>
      </c>
      <c r="O583" t="s">
        <v>112</v>
      </c>
      <c r="P583">
        <v>1</v>
      </c>
      <c r="R583">
        <v>1</v>
      </c>
      <c r="S583">
        <v>33</v>
      </c>
      <c r="T583" t="s">
        <v>112</v>
      </c>
      <c r="U583" t="s">
        <v>1704</v>
      </c>
      <c r="V583" t="s">
        <v>153</v>
      </c>
      <c r="W583" t="s">
        <v>154</v>
      </c>
      <c r="X583" t="s">
        <v>119</v>
      </c>
      <c r="Y583" t="s">
        <v>112</v>
      </c>
      <c r="Z583" t="s">
        <v>112</v>
      </c>
      <c r="AA583" t="s">
        <v>152</v>
      </c>
      <c r="AB583" t="s">
        <v>153</v>
      </c>
      <c r="AC583" t="s">
        <v>154</v>
      </c>
      <c r="AD583" t="s">
        <v>119</v>
      </c>
      <c r="AE583" t="s">
        <v>112</v>
      </c>
      <c r="AF583" t="s">
        <v>121</v>
      </c>
      <c r="AG583" t="s">
        <v>122</v>
      </c>
      <c r="AH583">
        <v>4707995.55</v>
      </c>
      <c r="AI583" t="s">
        <v>112</v>
      </c>
      <c r="AJ583" t="s">
        <v>152</v>
      </c>
      <c r="AK583" t="s">
        <v>153</v>
      </c>
      <c r="AL583" t="s">
        <v>154</v>
      </c>
      <c r="AM583" t="s">
        <v>119</v>
      </c>
      <c r="AN583" t="s">
        <v>112</v>
      </c>
      <c r="AO583" t="s">
        <v>121</v>
      </c>
      <c r="AP583" t="s">
        <v>122</v>
      </c>
      <c r="AQ583" t="s">
        <v>122</v>
      </c>
      <c r="AR583" t="s">
        <v>124</v>
      </c>
      <c r="AS583" t="s">
        <v>125</v>
      </c>
      <c r="AT583">
        <v>2</v>
      </c>
      <c r="AU583" t="s">
        <v>126</v>
      </c>
      <c r="AV583" t="s">
        <v>155</v>
      </c>
      <c r="AW583" t="s">
        <v>156</v>
      </c>
      <c r="AY583" t="s">
        <v>129</v>
      </c>
      <c r="AZ583">
        <v>41524.69</v>
      </c>
      <c r="BC583">
        <v>101.5646</v>
      </c>
      <c r="BD583" t="s">
        <v>112</v>
      </c>
      <c r="BE583" t="s">
        <v>112</v>
      </c>
      <c r="BF583" t="s">
        <v>157</v>
      </c>
      <c r="BG583" t="s">
        <v>133</v>
      </c>
      <c r="BH583" t="s">
        <v>134</v>
      </c>
      <c r="BI583" t="s">
        <v>112</v>
      </c>
      <c r="BJ583" t="s">
        <v>112</v>
      </c>
      <c r="BK583" t="s">
        <v>112</v>
      </c>
      <c r="BL583" t="s">
        <v>169</v>
      </c>
      <c r="BM583" t="s">
        <v>159</v>
      </c>
      <c r="BN583" t="s">
        <v>212</v>
      </c>
      <c r="BO583" t="s">
        <v>161</v>
      </c>
      <c r="BQ583" t="s">
        <v>232</v>
      </c>
      <c r="BR583" s="45">
        <f>ISNUMBER(SEARCH($BR$1,Таблица1[[#This Row],[31_1 Описание и характеристика товара]]))*1</f>
        <v>1</v>
      </c>
      <c r="BT583" t="s">
        <v>150</v>
      </c>
      <c r="BU583">
        <v>33</v>
      </c>
      <c r="CA583" t="s">
        <v>106</v>
      </c>
      <c r="CB583" t="s">
        <v>142</v>
      </c>
      <c r="CC583" t="s">
        <v>112</v>
      </c>
      <c r="CD583" t="s">
        <v>112</v>
      </c>
      <c r="CE583" t="s">
        <v>121</v>
      </c>
      <c r="CF583">
        <v>16417.71</v>
      </c>
      <c r="CG583" t="s">
        <v>144</v>
      </c>
      <c r="CH583">
        <v>4000000</v>
      </c>
      <c r="CI583">
        <v>16252.11</v>
      </c>
      <c r="CK583" t="s">
        <v>112</v>
      </c>
      <c r="CL583" t="s">
        <v>112</v>
      </c>
      <c r="CM583">
        <v>41524.69</v>
      </c>
      <c r="CO583">
        <v>0</v>
      </c>
      <c r="CP583">
        <v>1</v>
      </c>
      <c r="CQ583">
        <v>4707995.55</v>
      </c>
      <c r="CR583">
        <v>49713</v>
      </c>
      <c r="CS583" t="s">
        <v>145</v>
      </c>
      <c r="CT583">
        <v>49731.456600000005</v>
      </c>
      <c r="CU583">
        <v>3.06</v>
      </c>
      <c r="CV583">
        <v>45</v>
      </c>
      <c r="CX583" t="s">
        <v>163</v>
      </c>
    </row>
    <row r="584" spans="1:103" x14ac:dyDescent="0.25">
      <c r="A584" t="s">
        <v>106</v>
      </c>
      <c r="B584" s="38">
        <v>45148</v>
      </c>
      <c r="C584" s="43">
        <f>IF(YEAR(Таблица1[[#This Row],[Дата]])=2023,MONTH(Таблица1[[#This Row],[Дата]]),0)</f>
        <v>8</v>
      </c>
      <c r="D584" t="s">
        <v>1990</v>
      </c>
      <c r="E584" t="s">
        <v>108</v>
      </c>
      <c r="F584" t="s">
        <v>1991</v>
      </c>
      <c r="G584" t="s">
        <v>3244</v>
      </c>
      <c r="H584" t="s">
        <v>111</v>
      </c>
      <c r="I584" t="s">
        <v>112</v>
      </c>
      <c r="J584" t="s">
        <v>112</v>
      </c>
      <c r="K584" t="s">
        <v>112</v>
      </c>
      <c r="L584" t="s">
        <v>150</v>
      </c>
      <c r="M584" t="s">
        <v>151</v>
      </c>
      <c r="N584" t="s">
        <v>112</v>
      </c>
      <c r="O584" t="s">
        <v>112</v>
      </c>
      <c r="P584">
        <v>1</v>
      </c>
      <c r="R584">
        <v>1</v>
      </c>
      <c r="S584">
        <v>33</v>
      </c>
      <c r="T584" t="s">
        <v>112</v>
      </c>
      <c r="U584" t="s">
        <v>1704</v>
      </c>
      <c r="V584" t="s">
        <v>153</v>
      </c>
      <c r="W584" t="s">
        <v>154</v>
      </c>
      <c r="X584" t="s">
        <v>119</v>
      </c>
      <c r="Y584" t="s">
        <v>112</v>
      </c>
      <c r="Z584" t="s">
        <v>112</v>
      </c>
      <c r="AA584" t="s">
        <v>152</v>
      </c>
      <c r="AB584" t="s">
        <v>153</v>
      </c>
      <c r="AC584" t="s">
        <v>154</v>
      </c>
      <c r="AD584" t="s">
        <v>119</v>
      </c>
      <c r="AE584" t="s">
        <v>112</v>
      </c>
      <c r="AF584" t="s">
        <v>121</v>
      </c>
      <c r="AG584" t="s">
        <v>122</v>
      </c>
      <c r="AH584">
        <v>4031509.3</v>
      </c>
      <c r="AI584" t="s">
        <v>112</v>
      </c>
      <c r="AJ584" t="s">
        <v>152</v>
      </c>
      <c r="AK584" t="s">
        <v>153</v>
      </c>
      <c r="AL584" t="s">
        <v>154</v>
      </c>
      <c r="AM584" t="s">
        <v>119</v>
      </c>
      <c r="AN584" t="s">
        <v>112</v>
      </c>
      <c r="AO584" t="s">
        <v>121</v>
      </c>
      <c r="AP584" t="s">
        <v>122</v>
      </c>
      <c r="AQ584" t="s">
        <v>122</v>
      </c>
      <c r="AR584" t="s">
        <v>124</v>
      </c>
      <c r="AS584" t="s">
        <v>125</v>
      </c>
      <c r="AT584">
        <v>2</v>
      </c>
      <c r="AU584" t="s">
        <v>126</v>
      </c>
      <c r="AV584" t="s">
        <v>155</v>
      </c>
      <c r="AW584" t="s">
        <v>156</v>
      </c>
      <c r="AY584" t="s">
        <v>129</v>
      </c>
      <c r="AZ584">
        <v>35564.04</v>
      </c>
      <c r="BC584">
        <v>101.5646</v>
      </c>
      <c r="BD584" t="s">
        <v>112</v>
      </c>
      <c r="BE584" t="s">
        <v>112</v>
      </c>
      <c r="BF584" t="s">
        <v>157</v>
      </c>
      <c r="BG584" t="s">
        <v>133</v>
      </c>
      <c r="BH584" t="s">
        <v>167</v>
      </c>
      <c r="BI584" t="s">
        <v>112</v>
      </c>
      <c r="BJ584" t="s">
        <v>112</v>
      </c>
      <c r="BK584" t="s">
        <v>112</v>
      </c>
      <c r="BL584" t="s">
        <v>169</v>
      </c>
      <c r="BM584" t="s">
        <v>159</v>
      </c>
      <c r="BN584" t="s">
        <v>160</v>
      </c>
      <c r="BO584" t="s">
        <v>161</v>
      </c>
      <c r="BQ584" t="s">
        <v>213</v>
      </c>
      <c r="BR584" s="45">
        <f>ISNUMBER(SEARCH($BR$1,Таблица1[[#This Row],[31_1 Описание и характеристика товара]]))*1</f>
        <v>1</v>
      </c>
      <c r="BT584" t="s">
        <v>150</v>
      </c>
      <c r="BU584">
        <v>33</v>
      </c>
      <c r="CA584" t="s">
        <v>106</v>
      </c>
      <c r="CB584" t="s">
        <v>142</v>
      </c>
      <c r="CC584" t="s">
        <v>112</v>
      </c>
      <c r="CD584" t="s">
        <v>112</v>
      </c>
      <c r="CE584" t="s">
        <v>121</v>
      </c>
      <c r="CF584">
        <v>16563.849999999999</v>
      </c>
      <c r="CG584" t="s">
        <v>144</v>
      </c>
      <c r="CH584">
        <v>4000000</v>
      </c>
      <c r="CI584">
        <v>16434.25</v>
      </c>
      <c r="CK584" t="s">
        <v>112</v>
      </c>
      <c r="CL584" t="s">
        <v>112</v>
      </c>
      <c r="CM584">
        <v>35564.04</v>
      </c>
      <c r="CO584">
        <v>0</v>
      </c>
      <c r="CP584">
        <v>1</v>
      </c>
      <c r="CQ584">
        <v>4031509.3</v>
      </c>
      <c r="CR584">
        <v>42569.8</v>
      </c>
      <c r="CS584" t="s">
        <v>145</v>
      </c>
      <c r="CT584">
        <v>42564.707499999997</v>
      </c>
      <c r="CU584">
        <v>2.59</v>
      </c>
      <c r="CV584">
        <v>45</v>
      </c>
      <c r="CX584" t="s">
        <v>1140</v>
      </c>
      <c r="CY584">
        <v>134</v>
      </c>
    </row>
    <row r="585" spans="1:103" x14ac:dyDescent="0.25">
      <c r="A585" t="s">
        <v>106</v>
      </c>
      <c r="B585" s="38">
        <v>45109</v>
      </c>
      <c r="C585" s="43">
        <f>IF(YEAR(Таблица1[[#This Row],[Дата]])=2023,MONTH(Таблица1[[#This Row],[Дата]]),0)</f>
        <v>7</v>
      </c>
      <c r="D585" t="s">
        <v>1990</v>
      </c>
      <c r="E585" t="s">
        <v>108</v>
      </c>
      <c r="F585" t="s">
        <v>1991</v>
      </c>
      <c r="G585" t="s">
        <v>3244</v>
      </c>
      <c r="H585" t="s">
        <v>111</v>
      </c>
      <c r="I585" t="s">
        <v>112</v>
      </c>
      <c r="J585" t="s">
        <v>112</v>
      </c>
      <c r="K585" t="s">
        <v>112</v>
      </c>
      <c r="L585" t="s">
        <v>150</v>
      </c>
      <c r="M585" t="s">
        <v>151</v>
      </c>
      <c r="N585" t="s">
        <v>112</v>
      </c>
      <c r="O585" t="s">
        <v>112</v>
      </c>
      <c r="P585">
        <v>1</v>
      </c>
      <c r="R585">
        <v>1</v>
      </c>
      <c r="S585">
        <v>33</v>
      </c>
      <c r="T585" t="s">
        <v>112</v>
      </c>
      <c r="U585" t="s">
        <v>1704</v>
      </c>
      <c r="V585" t="s">
        <v>153</v>
      </c>
      <c r="W585" t="s">
        <v>154</v>
      </c>
      <c r="X585" t="s">
        <v>119</v>
      </c>
      <c r="Y585" t="s">
        <v>112</v>
      </c>
      <c r="Z585" t="s">
        <v>112</v>
      </c>
      <c r="AA585" t="s">
        <v>152</v>
      </c>
      <c r="AB585" t="s">
        <v>153</v>
      </c>
      <c r="AC585" t="s">
        <v>154</v>
      </c>
      <c r="AD585" t="s">
        <v>119</v>
      </c>
      <c r="AE585" t="s">
        <v>112</v>
      </c>
      <c r="AF585" t="s">
        <v>121</v>
      </c>
      <c r="AG585" t="s">
        <v>122</v>
      </c>
      <c r="AH585">
        <v>4031509.3</v>
      </c>
      <c r="AI585" t="s">
        <v>112</v>
      </c>
      <c r="AJ585" t="s">
        <v>152</v>
      </c>
      <c r="AK585" t="s">
        <v>153</v>
      </c>
      <c r="AL585" t="s">
        <v>154</v>
      </c>
      <c r="AM585" t="s">
        <v>119</v>
      </c>
      <c r="AN585" t="s">
        <v>112</v>
      </c>
      <c r="AO585" t="s">
        <v>121</v>
      </c>
      <c r="AP585" t="s">
        <v>122</v>
      </c>
      <c r="AQ585" t="s">
        <v>122</v>
      </c>
      <c r="AR585" t="s">
        <v>124</v>
      </c>
      <c r="AS585" t="s">
        <v>125</v>
      </c>
      <c r="AT585">
        <v>2</v>
      </c>
      <c r="AU585" t="s">
        <v>126</v>
      </c>
      <c r="AV585" t="s">
        <v>155</v>
      </c>
      <c r="AW585" t="s">
        <v>156</v>
      </c>
      <c r="AY585" t="s">
        <v>129</v>
      </c>
      <c r="AZ585">
        <v>35564.04</v>
      </c>
      <c r="BC585">
        <v>101.5646</v>
      </c>
      <c r="BD585" t="s">
        <v>112</v>
      </c>
      <c r="BE585" t="s">
        <v>112</v>
      </c>
      <c r="BF585" t="s">
        <v>157</v>
      </c>
      <c r="BG585" t="s">
        <v>133</v>
      </c>
      <c r="BH585" t="s">
        <v>167</v>
      </c>
      <c r="BI585" t="s">
        <v>112</v>
      </c>
      <c r="BJ585" t="s">
        <v>112</v>
      </c>
      <c r="BK585" t="s">
        <v>112</v>
      </c>
      <c r="BL585" t="s">
        <v>169</v>
      </c>
      <c r="BM585" t="s">
        <v>159</v>
      </c>
      <c r="BN585" t="s">
        <v>160</v>
      </c>
      <c r="BO585" t="s">
        <v>161</v>
      </c>
      <c r="BQ585" t="s">
        <v>213</v>
      </c>
      <c r="BR585" s="45">
        <f>ISNUMBER(SEARCH($BR$1,Таблица1[[#This Row],[31_1 Описание и характеристика товара]]))*1</f>
        <v>1</v>
      </c>
      <c r="BT585" t="s">
        <v>150</v>
      </c>
      <c r="BU585">
        <v>33</v>
      </c>
      <c r="CA585" t="s">
        <v>106</v>
      </c>
      <c r="CB585" t="s">
        <v>142</v>
      </c>
      <c r="CC585" t="s">
        <v>112</v>
      </c>
      <c r="CD585" t="s">
        <v>112</v>
      </c>
      <c r="CE585" t="s">
        <v>121</v>
      </c>
      <c r="CF585">
        <v>16563.849999999999</v>
      </c>
      <c r="CG585" t="s">
        <v>144</v>
      </c>
      <c r="CH585">
        <v>4000000</v>
      </c>
      <c r="CI585">
        <v>16434.25</v>
      </c>
      <c r="CK585" t="s">
        <v>112</v>
      </c>
      <c r="CL585" t="s">
        <v>112</v>
      </c>
      <c r="CM585">
        <v>35564.04</v>
      </c>
      <c r="CO585">
        <v>0</v>
      </c>
      <c r="CP585">
        <v>1</v>
      </c>
      <c r="CQ585">
        <v>4031509.3</v>
      </c>
      <c r="CR585">
        <v>42569.8</v>
      </c>
      <c r="CS585" t="s">
        <v>145</v>
      </c>
      <c r="CT585">
        <v>42564.707499999997</v>
      </c>
      <c r="CU585">
        <v>2.59</v>
      </c>
      <c r="CV585">
        <v>45</v>
      </c>
      <c r="CX585" t="s">
        <v>1140</v>
      </c>
      <c r="CY585">
        <v>134</v>
      </c>
    </row>
    <row r="586" spans="1:103" x14ac:dyDescent="0.25">
      <c r="A586" t="s">
        <v>106</v>
      </c>
      <c r="B586" s="38">
        <v>44982</v>
      </c>
      <c r="C586" s="43">
        <f>IF(YEAR(Таблица1[[#This Row],[Дата]])=2023,MONTH(Таблица1[[#This Row],[Дата]]),0)</f>
        <v>2</v>
      </c>
      <c r="D586" t="s">
        <v>1988</v>
      </c>
      <c r="E586" t="s">
        <v>108</v>
      </c>
      <c r="F586" t="s">
        <v>1989</v>
      </c>
      <c r="G586" t="s">
        <v>3244</v>
      </c>
      <c r="H586" t="s">
        <v>111</v>
      </c>
      <c r="I586" t="s">
        <v>112</v>
      </c>
      <c r="J586" t="s">
        <v>112</v>
      </c>
      <c r="K586" t="s">
        <v>112</v>
      </c>
      <c r="L586" t="s">
        <v>150</v>
      </c>
      <c r="M586" t="s">
        <v>151</v>
      </c>
      <c r="N586" t="s">
        <v>112</v>
      </c>
      <c r="O586" t="s">
        <v>112</v>
      </c>
      <c r="P586">
        <v>1</v>
      </c>
      <c r="R586">
        <v>1</v>
      </c>
      <c r="S586">
        <v>33</v>
      </c>
      <c r="T586" t="s">
        <v>112</v>
      </c>
      <c r="U586" t="s">
        <v>1704</v>
      </c>
      <c r="V586" t="s">
        <v>153</v>
      </c>
      <c r="W586" t="s">
        <v>154</v>
      </c>
      <c r="X586" t="s">
        <v>119</v>
      </c>
      <c r="Y586" t="s">
        <v>112</v>
      </c>
      <c r="Z586" t="s">
        <v>112</v>
      </c>
      <c r="AA586" t="s">
        <v>152</v>
      </c>
      <c r="AB586" t="s">
        <v>153</v>
      </c>
      <c r="AC586" t="s">
        <v>154</v>
      </c>
      <c r="AD586" t="s">
        <v>119</v>
      </c>
      <c r="AE586" t="s">
        <v>112</v>
      </c>
      <c r="AF586" t="s">
        <v>121</v>
      </c>
      <c r="AG586" t="s">
        <v>122</v>
      </c>
      <c r="AH586">
        <v>5185600.03</v>
      </c>
      <c r="AI586" t="s">
        <v>112</v>
      </c>
      <c r="AJ586" t="s">
        <v>152</v>
      </c>
      <c r="AK586" t="s">
        <v>153</v>
      </c>
      <c r="AL586" t="s">
        <v>154</v>
      </c>
      <c r="AM586" t="s">
        <v>119</v>
      </c>
      <c r="AN586" t="s">
        <v>112</v>
      </c>
      <c r="AO586" t="s">
        <v>121</v>
      </c>
      <c r="AP586" t="s">
        <v>122</v>
      </c>
      <c r="AQ586" t="s">
        <v>122</v>
      </c>
      <c r="AR586" t="s">
        <v>124</v>
      </c>
      <c r="AS586" t="s">
        <v>125</v>
      </c>
      <c r="AT586">
        <v>2</v>
      </c>
      <c r="AU586" t="s">
        <v>126</v>
      </c>
      <c r="AV586" t="s">
        <v>155</v>
      </c>
      <c r="AW586" t="s">
        <v>156</v>
      </c>
      <c r="AY586" t="s">
        <v>129</v>
      </c>
      <c r="AZ586">
        <v>46927.16</v>
      </c>
      <c r="BC586">
        <v>101.5646</v>
      </c>
      <c r="BD586" t="s">
        <v>112</v>
      </c>
      <c r="BE586" t="s">
        <v>112</v>
      </c>
      <c r="BF586" t="s">
        <v>157</v>
      </c>
      <c r="BG586" t="s">
        <v>133</v>
      </c>
      <c r="BH586" t="s">
        <v>167</v>
      </c>
      <c r="BI586" t="s">
        <v>112</v>
      </c>
      <c r="BJ586" t="s">
        <v>112</v>
      </c>
      <c r="BK586" t="s">
        <v>112</v>
      </c>
      <c r="BL586" t="s">
        <v>169</v>
      </c>
      <c r="BM586" t="s">
        <v>159</v>
      </c>
      <c r="BN586" t="s">
        <v>160</v>
      </c>
      <c r="BO586" t="s">
        <v>161</v>
      </c>
      <c r="BQ586" t="s">
        <v>205</v>
      </c>
      <c r="BR586" s="45">
        <f>ISNUMBER(SEARCH($BR$1,Таблица1[[#This Row],[31_1 Описание и характеристика товара]]))*1</f>
        <v>1</v>
      </c>
      <c r="BT586" t="s">
        <v>150</v>
      </c>
      <c r="BU586">
        <v>33</v>
      </c>
      <c r="CA586" t="s">
        <v>106</v>
      </c>
      <c r="CB586" t="s">
        <v>142</v>
      </c>
      <c r="CC586" t="s">
        <v>112</v>
      </c>
      <c r="CD586" t="s">
        <v>112</v>
      </c>
      <c r="CE586" t="s">
        <v>121</v>
      </c>
      <c r="CF586">
        <v>16189.49</v>
      </c>
      <c r="CG586" t="s">
        <v>144</v>
      </c>
      <c r="CH586">
        <v>4000000</v>
      </c>
      <c r="CI586">
        <v>16081.49</v>
      </c>
      <c r="CK586" t="s">
        <v>112</v>
      </c>
      <c r="CL586" t="s">
        <v>112</v>
      </c>
      <c r="CM586">
        <v>46927.16</v>
      </c>
      <c r="CO586">
        <v>0</v>
      </c>
      <c r="CP586">
        <v>1</v>
      </c>
      <c r="CQ586">
        <v>5185600.03</v>
      </c>
      <c r="CR586">
        <v>54756.160000000003</v>
      </c>
      <c r="CS586" t="s">
        <v>145</v>
      </c>
      <c r="CT586">
        <v>54677.065999999999</v>
      </c>
      <c r="CU586">
        <v>3.4</v>
      </c>
      <c r="CV586">
        <v>45</v>
      </c>
      <c r="CX586" t="s">
        <v>233</v>
      </c>
      <c r="CY586">
        <v>365</v>
      </c>
    </row>
    <row r="587" spans="1:103" x14ac:dyDescent="0.25">
      <c r="A587" t="s">
        <v>106</v>
      </c>
      <c r="B587" s="38">
        <v>45279</v>
      </c>
      <c r="C587" s="43">
        <f>IF(YEAR(Таблица1[[#This Row],[Дата]])=2023,MONTH(Таблица1[[#This Row],[Дата]]),0)</f>
        <v>12</v>
      </c>
      <c r="D587" t="s">
        <v>1988</v>
      </c>
      <c r="E587" t="s">
        <v>108</v>
      </c>
      <c r="F587" t="s">
        <v>1989</v>
      </c>
      <c r="G587" t="s">
        <v>3244</v>
      </c>
      <c r="H587" t="s">
        <v>111</v>
      </c>
      <c r="I587" t="s">
        <v>112</v>
      </c>
      <c r="J587" t="s">
        <v>112</v>
      </c>
      <c r="K587" t="s">
        <v>112</v>
      </c>
      <c r="L587" t="s">
        <v>150</v>
      </c>
      <c r="M587" t="s">
        <v>151</v>
      </c>
      <c r="N587" t="s">
        <v>112</v>
      </c>
      <c r="O587" t="s">
        <v>112</v>
      </c>
      <c r="P587">
        <v>1</v>
      </c>
      <c r="R587">
        <v>1</v>
      </c>
      <c r="S587">
        <v>33</v>
      </c>
      <c r="T587" t="s">
        <v>112</v>
      </c>
      <c r="U587" t="s">
        <v>1704</v>
      </c>
      <c r="V587" t="s">
        <v>153</v>
      </c>
      <c r="W587" t="s">
        <v>154</v>
      </c>
      <c r="X587" t="s">
        <v>119</v>
      </c>
      <c r="Y587" t="s">
        <v>112</v>
      </c>
      <c r="Z587" t="s">
        <v>112</v>
      </c>
      <c r="AA587" t="s">
        <v>152</v>
      </c>
      <c r="AB587" t="s">
        <v>153</v>
      </c>
      <c r="AC587" t="s">
        <v>154</v>
      </c>
      <c r="AD587" t="s">
        <v>119</v>
      </c>
      <c r="AE587" t="s">
        <v>112</v>
      </c>
      <c r="AF587" t="s">
        <v>121</v>
      </c>
      <c r="AG587" t="s">
        <v>122</v>
      </c>
      <c r="AH587">
        <v>5185600.03</v>
      </c>
      <c r="AI587" t="s">
        <v>112</v>
      </c>
      <c r="AJ587" t="s">
        <v>152</v>
      </c>
      <c r="AK587" t="s">
        <v>153</v>
      </c>
      <c r="AL587" t="s">
        <v>154</v>
      </c>
      <c r="AM587" t="s">
        <v>119</v>
      </c>
      <c r="AN587" t="s">
        <v>112</v>
      </c>
      <c r="AO587" t="s">
        <v>121</v>
      </c>
      <c r="AP587" t="s">
        <v>122</v>
      </c>
      <c r="AQ587" t="s">
        <v>122</v>
      </c>
      <c r="AR587" t="s">
        <v>124</v>
      </c>
      <c r="AS587" t="s">
        <v>125</v>
      </c>
      <c r="AT587">
        <v>2</v>
      </c>
      <c r="AU587" t="s">
        <v>126</v>
      </c>
      <c r="AV587" t="s">
        <v>155</v>
      </c>
      <c r="AW587" t="s">
        <v>156</v>
      </c>
      <c r="AY587" t="s">
        <v>129</v>
      </c>
      <c r="AZ587">
        <v>46927.16</v>
      </c>
      <c r="BC587">
        <v>101.5646</v>
      </c>
      <c r="BD587" t="s">
        <v>112</v>
      </c>
      <c r="BE587" t="s">
        <v>112</v>
      </c>
      <c r="BF587" t="s">
        <v>157</v>
      </c>
      <c r="BG587" t="s">
        <v>133</v>
      </c>
      <c r="BH587" t="s">
        <v>167</v>
      </c>
      <c r="BI587" t="s">
        <v>112</v>
      </c>
      <c r="BJ587" t="s">
        <v>112</v>
      </c>
      <c r="BK587" t="s">
        <v>112</v>
      </c>
      <c r="BL587" t="s">
        <v>169</v>
      </c>
      <c r="BM587" t="s">
        <v>159</v>
      </c>
      <c r="BN587" t="s">
        <v>160</v>
      </c>
      <c r="BO587" t="s">
        <v>161</v>
      </c>
      <c r="BQ587" t="s">
        <v>205</v>
      </c>
      <c r="BR587" s="45">
        <f>ISNUMBER(SEARCH($BR$1,Таблица1[[#This Row],[31_1 Описание и характеристика товара]]))*1</f>
        <v>1</v>
      </c>
      <c r="BT587" t="s">
        <v>150</v>
      </c>
      <c r="BU587">
        <v>33</v>
      </c>
      <c r="CA587" t="s">
        <v>106</v>
      </c>
      <c r="CB587" t="s">
        <v>142</v>
      </c>
      <c r="CC587" t="s">
        <v>112</v>
      </c>
      <c r="CD587" t="s">
        <v>112</v>
      </c>
      <c r="CE587" t="s">
        <v>121</v>
      </c>
      <c r="CF587">
        <v>16189.49</v>
      </c>
      <c r="CG587" t="s">
        <v>144</v>
      </c>
      <c r="CH587">
        <v>4000000</v>
      </c>
      <c r="CI587">
        <v>16081.49</v>
      </c>
      <c r="CK587" t="s">
        <v>112</v>
      </c>
      <c r="CL587" t="s">
        <v>112</v>
      </c>
      <c r="CM587">
        <v>46927.16</v>
      </c>
      <c r="CO587">
        <v>0</v>
      </c>
      <c r="CP587">
        <v>1</v>
      </c>
      <c r="CQ587">
        <v>5185600.03</v>
      </c>
      <c r="CR587">
        <v>54756.160000000003</v>
      </c>
      <c r="CS587" t="s">
        <v>145</v>
      </c>
      <c r="CT587">
        <v>54677.065999999999</v>
      </c>
      <c r="CU587">
        <v>3.4</v>
      </c>
      <c r="CV587">
        <v>45</v>
      </c>
      <c r="CX587" t="s">
        <v>233</v>
      </c>
      <c r="CY587">
        <v>365</v>
      </c>
    </row>
    <row r="588" spans="1:103" x14ac:dyDescent="0.25">
      <c r="A588" t="s">
        <v>106</v>
      </c>
      <c r="B588" s="38">
        <v>45206</v>
      </c>
      <c r="C588" s="43">
        <f>IF(YEAR(Таблица1[[#This Row],[Дата]])=2023,MONTH(Таблица1[[#This Row],[Дата]]),0)</f>
        <v>10</v>
      </c>
      <c r="D588" t="s">
        <v>1920</v>
      </c>
      <c r="E588" t="s">
        <v>108</v>
      </c>
      <c r="F588" t="s">
        <v>1921</v>
      </c>
      <c r="G588" t="s">
        <v>3244</v>
      </c>
      <c r="H588" t="s">
        <v>111</v>
      </c>
      <c r="I588" t="s">
        <v>112</v>
      </c>
      <c r="J588" t="s">
        <v>112</v>
      </c>
      <c r="K588" t="s">
        <v>112</v>
      </c>
      <c r="L588" t="s">
        <v>150</v>
      </c>
      <c r="M588" t="s">
        <v>151</v>
      </c>
      <c r="N588" t="s">
        <v>112</v>
      </c>
      <c r="O588" t="s">
        <v>112</v>
      </c>
      <c r="P588">
        <v>1</v>
      </c>
      <c r="R588">
        <v>1</v>
      </c>
      <c r="S588">
        <v>33</v>
      </c>
      <c r="T588" t="s">
        <v>112</v>
      </c>
      <c r="U588" t="s">
        <v>1704</v>
      </c>
      <c r="V588" t="s">
        <v>153</v>
      </c>
      <c r="W588" t="s">
        <v>154</v>
      </c>
      <c r="X588" t="s">
        <v>119</v>
      </c>
      <c r="Y588" t="s">
        <v>112</v>
      </c>
      <c r="Z588" t="s">
        <v>112</v>
      </c>
      <c r="AA588" t="s">
        <v>152</v>
      </c>
      <c r="AB588" t="s">
        <v>153</v>
      </c>
      <c r="AC588" t="s">
        <v>154</v>
      </c>
      <c r="AD588" t="s">
        <v>119</v>
      </c>
      <c r="AE588" t="s">
        <v>112</v>
      </c>
      <c r="AF588" t="s">
        <v>121</v>
      </c>
      <c r="AG588" t="s">
        <v>122</v>
      </c>
      <c r="AH588">
        <v>4292002.18</v>
      </c>
      <c r="AI588" t="s">
        <v>112</v>
      </c>
      <c r="AJ588" t="s">
        <v>152</v>
      </c>
      <c r="AK588" t="s">
        <v>153</v>
      </c>
      <c r="AL588" t="s">
        <v>154</v>
      </c>
      <c r="AM588" t="s">
        <v>119</v>
      </c>
      <c r="AN588" t="s">
        <v>112</v>
      </c>
      <c r="AO588" t="s">
        <v>121</v>
      </c>
      <c r="AP588" t="s">
        <v>122</v>
      </c>
      <c r="AQ588" t="s">
        <v>122</v>
      </c>
      <c r="AR588" t="s">
        <v>124</v>
      </c>
      <c r="AS588" t="s">
        <v>125</v>
      </c>
      <c r="AT588">
        <v>2</v>
      </c>
      <c r="AU588" t="s">
        <v>126</v>
      </c>
      <c r="AV588" t="s">
        <v>155</v>
      </c>
      <c r="AW588" t="s">
        <v>156</v>
      </c>
      <c r="AY588" t="s">
        <v>129</v>
      </c>
      <c r="AZ588">
        <v>37428.839999999997</v>
      </c>
      <c r="BC588">
        <v>101.5646</v>
      </c>
      <c r="BD588" t="s">
        <v>112</v>
      </c>
      <c r="BE588" t="s">
        <v>112</v>
      </c>
      <c r="BF588" t="s">
        <v>157</v>
      </c>
      <c r="BG588" t="s">
        <v>133</v>
      </c>
      <c r="BH588" t="s">
        <v>134</v>
      </c>
      <c r="BI588" t="s">
        <v>112</v>
      </c>
      <c r="BJ588" t="s">
        <v>112</v>
      </c>
      <c r="BK588" t="s">
        <v>112</v>
      </c>
      <c r="BL588" t="s">
        <v>169</v>
      </c>
      <c r="BM588" t="s">
        <v>159</v>
      </c>
      <c r="BN588" t="s">
        <v>212</v>
      </c>
      <c r="BO588" t="s">
        <v>161</v>
      </c>
      <c r="BQ588" t="s">
        <v>232</v>
      </c>
      <c r="BR588" s="45">
        <f>ISNUMBER(SEARCH($BR$1,Таблица1[[#This Row],[31_1 Описание и характеристика товара]]))*1</f>
        <v>1</v>
      </c>
      <c r="BT588" t="s">
        <v>150</v>
      </c>
      <c r="BU588">
        <v>33</v>
      </c>
      <c r="BV588">
        <v>0</v>
      </c>
      <c r="BW588">
        <v>0</v>
      </c>
      <c r="BY588">
        <v>0</v>
      </c>
      <c r="CA588" t="s">
        <v>106</v>
      </c>
      <c r="CB588" t="s">
        <v>142</v>
      </c>
      <c r="CC588" t="s">
        <v>112</v>
      </c>
      <c r="CD588" t="s">
        <v>112</v>
      </c>
      <c r="CE588" t="s">
        <v>121</v>
      </c>
      <c r="CF588">
        <v>16664.89</v>
      </c>
      <c r="CG588" t="s">
        <v>144</v>
      </c>
      <c r="CH588">
        <v>4000000</v>
      </c>
      <c r="CI588">
        <v>16556.89</v>
      </c>
      <c r="CJ588">
        <v>0</v>
      </c>
      <c r="CK588" t="s">
        <v>112</v>
      </c>
      <c r="CL588" t="s">
        <v>112</v>
      </c>
      <c r="CM588">
        <v>37428.839999999997</v>
      </c>
      <c r="CO588">
        <v>0</v>
      </c>
      <c r="CP588">
        <v>1</v>
      </c>
      <c r="CQ588">
        <v>4292002.18</v>
      </c>
      <c r="CR588">
        <v>45320.42</v>
      </c>
      <c r="CS588" t="s">
        <v>145</v>
      </c>
      <c r="CT588">
        <v>45365.878600000004</v>
      </c>
      <c r="CU588">
        <v>2.74</v>
      </c>
      <c r="CV588">
        <v>45</v>
      </c>
      <c r="CX588" t="s">
        <v>233</v>
      </c>
      <c r="CY588">
        <v>121</v>
      </c>
    </row>
    <row r="589" spans="1:103" x14ac:dyDescent="0.25">
      <c r="A589" t="s">
        <v>106</v>
      </c>
      <c r="B589" s="38">
        <v>45051</v>
      </c>
      <c r="C589" s="43">
        <f>IF(YEAR(Таблица1[[#This Row],[Дата]])=2023,MONTH(Таблица1[[#This Row],[Дата]]),0)</f>
        <v>5</v>
      </c>
      <c r="D589" t="s">
        <v>1959</v>
      </c>
      <c r="E589" t="s">
        <v>108</v>
      </c>
      <c r="F589" t="s">
        <v>1960</v>
      </c>
      <c r="G589" t="s">
        <v>3244</v>
      </c>
      <c r="H589" t="s">
        <v>111</v>
      </c>
      <c r="I589" t="s">
        <v>112</v>
      </c>
      <c r="J589" t="s">
        <v>112</v>
      </c>
      <c r="K589" t="s">
        <v>112</v>
      </c>
      <c r="L589" t="s">
        <v>150</v>
      </c>
      <c r="M589" t="s">
        <v>151</v>
      </c>
      <c r="N589" t="s">
        <v>112</v>
      </c>
      <c r="O589" t="s">
        <v>112</v>
      </c>
      <c r="P589">
        <v>1</v>
      </c>
      <c r="R589">
        <v>1</v>
      </c>
      <c r="S589">
        <v>33</v>
      </c>
      <c r="T589" t="s">
        <v>112</v>
      </c>
      <c r="U589" t="s">
        <v>1704</v>
      </c>
      <c r="V589" t="s">
        <v>153</v>
      </c>
      <c r="W589" t="s">
        <v>154</v>
      </c>
      <c r="X589" t="s">
        <v>119</v>
      </c>
      <c r="Y589" t="s">
        <v>112</v>
      </c>
      <c r="Z589" t="s">
        <v>112</v>
      </c>
      <c r="AA589" t="s">
        <v>152</v>
      </c>
      <c r="AB589" t="s">
        <v>153</v>
      </c>
      <c r="AC589" t="s">
        <v>154</v>
      </c>
      <c r="AD589" t="s">
        <v>119</v>
      </c>
      <c r="AE589" t="s">
        <v>112</v>
      </c>
      <c r="AF589" t="s">
        <v>121</v>
      </c>
      <c r="AG589" t="s">
        <v>122</v>
      </c>
      <c r="AH589">
        <v>4698585.59</v>
      </c>
      <c r="AI589" t="s">
        <v>112</v>
      </c>
      <c r="AJ589" t="s">
        <v>152</v>
      </c>
      <c r="AK589" t="s">
        <v>153</v>
      </c>
      <c r="AL589" t="s">
        <v>154</v>
      </c>
      <c r="AM589" t="s">
        <v>119</v>
      </c>
      <c r="AN589" t="s">
        <v>112</v>
      </c>
      <c r="AO589" t="s">
        <v>121</v>
      </c>
      <c r="AP589" t="s">
        <v>122</v>
      </c>
      <c r="AQ589" t="s">
        <v>122</v>
      </c>
      <c r="AR589" t="s">
        <v>124</v>
      </c>
      <c r="AS589" t="s">
        <v>125</v>
      </c>
      <c r="AT589">
        <v>2</v>
      </c>
      <c r="AU589" t="s">
        <v>126</v>
      </c>
      <c r="AV589" t="s">
        <v>155</v>
      </c>
      <c r="AW589" t="s">
        <v>156</v>
      </c>
      <c r="AY589" t="s">
        <v>129</v>
      </c>
      <c r="AZ589">
        <v>41612.04</v>
      </c>
      <c r="BC589">
        <v>101.5646</v>
      </c>
      <c r="BD589" t="s">
        <v>112</v>
      </c>
      <c r="BE589" t="s">
        <v>112</v>
      </c>
      <c r="BF589" t="s">
        <v>157</v>
      </c>
      <c r="BG589" t="s">
        <v>133</v>
      </c>
      <c r="BH589" t="s">
        <v>134</v>
      </c>
      <c r="BI589" t="s">
        <v>112</v>
      </c>
      <c r="BJ589" t="s">
        <v>112</v>
      </c>
      <c r="BK589" t="s">
        <v>112</v>
      </c>
      <c r="BL589" t="s">
        <v>169</v>
      </c>
      <c r="BM589" t="s">
        <v>159</v>
      </c>
      <c r="BN589" t="s">
        <v>212</v>
      </c>
      <c r="BO589" t="s">
        <v>161</v>
      </c>
      <c r="BQ589" t="s">
        <v>232</v>
      </c>
      <c r="BR589" s="45">
        <f>ISNUMBER(SEARCH($BR$1,Таблица1[[#This Row],[31_1 Описание и характеристика товара]]))*1</f>
        <v>1</v>
      </c>
      <c r="BT589" t="s">
        <v>150</v>
      </c>
      <c r="BU589">
        <v>33</v>
      </c>
      <c r="BV589">
        <v>0</v>
      </c>
      <c r="BW589">
        <v>0</v>
      </c>
      <c r="BY589">
        <v>0</v>
      </c>
      <c r="CA589" t="s">
        <v>106</v>
      </c>
      <c r="CB589" t="s">
        <v>142</v>
      </c>
      <c r="CC589" t="s">
        <v>112</v>
      </c>
      <c r="CD589" t="s">
        <v>112</v>
      </c>
      <c r="CE589" t="s">
        <v>121</v>
      </c>
      <c r="CF589">
        <v>16684.439999999999</v>
      </c>
      <c r="CG589" t="s">
        <v>144</v>
      </c>
      <c r="CH589">
        <v>4000000</v>
      </c>
      <c r="CI589">
        <v>16630.439999999999</v>
      </c>
      <c r="CJ589">
        <v>0</v>
      </c>
      <c r="CK589" t="s">
        <v>112</v>
      </c>
      <c r="CL589" t="s">
        <v>112</v>
      </c>
      <c r="CM589">
        <v>41612.04</v>
      </c>
      <c r="CO589">
        <v>0</v>
      </c>
      <c r="CP589">
        <v>1</v>
      </c>
      <c r="CQ589">
        <v>4698585.59</v>
      </c>
      <c r="CR589">
        <v>49613.64</v>
      </c>
      <c r="CS589" t="s">
        <v>145</v>
      </c>
      <c r="CT589">
        <v>49558.711199999998</v>
      </c>
      <c r="CU589">
        <v>2.98</v>
      </c>
      <c r="CV589">
        <v>45</v>
      </c>
      <c r="CX589" t="s">
        <v>1140</v>
      </c>
      <c r="CY589">
        <v>246</v>
      </c>
    </row>
    <row r="590" spans="1:103" x14ac:dyDescent="0.25">
      <c r="A590" t="s">
        <v>106</v>
      </c>
      <c r="B590" s="38">
        <v>44636</v>
      </c>
      <c r="C590" s="43">
        <f>IF(YEAR(Таблица1[[#This Row],[Дата]])=2023,MONTH(Таблица1[[#This Row],[Дата]]),0)</f>
        <v>0</v>
      </c>
      <c r="D590" t="s">
        <v>1959</v>
      </c>
      <c r="E590" t="s">
        <v>108</v>
      </c>
      <c r="F590" t="s">
        <v>1960</v>
      </c>
      <c r="G590" t="s">
        <v>3244</v>
      </c>
      <c r="H590" t="s">
        <v>111</v>
      </c>
      <c r="I590" t="s">
        <v>112</v>
      </c>
      <c r="J590" t="s">
        <v>112</v>
      </c>
      <c r="K590" t="s">
        <v>112</v>
      </c>
      <c r="L590" t="s">
        <v>150</v>
      </c>
      <c r="M590" t="s">
        <v>151</v>
      </c>
      <c r="N590" t="s">
        <v>112</v>
      </c>
      <c r="O590" t="s">
        <v>112</v>
      </c>
      <c r="P590">
        <v>1</v>
      </c>
      <c r="R590">
        <v>1</v>
      </c>
      <c r="S590">
        <v>33</v>
      </c>
      <c r="T590" t="s">
        <v>112</v>
      </c>
      <c r="U590" t="s">
        <v>1704</v>
      </c>
      <c r="V590" t="s">
        <v>153</v>
      </c>
      <c r="W590" t="s">
        <v>154</v>
      </c>
      <c r="X590" t="s">
        <v>119</v>
      </c>
      <c r="Y590" t="s">
        <v>112</v>
      </c>
      <c r="Z590" t="s">
        <v>112</v>
      </c>
      <c r="AA590" t="s">
        <v>152</v>
      </c>
      <c r="AB590" t="s">
        <v>153</v>
      </c>
      <c r="AC590" t="s">
        <v>154</v>
      </c>
      <c r="AD590" t="s">
        <v>119</v>
      </c>
      <c r="AE590" t="s">
        <v>112</v>
      </c>
      <c r="AF590" t="s">
        <v>121</v>
      </c>
      <c r="AG590" t="s">
        <v>122</v>
      </c>
      <c r="AH590">
        <v>4698585.59</v>
      </c>
      <c r="AI590" t="s">
        <v>112</v>
      </c>
      <c r="AJ590" t="s">
        <v>152</v>
      </c>
      <c r="AK590" t="s">
        <v>153</v>
      </c>
      <c r="AL590" t="s">
        <v>154</v>
      </c>
      <c r="AM590" t="s">
        <v>119</v>
      </c>
      <c r="AN590" t="s">
        <v>112</v>
      </c>
      <c r="AO590" t="s">
        <v>121</v>
      </c>
      <c r="AP590" t="s">
        <v>122</v>
      </c>
      <c r="AQ590" t="s">
        <v>122</v>
      </c>
      <c r="AR590" t="s">
        <v>124</v>
      </c>
      <c r="AS590" t="s">
        <v>125</v>
      </c>
      <c r="AT590">
        <v>2</v>
      </c>
      <c r="AU590" t="s">
        <v>126</v>
      </c>
      <c r="AV590" t="s">
        <v>155</v>
      </c>
      <c r="AW590" t="s">
        <v>156</v>
      </c>
      <c r="AY590" t="s">
        <v>129</v>
      </c>
      <c r="AZ590">
        <v>41612.04</v>
      </c>
      <c r="BC590">
        <v>101.5646</v>
      </c>
      <c r="BD590" t="s">
        <v>112</v>
      </c>
      <c r="BE590" t="s">
        <v>112</v>
      </c>
      <c r="BF590" t="s">
        <v>157</v>
      </c>
      <c r="BG590" t="s">
        <v>133</v>
      </c>
      <c r="BH590" t="s">
        <v>134</v>
      </c>
      <c r="BI590" t="s">
        <v>112</v>
      </c>
      <c r="BJ590" t="s">
        <v>112</v>
      </c>
      <c r="BK590" t="s">
        <v>112</v>
      </c>
      <c r="BL590" t="s">
        <v>169</v>
      </c>
      <c r="BM590" t="s">
        <v>159</v>
      </c>
      <c r="BN590" t="s">
        <v>212</v>
      </c>
      <c r="BO590" t="s">
        <v>161</v>
      </c>
      <c r="BQ590" t="s">
        <v>232</v>
      </c>
      <c r="BR590" s="45">
        <f>ISNUMBER(SEARCH($BR$1,Таблица1[[#This Row],[31_1 Описание и характеристика товара]]))*1</f>
        <v>1</v>
      </c>
      <c r="BT590" t="s">
        <v>150</v>
      </c>
      <c r="BU590">
        <v>33</v>
      </c>
      <c r="BV590">
        <v>0</v>
      </c>
      <c r="BW590">
        <v>0</v>
      </c>
      <c r="BY590">
        <v>0</v>
      </c>
      <c r="CA590" t="s">
        <v>106</v>
      </c>
      <c r="CB590" t="s">
        <v>142</v>
      </c>
      <c r="CC590" t="s">
        <v>112</v>
      </c>
      <c r="CD590" t="s">
        <v>112</v>
      </c>
      <c r="CE590" t="s">
        <v>121</v>
      </c>
      <c r="CF590">
        <v>16684.439999999999</v>
      </c>
      <c r="CG590" t="s">
        <v>144</v>
      </c>
      <c r="CH590">
        <v>4000000</v>
      </c>
      <c r="CI590">
        <v>16630.439999999999</v>
      </c>
      <c r="CJ590">
        <v>0</v>
      </c>
      <c r="CK590" t="s">
        <v>112</v>
      </c>
      <c r="CL590" t="s">
        <v>112</v>
      </c>
      <c r="CM590">
        <v>41612.04</v>
      </c>
      <c r="CO590">
        <v>0</v>
      </c>
      <c r="CP590">
        <v>1</v>
      </c>
      <c r="CQ590">
        <v>4698585.59</v>
      </c>
      <c r="CR590">
        <v>49613.64</v>
      </c>
      <c r="CS590" t="s">
        <v>145</v>
      </c>
      <c r="CT590">
        <v>49558.711199999998</v>
      </c>
      <c r="CU590">
        <v>2.98</v>
      </c>
      <c r="CV590">
        <v>45</v>
      </c>
      <c r="CX590" t="s">
        <v>1140</v>
      </c>
      <c r="CY590">
        <v>246</v>
      </c>
    </row>
    <row r="591" spans="1:103" x14ac:dyDescent="0.25">
      <c r="A591" t="s">
        <v>106</v>
      </c>
      <c r="B591" s="38">
        <v>44996</v>
      </c>
      <c r="C591" s="43">
        <f>IF(YEAR(Таблица1[[#This Row],[Дата]])=2023,MONTH(Таблица1[[#This Row],[Дата]]),0)</f>
        <v>3</v>
      </c>
      <c r="D591" t="s">
        <v>1475</v>
      </c>
      <c r="E591" t="s">
        <v>108</v>
      </c>
      <c r="F591" t="s">
        <v>1476</v>
      </c>
      <c r="G591" t="s">
        <v>3244</v>
      </c>
      <c r="H591" t="s">
        <v>111</v>
      </c>
      <c r="I591" t="s">
        <v>112</v>
      </c>
      <c r="J591" t="s">
        <v>112</v>
      </c>
      <c r="K591" t="s">
        <v>112</v>
      </c>
      <c r="L591" t="s">
        <v>150</v>
      </c>
      <c r="M591" t="s">
        <v>1439</v>
      </c>
      <c r="N591" t="s">
        <v>112</v>
      </c>
      <c r="O591" t="s">
        <v>112</v>
      </c>
      <c r="P591">
        <v>1</v>
      </c>
      <c r="R591">
        <v>1</v>
      </c>
      <c r="S591">
        <v>33</v>
      </c>
      <c r="T591" t="s">
        <v>166</v>
      </c>
      <c r="U591" t="s">
        <v>152</v>
      </c>
      <c r="V591" t="s">
        <v>153</v>
      </c>
      <c r="W591" t="s">
        <v>154</v>
      </c>
      <c r="X591" t="s">
        <v>119</v>
      </c>
      <c r="Y591" t="s">
        <v>112</v>
      </c>
      <c r="Z591" t="s">
        <v>166</v>
      </c>
      <c r="AA591" t="s">
        <v>152</v>
      </c>
      <c r="AB591" t="s">
        <v>153</v>
      </c>
      <c r="AC591" t="s">
        <v>154</v>
      </c>
      <c r="AD591" t="s">
        <v>119</v>
      </c>
      <c r="AE591" t="s">
        <v>112</v>
      </c>
      <c r="AF591" t="s">
        <v>121</v>
      </c>
      <c r="AG591" t="s">
        <v>122</v>
      </c>
      <c r="AH591">
        <v>4420072.2699999996</v>
      </c>
      <c r="AI591" t="s">
        <v>166</v>
      </c>
      <c r="AJ591" t="s">
        <v>152</v>
      </c>
      <c r="AK591" t="s">
        <v>153</v>
      </c>
      <c r="AL591" t="s">
        <v>154</v>
      </c>
      <c r="AM591" t="s">
        <v>119</v>
      </c>
      <c r="AN591" t="s">
        <v>112</v>
      </c>
      <c r="AO591" t="s">
        <v>121</v>
      </c>
      <c r="AP591" t="s">
        <v>122</v>
      </c>
      <c r="AQ591" t="s">
        <v>122</v>
      </c>
      <c r="AR591" t="s">
        <v>124</v>
      </c>
      <c r="AS591" t="s">
        <v>125</v>
      </c>
      <c r="AT591">
        <v>2</v>
      </c>
      <c r="AU591" t="s">
        <v>126</v>
      </c>
      <c r="AV591" t="s">
        <v>155</v>
      </c>
      <c r="AW591" t="s">
        <v>156</v>
      </c>
      <c r="AX591">
        <v>1</v>
      </c>
      <c r="AY591" t="s">
        <v>129</v>
      </c>
      <c r="AZ591">
        <v>40119.839999999997</v>
      </c>
      <c r="BA591">
        <v>4007531</v>
      </c>
      <c r="BB591">
        <v>48773.05</v>
      </c>
      <c r="BC591">
        <v>99.888999999999996</v>
      </c>
      <c r="BD591" t="s">
        <v>130</v>
      </c>
      <c r="BE591" t="s">
        <v>112</v>
      </c>
      <c r="BF591" t="s">
        <v>157</v>
      </c>
      <c r="BG591" t="s">
        <v>133</v>
      </c>
      <c r="BH591" t="s">
        <v>167</v>
      </c>
      <c r="BI591" t="s">
        <v>168</v>
      </c>
      <c r="BJ591" t="s">
        <v>112</v>
      </c>
      <c r="BK591" t="s">
        <v>112</v>
      </c>
      <c r="BL591" t="s">
        <v>169</v>
      </c>
      <c r="BM591" t="s">
        <v>159</v>
      </c>
      <c r="BN591" t="s">
        <v>726</v>
      </c>
      <c r="BO591" t="s">
        <v>161</v>
      </c>
      <c r="BP591">
        <v>1</v>
      </c>
      <c r="BQ591" t="s">
        <v>810</v>
      </c>
      <c r="BR591" s="45">
        <f>ISNUMBER(SEARCH($BR$1,Таблица1[[#This Row],[31_1 Описание и характеристика товара]]))*1</f>
        <v>1</v>
      </c>
      <c r="BT591" t="s">
        <v>150</v>
      </c>
      <c r="BU591">
        <v>33</v>
      </c>
      <c r="CA591" t="s">
        <v>106</v>
      </c>
      <c r="CB591" t="s">
        <v>142</v>
      </c>
      <c r="CC591" t="s">
        <v>112</v>
      </c>
      <c r="CD591" t="s">
        <v>112</v>
      </c>
      <c r="CE591" t="s">
        <v>121</v>
      </c>
      <c r="CF591">
        <v>16056.65</v>
      </c>
      <c r="CG591" t="s">
        <v>144</v>
      </c>
      <c r="CH591">
        <v>4000000</v>
      </c>
      <c r="CI591">
        <v>15905.44</v>
      </c>
      <c r="CK591" t="s">
        <v>112</v>
      </c>
      <c r="CL591" t="s">
        <v>112</v>
      </c>
      <c r="CM591">
        <v>40119.839999999997</v>
      </c>
      <c r="CN591">
        <v>4007531</v>
      </c>
      <c r="CO591">
        <v>0</v>
      </c>
      <c r="CP591">
        <v>1</v>
      </c>
      <c r="CQ591">
        <v>4420072.2699999996</v>
      </c>
      <c r="CR591">
        <v>48773.05</v>
      </c>
      <c r="CS591" t="s">
        <v>145</v>
      </c>
      <c r="CT591">
        <v>48829.700799999999</v>
      </c>
      <c r="CU591">
        <v>3.07</v>
      </c>
      <c r="CV591">
        <v>45</v>
      </c>
      <c r="CW591" t="s">
        <v>171</v>
      </c>
      <c r="CX591" t="s">
        <v>172</v>
      </c>
      <c r="CY591">
        <v>140</v>
      </c>
    </row>
    <row r="592" spans="1:103" x14ac:dyDescent="0.25">
      <c r="A592" t="s">
        <v>106</v>
      </c>
      <c r="B592" s="38">
        <v>44987</v>
      </c>
      <c r="C592" s="43">
        <f>IF(YEAR(Таблица1[[#This Row],[Дата]])=2023,MONTH(Таблица1[[#This Row],[Дата]]),0)</f>
        <v>3</v>
      </c>
      <c r="D592" t="s">
        <v>1471</v>
      </c>
      <c r="E592" t="s">
        <v>108</v>
      </c>
      <c r="F592" t="s">
        <v>1472</v>
      </c>
      <c r="G592" t="s">
        <v>3244</v>
      </c>
      <c r="H592" t="s">
        <v>111</v>
      </c>
      <c r="I592" t="s">
        <v>112</v>
      </c>
      <c r="J592" t="s">
        <v>112</v>
      </c>
      <c r="K592" t="s">
        <v>112</v>
      </c>
      <c r="L592" t="s">
        <v>150</v>
      </c>
      <c r="M592" t="s">
        <v>1439</v>
      </c>
      <c r="N592" t="s">
        <v>112</v>
      </c>
      <c r="O592" t="s">
        <v>112</v>
      </c>
      <c r="P592">
        <v>1</v>
      </c>
      <c r="Q592">
        <v>0</v>
      </c>
      <c r="R592">
        <v>1</v>
      </c>
      <c r="S592">
        <v>33</v>
      </c>
      <c r="T592" t="s">
        <v>166</v>
      </c>
      <c r="U592" t="s">
        <v>152</v>
      </c>
      <c r="V592" t="s">
        <v>153</v>
      </c>
      <c r="W592" t="s">
        <v>154</v>
      </c>
      <c r="X592" t="s">
        <v>119</v>
      </c>
      <c r="Y592" t="s">
        <v>112</v>
      </c>
      <c r="Z592" t="s">
        <v>166</v>
      </c>
      <c r="AA592" t="s">
        <v>152</v>
      </c>
      <c r="AB592" t="s">
        <v>153</v>
      </c>
      <c r="AC592" t="s">
        <v>154</v>
      </c>
      <c r="AD592" t="s">
        <v>119</v>
      </c>
      <c r="AE592" t="s">
        <v>112</v>
      </c>
      <c r="AF592" t="s">
        <v>121</v>
      </c>
      <c r="AG592" t="s">
        <v>122</v>
      </c>
      <c r="AH592">
        <v>4401720.66</v>
      </c>
      <c r="AI592" t="s">
        <v>166</v>
      </c>
      <c r="AJ592" t="s">
        <v>152</v>
      </c>
      <c r="AK592" t="s">
        <v>153</v>
      </c>
      <c r="AL592" t="s">
        <v>154</v>
      </c>
      <c r="AM592" t="s">
        <v>119</v>
      </c>
      <c r="AN592" t="s">
        <v>112</v>
      </c>
      <c r="AO592" t="s">
        <v>121</v>
      </c>
      <c r="AP592" t="s">
        <v>122</v>
      </c>
      <c r="AQ592" t="s">
        <v>122</v>
      </c>
      <c r="AR592" t="s">
        <v>124</v>
      </c>
      <c r="AS592" t="s">
        <v>125</v>
      </c>
      <c r="AT592">
        <v>2</v>
      </c>
      <c r="AU592" t="s">
        <v>126</v>
      </c>
      <c r="AV592" t="s">
        <v>155</v>
      </c>
      <c r="AW592" t="s">
        <v>156</v>
      </c>
      <c r="AX592">
        <v>1</v>
      </c>
      <c r="AY592" t="s">
        <v>129</v>
      </c>
      <c r="AZ592">
        <v>39936.120000000003</v>
      </c>
      <c r="BA592">
        <v>3989179</v>
      </c>
      <c r="BB592">
        <v>48570.55</v>
      </c>
      <c r="BC592">
        <v>99.888999999999996</v>
      </c>
      <c r="BD592" t="s">
        <v>130</v>
      </c>
      <c r="BE592" t="s">
        <v>112</v>
      </c>
      <c r="BF592" t="s">
        <v>157</v>
      </c>
      <c r="BG592" t="s">
        <v>133</v>
      </c>
      <c r="BH592" t="s">
        <v>134</v>
      </c>
      <c r="BI592" t="s">
        <v>112</v>
      </c>
      <c r="BJ592" t="s">
        <v>112</v>
      </c>
      <c r="BK592" t="s">
        <v>112</v>
      </c>
      <c r="BL592" t="s">
        <v>169</v>
      </c>
      <c r="BM592" t="s">
        <v>159</v>
      </c>
      <c r="BN592" t="s">
        <v>722</v>
      </c>
      <c r="BO592" t="s">
        <v>161</v>
      </c>
      <c r="BP592">
        <v>1</v>
      </c>
      <c r="BQ592" t="s">
        <v>162</v>
      </c>
      <c r="BR592" s="45">
        <f>ISNUMBER(SEARCH($BR$1,Таблица1[[#This Row],[31_1 Описание и характеристика товара]]))*1</f>
        <v>1</v>
      </c>
      <c r="BT592" t="s">
        <v>150</v>
      </c>
      <c r="BU592">
        <v>33</v>
      </c>
      <c r="BV592">
        <v>0</v>
      </c>
      <c r="BW592">
        <v>0</v>
      </c>
      <c r="BY592">
        <v>0</v>
      </c>
      <c r="CA592" t="s">
        <v>106</v>
      </c>
      <c r="CB592" t="s">
        <v>142</v>
      </c>
      <c r="CC592" t="s">
        <v>112</v>
      </c>
      <c r="CD592" t="s">
        <v>112</v>
      </c>
      <c r="CE592" t="s">
        <v>121</v>
      </c>
      <c r="CF592">
        <v>16780.740000000002</v>
      </c>
      <c r="CG592" t="s">
        <v>144</v>
      </c>
      <c r="CH592">
        <v>4000000</v>
      </c>
      <c r="CI592">
        <v>16672.740000000002</v>
      </c>
      <c r="CJ592">
        <v>0</v>
      </c>
      <c r="CK592" t="s">
        <v>112</v>
      </c>
      <c r="CL592" t="s">
        <v>112</v>
      </c>
      <c r="CM592">
        <v>39936.120000000003</v>
      </c>
      <c r="CN592">
        <v>3989179</v>
      </c>
      <c r="CO592">
        <v>0</v>
      </c>
      <c r="CP592">
        <v>1</v>
      </c>
      <c r="CQ592">
        <v>4401720.66</v>
      </c>
      <c r="CR592">
        <v>48570.55</v>
      </c>
      <c r="CS592" t="s">
        <v>145</v>
      </c>
      <c r="CT592">
        <v>48517.673400000007</v>
      </c>
      <c r="CU592">
        <v>2.91</v>
      </c>
      <c r="CV592">
        <v>45</v>
      </c>
      <c r="CW592" t="s">
        <v>171</v>
      </c>
      <c r="CX592" t="s">
        <v>372</v>
      </c>
      <c r="CY592">
        <v>108</v>
      </c>
    </row>
    <row r="593" spans="1:103" x14ac:dyDescent="0.25">
      <c r="A593" t="s">
        <v>106</v>
      </c>
      <c r="B593" s="38">
        <v>45132</v>
      </c>
      <c r="C593" s="43">
        <f>IF(YEAR(Таблица1[[#This Row],[Дата]])=2023,MONTH(Таблица1[[#This Row],[Дата]]),0)</f>
        <v>7</v>
      </c>
      <c r="D593" t="s">
        <v>1467</v>
      </c>
      <c r="E593" t="s">
        <v>108</v>
      </c>
      <c r="F593" t="s">
        <v>1468</v>
      </c>
      <c r="G593" t="s">
        <v>110</v>
      </c>
      <c r="H593" t="s">
        <v>111</v>
      </c>
      <c r="I593" t="s">
        <v>112</v>
      </c>
      <c r="J593" t="s">
        <v>112</v>
      </c>
      <c r="K593" t="s">
        <v>112</v>
      </c>
      <c r="L593" t="s">
        <v>150</v>
      </c>
      <c r="M593" t="s">
        <v>1439</v>
      </c>
      <c r="N593" t="s">
        <v>112</v>
      </c>
      <c r="O593" t="s">
        <v>112</v>
      </c>
      <c r="P593">
        <v>1</v>
      </c>
      <c r="Q593">
        <v>0</v>
      </c>
      <c r="R593">
        <v>1</v>
      </c>
      <c r="S593">
        <v>33</v>
      </c>
      <c r="T593" t="s">
        <v>166</v>
      </c>
      <c r="U593" t="s">
        <v>152</v>
      </c>
      <c r="V593" t="s">
        <v>153</v>
      </c>
      <c r="W593" t="s">
        <v>154</v>
      </c>
      <c r="X593" t="s">
        <v>119</v>
      </c>
      <c r="Y593" t="s">
        <v>112</v>
      </c>
      <c r="Z593" t="s">
        <v>166</v>
      </c>
      <c r="AA593" t="s">
        <v>152</v>
      </c>
      <c r="AB593" t="s">
        <v>153</v>
      </c>
      <c r="AC593" t="s">
        <v>154</v>
      </c>
      <c r="AD593" t="s">
        <v>119</v>
      </c>
      <c r="AE593" t="s">
        <v>112</v>
      </c>
      <c r="AF593" t="s">
        <v>121</v>
      </c>
      <c r="AG593" t="s">
        <v>122</v>
      </c>
      <c r="AH593">
        <v>4742611.8499999996</v>
      </c>
      <c r="AI593" t="s">
        <v>166</v>
      </c>
      <c r="AJ593" t="s">
        <v>152</v>
      </c>
      <c r="AK593" t="s">
        <v>153</v>
      </c>
      <c r="AL593" t="s">
        <v>154</v>
      </c>
      <c r="AM593" t="s">
        <v>119</v>
      </c>
      <c r="AN593" t="s">
        <v>112</v>
      </c>
      <c r="AO593" t="s">
        <v>121</v>
      </c>
      <c r="AP593" t="s">
        <v>122</v>
      </c>
      <c r="AQ593" t="s">
        <v>122</v>
      </c>
      <c r="AR593" t="s">
        <v>124</v>
      </c>
      <c r="AS593" t="s">
        <v>125</v>
      </c>
      <c r="AT593">
        <v>2</v>
      </c>
      <c r="AU593" t="s">
        <v>126</v>
      </c>
      <c r="AV593" t="s">
        <v>155</v>
      </c>
      <c r="AW593" t="s">
        <v>156</v>
      </c>
      <c r="AX593">
        <v>1</v>
      </c>
      <c r="AY593" t="s">
        <v>129</v>
      </c>
      <c r="AZ593">
        <v>43348.82</v>
      </c>
      <c r="BA593">
        <v>4330070</v>
      </c>
      <c r="BB593">
        <v>52332.1</v>
      </c>
      <c r="BC593">
        <v>99.888999999999996</v>
      </c>
      <c r="BD593" t="s">
        <v>130</v>
      </c>
      <c r="BE593" t="s">
        <v>112</v>
      </c>
      <c r="BF593" t="s">
        <v>157</v>
      </c>
      <c r="BG593" t="s">
        <v>133</v>
      </c>
      <c r="BH593" t="s">
        <v>134</v>
      </c>
      <c r="BI593" t="s">
        <v>112</v>
      </c>
      <c r="BJ593" t="s">
        <v>112</v>
      </c>
      <c r="BK593" t="s">
        <v>112</v>
      </c>
      <c r="BL593" t="s">
        <v>169</v>
      </c>
      <c r="BM593" t="s">
        <v>159</v>
      </c>
      <c r="BN593" t="s">
        <v>722</v>
      </c>
      <c r="BO593" t="s">
        <v>161</v>
      </c>
      <c r="BP593">
        <v>1</v>
      </c>
      <c r="BQ593" t="s">
        <v>466</v>
      </c>
      <c r="BR593" s="45">
        <f>ISNUMBER(SEARCH($BR$1,Таблица1[[#This Row],[31_1 Описание и характеристика товара]]))*1</f>
        <v>1</v>
      </c>
      <c r="BT593" t="s">
        <v>150</v>
      </c>
      <c r="BU593">
        <v>33</v>
      </c>
      <c r="BV593">
        <v>0</v>
      </c>
      <c r="BW593">
        <v>0</v>
      </c>
      <c r="BY593">
        <v>0</v>
      </c>
      <c r="CA593" t="s">
        <v>106</v>
      </c>
      <c r="CB593" t="s">
        <v>142</v>
      </c>
      <c r="CC593" t="s">
        <v>112</v>
      </c>
      <c r="CD593" t="s">
        <v>112</v>
      </c>
      <c r="CE593" t="s">
        <v>121</v>
      </c>
      <c r="CF593">
        <v>16930.75</v>
      </c>
      <c r="CG593" t="s">
        <v>144</v>
      </c>
      <c r="CH593">
        <v>4000000</v>
      </c>
      <c r="CI593">
        <v>16930.75</v>
      </c>
      <c r="CJ593">
        <v>0</v>
      </c>
      <c r="CK593" t="s">
        <v>112</v>
      </c>
      <c r="CL593" t="s">
        <v>112</v>
      </c>
      <c r="CM593">
        <v>43348.82</v>
      </c>
      <c r="CN593">
        <v>4330070</v>
      </c>
      <c r="CO593">
        <v>0</v>
      </c>
      <c r="CP593">
        <v>1</v>
      </c>
      <c r="CQ593">
        <v>4742611.8499999996</v>
      </c>
      <c r="CR593">
        <v>52332.1</v>
      </c>
      <c r="CS593" t="s">
        <v>145</v>
      </c>
      <c r="CT593">
        <v>52316.017499999994</v>
      </c>
      <c r="CU593">
        <v>3.09</v>
      </c>
      <c r="CV593">
        <v>45</v>
      </c>
      <c r="CW593" t="s">
        <v>171</v>
      </c>
      <c r="CX593" t="s">
        <v>172</v>
      </c>
      <c r="CY593">
        <v>368</v>
      </c>
    </row>
    <row r="594" spans="1:103" x14ac:dyDescent="0.25">
      <c r="A594" t="s">
        <v>106</v>
      </c>
      <c r="B594" s="38">
        <v>45041</v>
      </c>
      <c r="C594" s="43">
        <f>IF(YEAR(Таблица1[[#This Row],[Дата]])=2023,MONTH(Таблица1[[#This Row],[Дата]]),0)</f>
        <v>4</v>
      </c>
      <c r="D594" t="s">
        <v>1463</v>
      </c>
      <c r="E594" t="s">
        <v>108</v>
      </c>
      <c r="F594" t="s">
        <v>1464</v>
      </c>
      <c r="G594" t="s">
        <v>110</v>
      </c>
      <c r="H594" t="s">
        <v>111</v>
      </c>
      <c r="I594" t="s">
        <v>112</v>
      </c>
      <c r="J594" t="s">
        <v>112</v>
      </c>
      <c r="K594" t="s">
        <v>112</v>
      </c>
      <c r="L594" t="s">
        <v>150</v>
      </c>
      <c r="M594" t="s">
        <v>1439</v>
      </c>
      <c r="N594" t="s">
        <v>112</v>
      </c>
      <c r="O594" t="s">
        <v>112</v>
      </c>
      <c r="P594">
        <v>1</v>
      </c>
      <c r="Q594">
        <v>0</v>
      </c>
      <c r="R594">
        <v>1</v>
      </c>
      <c r="S594">
        <v>33</v>
      </c>
      <c r="T594" t="s">
        <v>166</v>
      </c>
      <c r="U594" t="s">
        <v>152</v>
      </c>
      <c r="V594" t="s">
        <v>153</v>
      </c>
      <c r="W594" t="s">
        <v>154</v>
      </c>
      <c r="X594" t="s">
        <v>119</v>
      </c>
      <c r="Y594" t="s">
        <v>112</v>
      </c>
      <c r="Z594" t="s">
        <v>166</v>
      </c>
      <c r="AA594" t="s">
        <v>152</v>
      </c>
      <c r="AB594" t="s">
        <v>153</v>
      </c>
      <c r="AC594" t="s">
        <v>154</v>
      </c>
      <c r="AD594" t="s">
        <v>119</v>
      </c>
      <c r="AE594" t="s">
        <v>112</v>
      </c>
      <c r="AF594" t="s">
        <v>121</v>
      </c>
      <c r="AG594" t="s">
        <v>122</v>
      </c>
      <c r="AH594">
        <v>5107883.95</v>
      </c>
      <c r="AI594" t="s">
        <v>166</v>
      </c>
      <c r="AJ594" t="s">
        <v>152</v>
      </c>
      <c r="AK594" t="s">
        <v>153</v>
      </c>
      <c r="AL594" t="s">
        <v>154</v>
      </c>
      <c r="AM594" t="s">
        <v>119</v>
      </c>
      <c r="AN594" t="s">
        <v>112</v>
      </c>
      <c r="AO594" t="s">
        <v>121</v>
      </c>
      <c r="AP594" t="s">
        <v>122</v>
      </c>
      <c r="AQ594" t="s">
        <v>122</v>
      </c>
      <c r="AR594" t="s">
        <v>124</v>
      </c>
      <c r="AS594" t="s">
        <v>125</v>
      </c>
      <c r="AT594">
        <v>2</v>
      </c>
      <c r="AU594" t="s">
        <v>126</v>
      </c>
      <c r="AV594" t="s">
        <v>155</v>
      </c>
      <c r="AW594" t="s">
        <v>156</v>
      </c>
      <c r="AX594">
        <v>1</v>
      </c>
      <c r="AY594" t="s">
        <v>129</v>
      </c>
      <c r="AZ594">
        <v>47005.599999999999</v>
      </c>
      <c r="BA594">
        <v>4695342</v>
      </c>
      <c r="BB594">
        <v>56362.67</v>
      </c>
      <c r="BC594">
        <v>99.888999999999996</v>
      </c>
      <c r="BD594" t="s">
        <v>130</v>
      </c>
      <c r="BE594" t="s">
        <v>112</v>
      </c>
      <c r="BF594" t="s">
        <v>157</v>
      </c>
      <c r="BG594" t="s">
        <v>133</v>
      </c>
      <c r="BH594" t="s">
        <v>134</v>
      </c>
      <c r="BI594" t="s">
        <v>112</v>
      </c>
      <c r="BJ594" t="s">
        <v>112</v>
      </c>
      <c r="BK594" t="s">
        <v>112</v>
      </c>
      <c r="BL594" t="s">
        <v>169</v>
      </c>
      <c r="BM594" t="s">
        <v>159</v>
      </c>
      <c r="BN594" t="s">
        <v>722</v>
      </c>
      <c r="BO594" t="s">
        <v>161</v>
      </c>
      <c r="BP594">
        <v>1</v>
      </c>
      <c r="BQ594" t="s">
        <v>1281</v>
      </c>
      <c r="BR594" s="45">
        <f>ISNUMBER(SEARCH($BR$1,Таблица1[[#This Row],[31_1 Описание и характеристика товара]]))*1</f>
        <v>1</v>
      </c>
      <c r="BT594" t="s">
        <v>150</v>
      </c>
      <c r="BU594">
        <v>33</v>
      </c>
      <c r="BV594">
        <v>0</v>
      </c>
      <c r="BW594">
        <v>0</v>
      </c>
      <c r="BY594">
        <v>0</v>
      </c>
      <c r="CA594" t="s">
        <v>106</v>
      </c>
      <c r="CB594" t="s">
        <v>142</v>
      </c>
      <c r="CC594" t="s">
        <v>112</v>
      </c>
      <c r="CD594" t="s">
        <v>112</v>
      </c>
      <c r="CE594" t="s">
        <v>121</v>
      </c>
      <c r="CF594">
        <v>17081.82</v>
      </c>
      <c r="CG594" t="s">
        <v>144</v>
      </c>
      <c r="CH594">
        <v>4000000</v>
      </c>
      <c r="CI594">
        <v>17081.82</v>
      </c>
      <c r="CJ594">
        <v>0</v>
      </c>
      <c r="CK594" t="s">
        <v>112</v>
      </c>
      <c r="CL594" t="s">
        <v>112</v>
      </c>
      <c r="CM594">
        <v>47005.599999999999</v>
      </c>
      <c r="CN594">
        <v>4695342</v>
      </c>
      <c r="CO594">
        <v>0</v>
      </c>
      <c r="CP594">
        <v>1</v>
      </c>
      <c r="CQ594">
        <v>5107883.95</v>
      </c>
      <c r="CR594">
        <v>56362.67</v>
      </c>
      <c r="CS594" t="s">
        <v>145</v>
      </c>
      <c r="CT594">
        <v>56370.005999999994</v>
      </c>
      <c r="CU594">
        <v>3.3</v>
      </c>
      <c r="CV594">
        <v>45</v>
      </c>
      <c r="CW594" t="s">
        <v>171</v>
      </c>
      <c r="CX594" t="s">
        <v>463</v>
      </c>
      <c r="CY594">
        <v>150</v>
      </c>
    </row>
    <row r="595" spans="1:103" x14ac:dyDescent="0.25">
      <c r="A595" t="s">
        <v>106</v>
      </c>
      <c r="B595" s="38">
        <v>45238</v>
      </c>
      <c r="C595" s="43">
        <f>IF(YEAR(Таблица1[[#This Row],[Дата]])=2023,MONTH(Таблица1[[#This Row],[Дата]]),0)</f>
        <v>11</v>
      </c>
      <c r="D595" t="s">
        <v>1473</v>
      </c>
      <c r="E595" t="s">
        <v>108</v>
      </c>
      <c r="F595" t="s">
        <v>1474</v>
      </c>
      <c r="G595" t="s">
        <v>110</v>
      </c>
      <c r="H595" t="s">
        <v>111</v>
      </c>
      <c r="I595" t="s">
        <v>112</v>
      </c>
      <c r="J595" t="s">
        <v>112</v>
      </c>
      <c r="K595" t="s">
        <v>112</v>
      </c>
      <c r="L595" t="s">
        <v>150</v>
      </c>
      <c r="M595" t="s">
        <v>1439</v>
      </c>
      <c r="N595" t="s">
        <v>112</v>
      </c>
      <c r="O595" t="s">
        <v>112</v>
      </c>
      <c r="P595">
        <v>1</v>
      </c>
      <c r="Q595">
        <v>0</v>
      </c>
      <c r="R595">
        <v>1</v>
      </c>
      <c r="S595">
        <v>33</v>
      </c>
      <c r="T595" t="s">
        <v>166</v>
      </c>
      <c r="U595" t="s">
        <v>152</v>
      </c>
      <c r="V595" t="s">
        <v>153</v>
      </c>
      <c r="W595" t="s">
        <v>154</v>
      </c>
      <c r="X595" t="s">
        <v>119</v>
      </c>
      <c r="Y595" t="s">
        <v>112</v>
      </c>
      <c r="Z595" t="s">
        <v>166</v>
      </c>
      <c r="AA595" t="s">
        <v>152</v>
      </c>
      <c r="AB595" t="s">
        <v>153</v>
      </c>
      <c r="AC595" t="s">
        <v>154</v>
      </c>
      <c r="AD595" t="s">
        <v>119</v>
      </c>
      <c r="AE595" t="s">
        <v>112</v>
      </c>
      <c r="AF595" t="s">
        <v>121</v>
      </c>
      <c r="AG595" t="s">
        <v>122</v>
      </c>
      <c r="AH595">
        <v>4394053.18</v>
      </c>
      <c r="AI595" t="s">
        <v>166</v>
      </c>
      <c r="AJ595" t="s">
        <v>152</v>
      </c>
      <c r="AK595" t="s">
        <v>153</v>
      </c>
      <c r="AL595" t="s">
        <v>154</v>
      </c>
      <c r="AM595" t="s">
        <v>119</v>
      </c>
      <c r="AN595" t="s">
        <v>112</v>
      </c>
      <c r="AO595" t="s">
        <v>121</v>
      </c>
      <c r="AP595" t="s">
        <v>122</v>
      </c>
      <c r="AQ595" t="s">
        <v>122</v>
      </c>
      <c r="AR595" t="s">
        <v>124</v>
      </c>
      <c r="AS595" t="s">
        <v>125</v>
      </c>
      <c r="AT595">
        <v>2</v>
      </c>
      <c r="AU595" t="s">
        <v>126</v>
      </c>
      <c r="AV595" t="s">
        <v>155</v>
      </c>
      <c r="AW595" t="s">
        <v>156</v>
      </c>
      <c r="AX595">
        <v>1</v>
      </c>
      <c r="AY595" t="s">
        <v>129</v>
      </c>
      <c r="AZ595">
        <v>39859.360000000001</v>
      </c>
      <c r="BA595">
        <v>3981512</v>
      </c>
      <c r="BB595">
        <v>48485.94</v>
      </c>
      <c r="BC595">
        <v>99.888999999999996</v>
      </c>
      <c r="BD595" t="s">
        <v>130</v>
      </c>
      <c r="BE595" t="s">
        <v>112</v>
      </c>
      <c r="BF595" t="s">
        <v>157</v>
      </c>
      <c r="BG595" t="s">
        <v>133</v>
      </c>
      <c r="BH595" t="s">
        <v>134</v>
      </c>
      <c r="BI595" t="s">
        <v>112</v>
      </c>
      <c r="BJ595" t="s">
        <v>112</v>
      </c>
      <c r="BK595" t="s">
        <v>112</v>
      </c>
      <c r="BL595" t="s">
        <v>169</v>
      </c>
      <c r="BM595" t="s">
        <v>159</v>
      </c>
      <c r="BN595" t="s">
        <v>722</v>
      </c>
      <c r="BO595" t="s">
        <v>161</v>
      </c>
      <c r="BP595">
        <v>1</v>
      </c>
      <c r="BQ595" t="s">
        <v>162</v>
      </c>
      <c r="BR595" s="45">
        <f>ISNUMBER(SEARCH($BR$1,Таблица1[[#This Row],[31_1 Описание и характеристика товара]]))*1</f>
        <v>1</v>
      </c>
      <c r="BT595" t="s">
        <v>150</v>
      </c>
      <c r="BU595">
        <v>33</v>
      </c>
      <c r="BV595">
        <v>0</v>
      </c>
      <c r="BW595">
        <v>0</v>
      </c>
      <c r="BY595">
        <v>0</v>
      </c>
      <c r="CA595" t="s">
        <v>106</v>
      </c>
      <c r="CB595" t="s">
        <v>142</v>
      </c>
      <c r="CC595" t="s">
        <v>112</v>
      </c>
      <c r="CD595" t="s">
        <v>112</v>
      </c>
      <c r="CE595" t="s">
        <v>121</v>
      </c>
      <c r="CF595">
        <v>16639.61</v>
      </c>
      <c r="CG595" t="s">
        <v>144</v>
      </c>
      <c r="CH595">
        <v>4000000</v>
      </c>
      <c r="CI595">
        <v>16586.810000000001</v>
      </c>
      <c r="CJ595">
        <v>0</v>
      </c>
      <c r="CK595" t="s">
        <v>112</v>
      </c>
      <c r="CL595" t="s">
        <v>112</v>
      </c>
      <c r="CM595">
        <v>39859.360000000001</v>
      </c>
      <c r="CN595">
        <v>3981512</v>
      </c>
      <c r="CO595">
        <v>0</v>
      </c>
      <c r="CP595">
        <v>1</v>
      </c>
      <c r="CQ595">
        <v>4394053.18</v>
      </c>
      <c r="CR595">
        <v>48485.94</v>
      </c>
      <c r="CS595" t="s">
        <v>145</v>
      </c>
      <c r="CT595">
        <v>48433.485200000003</v>
      </c>
      <c r="CU595">
        <v>2.92</v>
      </c>
      <c r="CV595">
        <v>45</v>
      </c>
      <c r="CW595" t="s">
        <v>171</v>
      </c>
      <c r="CX595" t="s">
        <v>372</v>
      </c>
      <c r="CY595">
        <v>571</v>
      </c>
    </row>
    <row r="596" spans="1:103" x14ac:dyDescent="0.25">
      <c r="A596" t="s">
        <v>106</v>
      </c>
      <c r="B596" s="38">
        <v>44994</v>
      </c>
      <c r="C596" s="43">
        <f>IF(YEAR(Таблица1[[#This Row],[Дата]])=2023,MONTH(Таблица1[[#This Row],[Дата]]),0)</f>
        <v>3</v>
      </c>
      <c r="D596" t="s">
        <v>1309</v>
      </c>
      <c r="E596" t="s">
        <v>108</v>
      </c>
      <c r="F596" t="s">
        <v>1310</v>
      </c>
      <c r="G596" t="s">
        <v>110</v>
      </c>
      <c r="H596" t="s">
        <v>111</v>
      </c>
      <c r="I596" t="s">
        <v>112</v>
      </c>
      <c r="J596" t="s">
        <v>112</v>
      </c>
      <c r="K596" t="s">
        <v>112</v>
      </c>
      <c r="L596" t="s">
        <v>150</v>
      </c>
      <c r="M596" t="s">
        <v>1060</v>
      </c>
      <c r="N596" t="s">
        <v>112</v>
      </c>
      <c r="O596" t="s">
        <v>112</v>
      </c>
      <c r="P596">
        <v>1</v>
      </c>
      <c r="Q596">
        <v>0</v>
      </c>
      <c r="R596">
        <v>1</v>
      </c>
      <c r="S596">
        <v>33</v>
      </c>
      <c r="T596" t="s">
        <v>166</v>
      </c>
      <c r="U596" t="s">
        <v>152</v>
      </c>
      <c r="V596" t="s">
        <v>153</v>
      </c>
      <c r="W596" t="s">
        <v>154</v>
      </c>
      <c r="X596" t="s">
        <v>119</v>
      </c>
      <c r="Y596" t="s">
        <v>112</v>
      </c>
      <c r="Z596" t="s">
        <v>166</v>
      </c>
      <c r="AA596" t="s">
        <v>152</v>
      </c>
      <c r="AB596" t="s">
        <v>153</v>
      </c>
      <c r="AC596" t="s">
        <v>154</v>
      </c>
      <c r="AD596" t="s">
        <v>119</v>
      </c>
      <c r="AE596" t="s">
        <v>112</v>
      </c>
      <c r="AF596" t="s">
        <v>121</v>
      </c>
      <c r="AG596" t="s">
        <v>122</v>
      </c>
      <c r="AH596">
        <v>4136539.91</v>
      </c>
      <c r="AI596" t="s">
        <v>166</v>
      </c>
      <c r="AJ596" t="s">
        <v>152</v>
      </c>
      <c r="AK596" t="s">
        <v>153</v>
      </c>
      <c r="AL596" t="s">
        <v>154</v>
      </c>
      <c r="AM596" t="s">
        <v>119</v>
      </c>
      <c r="AN596" t="s">
        <v>112</v>
      </c>
      <c r="AO596" t="s">
        <v>121</v>
      </c>
      <c r="AP596" t="s">
        <v>122</v>
      </c>
      <c r="AQ596" t="s">
        <v>122</v>
      </c>
      <c r="AR596" t="s">
        <v>124</v>
      </c>
      <c r="AS596" t="s">
        <v>125</v>
      </c>
      <c r="AT596">
        <v>2</v>
      </c>
      <c r="AU596" t="s">
        <v>126</v>
      </c>
      <c r="AV596" t="s">
        <v>155</v>
      </c>
      <c r="AW596" t="s">
        <v>156</v>
      </c>
      <c r="AX596">
        <v>1</v>
      </c>
      <c r="AY596" t="s">
        <v>129</v>
      </c>
      <c r="AZ596">
        <v>42345</v>
      </c>
      <c r="BA596">
        <v>3768946</v>
      </c>
      <c r="BB596">
        <v>50053.91</v>
      </c>
      <c r="BC596">
        <v>89.005700000000004</v>
      </c>
      <c r="BD596" t="s">
        <v>130</v>
      </c>
      <c r="BE596" t="s">
        <v>112</v>
      </c>
      <c r="BF596" t="s">
        <v>157</v>
      </c>
      <c r="BG596" t="s">
        <v>133</v>
      </c>
      <c r="BH596" t="s">
        <v>134</v>
      </c>
      <c r="BI596" t="s">
        <v>112</v>
      </c>
      <c r="BJ596" t="s">
        <v>112</v>
      </c>
      <c r="BK596" t="s">
        <v>112</v>
      </c>
      <c r="BL596" t="s">
        <v>169</v>
      </c>
      <c r="BM596" t="s">
        <v>159</v>
      </c>
      <c r="BN596" t="s">
        <v>722</v>
      </c>
      <c r="BO596" t="s">
        <v>161</v>
      </c>
      <c r="BP596">
        <v>1</v>
      </c>
      <c r="BQ596" t="s">
        <v>232</v>
      </c>
      <c r="BR596" s="45">
        <f>ISNUMBER(SEARCH($BR$1,Таблица1[[#This Row],[31_1 Описание и характеристика товара]]))*1</f>
        <v>1</v>
      </c>
      <c r="BT596" t="s">
        <v>150</v>
      </c>
      <c r="BU596">
        <v>33</v>
      </c>
      <c r="BV596">
        <v>0</v>
      </c>
      <c r="BW596">
        <v>0</v>
      </c>
      <c r="BY596">
        <v>0</v>
      </c>
      <c r="CA596" t="s">
        <v>106</v>
      </c>
      <c r="CB596" t="s">
        <v>142</v>
      </c>
      <c r="CC596" t="s">
        <v>112</v>
      </c>
      <c r="CD596" t="s">
        <v>112</v>
      </c>
      <c r="CE596" t="s">
        <v>121</v>
      </c>
      <c r="CF596">
        <v>16885.439999999999</v>
      </c>
      <c r="CG596" t="s">
        <v>144</v>
      </c>
      <c r="CH596">
        <v>4000000</v>
      </c>
      <c r="CI596">
        <v>16885.439999999999</v>
      </c>
      <c r="CJ596">
        <v>0</v>
      </c>
      <c r="CK596" t="s">
        <v>112</v>
      </c>
      <c r="CL596" t="s">
        <v>112</v>
      </c>
      <c r="CM596">
        <v>42345</v>
      </c>
      <c r="CN596">
        <v>3768946</v>
      </c>
      <c r="CO596">
        <v>0</v>
      </c>
      <c r="CP596">
        <v>1</v>
      </c>
      <c r="CQ596">
        <v>4136539.91</v>
      </c>
      <c r="CR596">
        <v>50053.91</v>
      </c>
      <c r="CS596" t="s">
        <v>145</v>
      </c>
      <c r="CT596">
        <v>49980.902399999999</v>
      </c>
      <c r="CU596">
        <v>2.96</v>
      </c>
      <c r="CV596">
        <v>45</v>
      </c>
      <c r="CW596" t="s">
        <v>171</v>
      </c>
      <c r="CX596" t="s">
        <v>350</v>
      </c>
      <c r="CY596">
        <v>340</v>
      </c>
    </row>
    <row r="597" spans="1:103" x14ac:dyDescent="0.25">
      <c r="A597" t="s">
        <v>106</v>
      </c>
      <c r="B597" s="38">
        <v>45011</v>
      </c>
      <c r="C597" s="43">
        <f>IF(YEAR(Таблица1[[#This Row],[Дата]])=2023,MONTH(Таблица1[[#This Row],[Дата]]),0)</f>
        <v>3</v>
      </c>
      <c r="D597" t="s">
        <v>1305</v>
      </c>
      <c r="E597" t="s">
        <v>108</v>
      </c>
      <c r="F597" t="s">
        <v>1306</v>
      </c>
      <c r="G597" t="s">
        <v>110</v>
      </c>
      <c r="H597" t="s">
        <v>111</v>
      </c>
      <c r="I597" t="s">
        <v>112</v>
      </c>
      <c r="J597" t="s">
        <v>112</v>
      </c>
      <c r="K597" t="s">
        <v>112</v>
      </c>
      <c r="L597" t="s">
        <v>150</v>
      </c>
      <c r="M597" t="s">
        <v>1060</v>
      </c>
      <c r="N597" t="s">
        <v>112</v>
      </c>
      <c r="O597" t="s">
        <v>112</v>
      </c>
      <c r="P597">
        <v>1</v>
      </c>
      <c r="Q597">
        <v>0</v>
      </c>
      <c r="R597">
        <v>1</v>
      </c>
      <c r="S597">
        <v>33</v>
      </c>
      <c r="T597" t="s">
        <v>166</v>
      </c>
      <c r="U597" t="s">
        <v>152</v>
      </c>
      <c r="V597" t="s">
        <v>153</v>
      </c>
      <c r="W597" t="s">
        <v>154</v>
      </c>
      <c r="X597" t="s">
        <v>119</v>
      </c>
      <c r="Y597" t="s">
        <v>112</v>
      </c>
      <c r="Z597" t="s">
        <v>166</v>
      </c>
      <c r="AA597" t="s">
        <v>152</v>
      </c>
      <c r="AB597" t="s">
        <v>153</v>
      </c>
      <c r="AC597" t="s">
        <v>154</v>
      </c>
      <c r="AD597" t="s">
        <v>119</v>
      </c>
      <c r="AE597" t="s">
        <v>112</v>
      </c>
      <c r="AF597" t="s">
        <v>121</v>
      </c>
      <c r="AG597" t="s">
        <v>122</v>
      </c>
      <c r="AH597">
        <v>4157559.49</v>
      </c>
      <c r="AI597" t="s">
        <v>166</v>
      </c>
      <c r="AJ597" t="s">
        <v>152</v>
      </c>
      <c r="AK597" t="s">
        <v>153</v>
      </c>
      <c r="AL597" t="s">
        <v>154</v>
      </c>
      <c r="AM597" t="s">
        <v>119</v>
      </c>
      <c r="AN597" t="s">
        <v>112</v>
      </c>
      <c r="AO597" t="s">
        <v>121</v>
      </c>
      <c r="AP597" t="s">
        <v>122</v>
      </c>
      <c r="AQ597" t="s">
        <v>122</v>
      </c>
      <c r="AR597" t="s">
        <v>124</v>
      </c>
      <c r="AS597" t="s">
        <v>125</v>
      </c>
      <c r="AT597">
        <v>2</v>
      </c>
      <c r="AU597" t="s">
        <v>126</v>
      </c>
      <c r="AV597" t="s">
        <v>155</v>
      </c>
      <c r="AW597" t="s">
        <v>156</v>
      </c>
      <c r="AX597">
        <v>1</v>
      </c>
      <c r="AY597" t="s">
        <v>129</v>
      </c>
      <c r="AZ597">
        <v>42581.16</v>
      </c>
      <c r="BA597">
        <v>3789966</v>
      </c>
      <c r="BB597">
        <v>50308.25</v>
      </c>
      <c r="BC597">
        <v>89.005700000000004</v>
      </c>
      <c r="BD597" t="s">
        <v>130</v>
      </c>
      <c r="BE597" t="s">
        <v>112</v>
      </c>
      <c r="BF597" t="s">
        <v>157</v>
      </c>
      <c r="BG597" t="s">
        <v>133</v>
      </c>
      <c r="BH597" t="s">
        <v>134</v>
      </c>
      <c r="BI597" t="s">
        <v>112</v>
      </c>
      <c r="BJ597" t="s">
        <v>112</v>
      </c>
      <c r="BK597" t="s">
        <v>112</v>
      </c>
      <c r="BL597" t="s">
        <v>169</v>
      </c>
      <c r="BM597" t="s">
        <v>159</v>
      </c>
      <c r="BN597" t="s">
        <v>722</v>
      </c>
      <c r="BO597" t="s">
        <v>161</v>
      </c>
      <c r="BP597">
        <v>1</v>
      </c>
      <c r="BQ597" t="s">
        <v>466</v>
      </c>
      <c r="BR597" s="45">
        <f>ISNUMBER(SEARCH($BR$1,Таблица1[[#This Row],[31_1 Описание и характеристика товара]]))*1</f>
        <v>1</v>
      </c>
      <c r="BT597" t="s">
        <v>150</v>
      </c>
      <c r="BU597">
        <v>33</v>
      </c>
      <c r="BV597">
        <v>0</v>
      </c>
      <c r="BW597">
        <v>0</v>
      </c>
      <c r="BY597">
        <v>0</v>
      </c>
      <c r="CA597" t="s">
        <v>106</v>
      </c>
      <c r="CB597" t="s">
        <v>142</v>
      </c>
      <c r="CC597" t="s">
        <v>112</v>
      </c>
      <c r="CD597" t="s">
        <v>112</v>
      </c>
      <c r="CE597" t="s">
        <v>121</v>
      </c>
      <c r="CF597">
        <v>16942.490000000002</v>
      </c>
      <c r="CG597" t="s">
        <v>144</v>
      </c>
      <c r="CH597">
        <v>4000000</v>
      </c>
      <c r="CI597">
        <v>16942.490000000002</v>
      </c>
      <c r="CJ597">
        <v>0</v>
      </c>
      <c r="CK597" t="s">
        <v>112</v>
      </c>
      <c r="CL597" t="s">
        <v>112</v>
      </c>
      <c r="CM597">
        <v>42581.16</v>
      </c>
      <c r="CN597">
        <v>3789966</v>
      </c>
      <c r="CO597">
        <v>0</v>
      </c>
      <c r="CP597">
        <v>1</v>
      </c>
      <c r="CQ597">
        <v>4157559.49</v>
      </c>
      <c r="CR597">
        <v>50308.25</v>
      </c>
      <c r="CS597" t="s">
        <v>145</v>
      </c>
      <c r="CT597">
        <v>50319.195300000007</v>
      </c>
      <c r="CU597">
        <v>2.97</v>
      </c>
      <c r="CV597">
        <v>45</v>
      </c>
      <c r="CW597" t="s">
        <v>171</v>
      </c>
      <c r="CX597" t="s">
        <v>369</v>
      </c>
      <c r="CY597">
        <v>144</v>
      </c>
    </row>
    <row r="598" spans="1:103" x14ac:dyDescent="0.25">
      <c r="A598" t="s">
        <v>106</v>
      </c>
      <c r="B598" s="38">
        <v>45184</v>
      </c>
      <c r="C598" s="43">
        <f>IF(YEAR(Таблица1[[#This Row],[Дата]])=2023,MONTH(Таблица1[[#This Row],[Дата]]),0)</f>
        <v>9</v>
      </c>
      <c r="D598" t="s">
        <v>1295</v>
      </c>
      <c r="E598" t="s">
        <v>108</v>
      </c>
      <c r="F598" t="s">
        <v>1296</v>
      </c>
      <c r="G598" t="s">
        <v>110</v>
      </c>
      <c r="H598" t="s">
        <v>111</v>
      </c>
      <c r="I598" t="s">
        <v>112</v>
      </c>
      <c r="J598" t="s">
        <v>112</v>
      </c>
      <c r="K598" t="s">
        <v>112</v>
      </c>
      <c r="L598" t="s">
        <v>150</v>
      </c>
      <c r="M598" t="s">
        <v>1060</v>
      </c>
      <c r="N598" t="s">
        <v>112</v>
      </c>
      <c r="O598" t="s">
        <v>112</v>
      </c>
      <c r="P598">
        <v>1</v>
      </c>
      <c r="Q598">
        <v>0</v>
      </c>
      <c r="R598">
        <v>1</v>
      </c>
      <c r="S598">
        <v>33</v>
      </c>
      <c r="T598" t="s">
        <v>166</v>
      </c>
      <c r="U598" t="s">
        <v>152</v>
      </c>
      <c r="V598" t="s">
        <v>153</v>
      </c>
      <c r="W598" t="s">
        <v>154</v>
      </c>
      <c r="X598" t="s">
        <v>119</v>
      </c>
      <c r="Y598" t="s">
        <v>112</v>
      </c>
      <c r="Z598" t="s">
        <v>166</v>
      </c>
      <c r="AA598" t="s">
        <v>152</v>
      </c>
      <c r="AB598" t="s">
        <v>153</v>
      </c>
      <c r="AC598" t="s">
        <v>154</v>
      </c>
      <c r="AD598" t="s">
        <v>119</v>
      </c>
      <c r="AE598" t="s">
        <v>112</v>
      </c>
      <c r="AF598" t="s">
        <v>121</v>
      </c>
      <c r="AG598" t="s">
        <v>122</v>
      </c>
      <c r="AH598">
        <v>4331198.9400000004</v>
      </c>
      <c r="AI598" t="s">
        <v>166</v>
      </c>
      <c r="AJ598" t="s">
        <v>152</v>
      </c>
      <c r="AK598" t="s">
        <v>153</v>
      </c>
      <c r="AL598" t="s">
        <v>154</v>
      </c>
      <c r="AM598" t="s">
        <v>119</v>
      </c>
      <c r="AN598" t="s">
        <v>112</v>
      </c>
      <c r="AO598" t="s">
        <v>121</v>
      </c>
      <c r="AP598" t="s">
        <v>122</v>
      </c>
      <c r="AQ598" t="s">
        <v>122</v>
      </c>
      <c r="AR598" t="s">
        <v>124</v>
      </c>
      <c r="AS598" t="s">
        <v>125</v>
      </c>
      <c r="AT598">
        <v>2</v>
      </c>
      <c r="AU598" t="s">
        <v>126</v>
      </c>
      <c r="AV598" t="s">
        <v>155</v>
      </c>
      <c r="AW598" t="s">
        <v>156</v>
      </c>
      <c r="AX598">
        <v>1</v>
      </c>
      <c r="AY598" t="s">
        <v>129</v>
      </c>
      <c r="AZ598">
        <v>44012.04</v>
      </c>
      <c r="BA598">
        <v>3917322</v>
      </c>
      <c r="BB598">
        <v>52409.36</v>
      </c>
      <c r="BC598">
        <v>89.005700000000004</v>
      </c>
      <c r="BD598" t="s">
        <v>130</v>
      </c>
      <c r="BE598" t="s">
        <v>112</v>
      </c>
      <c r="BF598" t="s">
        <v>157</v>
      </c>
      <c r="BG598" t="s">
        <v>133</v>
      </c>
      <c r="BH598" t="s">
        <v>134</v>
      </c>
      <c r="BI598" t="s">
        <v>112</v>
      </c>
      <c r="BJ598" t="s">
        <v>112</v>
      </c>
      <c r="BK598" t="s">
        <v>112</v>
      </c>
      <c r="BL598" t="s">
        <v>169</v>
      </c>
      <c r="BM598" t="s">
        <v>159</v>
      </c>
      <c r="BN598" t="s">
        <v>722</v>
      </c>
      <c r="BO598" t="s">
        <v>161</v>
      </c>
      <c r="BP598">
        <v>1</v>
      </c>
      <c r="BQ598" t="s">
        <v>205</v>
      </c>
      <c r="BR598" s="45">
        <f>ISNUMBER(SEARCH($BR$1,Таблица1[[#This Row],[31_1 Описание и характеристика товара]]))*1</f>
        <v>1</v>
      </c>
      <c r="BT598" t="s">
        <v>150</v>
      </c>
      <c r="BU598">
        <v>33</v>
      </c>
      <c r="BV598">
        <v>0</v>
      </c>
      <c r="BW598">
        <v>0</v>
      </c>
      <c r="BY598">
        <v>0</v>
      </c>
      <c r="CA598" t="s">
        <v>106</v>
      </c>
      <c r="CB598" t="s">
        <v>142</v>
      </c>
      <c r="CC598" t="s">
        <v>112</v>
      </c>
      <c r="CD598" t="s">
        <v>112</v>
      </c>
      <c r="CE598" t="s">
        <v>121</v>
      </c>
      <c r="CF598">
        <v>16713.37</v>
      </c>
      <c r="CG598" t="s">
        <v>144</v>
      </c>
      <c r="CH598">
        <v>4000000</v>
      </c>
      <c r="CI598">
        <v>16677.37</v>
      </c>
      <c r="CJ598">
        <v>0</v>
      </c>
      <c r="CK598" t="s">
        <v>112</v>
      </c>
      <c r="CL598" t="s">
        <v>112</v>
      </c>
      <c r="CM598">
        <v>44012.04</v>
      </c>
      <c r="CN598">
        <v>3917322</v>
      </c>
      <c r="CO598">
        <v>0</v>
      </c>
      <c r="CP598">
        <v>1</v>
      </c>
      <c r="CQ598">
        <v>4331198.9400000004</v>
      </c>
      <c r="CR598">
        <v>52409.36</v>
      </c>
      <c r="CS598" t="s">
        <v>145</v>
      </c>
      <c r="CT598">
        <v>52366.941800000001</v>
      </c>
      <c r="CU598">
        <v>3.14</v>
      </c>
      <c r="CV598">
        <v>45</v>
      </c>
      <c r="CW598" t="s">
        <v>171</v>
      </c>
      <c r="CX598" t="s">
        <v>463</v>
      </c>
      <c r="CY598">
        <v>169</v>
      </c>
    </row>
    <row r="599" spans="1:103" x14ac:dyDescent="0.25">
      <c r="A599" t="s">
        <v>106</v>
      </c>
      <c r="B599" s="38">
        <v>45149</v>
      </c>
      <c r="C599" s="43">
        <f>IF(YEAR(Таблица1[[#This Row],[Дата]])=2023,MONTH(Таблица1[[#This Row],[Дата]]),0)</f>
        <v>8</v>
      </c>
      <c r="D599" t="s">
        <v>1311</v>
      </c>
      <c r="E599" t="s">
        <v>108</v>
      </c>
      <c r="F599" t="s">
        <v>1312</v>
      </c>
      <c r="G599" t="s">
        <v>110</v>
      </c>
      <c r="H599" t="s">
        <v>111</v>
      </c>
      <c r="I599" t="s">
        <v>112</v>
      </c>
      <c r="J599" t="s">
        <v>112</v>
      </c>
      <c r="K599" t="s">
        <v>112</v>
      </c>
      <c r="L599" t="s">
        <v>150</v>
      </c>
      <c r="M599" t="s">
        <v>1060</v>
      </c>
      <c r="N599" t="s">
        <v>112</v>
      </c>
      <c r="O599" t="s">
        <v>112</v>
      </c>
      <c r="P599">
        <v>1</v>
      </c>
      <c r="Q599">
        <v>0</v>
      </c>
      <c r="R599">
        <v>1</v>
      </c>
      <c r="S599">
        <v>33</v>
      </c>
      <c r="T599" t="s">
        <v>166</v>
      </c>
      <c r="U599" t="s">
        <v>152</v>
      </c>
      <c r="V599" t="s">
        <v>153</v>
      </c>
      <c r="W599" t="s">
        <v>154</v>
      </c>
      <c r="X599" t="s">
        <v>119</v>
      </c>
      <c r="Y599" t="s">
        <v>112</v>
      </c>
      <c r="Z599" t="s">
        <v>166</v>
      </c>
      <c r="AA599" t="s">
        <v>152</v>
      </c>
      <c r="AB599" t="s">
        <v>153</v>
      </c>
      <c r="AC599" t="s">
        <v>154</v>
      </c>
      <c r="AD599" t="s">
        <v>119</v>
      </c>
      <c r="AE599" t="s">
        <v>112</v>
      </c>
      <c r="AF599" t="s">
        <v>121</v>
      </c>
      <c r="AG599" t="s">
        <v>122</v>
      </c>
      <c r="AH599">
        <v>4289932.33</v>
      </c>
      <c r="AI599" t="s">
        <v>166</v>
      </c>
      <c r="AJ599" t="s">
        <v>152</v>
      </c>
      <c r="AK599" t="s">
        <v>153</v>
      </c>
      <c r="AL599" t="s">
        <v>154</v>
      </c>
      <c r="AM599" t="s">
        <v>119</v>
      </c>
      <c r="AN599" t="s">
        <v>112</v>
      </c>
      <c r="AO599" t="s">
        <v>121</v>
      </c>
      <c r="AP599" t="s">
        <v>122</v>
      </c>
      <c r="AQ599" t="s">
        <v>122</v>
      </c>
      <c r="AR599" t="s">
        <v>124</v>
      </c>
      <c r="AS599" t="s">
        <v>125</v>
      </c>
      <c r="AT599">
        <v>2</v>
      </c>
      <c r="AU599" t="s">
        <v>126</v>
      </c>
      <c r="AV599" t="s">
        <v>155</v>
      </c>
      <c r="AW599" t="s">
        <v>156</v>
      </c>
      <c r="AX599">
        <v>1</v>
      </c>
      <c r="AY599" t="s">
        <v>129</v>
      </c>
      <c r="AZ599">
        <v>44068.4</v>
      </c>
      <c r="BA599">
        <v>3922339</v>
      </c>
      <c r="BB599">
        <v>51910.02</v>
      </c>
      <c r="BC599">
        <v>89.005700000000004</v>
      </c>
      <c r="BD599" t="s">
        <v>130</v>
      </c>
      <c r="BE599" t="s">
        <v>112</v>
      </c>
      <c r="BF599" t="s">
        <v>157</v>
      </c>
      <c r="BG599" t="s">
        <v>133</v>
      </c>
      <c r="BH599" t="s">
        <v>134</v>
      </c>
      <c r="BI599" t="s">
        <v>112</v>
      </c>
      <c r="BJ599" t="s">
        <v>112</v>
      </c>
      <c r="BK599" t="s">
        <v>112</v>
      </c>
      <c r="BL599" t="s">
        <v>169</v>
      </c>
      <c r="BM599" t="s">
        <v>159</v>
      </c>
      <c r="BN599" t="s">
        <v>722</v>
      </c>
      <c r="BO599" t="s">
        <v>161</v>
      </c>
      <c r="BP599">
        <v>1</v>
      </c>
      <c r="BQ599" t="s">
        <v>162</v>
      </c>
      <c r="BR599" s="45">
        <f>ISNUMBER(SEARCH($BR$1,Таблица1[[#This Row],[31_1 Описание и характеристика товара]]))*1</f>
        <v>1</v>
      </c>
      <c r="BT599" t="s">
        <v>150</v>
      </c>
      <c r="BU599">
        <v>33</v>
      </c>
      <c r="BV599">
        <v>0</v>
      </c>
      <c r="BW599">
        <v>0</v>
      </c>
      <c r="BY599">
        <v>0</v>
      </c>
      <c r="CA599" t="s">
        <v>106</v>
      </c>
      <c r="CB599" t="s">
        <v>142</v>
      </c>
      <c r="CC599" t="s">
        <v>112</v>
      </c>
      <c r="CD599" t="s">
        <v>112</v>
      </c>
      <c r="CE599" t="s">
        <v>121</v>
      </c>
      <c r="CF599">
        <v>16856.759999999998</v>
      </c>
      <c r="CG599" t="s">
        <v>144</v>
      </c>
      <c r="CH599">
        <v>4000000</v>
      </c>
      <c r="CI599">
        <v>16791.96</v>
      </c>
      <c r="CJ599">
        <v>0</v>
      </c>
      <c r="CK599" t="s">
        <v>112</v>
      </c>
      <c r="CL599" t="s">
        <v>112</v>
      </c>
      <c r="CM599">
        <v>44068.4</v>
      </c>
      <c r="CN599">
        <v>3922339</v>
      </c>
      <c r="CO599">
        <v>0</v>
      </c>
      <c r="CP599">
        <v>1</v>
      </c>
      <c r="CQ599">
        <v>4289932.33</v>
      </c>
      <c r="CR599">
        <v>51910.02</v>
      </c>
      <c r="CS599" t="s">
        <v>145</v>
      </c>
      <c r="CT599">
        <v>51887.156399999993</v>
      </c>
      <c r="CU599">
        <v>3.09</v>
      </c>
      <c r="CV599">
        <v>45</v>
      </c>
      <c r="CW599" t="s">
        <v>171</v>
      </c>
      <c r="CX599" t="s">
        <v>372</v>
      </c>
      <c r="CY599">
        <v>80</v>
      </c>
    </row>
    <row r="600" spans="1:103" x14ac:dyDescent="0.25">
      <c r="A600" t="s">
        <v>106</v>
      </c>
      <c r="B600" s="38">
        <v>45047</v>
      </c>
      <c r="C600" s="43">
        <f>IF(YEAR(Таблица1[[#This Row],[Дата]])=2023,MONTH(Таблица1[[#This Row],[Дата]]),0)</f>
        <v>5</v>
      </c>
      <c r="D600" t="s">
        <v>1297</v>
      </c>
      <c r="E600" t="s">
        <v>108</v>
      </c>
      <c r="F600" t="s">
        <v>1298</v>
      </c>
      <c r="G600" t="s">
        <v>110</v>
      </c>
      <c r="H600" t="s">
        <v>111</v>
      </c>
      <c r="I600" t="s">
        <v>112</v>
      </c>
      <c r="J600" t="s">
        <v>112</v>
      </c>
      <c r="K600" t="s">
        <v>112</v>
      </c>
      <c r="L600" t="s">
        <v>150</v>
      </c>
      <c r="M600" t="s">
        <v>1060</v>
      </c>
      <c r="N600" t="s">
        <v>112</v>
      </c>
      <c r="O600" t="s">
        <v>112</v>
      </c>
      <c r="P600">
        <v>1</v>
      </c>
      <c r="Q600">
        <v>0</v>
      </c>
      <c r="R600">
        <v>1</v>
      </c>
      <c r="S600">
        <v>33</v>
      </c>
      <c r="T600" t="s">
        <v>166</v>
      </c>
      <c r="U600" t="s">
        <v>152</v>
      </c>
      <c r="V600" t="s">
        <v>153</v>
      </c>
      <c r="W600" t="s">
        <v>154</v>
      </c>
      <c r="X600" t="s">
        <v>119</v>
      </c>
      <c r="Y600" t="s">
        <v>112</v>
      </c>
      <c r="Z600" t="s">
        <v>166</v>
      </c>
      <c r="AA600" t="s">
        <v>152</v>
      </c>
      <c r="AB600" t="s">
        <v>153</v>
      </c>
      <c r="AC600" t="s">
        <v>154</v>
      </c>
      <c r="AD600" t="s">
        <v>119</v>
      </c>
      <c r="AE600" t="s">
        <v>112</v>
      </c>
      <c r="AF600" t="s">
        <v>121</v>
      </c>
      <c r="AG600" t="s">
        <v>122</v>
      </c>
      <c r="AH600">
        <v>4249306.57</v>
      </c>
      <c r="AI600" t="s">
        <v>166</v>
      </c>
      <c r="AJ600" t="s">
        <v>152</v>
      </c>
      <c r="AK600" t="s">
        <v>153</v>
      </c>
      <c r="AL600" t="s">
        <v>154</v>
      </c>
      <c r="AM600" t="s">
        <v>119</v>
      </c>
      <c r="AN600" t="s">
        <v>112</v>
      </c>
      <c r="AO600" t="s">
        <v>121</v>
      </c>
      <c r="AP600" t="s">
        <v>122</v>
      </c>
      <c r="AQ600" t="s">
        <v>122</v>
      </c>
      <c r="AR600" t="s">
        <v>124</v>
      </c>
      <c r="AS600" t="s">
        <v>125</v>
      </c>
      <c r="AT600">
        <v>2</v>
      </c>
      <c r="AU600" t="s">
        <v>126</v>
      </c>
      <c r="AV600" t="s">
        <v>155</v>
      </c>
      <c r="AW600" t="s">
        <v>156</v>
      </c>
      <c r="AX600">
        <v>1</v>
      </c>
      <c r="AY600" t="s">
        <v>129</v>
      </c>
      <c r="AZ600">
        <v>43091.96</v>
      </c>
      <c r="BA600">
        <v>3835430</v>
      </c>
      <c r="BB600">
        <v>51418.43</v>
      </c>
      <c r="BC600">
        <v>89.005700000000004</v>
      </c>
      <c r="BD600" t="s">
        <v>130</v>
      </c>
      <c r="BE600" t="s">
        <v>112</v>
      </c>
      <c r="BF600" t="s">
        <v>157</v>
      </c>
      <c r="BG600" t="s">
        <v>133</v>
      </c>
      <c r="BH600" t="s">
        <v>167</v>
      </c>
      <c r="BI600" t="s">
        <v>168</v>
      </c>
      <c r="BJ600" t="s">
        <v>112</v>
      </c>
      <c r="BK600" t="s">
        <v>112</v>
      </c>
      <c r="BL600" t="s">
        <v>169</v>
      </c>
      <c r="BM600" t="s">
        <v>159</v>
      </c>
      <c r="BN600" t="s">
        <v>726</v>
      </c>
      <c r="BO600" t="s">
        <v>161</v>
      </c>
      <c r="BP600">
        <v>1</v>
      </c>
      <c r="BQ600" t="s">
        <v>205</v>
      </c>
      <c r="BR600" s="45">
        <f>ISNUMBER(SEARCH($BR$1,Таблица1[[#This Row],[31_1 Описание и характеристика товара]]))*1</f>
        <v>1</v>
      </c>
      <c r="BT600" t="s">
        <v>150</v>
      </c>
      <c r="BU600">
        <v>33</v>
      </c>
      <c r="BV600">
        <v>0</v>
      </c>
      <c r="BW600">
        <v>0</v>
      </c>
      <c r="BY600">
        <v>0</v>
      </c>
      <c r="CA600" t="s">
        <v>106</v>
      </c>
      <c r="CB600" t="s">
        <v>142</v>
      </c>
      <c r="CC600" t="s">
        <v>112</v>
      </c>
      <c r="CD600" t="s">
        <v>112</v>
      </c>
      <c r="CE600" t="s">
        <v>121</v>
      </c>
      <c r="CF600">
        <v>16543.55</v>
      </c>
      <c r="CG600" t="s">
        <v>144</v>
      </c>
      <c r="CH600">
        <v>4000000</v>
      </c>
      <c r="CI600">
        <v>16489.55</v>
      </c>
      <c r="CJ600">
        <v>0</v>
      </c>
      <c r="CK600" t="s">
        <v>112</v>
      </c>
      <c r="CL600" t="s">
        <v>112</v>
      </c>
      <c r="CM600">
        <v>43091.96</v>
      </c>
      <c r="CN600">
        <v>3835430</v>
      </c>
      <c r="CO600">
        <v>0</v>
      </c>
      <c r="CP600">
        <v>1</v>
      </c>
      <c r="CQ600">
        <v>4249306.57</v>
      </c>
      <c r="CR600">
        <v>51418.43</v>
      </c>
      <c r="CS600" t="s">
        <v>145</v>
      </c>
      <c r="CT600">
        <v>51447.396000000001</v>
      </c>
      <c r="CU600">
        <v>3.12</v>
      </c>
      <c r="CV600">
        <v>45</v>
      </c>
      <c r="CW600" t="s">
        <v>171</v>
      </c>
      <c r="CX600" t="s">
        <v>369</v>
      </c>
      <c r="CY600">
        <v>238</v>
      </c>
    </row>
    <row r="601" spans="1:103" x14ac:dyDescent="0.25">
      <c r="A601" t="s">
        <v>106</v>
      </c>
      <c r="B601" s="38">
        <v>44992</v>
      </c>
      <c r="C601" s="43">
        <f>IF(YEAR(Таблица1[[#This Row],[Дата]])=2023,MONTH(Таблица1[[#This Row],[Дата]]),0)</f>
        <v>3</v>
      </c>
      <c r="D601" t="s">
        <v>1301</v>
      </c>
      <c r="E601" t="s">
        <v>108</v>
      </c>
      <c r="F601" t="s">
        <v>1302</v>
      </c>
      <c r="G601" t="s">
        <v>110</v>
      </c>
      <c r="H601" t="s">
        <v>111</v>
      </c>
      <c r="I601" t="s">
        <v>112</v>
      </c>
      <c r="J601" t="s">
        <v>112</v>
      </c>
      <c r="K601" t="s">
        <v>112</v>
      </c>
      <c r="L601" t="s">
        <v>150</v>
      </c>
      <c r="M601" t="s">
        <v>1060</v>
      </c>
      <c r="N601" t="s">
        <v>112</v>
      </c>
      <c r="O601" t="s">
        <v>112</v>
      </c>
      <c r="P601">
        <v>1</v>
      </c>
      <c r="Q601">
        <v>0</v>
      </c>
      <c r="R601">
        <v>1</v>
      </c>
      <c r="S601">
        <v>33</v>
      </c>
      <c r="T601" t="s">
        <v>166</v>
      </c>
      <c r="U601" t="s">
        <v>152</v>
      </c>
      <c r="V601" t="s">
        <v>153</v>
      </c>
      <c r="W601" t="s">
        <v>154</v>
      </c>
      <c r="X601" t="s">
        <v>119</v>
      </c>
      <c r="Y601" t="s">
        <v>112</v>
      </c>
      <c r="Z601" t="s">
        <v>166</v>
      </c>
      <c r="AA601" t="s">
        <v>152</v>
      </c>
      <c r="AB601" t="s">
        <v>153</v>
      </c>
      <c r="AC601" t="s">
        <v>154</v>
      </c>
      <c r="AD601" t="s">
        <v>119</v>
      </c>
      <c r="AE601" t="s">
        <v>112</v>
      </c>
      <c r="AF601" t="s">
        <v>121</v>
      </c>
      <c r="AG601" t="s">
        <v>122</v>
      </c>
      <c r="AH601">
        <v>4170290.87</v>
      </c>
      <c r="AI601" t="s">
        <v>166</v>
      </c>
      <c r="AJ601" t="s">
        <v>152</v>
      </c>
      <c r="AK601" t="s">
        <v>153</v>
      </c>
      <c r="AL601" t="s">
        <v>154</v>
      </c>
      <c r="AM601" t="s">
        <v>119</v>
      </c>
      <c r="AN601" t="s">
        <v>112</v>
      </c>
      <c r="AO601" t="s">
        <v>121</v>
      </c>
      <c r="AP601" t="s">
        <v>122</v>
      </c>
      <c r="AQ601" t="s">
        <v>122</v>
      </c>
      <c r="AR601" t="s">
        <v>124</v>
      </c>
      <c r="AS601" t="s">
        <v>125</v>
      </c>
      <c r="AT601">
        <v>2</v>
      </c>
      <c r="AU601" t="s">
        <v>126</v>
      </c>
      <c r="AV601" t="s">
        <v>155</v>
      </c>
      <c r="AW601" t="s">
        <v>156</v>
      </c>
      <c r="AX601">
        <v>1</v>
      </c>
      <c r="AY601" t="s">
        <v>129</v>
      </c>
      <c r="AZ601">
        <v>42724.2</v>
      </c>
      <c r="BA601">
        <v>3802697</v>
      </c>
      <c r="BB601">
        <v>50462.31</v>
      </c>
      <c r="BC601">
        <v>89.005700000000004</v>
      </c>
      <c r="BD601" t="s">
        <v>130</v>
      </c>
      <c r="BE601" t="s">
        <v>112</v>
      </c>
      <c r="BF601" t="s">
        <v>157</v>
      </c>
      <c r="BG601" t="s">
        <v>133</v>
      </c>
      <c r="BH601" t="s">
        <v>167</v>
      </c>
      <c r="BI601" t="s">
        <v>168</v>
      </c>
      <c r="BJ601" t="s">
        <v>112</v>
      </c>
      <c r="BK601" t="s">
        <v>112</v>
      </c>
      <c r="BL601" t="s">
        <v>169</v>
      </c>
      <c r="BM601" t="s">
        <v>159</v>
      </c>
      <c r="BN601" t="s">
        <v>726</v>
      </c>
      <c r="BO601" t="s">
        <v>161</v>
      </c>
      <c r="BP601">
        <v>1</v>
      </c>
      <c r="BQ601" t="s">
        <v>162</v>
      </c>
      <c r="BR601" s="45">
        <f>ISNUMBER(SEARCH($BR$1,Таблица1[[#This Row],[31_1 Описание и характеристика товара]]))*1</f>
        <v>1</v>
      </c>
      <c r="BT601" t="s">
        <v>150</v>
      </c>
      <c r="BU601">
        <v>33</v>
      </c>
      <c r="BV601">
        <v>0</v>
      </c>
      <c r="BW601">
        <v>0</v>
      </c>
      <c r="BY601">
        <v>0</v>
      </c>
      <c r="CA601" t="s">
        <v>106</v>
      </c>
      <c r="CB601" t="s">
        <v>142</v>
      </c>
      <c r="CC601" t="s">
        <v>112</v>
      </c>
      <c r="CD601" t="s">
        <v>112</v>
      </c>
      <c r="CE601" t="s">
        <v>121</v>
      </c>
      <c r="CF601">
        <v>17143.68</v>
      </c>
      <c r="CG601" t="s">
        <v>144</v>
      </c>
      <c r="CH601">
        <v>4000000</v>
      </c>
      <c r="CI601">
        <v>17143.68</v>
      </c>
      <c r="CJ601">
        <v>0</v>
      </c>
      <c r="CK601" t="s">
        <v>112</v>
      </c>
      <c r="CL601" t="s">
        <v>112</v>
      </c>
      <c r="CM601">
        <v>42724.2</v>
      </c>
      <c r="CN601">
        <v>3802697</v>
      </c>
      <c r="CO601">
        <v>0</v>
      </c>
      <c r="CP601">
        <v>1</v>
      </c>
      <c r="CQ601">
        <v>4170290.87</v>
      </c>
      <c r="CR601">
        <v>50462.31</v>
      </c>
      <c r="CS601" t="s">
        <v>145</v>
      </c>
      <c r="CT601">
        <v>50402.419199999997</v>
      </c>
      <c r="CU601">
        <v>2.94</v>
      </c>
      <c r="CV601">
        <v>45</v>
      </c>
      <c r="CW601" t="s">
        <v>171</v>
      </c>
      <c r="CX601" t="s">
        <v>372</v>
      </c>
      <c r="CY601">
        <v>127</v>
      </c>
    </row>
    <row r="602" spans="1:103" x14ac:dyDescent="0.25">
      <c r="A602" t="s">
        <v>106</v>
      </c>
      <c r="B602" s="38">
        <v>45118</v>
      </c>
      <c r="C602" s="43">
        <f>IF(YEAR(Таблица1[[#This Row],[Дата]])=2023,MONTH(Таблица1[[#This Row],[Дата]]),0)</f>
        <v>7</v>
      </c>
      <c r="D602" t="s">
        <v>1299</v>
      </c>
      <c r="E602" t="s">
        <v>108</v>
      </c>
      <c r="F602" t="s">
        <v>1300</v>
      </c>
      <c r="G602" t="s">
        <v>110</v>
      </c>
      <c r="H602" t="s">
        <v>111</v>
      </c>
      <c r="I602" t="s">
        <v>112</v>
      </c>
      <c r="J602" t="s">
        <v>112</v>
      </c>
      <c r="K602" t="s">
        <v>112</v>
      </c>
      <c r="L602" t="s">
        <v>150</v>
      </c>
      <c r="M602" t="s">
        <v>1060</v>
      </c>
      <c r="N602" t="s">
        <v>112</v>
      </c>
      <c r="O602" t="s">
        <v>112</v>
      </c>
      <c r="P602">
        <v>1</v>
      </c>
      <c r="Q602">
        <v>0</v>
      </c>
      <c r="R602">
        <v>1</v>
      </c>
      <c r="S602">
        <v>33</v>
      </c>
      <c r="T602" t="s">
        <v>166</v>
      </c>
      <c r="U602" t="s">
        <v>152</v>
      </c>
      <c r="V602" t="s">
        <v>153</v>
      </c>
      <c r="W602" t="s">
        <v>154</v>
      </c>
      <c r="X602" t="s">
        <v>119</v>
      </c>
      <c r="Y602" t="s">
        <v>112</v>
      </c>
      <c r="Z602" t="s">
        <v>166</v>
      </c>
      <c r="AA602" t="s">
        <v>152</v>
      </c>
      <c r="AB602" t="s">
        <v>153</v>
      </c>
      <c r="AC602" t="s">
        <v>154</v>
      </c>
      <c r="AD602" t="s">
        <v>119</v>
      </c>
      <c r="AE602" t="s">
        <v>112</v>
      </c>
      <c r="AF602" t="s">
        <v>121</v>
      </c>
      <c r="AG602" t="s">
        <v>122</v>
      </c>
      <c r="AH602">
        <v>4075291.52</v>
      </c>
      <c r="AI602" t="s">
        <v>166</v>
      </c>
      <c r="AJ602" t="s">
        <v>152</v>
      </c>
      <c r="AK602" t="s">
        <v>153</v>
      </c>
      <c r="AL602" t="s">
        <v>154</v>
      </c>
      <c r="AM602" t="s">
        <v>119</v>
      </c>
      <c r="AN602" t="s">
        <v>112</v>
      </c>
      <c r="AO602" t="s">
        <v>121</v>
      </c>
      <c r="AP602" t="s">
        <v>122</v>
      </c>
      <c r="AQ602" t="s">
        <v>122</v>
      </c>
      <c r="AR602" t="s">
        <v>124</v>
      </c>
      <c r="AS602" t="s">
        <v>125</v>
      </c>
      <c r="AT602">
        <v>2</v>
      </c>
      <c r="AU602" t="s">
        <v>126</v>
      </c>
      <c r="AV602" t="s">
        <v>155</v>
      </c>
      <c r="AW602" t="s">
        <v>156</v>
      </c>
      <c r="AX602">
        <v>1</v>
      </c>
      <c r="AY602" t="s">
        <v>129</v>
      </c>
      <c r="AZ602">
        <v>41656.86</v>
      </c>
      <c r="BA602">
        <v>3707698</v>
      </c>
      <c r="BB602">
        <v>49312.77</v>
      </c>
      <c r="BC602">
        <v>89.005700000000004</v>
      </c>
      <c r="BD602" t="s">
        <v>130</v>
      </c>
      <c r="BE602" t="s">
        <v>112</v>
      </c>
      <c r="BF602" t="s">
        <v>157</v>
      </c>
      <c r="BG602" t="s">
        <v>133</v>
      </c>
      <c r="BH602" t="s">
        <v>167</v>
      </c>
      <c r="BI602" t="s">
        <v>168</v>
      </c>
      <c r="BJ602" t="s">
        <v>112</v>
      </c>
      <c r="BK602" t="s">
        <v>112</v>
      </c>
      <c r="BL602" t="s">
        <v>169</v>
      </c>
      <c r="BM602" t="s">
        <v>159</v>
      </c>
      <c r="BN602" t="s">
        <v>726</v>
      </c>
      <c r="BO602" t="s">
        <v>161</v>
      </c>
      <c r="BP602">
        <v>1</v>
      </c>
      <c r="BQ602" t="s">
        <v>205</v>
      </c>
      <c r="BR602" s="45">
        <f>ISNUMBER(SEARCH($BR$1,Таблица1[[#This Row],[31_1 Описание и характеристика товара]]))*1</f>
        <v>1</v>
      </c>
      <c r="BT602" t="s">
        <v>150</v>
      </c>
      <c r="BU602">
        <v>33</v>
      </c>
      <c r="BV602">
        <v>0</v>
      </c>
      <c r="BW602">
        <v>0</v>
      </c>
      <c r="BY602">
        <v>0</v>
      </c>
      <c r="CA602" t="s">
        <v>106</v>
      </c>
      <c r="CB602" t="s">
        <v>142</v>
      </c>
      <c r="CC602" t="s">
        <v>112</v>
      </c>
      <c r="CD602" t="s">
        <v>112</v>
      </c>
      <c r="CE602" t="s">
        <v>121</v>
      </c>
      <c r="CF602">
        <v>16656.29</v>
      </c>
      <c r="CG602" t="s">
        <v>144</v>
      </c>
      <c r="CH602">
        <v>4000000</v>
      </c>
      <c r="CI602">
        <v>16548.29</v>
      </c>
      <c r="CJ602">
        <v>0</v>
      </c>
      <c r="CK602" t="s">
        <v>112</v>
      </c>
      <c r="CL602" t="s">
        <v>112</v>
      </c>
      <c r="CM602">
        <v>41656.86</v>
      </c>
      <c r="CN602">
        <v>3707698</v>
      </c>
      <c r="CO602">
        <v>0</v>
      </c>
      <c r="CP602">
        <v>1</v>
      </c>
      <c r="CQ602">
        <v>4075291.52</v>
      </c>
      <c r="CR602">
        <v>49312.77</v>
      </c>
      <c r="CS602" t="s">
        <v>145</v>
      </c>
      <c r="CT602">
        <v>49313.904200000004</v>
      </c>
      <c r="CU602">
        <v>2.98</v>
      </c>
      <c r="CV602">
        <v>45</v>
      </c>
      <c r="CW602" t="s">
        <v>171</v>
      </c>
      <c r="CX602" t="s">
        <v>463</v>
      </c>
      <c r="CY602">
        <v>555</v>
      </c>
    </row>
    <row r="603" spans="1:103" x14ac:dyDescent="0.25">
      <c r="A603" t="s">
        <v>106</v>
      </c>
      <c r="B603" s="38">
        <v>44960</v>
      </c>
      <c r="C603" s="43">
        <f>IF(YEAR(Таблица1[[#This Row],[Дата]])=2023,MONTH(Таблица1[[#This Row],[Дата]]),0)</f>
        <v>2</v>
      </c>
      <c r="D603" t="s">
        <v>1307</v>
      </c>
      <c r="E603" t="s">
        <v>108</v>
      </c>
      <c r="F603" t="s">
        <v>1308</v>
      </c>
      <c r="G603" t="s">
        <v>110</v>
      </c>
      <c r="H603" t="s">
        <v>111</v>
      </c>
      <c r="I603" t="s">
        <v>112</v>
      </c>
      <c r="J603" t="s">
        <v>112</v>
      </c>
      <c r="K603" t="s">
        <v>112</v>
      </c>
      <c r="L603" t="s">
        <v>150</v>
      </c>
      <c r="M603" t="s">
        <v>1060</v>
      </c>
      <c r="N603" t="s">
        <v>112</v>
      </c>
      <c r="O603" t="s">
        <v>112</v>
      </c>
      <c r="P603">
        <v>1</v>
      </c>
      <c r="Q603">
        <v>0</v>
      </c>
      <c r="R603">
        <v>1</v>
      </c>
      <c r="S603">
        <v>33</v>
      </c>
      <c r="T603" t="s">
        <v>166</v>
      </c>
      <c r="U603" t="s">
        <v>152</v>
      </c>
      <c r="V603" t="s">
        <v>153</v>
      </c>
      <c r="W603" t="s">
        <v>154</v>
      </c>
      <c r="X603" t="s">
        <v>119</v>
      </c>
      <c r="Y603" t="s">
        <v>112</v>
      </c>
      <c r="Z603" t="s">
        <v>166</v>
      </c>
      <c r="AA603" t="s">
        <v>152</v>
      </c>
      <c r="AB603" t="s">
        <v>153</v>
      </c>
      <c r="AC603" t="s">
        <v>154</v>
      </c>
      <c r="AD603" t="s">
        <v>119</v>
      </c>
      <c r="AE603" t="s">
        <v>112</v>
      </c>
      <c r="AF603" t="s">
        <v>121</v>
      </c>
      <c r="AG603" t="s">
        <v>122</v>
      </c>
      <c r="AH603">
        <v>4281914.7</v>
      </c>
      <c r="AI603" t="s">
        <v>166</v>
      </c>
      <c r="AJ603" t="s">
        <v>152</v>
      </c>
      <c r="AK603" t="s">
        <v>153</v>
      </c>
      <c r="AL603" t="s">
        <v>154</v>
      </c>
      <c r="AM603" t="s">
        <v>119</v>
      </c>
      <c r="AN603" t="s">
        <v>112</v>
      </c>
      <c r="AO603" t="s">
        <v>121</v>
      </c>
      <c r="AP603" t="s">
        <v>122</v>
      </c>
      <c r="AQ603" t="s">
        <v>122</v>
      </c>
      <c r="AR603" t="s">
        <v>124</v>
      </c>
      <c r="AS603" t="s">
        <v>125</v>
      </c>
      <c r="AT603">
        <v>2</v>
      </c>
      <c r="AU603" t="s">
        <v>126</v>
      </c>
      <c r="AV603" t="s">
        <v>155</v>
      </c>
      <c r="AW603" t="s">
        <v>156</v>
      </c>
      <c r="AX603">
        <v>1</v>
      </c>
      <c r="AY603" t="s">
        <v>129</v>
      </c>
      <c r="AZ603">
        <v>43278.32</v>
      </c>
      <c r="BA603">
        <v>3852017</v>
      </c>
      <c r="BB603">
        <v>51813</v>
      </c>
      <c r="BC603">
        <v>89.005700000000004</v>
      </c>
      <c r="BD603" t="s">
        <v>130</v>
      </c>
      <c r="BE603" t="s">
        <v>112</v>
      </c>
      <c r="BF603" t="s">
        <v>157</v>
      </c>
      <c r="BG603" t="s">
        <v>133</v>
      </c>
      <c r="BH603" t="s">
        <v>167</v>
      </c>
      <c r="BI603" t="s">
        <v>168</v>
      </c>
      <c r="BJ603" t="s">
        <v>112</v>
      </c>
      <c r="BK603" t="s">
        <v>112</v>
      </c>
      <c r="BL603" t="s">
        <v>169</v>
      </c>
      <c r="BM603" t="s">
        <v>159</v>
      </c>
      <c r="BN603" t="s">
        <v>726</v>
      </c>
      <c r="BO603" t="s">
        <v>161</v>
      </c>
      <c r="BP603">
        <v>1</v>
      </c>
      <c r="BQ603" t="s">
        <v>162</v>
      </c>
      <c r="BR603" s="45">
        <f>ISNUMBER(SEARCH($BR$1,Таблица1[[#This Row],[31_1 Описание и характеристика товара]]))*1</f>
        <v>1</v>
      </c>
      <c r="BT603" t="s">
        <v>150</v>
      </c>
      <c r="BU603">
        <v>33</v>
      </c>
      <c r="BV603">
        <v>0</v>
      </c>
      <c r="BW603">
        <v>0</v>
      </c>
      <c r="BY603">
        <v>0</v>
      </c>
      <c r="CA603" t="s">
        <v>106</v>
      </c>
      <c r="CB603" t="s">
        <v>142</v>
      </c>
      <c r="CC603" t="s">
        <v>112</v>
      </c>
      <c r="CD603" t="s">
        <v>112</v>
      </c>
      <c r="CE603" t="s">
        <v>121</v>
      </c>
      <c r="CF603">
        <v>16875.13</v>
      </c>
      <c r="CG603" t="s">
        <v>144</v>
      </c>
      <c r="CH603">
        <v>4000000</v>
      </c>
      <c r="CI603">
        <v>16831.93</v>
      </c>
      <c r="CJ603">
        <v>0</v>
      </c>
      <c r="CK603" t="s">
        <v>112</v>
      </c>
      <c r="CL603" t="s">
        <v>112</v>
      </c>
      <c r="CM603">
        <v>43278.32</v>
      </c>
      <c r="CN603">
        <v>3852017</v>
      </c>
      <c r="CO603">
        <v>0</v>
      </c>
      <c r="CP603">
        <v>1</v>
      </c>
      <c r="CQ603">
        <v>4281914.7</v>
      </c>
      <c r="CR603">
        <v>51813</v>
      </c>
      <c r="CS603" t="s">
        <v>145</v>
      </c>
      <c r="CT603">
        <v>51842.344400000002</v>
      </c>
      <c r="CU603">
        <v>3.08</v>
      </c>
      <c r="CV603">
        <v>45</v>
      </c>
      <c r="CW603" t="s">
        <v>171</v>
      </c>
      <c r="CX603" t="s">
        <v>350</v>
      </c>
      <c r="CY603">
        <v>220</v>
      </c>
    </row>
    <row r="604" spans="1:103" x14ac:dyDescent="0.25">
      <c r="A604" t="s">
        <v>106</v>
      </c>
      <c r="B604" s="38">
        <v>45114</v>
      </c>
      <c r="C604" s="43">
        <f>IF(YEAR(Таблица1[[#This Row],[Дата]])=2023,MONTH(Таблица1[[#This Row],[Дата]]),0)</f>
        <v>7</v>
      </c>
      <c r="D604" t="s">
        <v>1048</v>
      </c>
      <c r="E604" t="s">
        <v>108</v>
      </c>
      <c r="F604" t="s">
        <v>1049</v>
      </c>
      <c r="G604" t="s">
        <v>110</v>
      </c>
      <c r="H604" t="s">
        <v>111</v>
      </c>
      <c r="I604" t="s">
        <v>112</v>
      </c>
      <c r="J604" t="s">
        <v>112</v>
      </c>
      <c r="K604" t="s">
        <v>112</v>
      </c>
      <c r="L604" t="s">
        <v>150</v>
      </c>
      <c r="M604" t="s">
        <v>1036</v>
      </c>
      <c r="N604" t="s">
        <v>112</v>
      </c>
      <c r="O604" t="s">
        <v>112</v>
      </c>
      <c r="P604">
        <v>1</v>
      </c>
      <c r="Q604">
        <v>0</v>
      </c>
      <c r="R604">
        <v>1</v>
      </c>
      <c r="S604">
        <v>33</v>
      </c>
      <c r="T604" t="s">
        <v>166</v>
      </c>
      <c r="U604" t="s">
        <v>152</v>
      </c>
      <c r="V604" t="s">
        <v>153</v>
      </c>
      <c r="W604" t="s">
        <v>154</v>
      </c>
      <c r="X604" t="s">
        <v>119</v>
      </c>
      <c r="Y604" t="s">
        <v>112</v>
      </c>
      <c r="Z604" t="s">
        <v>166</v>
      </c>
      <c r="AA604" t="s">
        <v>152</v>
      </c>
      <c r="AB604" t="s">
        <v>153</v>
      </c>
      <c r="AC604" t="s">
        <v>154</v>
      </c>
      <c r="AD604" t="s">
        <v>119</v>
      </c>
      <c r="AE604" t="s">
        <v>112</v>
      </c>
      <c r="AF604" t="s">
        <v>121</v>
      </c>
      <c r="AG604" t="s">
        <v>122</v>
      </c>
      <c r="AH604">
        <v>4350631.84</v>
      </c>
      <c r="AI604" t="s">
        <v>166</v>
      </c>
      <c r="AJ604" t="s">
        <v>152</v>
      </c>
      <c r="AK604" t="s">
        <v>153</v>
      </c>
      <c r="AL604" t="s">
        <v>154</v>
      </c>
      <c r="AM604" t="s">
        <v>119</v>
      </c>
      <c r="AN604" t="s">
        <v>112</v>
      </c>
      <c r="AO604" t="s">
        <v>121</v>
      </c>
      <c r="AP604" t="s">
        <v>122</v>
      </c>
      <c r="AQ604" t="s">
        <v>122</v>
      </c>
      <c r="AR604" t="s">
        <v>124</v>
      </c>
      <c r="AS604" t="s">
        <v>125</v>
      </c>
      <c r="AT604">
        <v>2</v>
      </c>
      <c r="AU604" t="s">
        <v>126</v>
      </c>
      <c r="AV604" t="s">
        <v>155</v>
      </c>
      <c r="AW604" t="s">
        <v>156</v>
      </c>
      <c r="AX604">
        <v>1</v>
      </c>
      <c r="AY604" t="s">
        <v>129</v>
      </c>
      <c r="AZ604">
        <v>44119.66</v>
      </c>
      <c r="BA604">
        <v>3960176</v>
      </c>
      <c r="BB604">
        <v>52996.12</v>
      </c>
      <c r="BC604">
        <v>89.759900000000002</v>
      </c>
      <c r="BD604" t="s">
        <v>130</v>
      </c>
      <c r="BE604" t="s">
        <v>112</v>
      </c>
      <c r="BF604" t="s">
        <v>157</v>
      </c>
      <c r="BG604" t="s">
        <v>133</v>
      </c>
      <c r="BH604" t="s">
        <v>167</v>
      </c>
      <c r="BI604" t="s">
        <v>168</v>
      </c>
      <c r="BJ604" t="s">
        <v>112</v>
      </c>
      <c r="BK604" t="s">
        <v>112</v>
      </c>
      <c r="BL604" t="s">
        <v>169</v>
      </c>
      <c r="BM604" t="s">
        <v>159</v>
      </c>
      <c r="BN604" t="s">
        <v>726</v>
      </c>
      <c r="BO604" t="s">
        <v>161</v>
      </c>
      <c r="BP604">
        <v>1</v>
      </c>
      <c r="BQ604" t="s">
        <v>205</v>
      </c>
      <c r="BR604" s="45">
        <f>ISNUMBER(SEARCH($BR$1,Таблица1[[#This Row],[31_1 Описание и характеристика товара]]))*1</f>
        <v>1</v>
      </c>
      <c r="BT604" t="s">
        <v>150</v>
      </c>
      <c r="BU604">
        <v>33</v>
      </c>
      <c r="BV604">
        <v>0</v>
      </c>
      <c r="BW604">
        <v>0</v>
      </c>
      <c r="BY604">
        <v>0</v>
      </c>
      <c r="CA604" t="s">
        <v>106</v>
      </c>
      <c r="CB604" t="s">
        <v>142</v>
      </c>
      <c r="CC604" t="s">
        <v>112</v>
      </c>
      <c r="CD604" t="s">
        <v>112</v>
      </c>
      <c r="CE604" t="s">
        <v>121</v>
      </c>
      <c r="CF604">
        <v>16822.98</v>
      </c>
      <c r="CG604" t="s">
        <v>144</v>
      </c>
      <c r="CH604">
        <v>4000000</v>
      </c>
      <c r="CI604">
        <v>16822.98</v>
      </c>
      <c r="CJ604">
        <v>0</v>
      </c>
      <c r="CK604" t="s">
        <v>112</v>
      </c>
      <c r="CL604" t="s">
        <v>112</v>
      </c>
      <c r="CM604">
        <v>44119.66</v>
      </c>
      <c r="CN604">
        <v>3960176</v>
      </c>
      <c r="CO604">
        <v>0</v>
      </c>
      <c r="CP604">
        <v>1</v>
      </c>
      <c r="CQ604">
        <v>4350631.84</v>
      </c>
      <c r="CR604">
        <v>52996.12</v>
      </c>
      <c r="CS604" t="s">
        <v>145</v>
      </c>
      <c r="CT604">
        <v>52995.751595999995</v>
      </c>
      <c r="CU604">
        <v>3.1501999999999999</v>
      </c>
      <c r="CV604">
        <v>45</v>
      </c>
      <c r="CW604" t="s">
        <v>171</v>
      </c>
      <c r="CX604" t="s">
        <v>172</v>
      </c>
      <c r="CY604">
        <v>182</v>
      </c>
    </row>
    <row r="605" spans="1:103" x14ac:dyDescent="0.25">
      <c r="A605" t="s">
        <v>106</v>
      </c>
      <c r="B605" s="38">
        <v>45007</v>
      </c>
      <c r="C605" s="43">
        <f>IF(YEAR(Таблица1[[#This Row],[Дата]])=2023,MONTH(Таблица1[[#This Row],[Дата]]),0)</f>
        <v>3</v>
      </c>
      <c r="D605" t="s">
        <v>1056</v>
      </c>
      <c r="E605" t="s">
        <v>108</v>
      </c>
      <c r="F605" t="s">
        <v>1057</v>
      </c>
      <c r="G605" t="s">
        <v>110</v>
      </c>
      <c r="H605" t="s">
        <v>111</v>
      </c>
      <c r="I605" t="s">
        <v>112</v>
      </c>
      <c r="J605" t="s">
        <v>112</v>
      </c>
      <c r="K605" t="s">
        <v>112</v>
      </c>
      <c r="L605" t="s">
        <v>150</v>
      </c>
      <c r="M605" t="s">
        <v>1036</v>
      </c>
      <c r="N605" t="s">
        <v>112</v>
      </c>
      <c r="O605" t="s">
        <v>112</v>
      </c>
      <c r="P605">
        <v>1</v>
      </c>
      <c r="Q605">
        <v>0</v>
      </c>
      <c r="R605">
        <v>1</v>
      </c>
      <c r="S605">
        <v>33</v>
      </c>
      <c r="T605" t="s">
        <v>166</v>
      </c>
      <c r="U605" t="s">
        <v>152</v>
      </c>
      <c r="V605" t="s">
        <v>153</v>
      </c>
      <c r="W605" t="s">
        <v>154</v>
      </c>
      <c r="X605" t="s">
        <v>119</v>
      </c>
      <c r="Y605" t="s">
        <v>112</v>
      </c>
      <c r="Z605" t="s">
        <v>166</v>
      </c>
      <c r="AA605" t="s">
        <v>152</v>
      </c>
      <c r="AB605" t="s">
        <v>153</v>
      </c>
      <c r="AC605" t="s">
        <v>154</v>
      </c>
      <c r="AD605" t="s">
        <v>119</v>
      </c>
      <c r="AE605" t="s">
        <v>112</v>
      </c>
      <c r="AF605" t="s">
        <v>121</v>
      </c>
      <c r="AG605" t="s">
        <v>122</v>
      </c>
      <c r="AH605">
        <v>4178520.82</v>
      </c>
      <c r="AI605" t="s">
        <v>166</v>
      </c>
      <c r="AJ605" t="s">
        <v>152</v>
      </c>
      <c r="AK605" t="s">
        <v>153</v>
      </c>
      <c r="AL605" t="s">
        <v>154</v>
      </c>
      <c r="AM605" t="s">
        <v>119</v>
      </c>
      <c r="AN605" t="s">
        <v>112</v>
      </c>
      <c r="AO605" t="s">
        <v>121</v>
      </c>
      <c r="AP605" t="s">
        <v>122</v>
      </c>
      <c r="AQ605" t="s">
        <v>122</v>
      </c>
      <c r="AR605" t="s">
        <v>124</v>
      </c>
      <c r="AS605" t="s">
        <v>125</v>
      </c>
      <c r="AT605">
        <v>2</v>
      </c>
      <c r="AU605" t="s">
        <v>126</v>
      </c>
      <c r="AV605" t="s">
        <v>155</v>
      </c>
      <c r="AW605" t="s">
        <v>156</v>
      </c>
      <c r="AX605">
        <v>1</v>
      </c>
      <c r="AY605" t="s">
        <v>129</v>
      </c>
      <c r="AZ605">
        <v>42202.2</v>
      </c>
      <c r="BA605">
        <v>3788065</v>
      </c>
      <c r="BB605">
        <v>50899.6</v>
      </c>
      <c r="BC605">
        <v>89.759900000000002</v>
      </c>
      <c r="BD605" t="s">
        <v>130</v>
      </c>
      <c r="BE605" t="s">
        <v>112</v>
      </c>
      <c r="BF605" t="s">
        <v>157</v>
      </c>
      <c r="BG605" t="s">
        <v>133</v>
      </c>
      <c r="BH605" t="s">
        <v>167</v>
      </c>
      <c r="BI605" t="s">
        <v>168</v>
      </c>
      <c r="BJ605" t="s">
        <v>112</v>
      </c>
      <c r="BK605" t="s">
        <v>112</v>
      </c>
      <c r="BL605" t="s">
        <v>169</v>
      </c>
      <c r="BM605" t="s">
        <v>159</v>
      </c>
      <c r="BN605" t="s">
        <v>726</v>
      </c>
      <c r="BO605" t="s">
        <v>161</v>
      </c>
      <c r="BP605">
        <v>1</v>
      </c>
      <c r="BQ605" t="s">
        <v>205</v>
      </c>
      <c r="BR605" s="45">
        <f>ISNUMBER(SEARCH($BR$1,Таблица1[[#This Row],[31_1 Описание и характеристика товара]]))*1</f>
        <v>1</v>
      </c>
      <c r="BT605" t="s">
        <v>150</v>
      </c>
      <c r="BU605">
        <v>33</v>
      </c>
      <c r="BV605">
        <v>0</v>
      </c>
      <c r="BW605">
        <v>0</v>
      </c>
      <c r="BY605">
        <v>0</v>
      </c>
      <c r="CA605" t="s">
        <v>106</v>
      </c>
      <c r="CB605" t="s">
        <v>142</v>
      </c>
      <c r="CC605" t="s">
        <v>112</v>
      </c>
      <c r="CD605" t="s">
        <v>112</v>
      </c>
      <c r="CE605" t="s">
        <v>121</v>
      </c>
      <c r="CF605">
        <v>15852.69</v>
      </c>
      <c r="CG605" t="s">
        <v>144</v>
      </c>
      <c r="CH605">
        <v>4000000</v>
      </c>
      <c r="CI605">
        <v>15728.49</v>
      </c>
      <c r="CJ605">
        <v>0</v>
      </c>
      <c r="CK605" t="s">
        <v>112</v>
      </c>
      <c r="CL605" t="s">
        <v>112</v>
      </c>
      <c r="CM605">
        <v>42202.2</v>
      </c>
      <c r="CN605">
        <v>3788065</v>
      </c>
      <c r="CO605">
        <v>0</v>
      </c>
      <c r="CP605">
        <v>1</v>
      </c>
      <c r="CQ605">
        <v>4178520.82</v>
      </c>
      <c r="CR605">
        <v>50899.6</v>
      </c>
      <c r="CS605" t="s">
        <v>145</v>
      </c>
      <c r="CT605">
        <v>50898.966488999999</v>
      </c>
      <c r="CU605">
        <v>3.2361</v>
      </c>
      <c r="CV605">
        <v>45</v>
      </c>
      <c r="CW605" t="s">
        <v>171</v>
      </c>
      <c r="CX605" t="s">
        <v>172</v>
      </c>
      <c r="CY605">
        <v>178</v>
      </c>
    </row>
    <row r="606" spans="1:103" x14ac:dyDescent="0.25">
      <c r="A606" t="s">
        <v>106</v>
      </c>
      <c r="B606" s="38">
        <v>45154</v>
      </c>
      <c r="C606" s="43">
        <f>IF(YEAR(Таблица1[[#This Row],[Дата]])=2023,MONTH(Таблица1[[#This Row],[Дата]]),0)</f>
        <v>8</v>
      </c>
      <c r="D606" t="s">
        <v>1050</v>
      </c>
      <c r="E606" t="s">
        <v>108</v>
      </c>
      <c r="F606" t="s">
        <v>1051</v>
      </c>
      <c r="G606" t="s">
        <v>110</v>
      </c>
      <c r="H606" t="s">
        <v>111</v>
      </c>
      <c r="I606" t="s">
        <v>112</v>
      </c>
      <c r="J606" t="s">
        <v>112</v>
      </c>
      <c r="K606" t="s">
        <v>112</v>
      </c>
      <c r="L606" t="s">
        <v>150</v>
      </c>
      <c r="M606" t="s">
        <v>1036</v>
      </c>
      <c r="N606" t="s">
        <v>112</v>
      </c>
      <c r="O606" t="s">
        <v>112</v>
      </c>
      <c r="P606">
        <v>1</v>
      </c>
      <c r="Q606">
        <v>0</v>
      </c>
      <c r="R606">
        <v>1</v>
      </c>
      <c r="S606">
        <v>33</v>
      </c>
      <c r="T606" t="s">
        <v>166</v>
      </c>
      <c r="U606" t="s">
        <v>152</v>
      </c>
      <c r="V606" t="s">
        <v>153</v>
      </c>
      <c r="W606" t="s">
        <v>154</v>
      </c>
      <c r="X606" t="s">
        <v>119</v>
      </c>
      <c r="Y606" t="s">
        <v>112</v>
      </c>
      <c r="Z606" t="s">
        <v>166</v>
      </c>
      <c r="AA606" t="s">
        <v>152</v>
      </c>
      <c r="AB606" t="s">
        <v>153</v>
      </c>
      <c r="AC606" t="s">
        <v>154</v>
      </c>
      <c r="AD606" t="s">
        <v>119</v>
      </c>
      <c r="AE606" t="s">
        <v>112</v>
      </c>
      <c r="AF606" t="s">
        <v>121</v>
      </c>
      <c r="AG606" t="s">
        <v>122</v>
      </c>
      <c r="AH606">
        <v>4088725.02</v>
      </c>
      <c r="AI606" t="s">
        <v>166</v>
      </c>
      <c r="AJ606" t="s">
        <v>152</v>
      </c>
      <c r="AK606" t="s">
        <v>153</v>
      </c>
      <c r="AL606" t="s">
        <v>154</v>
      </c>
      <c r="AM606" t="s">
        <v>119</v>
      </c>
      <c r="AN606" t="s">
        <v>112</v>
      </c>
      <c r="AO606" t="s">
        <v>121</v>
      </c>
      <c r="AP606" t="s">
        <v>122</v>
      </c>
      <c r="AQ606" t="s">
        <v>122</v>
      </c>
      <c r="AR606" t="s">
        <v>124</v>
      </c>
      <c r="AS606" t="s">
        <v>125</v>
      </c>
      <c r="AT606">
        <v>2</v>
      </c>
      <c r="AU606" t="s">
        <v>126</v>
      </c>
      <c r="AV606" t="s">
        <v>155</v>
      </c>
      <c r="AW606" t="s">
        <v>156</v>
      </c>
      <c r="AX606">
        <v>1</v>
      </c>
      <c r="AY606" t="s">
        <v>129</v>
      </c>
      <c r="AZ606">
        <v>41201.800000000003</v>
      </c>
      <c r="BA606">
        <v>3698269</v>
      </c>
      <c r="BB606">
        <v>49805.77</v>
      </c>
      <c r="BC606">
        <v>89.759900000000002</v>
      </c>
      <c r="BD606" t="s">
        <v>130</v>
      </c>
      <c r="BE606" t="s">
        <v>112</v>
      </c>
      <c r="BF606" t="s">
        <v>157</v>
      </c>
      <c r="BG606" t="s">
        <v>133</v>
      </c>
      <c r="BH606" t="s">
        <v>167</v>
      </c>
      <c r="BI606" t="s">
        <v>168</v>
      </c>
      <c r="BJ606" t="s">
        <v>112</v>
      </c>
      <c r="BK606" t="s">
        <v>112</v>
      </c>
      <c r="BL606" t="s">
        <v>169</v>
      </c>
      <c r="BM606" t="s">
        <v>159</v>
      </c>
      <c r="BN606" t="s">
        <v>726</v>
      </c>
      <c r="BO606" t="s">
        <v>161</v>
      </c>
      <c r="BP606">
        <v>1</v>
      </c>
      <c r="BQ606" t="s">
        <v>232</v>
      </c>
      <c r="BR606" s="45">
        <f>ISNUMBER(SEARCH($BR$1,Таблица1[[#This Row],[31_1 Описание и характеристика товара]]))*1</f>
        <v>1</v>
      </c>
      <c r="BT606" t="s">
        <v>150</v>
      </c>
      <c r="BU606">
        <v>33</v>
      </c>
      <c r="BV606">
        <v>0</v>
      </c>
      <c r="BW606">
        <v>0</v>
      </c>
      <c r="BY606">
        <v>0</v>
      </c>
      <c r="CA606" t="s">
        <v>106</v>
      </c>
      <c r="CB606" t="s">
        <v>142</v>
      </c>
      <c r="CC606" t="s">
        <v>112</v>
      </c>
      <c r="CD606" t="s">
        <v>112</v>
      </c>
      <c r="CE606" t="s">
        <v>121</v>
      </c>
      <c r="CF606">
        <v>16590.84</v>
      </c>
      <c r="CG606" t="s">
        <v>144</v>
      </c>
      <c r="CH606">
        <v>4000000</v>
      </c>
      <c r="CI606">
        <v>16533.240000000002</v>
      </c>
      <c r="CJ606">
        <v>0</v>
      </c>
      <c r="CK606" t="s">
        <v>112</v>
      </c>
      <c r="CL606" t="s">
        <v>112</v>
      </c>
      <c r="CM606">
        <v>41201.800000000003</v>
      </c>
      <c r="CN606">
        <v>3698269</v>
      </c>
      <c r="CO606">
        <v>0</v>
      </c>
      <c r="CP606">
        <v>1</v>
      </c>
      <c r="CQ606">
        <v>4088725.02</v>
      </c>
      <c r="CR606">
        <v>49805.77</v>
      </c>
      <c r="CS606" t="s">
        <v>145</v>
      </c>
      <c r="CT606">
        <v>49806.385500000011</v>
      </c>
      <c r="CU606">
        <v>3.0125000000000002</v>
      </c>
      <c r="CV606">
        <v>45</v>
      </c>
      <c r="CW606" t="s">
        <v>171</v>
      </c>
      <c r="CX606" t="s">
        <v>463</v>
      </c>
      <c r="CY606">
        <v>169</v>
      </c>
    </row>
    <row r="607" spans="1:103" x14ac:dyDescent="0.25">
      <c r="A607" t="s">
        <v>106</v>
      </c>
      <c r="B607" s="38">
        <v>45252</v>
      </c>
      <c r="C607" s="43">
        <f>IF(YEAR(Таблица1[[#This Row],[Дата]])=2023,MONTH(Таблица1[[#This Row],[Дата]]),0)</f>
        <v>11</v>
      </c>
      <c r="D607" t="s">
        <v>1052</v>
      </c>
      <c r="E607" t="s">
        <v>108</v>
      </c>
      <c r="F607" t="s">
        <v>1053</v>
      </c>
      <c r="G607" t="s">
        <v>110</v>
      </c>
      <c r="H607" t="s">
        <v>111</v>
      </c>
      <c r="I607" t="s">
        <v>112</v>
      </c>
      <c r="J607" t="s">
        <v>112</v>
      </c>
      <c r="K607" t="s">
        <v>112</v>
      </c>
      <c r="L607" t="s">
        <v>150</v>
      </c>
      <c r="M607" t="s">
        <v>1036</v>
      </c>
      <c r="N607" t="s">
        <v>112</v>
      </c>
      <c r="O607" t="s">
        <v>112</v>
      </c>
      <c r="P607">
        <v>1</v>
      </c>
      <c r="Q607">
        <v>0</v>
      </c>
      <c r="R607">
        <v>1</v>
      </c>
      <c r="S607">
        <v>33</v>
      </c>
      <c r="T607" t="s">
        <v>166</v>
      </c>
      <c r="U607" t="s">
        <v>152</v>
      </c>
      <c r="V607" t="s">
        <v>153</v>
      </c>
      <c r="W607" t="s">
        <v>154</v>
      </c>
      <c r="X607" t="s">
        <v>119</v>
      </c>
      <c r="Y607" t="s">
        <v>112</v>
      </c>
      <c r="Z607" t="s">
        <v>166</v>
      </c>
      <c r="AA607" t="s">
        <v>152</v>
      </c>
      <c r="AB607" t="s">
        <v>153</v>
      </c>
      <c r="AC607" t="s">
        <v>154</v>
      </c>
      <c r="AD607" t="s">
        <v>119</v>
      </c>
      <c r="AE607" t="s">
        <v>112</v>
      </c>
      <c r="AF607" t="s">
        <v>121</v>
      </c>
      <c r="AG607" t="s">
        <v>122</v>
      </c>
      <c r="AH607">
        <v>4334499.29</v>
      </c>
      <c r="AI607" t="s">
        <v>166</v>
      </c>
      <c r="AJ607" t="s">
        <v>152</v>
      </c>
      <c r="AK607" t="s">
        <v>153</v>
      </c>
      <c r="AL607" t="s">
        <v>154</v>
      </c>
      <c r="AM607" t="s">
        <v>119</v>
      </c>
      <c r="AN607" t="s">
        <v>112</v>
      </c>
      <c r="AO607" t="s">
        <v>121</v>
      </c>
      <c r="AP607" t="s">
        <v>122</v>
      </c>
      <c r="AQ607" t="s">
        <v>122</v>
      </c>
      <c r="AR607" t="s">
        <v>124</v>
      </c>
      <c r="AS607" t="s">
        <v>125</v>
      </c>
      <c r="AT607">
        <v>2</v>
      </c>
      <c r="AU607" t="s">
        <v>126</v>
      </c>
      <c r="AV607" t="s">
        <v>155</v>
      </c>
      <c r="AW607" t="s">
        <v>156</v>
      </c>
      <c r="AX607">
        <v>1</v>
      </c>
      <c r="AY607" t="s">
        <v>129</v>
      </c>
      <c r="AZ607">
        <v>43439.93</v>
      </c>
      <c r="BA607">
        <v>3899164</v>
      </c>
      <c r="BB607">
        <v>52799.61</v>
      </c>
      <c r="BC607">
        <v>89.759900000000002</v>
      </c>
      <c r="BD607" t="s">
        <v>130</v>
      </c>
      <c r="BE607" t="s">
        <v>112</v>
      </c>
      <c r="BF607" t="s">
        <v>157</v>
      </c>
      <c r="BG607" t="s">
        <v>133</v>
      </c>
      <c r="BH607" t="s">
        <v>167</v>
      </c>
      <c r="BI607" t="s">
        <v>168</v>
      </c>
      <c r="BJ607" t="s">
        <v>112</v>
      </c>
      <c r="BK607" t="s">
        <v>112</v>
      </c>
      <c r="BL607" t="s">
        <v>169</v>
      </c>
      <c r="BM607" t="s">
        <v>159</v>
      </c>
      <c r="BN607" t="s">
        <v>726</v>
      </c>
      <c r="BO607" t="s">
        <v>161</v>
      </c>
      <c r="BP607">
        <v>1</v>
      </c>
      <c r="BQ607" t="s">
        <v>466</v>
      </c>
      <c r="BR607" s="45">
        <f>ISNUMBER(SEARCH($BR$1,Таблица1[[#This Row],[31_1 Описание и характеристика товара]]))*1</f>
        <v>1</v>
      </c>
      <c r="BT607" t="s">
        <v>150</v>
      </c>
      <c r="BU607">
        <v>33</v>
      </c>
      <c r="BV607">
        <v>0</v>
      </c>
      <c r="BW607">
        <v>0</v>
      </c>
      <c r="BY607">
        <v>0</v>
      </c>
      <c r="CA607" t="s">
        <v>106</v>
      </c>
      <c r="CB607" t="s">
        <v>142</v>
      </c>
      <c r="CC607" t="s">
        <v>112</v>
      </c>
      <c r="CD607" t="s">
        <v>112</v>
      </c>
      <c r="CE607" t="s">
        <v>121</v>
      </c>
      <c r="CF607">
        <v>16604.02</v>
      </c>
      <c r="CG607" t="s">
        <v>144</v>
      </c>
      <c r="CH607">
        <v>4000000</v>
      </c>
      <c r="CI607">
        <v>16539.22</v>
      </c>
      <c r="CJ607">
        <v>0</v>
      </c>
      <c r="CK607" t="s">
        <v>112</v>
      </c>
      <c r="CL607" t="s">
        <v>112</v>
      </c>
      <c r="CM607">
        <v>43439.93</v>
      </c>
      <c r="CN607">
        <v>3899164</v>
      </c>
      <c r="CO607">
        <v>0</v>
      </c>
      <c r="CP607">
        <v>1</v>
      </c>
      <c r="CQ607">
        <v>4334499.29</v>
      </c>
      <c r="CR607">
        <v>52799.61</v>
      </c>
      <c r="CS607" t="s">
        <v>145</v>
      </c>
      <c r="CT607">
        <v>52799.805928000009</v>
      </c>
      <c r="CU607">
        <v>3.1924000000000001</v>
      </c>
      <c r="CV607">
        <v>45</v>
      </c>
      <c r="CW607" t="s">
        <v>171</v>
      </c>
      <c r="CX607" t="s">
        <v>369</v>
      </c>
      <c r="CY607">
        <v>196</v>
      </c>
    </row>
    <row r="608" spans="1:103" x14ac:dyDescent="0.25">
      <c r="A608" t="s">
        <v>106</v>
      </c>
      <c r="B608" s="38">
        <v>44952</v>
      </c>
      <c r="C608" s="43">
        <f>IF(YEAR(Таблица1[[#This Row],[Дата]])=2023,MONTH(Таблица1[[#This Row],[Дата]]),0)</f>
        <v>1</v>
      </c>
      <c r="D608" t="s">
        <v>918</v>
      </c>
      <c r="E608" t="s">
        <v>108</v>
      </c>
      <c r="F608" t="s">
        <v>919</v>
      </c>
      <c r="G608" t="s">
        <v>110</v>
      </c>
      <c r="H608" t="s">
        <v>111</v>
      </c>
      <c r="I608" t="s">
        <v>112</v>
      </c>
      <c r="J608" t="s">
        <v>112</v>
      </c>
      <c r="K608" t="s">
        <v>112</v>
      </c>
      <c r="L608" t="s">
        <v>150</v>
      </c>
      <c r="M608" t="s">
        <v>151</v>
      </c>
      <c r="N608" t="s">
        <v>112</v>
      </c>
      <c r="O608" t="s">
        <v>112</v>
      </c>
      <c r="P608">
        <v>1</v>
      </c>
      <c r="Q608">
        <v>0</v>
      </c>
      <c r="R608">
        <v>1</v>
      </c>
      <c r="S608">
        <v>33</v>
      </c>
      <c r="T608" t="s">
        <v>166</v>
      </c>
      <c r="U608" t="s">
        <v>152</v>
      </c>
      <c r="V608" t="s">
        <v>153</v>
      </c>
      <c r="W608" t="s">
        <v>154</v>
      </c>
      <c r="X608" t="s">
        <v>119</v>
      </c>
      <c r="Y608" t="s">
        <v>112</v>
      </c>
      <c r="Z608" t="s">
        <v>166</v>
      </c>
      <c r="AA608" t="s">
        <v>152</v>
      </c>
      <c r="AB608" t="s">
        <v>153</v>
      </c>
      <c r="AC608" t="s">
        <v>154</v>
      </c>
      <c r="AD608" t="s">
        <v>119</v>
      </c>
      <c r="AE608" t="s">
        <v>112</v>
      </c>
      <c r="AF608" t="s">
        <v>121</v>
      </c>
      <c r="AG608" t="s">
        <v>122</v>
      </c>
      <c r="AH608">
        <v>3496777.46</v>
      </c>
      <c r="AI608" t="s">
        <v>166</v>
      </c>
      <c r="AJ608" t="s">
        <v>152</v>
      </c>
      <c r="AK608" t="s">
        <v>153</v>
      </c>
      <c r="AL608" t="s">
        <v>154</v>
      </c>
      <c r="AM608" t="s">
        <v>119</v>
      </c>
      <c r="AN608" t="s">
        <v>112</v>
      </c>
      <c r="AO608" t="s">
        <v>121</v>
      </c>
      <c r="AP608" t="s">
        <v>122</v>
      </c>
      <c r="AQ608" t="s">
        <v>122</v>
      </c>
      <c r="AR608" t="s">
        <v>124</v>
      </c>
      <c r="AS608" t="s">
        <v>125</v>
      </c>
      <c r="AT608">
        <v>2</v>
      </c>
      <c r="AU608" t="s">
        <v>126</v>
      </c>
      <c r="AV608" t="s">
        <v>155</v>
      </c>
      <c r="AW608" t="s">
        <v>156</v>
      </c>
      <c r="AX608">
        <v>1</v>
      </c>
      <c r="AY608" t="s">
        <v>129</v>
      </c>
      <c r="AZ608">
        <v>38641.769999999997</v>
      </c>
      <c r="BA608">
        <v>3106833</v>
      </c>
      <c r="BB608">
        <v>46046.22</v>
      </c>
      <c r="BC608">
        <v>80.400899999999993</v>
      </c>
      <c r="BD608" t="s">
        <v>130</v>
      </c>
      <c r="BE608" t="s">
        <v>112</v>
      </c>
      <c r="BF608" t="s">
        <v>157</v>
      </c>
      <c r="BG608" t="s">
        <v>133</v>
      </c>
      <c r="BH608" t="s">
        <v>134</v>
      </c>
      <c r="BI608" t="s">
        <v>112</v>
      </c>
      <c r="BJ608" t="s">
        <v>112</v>
      </c>
      <c r="BK608" t="s">
        <v>112</v>
      </c>
      <c r="BL608" t="s">
        <v>169</v>
      </c>
      <c r="BM608" t="s">
        <v>159</v>
      </c>
      <c r="BN608" t="s">
        <v>212</v>
      </c>
      <c r="BO608" t="s">
        <v>161</v>
      </c>
      <c r="BP608">
        <v>1</v>
      </c>
      <c r="BQ608" t="s">
        <v>232</v>
      </c>
      <c r="BR608" s="45">
        <f>ISNUMBER(SEARCH($BR$1,Таблица1[[#This Row],[31_1 Описание и характеристика товара]]))*1</f>
        <v>1</v>
      </c>
      <c r="BT608" t="s">
        <v>150</v>
      </c>
      <c r="BU608">
        <v>33</v>
      </c>
      <c r="BV608">
        <v>0</v>
      </c>
      <c r="BW608">
        <v>0</v>
      </c>
      <c r="BY608">
        <v>0</v>
      </c>
      <c r="CA608" t="s">
        <v>106</v>
      </c>
      <c r="CB608" t="s">
        <v>142</v>
      </c>
      <c r="CC608" t="s">
        <v>112</v>
      </c>
      <c r="CD608" t="s">
        <v>112</v>
      </c>
      <c r="CE608" t="s">
        <v>121</v>
      </c>
      <c r="CF608">
        <v>16854.41</v>
      </c>
      <c r="CG608" t="s">
        <v>144</v>
      </c>
      <c r="CH608">
        <v>4000000</v>
      </c>
      <c r="CI608">
        <v>16742.810000000001</v>
      </c>
      <c r="CJ608">
        <v>0</v>
      </c>
      <c r="CK608" t="s">
        <v>112</v>
      </c>
      <c r="CL608" t="s">
        <v>112</v>
      </c>
      <c r="CM608">
        <v>38641.769999999997</v>
      </c>
      <c r="CN608">
        <v>3106833</v>
      </c>
      <c r="CO608">
        <v>0</v>
      </c>
      <c r="CP608">
        <v>1</v>
      </c>
      <c r="CQ608">
        <v>3496777.46</v>
      </c>
      <c r="CR608">
        <v>46046.22</v>
      </c>
      <c r="CS608" t="s">
        <v>145</v>
      </c>
      <c r="CT608">
        <v>46046.076062</v>
      </c>
      <c r="CU608">
        <v>2.7502</v>
      </c>
      <c r="CV608">
        <v>45</v>
      </c>
      <c r="CW608" t="s">
        <v>171</v>
      </c>
      <c r="CX608" t="s">
        <v>463</v>
      </c>
      <c r="CY608">
        <v>314</v>
      </c>
    </row>
    <row r="609" spans="1:103" x14ac:dyDescent="0.25">
      <c r="A609" t="s">
        <v>106</v>
      </c>
      <c r="B609" s="38">
        <v>45219</v>
      </c>
      <c r="C609" s="43">
        <f>IF(YEAR(Таблица1[[#This Row],[Дата]])=2023,MONTH(Таблица1[[#This Row],[Дата]]),0)</f>
        <v>10</v>
      </c>
      <c r="D609" t="s">
        <v>916</v>
      </c>
      <c r="E609" t="s">
        <v>108</v>
      </c>
      <c r="F609" t="s">
        <v>917</v>
      </c>
      <c r="G609" t="s">
        <v>110</v>
      </c>
      <c r="H609" t="s">
        <v>111</v>
      </c>
      <c r="I609" t="s">
        <v>112</v>
      </c>
      <c r="J609" t="s">
        <v>112</v>
      </c>
      <c r="K609" t="s">
        <v>112</v>
      </c>
      <c r="L609" t="s">
        <v>150</v>
      </c>
      <c r="M609" t="s">
        <v>151</v>
      </c>
      <c r="N609" t="s">
        <v>112</v>
      </c>
      <c r="O609" t="s">
        <v>112</v>
      </c>
      <c r="P609">
        <v>1</v>
      </c>
      <c r="Q609">
        <v>0</v>
      </c>
      <c r="R609">
        <v>1</v>
      </c>
      <c r="S609">
        <v>38</v>
      </c>
      <c r="T609" t="s">
        <v>166</v>
      </c>
      <c r="U609" t="s">
        <v>152</v>
      </c>
      <c r="V609" t="s">
        <v>153</v>
      </c>
      <c r="W609" t="s">
        <v>154</v>
      </c>
      <c r="X609" t="s">
        <v>119</v>
      </c>
      <c r="Y609" t="s">
        <v>112</v>
      </c>
      <c r="Z609" t="s">
        <v>166</v>
      </c>
      <c r="AA609" t="s">
        <v>152</v>
      </c>
      <c r="AB609" t="s">
        <v>153</v>
      </c>
      <c r="AC609" t="s">
        <v>154</v>
      </c>
      <c r="AD609" t="s">
        <v>119</v>
      </c>
      <c r="AE609" t="s">
        <v>112</v>
      </c>
      <c r="AF609" t="s">
        <v>121</v>
      </c>
      <c r="AG609" t="s">
        <v>122</v>
      </c>
      <c r="AH609">
        <v>3940251.94</v>
      </c>
      <c r="AI609" t="s">
        <v>166</v>
      </c>
      <c r="AJ609" t="s">
        <v>152</v>
      </c>
      <c r="AK609" t="s">
        <v>153</v>
      </c>
      <c r="AL609" t="s">
        <v>154</v>
      </c>
      <c r="AM609" t="s">
        <v>119</v>
      </c>
      <c r="AN609" t="s">
        <v>112</v>
      </c>
      <c r="AO609" t="s">
        <v>121</v>
      </c>
      <c r="AP609" t="s">
        <v>122</v>
      </c>
      <c r="AQ609" t="s">
        <v>122</v>
      </c>
      <c r="AR609" t="s">
        <v>124</v>
      </c>
      <c r="AS609" t="s">
        <v>125</v>
      </c>
      <c r="AT609">
        <v>2</v>
      </c>
      <c r="AU609" t="s">
        <v>126</v>
      </c>
      <c r="AV609" t="s">
        <v>155</v>
      </c>
      <c r="AW609" t="s">
        <v>156</v>
      </c>
      <c r="AX609">
        <v>1</v>
      </c>
      <c r="AY609" t="s">
        <v>129</v>
      </c>
      <c r="AZ609">
        <v>44657.56</v>
      </c>
      <c r="BA609">
        <v>3590508</v>
      </c>
      <c r="BB609">
        <v>51885.97</v>
      </c>
      <c r="BC609">
        <v>80.400899999999993</v>
      </c>
      <c r="BD609" t="s">
        <v>130</v>
      </c>
      <c r="BE609" t="s">
        <v>112</v>
      </c>
      <c r="BF609" t="s">
        <v>157</v>
      </c>
      <c r="BG609" t="s">
        <v>133</v>
      </c>
      <c r="BH609" t="s">
        <v>134</v>
      </c>
      <c r="BI609" t="s">
        <v>112</v>
      </c>
      <c r="BJ609" t="s">
        <v>112</v>
      </c>
      <c r="BK609" t="s">
        <v>112</v>
      </c>
      <c r="BL609" t="s">
        <v>169</v>
      </c>
      <c r="BM609" t="s">
        <v>159</v>
      </c>
      <c r="BN609" t="s">
        <v>212</v>
      </c>
      <c r="BO609" t="s">
        <v>161</v>
      </c>
      <c r="BP609">
        <v>1</v>
      </c>
      <c r="BQ609" t="s">
        <v>205</v>
      </c>
      <c r="BR609" s="45">
        <f>ISNUMBER(SEARCH($BR$1,Таблица1[[#This Row],[31_1 Описание и характеристика товара]]))*1</f>
        <v>1</v>
      </c>
      <c r="BT609" t="s">
        <v>150</v>
      </c>
      <c r="BU609">
        <v>38</v>
      </c>
      <c r="BV609">
        <v>0</v>
      </c>
      <c r="BW609">
        <v>0</v>
      </c>
      <c r="BY609">
        <v>0</v>
      </c>
      <c r="CA609" t="s">
        <v>106</v>
      </c>
      <c r="CB609" t="s">
        <v>142</v>
      </c>
      <c r="CC609" t="s">
        <v>112</v>
      </c>
      <c r="CD609" t="s">
        <v>112</v>
      </c>
      <c r="CE609" t="s">
        <v>121</v>
      </c>
      <c r="CF609">
        <v>18847.080000000002</v>
      </c>
      <c r="CG609" t="s">
        <v>144</v>
      </c>
      <c r="CH609">
        <v>4000000</v>
      </c>
      <c r="CI609">
        <v>18609.48</v>
      </c>
      <c r="CJ609">
        <v>0</v>
      </c>
      <c r="CK609" t="s">
        <v>112</v>
      </c>
      <c r="CL609" t="s">
        <v>112</v>
      </c>
      <c r="CM609">
        <v>44657.56</v>
      </c>
      <c r="CN609">
        <v>3590508</v>
      </c>
      <c r="CO609">
        <v>0</v>
      </c>
      <c r="CP609">
        <v>1</v>
      </c>
      <c r="CQ609">
        <v>3940251.94</v>
      </c>
      <c r="CR609">
        <v>51885.97</v>
      </c>
      <c r="CS609" t="s">
        <v>145</v>
      </c>
      <c r="CT609">
        <v>51885.091187999999</v>
      </c>
      <c r="CU609">
        <v>2.7881</v>
      </c>
      <c r="CV609">
        <v>45</v>
      </c>
      <c r="CW609" t="s">
        <v>171</v>
      </c>
      <c r="CX609" t="s">
        <v>369</v>
      </c>
      <c r="CY609">
        <v>221</v>
      </c>
    </row>
    <row r="610" spans="1:103" x14ac:dyDescent="0.25">
      <c r="A610" t="s">
        <v>106</v>
      </c>
      <c r="B610" s="38">
        <v>45255</v>
      </c>
      <c r="C610" s="43">
        <f>IF(YEAR(Таблица1[[#This Row],[Дата]])=2023,MONTH(Таблица1[[#This Row],[Дата]]),0)</f>
        <v>11</v>
      </c>
      <c r="D610" t="s">
        <v>914</v>
      </c>
      <c r="E610" t="s">
        <v>108</v>
      </c>
      <c r="F610" t="s">
        <v>915</v>
      </c>
      <c r="G610" t="s">
        <v>110</v>
      </c>
      <c r="H610" t="s">
        <v>111</v>
      </c>
      <c r="I610" t="s">
        <v>112</v>
      </c>
      <c r="J610" t="s">
        <v>112</v>
      </c>
      <c r="K610" t="s">
        <v>112</v>
      </c>
      <c r="L610" t="s">
        <v>150</v>
      </c>
      <c r="M610" t="s">
        <v>151</v>
      </c>
      <c r="N610" t="s">
        <v>112</v>
      </c>
      <c r="O610" t="s">
        <v>112</v>
      </c>
      <c r="P610">
        <v>1</v>
      </c>
      <c r="Q610">
        <v>0</v>
      </c>
      <c r="R610">
        <v>1</v>
      </c>
      <c r="S610">
        <v>33</v>
      </c>
      <c r="T610" t="s">
        <v>166</v>
      </c>
      <c r="U610" t="s">
        <v>152</v>
      </c>
      <c r="V610" t="s">
        <v>153</v>
      </c>
      <c r="W610" t="s">
        <v>154</v>
      </c>
      <c r="X610" t="s">
        <v>119</v>
      </c>
      <c r="Y610" t="s">
        <v>112</v>
      </c>
      <c r="Z610" t="s">
        <v>166</v>
      </c>
      <c r="AA610" t="s">
        <v>152</v>
      </c>
      <c r="AB610" t="s">
        <v>153</v>
      </c>
      <c r="AC610" t="s">
        <v>154</v>
      </c>
      <c r="AD610" t="s">
        <v>119</v>
      </c>
      <c r="AE610" t="s">
        <v>112</v>
      </c>
      <c r="AF610" t="s">
        <v>121</v>
      </c>
      <c r="AG610" t="s">
        <v>122</v>
      </c>
      <c r="AH610">
        <v>3961471.34</v>
      </c>
      <c r="AI610" t="s">
        <v>166</v>
      </c>
      <c r="AJ610" t="s">
        <v>152</v>
      </c>
      <c r="AK610" t="s">
        <v>153</v>
      </c>
      <c r="AL610" t="s">
        <v>154</v>
      </c>
      <c r="AM610" t="s">
        <v>119</v>
      </c>
      <c r="AN610" t="s">
        <v>112</v>
      </c>
      <c r="AO610" t="s">
        <v>121</v>
      </c>
      <c r="AP610" t="s">
        <v>122</v>
      </c>
      <c r="AQ610" t="s">
        <v>122</v>
      </c>
      <c r="AR610" t="s">
        <v>124</v>
      </c>
      <c r="AS610" t="s">
        <v>125</v>
      </c>
      <c r="AT610">
        <v>2</v>
      </c>
      <c r="AU610" t="s">
        <v>126</v>
      </c>
      <c r="AV610" t="s">
        <v>155</v>
      </c>
      <c r="AW610" t="s">
        <v>156</v>
      </c>
      <c r="AX610">
        <v>1</v>
      </c>
      <c r="AY610" t="s">
        <v>129</v>
      </c>
      <c r="AZ610">
        <v>44921.48</v>
      </c>
      <c r="BA610">
        <v>3611727</v>
      </c>
      <c r="BB610">
        <v>52165.39</v>
      </c>
      <c r="BC610">
        <v>80.400899999999993</v>
      </c>
      <c r="BD610" t="s">
        <v>130</v>
      </c>
      <c r="BE610" t="s">
        <v>112</v>
      </c>
      <c r="BF610" t="s">
        <v>157</v>
      </c>
      <c r="BG610" t="s">
        <v>133</v>
      </c>
      <c r="BH610" t="s">
        <v>134</v>
      </c>
      <c r="BI610" t="s">
        <v>112</v>
      </c>
      <c r="BJ610" t="s">
        <v>112</v>
      </c>
      <c r="BK610" t="s">
        <v>112</v>
      </c>
      <c r="BL610" t="s">
        <v>169</v>
      </c>
      <c r="BM610" t="s">
        <v>159</v>
      </c>
      <c r="BN610" t="s">
        <v>212</v>
      </c>
      <c r="BO610" t="s">
        <v>161</v>
      </c>
      <c r="BP610">
        <v>1</v>
      </c>
      <c r="BQ610" t="s">
        <v>232</v>
      </c>
      <c r="BR610" s="45">
        <f>ISNUMBER(SEARCH($BR$1,Таблица1[[#This Row],[31_1 Описание и характеристика товара]]))*1</f>
        <v>1</v>
      </c>
      <c r="BT610" t="s">
        <v>150</v>
      </c>
      <c r="BU610">
        <v>33</v>
      </c>
      <c r="BV610">
        <v>0</v>
      </c>
      <c r="BW610">
        <v>0</v>
      </c>
      <c r="BY610">
        <v>0</v>
      </c>
      <c r="CA610" t="s">
        <v>106</v>
      </c>
      <c r="CB610" t="s">
        <v>142</v>
      </c>
      <c r="CC610" t="s">
        <v>112</v>
      </c>
      <c r="CD610" t="s">
        <v>112</v>
      </c>
      <c r="CE610" t="s">
        <v>121</v>
      </c>
      <c r="CF610">
        <v>15798.26</v>
      </c>
      <c r="CG610" t="s">
        <v>144</v>
      </c>
      <c r="CH610">
        <v>4000000</v>
      </c>
      <c r="CI610">
        <v>15578.66</v>
      </c>
      <c r="CJ610">
        <v>0</v>
      </c>
      <c r="CK610" t="s">
        <v>112</v>
      </c>
      <c r="CL610" t="s">
        <v>112</v>
      </c>
      <c r="CM610">
        <v>44921.48</v>
      </c>
      <c r="CN610">
        <v>3611727</v>
      </c>
      <c r="CO610">
        <v>0</v>
      </c>
      <c r="CP610">
        <v>1</v>
      </c>
      <c r="CQ610">
        <v>3961471.34</v>
      </c>
      <c r="CR610">
        <v>52165.39</v>
      </c>
      <c r="CS610" t="s">
        <v>145</v>
      </c>
      <c r="CT610">
        <v>52165.14301</v>
      </c>
      <c r="CU610">
        <v>3.3485</v>
      </c>
      <c r="CV610">
        <v>45</v>
      </c>
      <c r="CW610" t="s">
        <v>171</v>
      </c>
      <c r="CX610" t="s">
        <v>350</v>
      </c>
      <c r="CY610">
        <v>248</v>
      </c>
    </row>
    <row r="611" spans="1:103" x14ac:dyDescent="0.25">
      <c r="A611" t="s">
        <v>106</v>
      </c>
      <c r="B611" s="38">
        <v>44810</v>
      </c>
      <c r="C611" s="43">
        <f>IF(YEAR(Таблица1[[#This Row],[Дата]])=2023,MONTH(Таблица1[[#This Row],[Дата]]),0)</f>
        <v>0</v>
      </c>
      <c r="D611" t="s">
        <v>550</v>
      </c>
      <c r="E611" t="s">
        <v>108</v>
      </c>
      <c r="F611" t="s">
        <v>551</v>
      </c>
      <c r="G611" t="s">
        <v>110</v>
      </c>
      <c r="H611" t="s">
        <v>111</v>
      </c>
      <c r="I611" t="s">
        <v>112</v>
      </c>
      <c r="J611" t="s">
        <v>112</v>
      </c>
      <c r="K611" t="s">
        <v>112</v>
      </c>
      <c r="L611" t="s">
        <v>175</v>
      </c>
      <c r="M611" t="s">
        <v>552</v>
      </c>
      <c r="N611" t="s">
        <v>112</v>
      </c>
      <c r="O611" t="s">
        <v>112</v>
      </c>
      <c r="P611">
        <v>1</v>
      </c>
      <c r="Q611">
        <v>0</v>
      </c>
      <c r="R611">
        <v>1</v>
      </c>
      <c r="S611">
        <v>33</v>
      </c>
      <c r="T611" t="s">
        <v>166</v>
      </c>
      <c r="U611" t="s">
        <v>152</v>
      </c>
      <c r="V611" t="s">
        <v>153</v>
      </c>
      <c r="W611" t="s">
        <v>154</v>
      </c>
      <c r="X611" t="s">
        <v>119</v>
      </c>
      <c r="Y611" t="s">
        <v>112</v>
      </c>
      <c r="Z611" t="s">
        <v>166</v>
      </c>
      <c r="AA611" t="s">
        <v>152</v>
      </c>
      <c r="AB611" t="s">
        <v>153</v>
      </c>
      <c r="AC611" t="s">
        <v>154</v>
      </c>
      <c r="AD611" t="s">
        <v>119</v>
      </c>
      <c r="AE611" t="s">
        <v>112</v>
      </c>
      <c r="AF611" t="s">
        <v>121</v>
      </c>
      <c r="AG611" t="s">
        <v>122</v>
      </c>
      <c r="AH611">
        <v>3761943.93</v>
      </c>
      <c r="AI611" t="s">
        <v>166</v>
      </c>
      <c r="AJ611" t="s">
        <v>152</v>
      </c>
      <c r="AK611" t="s">
        <v>153</v>
      </c>
      <c r="AL611" t="s">
        <v>154</v>
      </c>
      <c r="AM611" t="s">
        <v>119</v>
      </c>
      <c r="AN611" t="s">
        <v>112</v>
      </c>
      <c r="AO611" t="s">
        <v>121</v>
      </c>
      <c r="AP611" t="s">
        <v>122</v>
      </c>
      <c r="AQ611" t="s">
        <v>122</v>
      </c>
      <c r="AR611" t="s">
        <v>124</v>
      </c>
      <c r="AS611" t="s">
        <v>125</v>
      </c>
      <c r="AT611">
        <v>2</v>
      </c>
      <c r="AU611" t="s">
        <v>126</v>
      </c>
      <c r="AV611" t="s">
        <v>155</v>
      </c>
      <c r="AW611" t="s">
        <v>156</v>
      </c>
      <c r="AX611">
        <v>1</v>
      </c>
      <c r="AY611" t="s">
        <v>129</v>
      </c>
      <c r="AZ611">
        <v>43846.559999999998</v>
      </c>
      <c r="BA611">
        <v>3422408</v>
      </c>
      <c r="BB611">
        <v>51680.52</v>
      </c>
      <c r="BC611">
        <v>78.054199999999994</v>
      </c>
      <c r="BD611" t="s">
        <v>130</v>
      </c>
      <c r="BE611" t="s">
        <v>112</v>
      </c>
      <c r="BF611" t="s">
        <v>157</v>
      </c>
      <c r="BG611" t="s">
        <v>133</v>
      </c>
      <c r="BH611" t="s">
        <v>134</v>
      </c>
      <c r="BI611" t="s">
        <v>112</v>
      </c>
      <c r="BJ611" t="s">
        <v>112</v>
      </c>
      <c r="BK611" t="s">
        <v>112</v>
      </c>
      <c r="BL611" t="s">
        <v>169</v>
      </c>
      <c r="BM611" t="s">
        <v>159</v>
      </c>
      <c r="BN611" t="s">
        <v>212</v>
      </c>
      <c r="BO611" t="s">
        <v>161</v>
      </c>
      <c r="BP611">
        <v>1</v>
      </c>
      <c r="BQ611" t="s">
        <v>162</v>
      </c>
      <c r="BR611" s="45">
        <f>ISNUMBER(SEARCH($BR$1,Таблица1[[#This Row],[31_1 Описание и характеристика товара]]))*1</f>
        <v>1</v>
      </c>
      <c r="BT611" t="s">
        <v>150</v>
      </c>
      <c r="BU611">
        <v>33</v>
      </c>
      <c r="BV611">
        <v>0</v>
      </c>
      <c r="BW611">
        <v>0</v>
      </c>
      <c r="BY611">
        <v>0</v>
      </c>
      <c r="CA611" t="s">
        <v>106</v>
      </c>
      <c r="CB611" t="s">
        <v>142</v>
      </c>
      <c r="CC611" t="s">
        <v>112</v>
      </c>
      <c r="CD611" t="s">
        <v>112</v>
      </c>
      <c r="CE611" t="s">
        <v>121</v>
      </c>
      <c r="CF611">
        <v>17122.669999999998</v>
      </c>
      <c r="CG611" t="s">
        <v>144</v>
      </c>
      <c r="CH611">
        <v>4000000</v>
      </c>
      <c r="CI611">
        <v>17122.669999999998</v>
      </c>
      <c r="CJ611">
        <v>0</v>
      </c>
      <c r="CK611" t="s">
        <v>112</v>
      </c>
      <c r="CL611" t="s">
        <v>112</v>
      </c>
      <c r="CM611">
        <v>43846.559999999998</v>
      </c>
      <c r="CN611">
        <v>3422408</v>
      </c>
      <c r="CO611">
        <v>0</v>
      </c>
      <c r="CP611">
        <v>1</v>
      </c>
      <c r="CQ611">
        <v>3761943.93</v>
      </c>
      <c r="CR611">
        <v>51680.52</v>
      </c>
      <c r="CS611" t="s">
        <v>145</v>
      </c>
      <c r="CT611">
        <v>51681.354860999993</v>
      </c>
      <c r="CU611">
        <v>3.0183</v>
      </c>
      <c r="CV611">
        <v>45</v>
      </c>
      <c r="CW611" t="s">
        <v>171</v>
      </c>
      <c r="CX611" t="s">
        <v>350</v>
      </c>
      <c r="CY611">
        <v>568</v>
      </c>
    </row>
    <row r="612" spans="1:103" x14ac:dyDescent="0.25">
      <c r="A612" t="s">
        <v>106</v>
      </c>
      <c r="B612" s="38">
        <v>44645</v>
      </c>
      <c r="C612" s="43">
        <f>IF(YEAR(Таблица1[[#This Row],[Дата]])=2023,MONTH(Таблица1[[#This Row],[Дата]]),0)</f>
        <v>0</v>
      </c>
      <c r="D612" t="s">
        <v>544</v>
      </c>
      <c r="E612" t="s">
        <v>108</v>
      </c>
      <c r="F612" t="s">
        <v>545</v>
      </c>
      <c r="G612" t="s">
        <v>110</v>
      </c>
      <c r="H612" t="s">
        <v>111</v>
      </c>
      <c r="I612" t="s">
        <v>112</v>
      </c>
      <c r="J612" t="s">
        <v>112</v>
      </c>
      <c r="K612" t="s">
        <v>112</v>
      </c>
      <c r="L612" t="s">
        <v>150</v>
      </c>
      <c r="M612" t="s">
        <v>151</v>
      </c>
      <c r="N612" t="s">
        <v>112</v>
      </c>
      <c r="O612" t="s">
        <v>112</v>
      </c>
      <c r="P612">
        <v>1</v>
      </c>
      <c r="Q612">
        <v>0</v>
      </c>
      <c r="R612">
        <v>1</v>
      </c>
      <c r="S612">
        <v>33</v>
      </c>
      <c r="T612" t="s">
        <v>166</v>
      </c>
      <c r="U612" t="s">
        <v>152</v>
      </c>
      <c r="V612" t="s">
        <v>153</v>
      </c>
      <c r="W612" t="s">
        <v>154</v>
      </c>
      <c r="X612" t="s">
        <v>119</v>
      </c>
      <c r="Y612" t="s">
        <v>112</v>
      </c>
      <c r="Z612" t="s">
        <v>166</v>
      </c>
      <c r="AA612" t="s">
        <v>152</v>
      </c>
      <c r="AB612" t="s">
        <v>153</v>
      </c>
      <c r="AC612" t="s">
        <v>154</v>
      </c>
      <c r="AD612" t="s">
        <v>119</v>
      </c>
      <c r="AE612" t="s">
        <v>112</v>
      </c>
      <c r="AF612" t="s">
        <v>121</v>
      </c>
      <c r="AG612" t="s">
        <v>122</v>
      </c>
      <c r="AH612">
        <v>3830547.33</v>
      </c>
      <c r="AI612" t="s">
        <v>166</v>
      </c>
      <c r="AJ612" t="s">
        <v>152</v>
      </c>
      <c r="AK612" t="s">
        <v>153</v>
      </c>
      <c r="AL612" t="s">
        <v>154</v>
      </c>
      <c r="AM612" t="s">
        <v>119</v>
      </c>
      <c r="AN612" t="s">
        <v>112</v>
      </c>
      <c r="AO612" t="s">
        <v>121</v>
      </c>
      <c r="AP612" t="s">
        <v>122</v>
      </c>
      <c r="AQ612" t="s">
        <v>122</v>
      </c>
      <c r="AR612" t="s">
        <v>124</v>
      </c>
      <c r="AS612" t="s">
        <v>125</v>
      </c>
      <c r="AT612">
        <v>2</v>
      </c>
      <c r="AU612" t="s">
        <v>126</v>
      </c>
      <c r="AV612" t="s">
        <v>155</v>
      </c>
      <c r="AW612" t="s">
        <v>156</v>
      </c>
      <c r="AX612">
        <v>1</v>
      </c>
      <c r="AY612" t="s">
        <v>129</v>
      </c>
      <c r="AZ612">
        <v>44725.48</v>
      </c>
      <c r="BA612">
        <v>3491012</v>
      </c>
      <c r="BB612">
        <v>52622.97</v>
      </c>
      <c r="BC612">
        <v>78.054199999999994</v>
      </c>
      <c r="BD612" t="s">
        <v>130</v>
      </c>
      <c r="BE612" t="s">
        <v>112</v>
      </c>
      <c r="BF612" t="s">
        <v>157</v>
      </c>
      <c r="BG612" t="s">
        <v>133</v>
      </c>
      <c r="BH612" t="s">
        <v>134</v>
      </c>
      <c r="BI612" t="s">
        <v>112</v>
      </c>
      <c r="BJ612" t="s">
        <v>112</v>
      </c>
      <c r="BK612" t="s">
        <v>112</v>
      </c>
      <c r="BL612" t="s">
        <v>169</v>
      </c>
      <c r="BM612" t="s">
        <v>159</v>
      </c>
      <c r="BN612" t="s">
        <v>212</v>
      </c>
      <c r="BO612" t="s">
        <v>161</v>
      </c>
      <c r="BP612">
        <v>1</v>
      </c>
      <c r="BQ612" t="s">
        <v>162</v>
      </c>
      <c r="BR612" s="45">
        <f>ISNUMBER(SEARCH($BR$1,Таблица1[[#This Row],[31_1 Описание и характеристика товара]]))*1</f>
        <v>1</v>
      </c>
      <c r="BT612" t="s">
        <v>150</v>
      </c>
      <c r="BU612">
        <v>33</v>
      </c>
      <c r="BV612">
        <v>0</v>
      </c>
      <c r="BW612">
        <v>0</v>
      </c>
      <c r="BY612">
        <v>0</v>
      </c>
      <c r="CA612" t="s">
        <v>106</v>
      </c>
      <c r="CB612" t="s">
        <v>142</v>
      </c>
      <c r="CC612" t="s">
        <v>112</v>
      </c>
      <c r="CD612" t="s">
        <v>112</v>
      </c>
      <c r="CE612" t="s">
        <v>121</v>
      </c>
      <c r="CF612">
        <v>16511.68</v>
      </c>
      <c r="CG612" t="s">
        <v>144</v>
      </c>
      <c r="CH612">
        <v>4000000</v>
      </c>
      <c r="CI612">
        <v>16457.68</v>
      </c>
      <c r="CJ612">
        <v>0</v>
      </c>
      <c r="CK612" t="s">
        <v>112</v>
      </c>
      <c r="CL612" t="s">
        <v>112</v>
      </c>
      <c r="CM612">
        <v>44725.48</v>
      </c>
      <c r="CN612">
        <v>3491012</v>
      </c>
      <c r="CO612">
        <v>0</v>
      </c>
      <c r="CP612">
        <v>1</v>
      </c>
      <c r="CQ612">
        <v>3830547.33</v>
      </c>
      <c r="CR612">
        <v>52622.97</v>
      </c>
      <c r="CS612" t="s">
        <v>145</v>
      </c>
      <c r="CT612">
        <v>52623.431799999998</v>
      </c>
      <c r="CU612">
        <v>3.1974999999999998</v>
      </c>
      <c r="CV612">
        <v>45</v>
      </c>
      <c r="CW612" t="s">
        <v>171</v>
      </c>
      <c r="CX612" t="s">
        <v>350</v>
      </c>
      <c r="CY612">
        <v>20</v>
      </c>
    </row>
    <row r="613" spans="1:103" x14ac:dyDescent="0.25">
      <c r="A613" t="s">
        <v>106</v>
      </c>
      <c r="B613" s="38">
        <v>44734</v>
      </c>
      <c r="C613" s="43">
        <f>IF(YEAR(Таблица1[[#This Row],[Дата]])=2023,MONTH(Таблица1[[#This Row],[Дата]]),0)</f>
        <v>0</v>
      </c>
      <c r="D613" t="s">
        <v>548</v>
      </c>
      <c r="E613" t="s">
        <v>108</v>
      </c>
      <c r="F613" t="s">
        <v>549</v>
      </c>
      <c r="G613" t="s">
        <v>110</v>
      </c>
      <c r="H613" t="s">
        <v>111</v>
      </c>
      <c r="I613" t="s">
        <v>112</v>
      </c>
      <c r="J613" t="s">
        <v>112</v>
      </c>
      <c r="K613" t="s">
        <v>112</v>
      </c>
      <c r="L613" t="s">
        <v>150</v>
      </c>
      <c r="M613" t="s">
        <v>151</v>
      </c>
      <c r="N613" t="s">
        <v>112</v>
      </c>
      <c r="O613" t="s">
        <v>112</v>
      </c>
      <c r="P613">
        <v>1</v>
      </c>
      <c r="Q613">
        <v>0</v>
      </c>
      <c r="R613">
        <v>1</v>
      </c>
      <c r="S613">
        <v>33</v>
      </c>
      <c r="T613" t="s">
        <v>166</v>
      </c>
      <c r="U613" t="s">
        <v>152</v>
      </c>
      <c r="V613" t="s">
        <v>153</v>
      </c>
      <c r="W613" t="s">
        <v>154</v>
      </c>
      <c r="X613" t="s">
        <v>119</v>
      </c>
      <c r="Y613" t="s">
        <v>112</v>
      </c>
      <c r="Z613" t="s">
        <v>166</v>
      </c>
      <c r="AA613" t="s">
        <v>152</v>
      </c>
      <c r="AB613" t="s">
        <v>153</v>
      </c>
      <c r="AC613" t="s">
        <v>154</v>
      </c>
      <c r="AD613" t="s">
        <v>119</v>
      </c>
      <c r="AE613" t="s">
        <v>112</v>
      </c>
      <c r="AF613" t="s">
        <v>121</v>
      </c>
      <c r="AG613" t="s">
        <v>122</v>
      </c>
      <c r="AH613">
        <v>3529219.87</v>
      </c>
      <c r="AI613" t="s">
        <v>166</v>
      </c>
      <c r="AJ613" t="s">
        <v>152</v>
      </c>
      <c r="AK613" t="s">
        <v>153</v>
      </c>
      <c r="AL613" t="s">
        <v>154</v>
      </c>
      <c r="AM613" t="s">
        <v>119</v>
      </c>
      <c r="AN613" t="s">
        <v>112</v>
      </c>
      <c r="AO613" t="s">
        <v>121</v>
      </c>
      <c r="AP613" t="s">
        <v>122</v>
      </c>
      <c r="AQ613" t="s">
        <v>122</v>
      </c>
      <c r="AR613" t="s">
        <v>124</v>
      </c>
      <c r="AS613" t="s">
        <v>125</v>
      </c>
      <c r="AT613">
        <v>2</v>
      </c>
      <c r="AU613" t="s">
        <v>126</v>
      </c>
      <c r="AV613" t="s">
        <v>155</v>
      </c>
      <c r="AW613" t="s">
        <v>156</v>
      </c>
      <c r="AX613">
        <v>1</v>
      </c>
      <c r="AY613" t="s">
        <v>129</v>
      </c>
      <c r="AZ613">
        <v>40164.99</v>
      </c>
      <c r="BA613">
        <v>3135046</v>
      </c>
      <c r="BB613">
        <v>48483.42</v>
      </c>
      <c r="BC613">
        <v>78.054199999999994</v>
      </c>
      <c r="BD613" t="s">
        <v>130</v>
      </c>
      <c r="BE613" t="s">
        <v>112</v>
      </c>
      <c r="BF613" t="s">
        <v>157</v>
      </c>
      <c r="BG613" t="s">
        <v>133</v>
      </c>
      <c r="BH613" t="s">
        <v>134</v>
      </c>
      <c r="BI613" t="s">
        <v>112</v>
      </c>
      <c r="BJ613" t="s">
        <v>112</v>
      </c>
      <c r="BK613" t="s">
        <v>112</v>
      </c>
      <c r="BL613" t="s">
        <v>169</v>
      </c>
      <c r="BM613" t="s">
        <v>159</v>
      </c>
      <c r="BN613" t="s">
        <v>212</v>
      </c>
      <c r="BO613" t="s">
        <v>161</v>
      </c>
      <c r="BP613">
        <v>1</v>
      </c>
      <c r="BQ613" t="s">
        <v>205</v>
      </c>
      <c r="BR613" s="45">
        <f>ISNUMBER(SEARCH($BR$1,Таблица1[[#This Row],[31_1 Описание и характеристика товара]]))*1</f>
        <v>1</v>
      </c>
      <c r="BT613" t="s">
        <v>150</v>
      </c>
      <c r="BU613">
        <v>33</v>
      </c>
      <c r="BV613">
        <v>0</v>
      </c>
      <c r="BW613">
        <v>0</v>
      </c>
      <c r="BY613">
        <v>0</v>
      </c>
      <c r="CA613" t="s">
        <v>106</v>
      </c>
      <c r="CB613" t="s">
        <v>142</v>
      </c>
      <c r="CC613" t="s">
        <v>112</v>
      </c>
      <c r="CD613" t="s">
        <v>112</v>
      </c>
      <c r="CE613" t="s">
        <v>121</v>
      </c>
      <c r="CF613">
        <v>16346.46</v>
      </c>
      <c r="CG613" t="s">
        <v>144</v>
      </c>
      <c r="CH613">
        <v>4000000</v>
      </c>
      <c r="CI613">
        <v>16288.86</v>
      </c>
      <c r="CJ613">
        <v>0</v>
      </c>
      <c r="CK613" t="s">
        <v>112</v>
      </c>
      <c r="CL613" t="s">
        <v>112</v>
      </c>
      <c r="CM613">
        <v>40164.99</v>
      </c>
      <c r="CN613">
        <v>3135046</v>
      </c>
      <c r="CO613">
        <v>0</v>
      </c>
      <c r="CP613">
        <v>1</v>
      </c>
      <c r="CQ613">
        <v>3529219.87</v>
      </c>
      <c r="CR613">
        <v>48483.42</v>
      </c>
      <c r="CS613" t="s">
        <v>145</v>
      </c>
      <c r="CT613">
        <v>48483.791790000003</v>
      </c>
      <c r="CU613">
        <v>2.9765000000000001</v>
      </c>
      <c r="CV613">
        <v>45</v>
      </c>
      <c r="CW613" t="s">
        <v>171</v>
      </c>
      <c r="CX613" t="s">
        <v>463</v>
      </c>
      <c r="CY613">
        <v>563</v>
      </c>
    </row>
    <row r="614" spans="1:103" x14ac:dyDescent="0.25">
      <c r="A614" t="s">
        <v>106</v>
      </c>
      <c r="B614" s="38">
        <v>44622</v>
      </c>
      <c r="C614" s="43">
        <f>IF(YEAR(Таблица1[[#This Row],[Дата]])=2023,MONTH(Таблица1[[#This Row],[Дата]]),0)</f>
        <v>0</v>
      </c>
      <c r="D614" t="s">
        <v>553</v>
      </c>
      <c r="E614" t="s">
        <v>108</v>
      </c>
      <c r="F614" t="s">
        <v>554</v>
      </c>
      <c r="G614" t="s">
        <v>110</v>
      </c>
      <c r="H614" t="s">
        <v>111</v>
      </c>
      <c r="I614" t="s">
        <v>112</v>
      </c>
      <c r="J614" t="s">
        <v>112</v>
      </c>
      <c r="K614" t="s">
        <v>112</v>
      </c>
      <c r="L614" t="s">
        <v>150</v>
      </c>
      <c r="M614" t="s">
        <v>151</v>
      </c>
      <c r="N614" t="s">
        <v>112</v>
      </c>
      <c r="O614" t="s">
        <v>112</v>
      </c>
      <c r="P614">
        <v>1</v>
      </c>
      <c r="Q614">
        <v>0</v>
      </c>
      <c r="R614">
        <v>1</v>
      </c>
      <c r="S614">
        <v>33</v>
      </c>
      <c r="T614" t="s">
        <v>166</v>
      </c>
      <c r="U614" t="s">
        <v>152</v>
      </c>
      <c r="V614" t="s">
        <v>153</v>
      </c>
      <c r="W614" t="s">
        <v>154</v>
      </c>
      <c r="X614" t="s">
        <v>119</v>
      </c>
      <c r="Y614" t="s">
        <v>112</v>
      </c>
      <c r="Z614" t="s">
        <v>166</v>
      </c>
      <c r="AA614" t="s">
        <v>152</v>
      </c>
      <c r="AB614" t="s">
        <v>153</v>
      </c>
      <c r="AC614" t="s">
        <v>154</v>
      </c>
      <c r="AD614" t="s">
        <v>119</v>
      </c>
      <c r="AE614" t="s">
        <v>112</v>
      </c>
      <c r="AF614" t="s">
        <v>121</v>
      </c>
      <c r="AG614" t="s">
        <v>122</v>
      </c>
      <c r="AH614">
        <v>3769840.68</v>
      </c>
      <c r="AI614" t="s">
        <v>166</v>
      </c>
      <c r="AJ614" t="s">
        <v>152</v>
      </c>
      <c r="AK614" t="s">
        <v>153</v>
      </c>
      <c r="AL614" t="s">
        <v>154</v>
      </c>
      <c r="AM614" t="s">
        <v>119</v>
      </c>
      <c r="AN614" t="s">
        <v>112</v>
      </c>
      <c r="AO614" t="s">
        <v>121</v>
      </c>
      <c r="AP614" t="s">
        <v>122</v>
      </c>
      <c r="AQ614" t="s">
        <v>122</v>
      </c>
      <c r="AR614" t="s">
        <v>124</v>
      </c>
      <c r="AS614" t="s">
        <v>125</v>
      </c>
      <c r="AT614">
        <v>2</v>
      </c>
      <c r="AU614" t="s">
        <v>126</v>
      </c>
      <c r="AV614" t="s">
        <v>155</v>
      </c>
      <c r="AW614" t="s">
        <v>156</v>
      </c>
      <c r="AX614">
        <v>1</v>
      </c>
      <c r="AY614" t="s">
        <v>129</v>
      </c>
      <c r="AZ614">
        <v>43947.73</v>
      </c>
      <c r="BA614">
        <v>3430305</v>
      </c>
      <c r="BB614">
        <v>51789</v>
      </c>
      <c r="BC614">
        <v>78.054199999999994</v>
      </c>
      <c r="BD614" t="s">
        <v>130</v>
      </c>
      <c r="BE614" t="s">
        <v>112</v>
      </c>
      <c r="BF614" t="s">
        <v>157</v>
      </c>
      <c r="BG614" t="s">
        <v>133</v>
      </c>
      <c r="BH614" t="s">
        <v>134</v>
      </c>
      <c r="BI614" t="s">
        <v>112</v>
      </c>
      <c r="BJ614" t="s">
        <v>112</v>
      </c>
      <c r="BK614" t="s">
        <v>112</v>
      </c>
      <c r="BL614" t="s">
        <v>169</v>
      </c>
      <c r="BM614" t="s">
        <v>159</v>
      </c>
      <c r="BN614" t="s">
        <v>212</v>
      </c>
      <c r="BO614" t="s">
        <v>161</v>
      </c>
      <c r="BP614">
        <v>1</v>
      </c>
      <c r="BQ614" t="s">
        <v>555</v>
      </c>
      <c r="BR614" s="45">
        <f>ISNUMBER(SEARCH($BR$1,Таблица1[[#This Row],[31_1 Описание и характеристика товара]]))*1</f>
        <v>1</v>
      </c>
      <c r="BT614" t="s">
        <v>150</v>
      </c>
      <c r="BU614">
        <v>33</v>
      </c>
      <c r="BV614">
        <v>0</v>
      </c>
      <c r="BW614">
        <v>0</v>
      </c>
      <c r="BY614">
        <v>0</v>
      </c>
      <c r="CA614" t="s">
        <v>106</v>
      </c>
      <c r="CB614" t="s">
        <v>142</v>
      </c>
      <c r="CC614" t="s">
        <v>112</v>
      </c>
      <c r="CD614" t="s">
        <v>112</v>
      </c>
      <c r="CE614" t="s">
        <v>121</v>
      </c>
      <c r="CF614">
        <v>17076.52</v>
      </c>
      <c r="CG614" t="s">
        <v>144</v>
      </c>
      <c r="CH614">
        <v>4000000</v>
      </c>
      <c r="CI614">
        <v>17076.52</v>
      </c>
      <c r="CJ614">
        <v>0</v>
      </c>
      <c r="CK614" t="s">
        <v>112</v>
      </c>
      <c r="CL614" t="s">
        <v>112</v>
      </c>
      <c r="CM614">
        <v>43947.73</v>
      </c>
      <c r="CN614">
        <v>3430305</v>
      </c>
      <c r="CO614">
        <v>0</v>
      </c>
      <c r="CP614">
        <v>1</v>
      </c>
      <c r="CQ614">
        <v>3769840.68</v>
      </c>
      <c r="CR614">
        <v>51789</v>
      </c>
      <c r="CS614" t="s">
        <v>145</v>
      </c>
      <c r="CT614">
        <v>51789.669856</v>
      </c>
      <c r="CU614">
        <v>3.0327999999999999</v>
      </c>
      <c r="CV614">
        <v>45</v>
      </c>
      <c r="CW614" t="s">
        <v>171</v>
      </c>
      <c r="CX614" t="s">
        <v>372</v>
      </c>
      <c r="CY614">
        <v>368</v>
      </c>
    </row>
    <row r="615" spans="1:103" x14ac:dyDescent="0.25">
      <c r="A615" t="s">
        <v>106</v>
      </c>
      <c r="B615" s="38">
        <v>44799</v>
      </c>
      <c r="C615" s="43">
        <f>IF(YEAR(Таблица1[[#This Row],[Дата]])=2023,MONTH(Таблица1[[#This Row],[Дата]]),0)</f>
        <v>0</v>
      </c>
      <c r="D615" t="s">
        <v>556</v>
      </c>
      <c r="E615" t="s">
        <v>108</v>
      </c>
      <c r="F615" t="s">
        <v>557</v>
      </c>
      <c r="G615" t="s">
        <v>110</v>
      </c>
      <c r="H615" t="s">
        <v>111</v>
      </c>
      <c r="I615" t="s">
        <v>112</v>
      </c>
      <c r="J615" t="s">
        <v>112</v>
      </c>
      <c r="K615" t="s">
        <v>112</v>
      </c>
      <c r="L615" t="s">
        <v>150</v>
      </c>
      <c r="M615" t="s">
        <v>151</v>
      </c>
      <c r="N615" t="s">
        <v>112</v>
      </c>
      <c r="O615" t="s">
        <v>112</v>
      </c>
      <c r="P615">
        <v>1</v>
      </c>
      <c r="Q615">
        <v>0</v>
      </c>
      <c r="R615">
        <v>1</v>
      </c>
      <c r="S615">
        <v>33</v>
      </c>
      <c r="T615" t="s">
        <v>166</v>
      </c>
      <c r="U615" t="s">
        <v>152</v>
      </c>
      <c r="V615" t="s">
        <v>153</v>
      </c>
      <c r="W615" t="s">
        <v>154</v>
      </c>
      <c r="X615" t="s">
        <v>119</v>
      </c>
      <c r="Y615" t="s">
        <v>112</v>
      </c>
      <c r="Z615" t="s">
        <v>166</v>
      </c>
      <c r="AA615" t="s">
        <v>152</v>
      </c>
      <c r="AB615" t="s">
        <v>153</v>
      </c>
      <c r="AC615" t="s">
        <v>154</v>
      </c>
      <c r="AD615" t="s">
        <v>119</v>
      </c>
      <c r="AE615" t="s">
        <v>112</v>
      </c>
      <c r="AF615" t="s">
        <v>121</v>
      </c>
      <c r="AG615" t="s">
        <v>122</v>
      </c>
      <c r="AH615">
        <v>3921085.52</v>
      </c>
      <c r="AI615" t="s">
        <v>166</v>
      </c>
      <c r="AJ615" t="s">
        <v>152</v>
      </c>
      <c r="AK615" t="s">
        <v>153</v>
      </c>
      <c r="AL615" t="s">
        <v>154</v>
      </c>
      <c r="AM615" t="s">
        <v>119</v>
      </c>
      <c r="AN615" t="s">
        <v>112</v>
      </c>
      <c r="AO615" t="s">
        <v>121</v>
      </c>
      <c r="AP615" t="s">
        <v>122</v>
      </c>
      <c r="AQ615" t="s">
        <v>122</v>
      </c>
      <c r="AR615" t="s">
        <v>124</v>
      </c>
      <c r="AS615" t="s">
        <v>125</v>
      </c>
      <c r="AT615">
        <v>2</v>
      </c>
      <c r="AU615" t="s">
        <v>126</v>
      </c>
      <c r="AV615" t="s">
        <v>155</v>
      </c>
      <c r="AW615" t="s">
        <v>156</v>
      </c>
      <c r="AX615">
        <v>1</v>
      </c>
      <c r="AY615" t="s">
        <v>129</v>
      </c>
      <c r="AZ615">
        <v>45885.42</v>
      </c>
      <c r="BA615">
        <v>3581550</v>
      </c>
      <c r="BB615">
        <v>53866.76</v>
      </c>
      <c r="BC615">
        <v>78.054199999999994</v>
      </c>
      <c r="BD615" t="s">
        <v>130</v>
      </c>
      <c r="BE615" t="s">
        <v>112</v>
      </c>
      <c r="BF615" t="s">
        <v>157</v>
      </c>
      <c r="BG615" t="s">
        <v>133</v>
      </c>
      <c r="BH615" t="s">
        <v>134</v>
      </c>
      <c r="BI615" t="s">
        <v>112</v>
      </c>
      <c r="BJ615" t="s">
        <v>112</v>
      </c>
      <c r="BK615" t="s">
        <v>112</v>
      </c>
      <c r="BL615" t="s">
        <v>169</v>
      </c>
      <c r="BM615" t="s">
        <v>159</v>
      </c>
      <c r="BN615" t="s">
        <v>212</v>
      </c>
      <c r="BO615" t="s">
        <v>161</v>
      </c>
      <c r="BP615">
        <v>1</v>
      </c>
      <c r="BQ615" t="s">
        <v>558</v>
      </c>
      <c r="BR615" s="45">
        <f>ISNUMBER(SEARCH($BR$1,Таблица1[[#This Row],[31_1 Описание и характеристика товара]]))*1</f>
        <v>1</v>
      </c>
      <c r="BT615" t="s">
        <v>150</v>
      </c>
      <c r="BU615">
        <v>33</v>
      </c>
      <c r="BV615">
        <v>0</v>
      </c>
      <c r="BW615">
        <v>0</v>
      </c>
      <c r="BY615">
        <v>0</v>
      </c>
      <c r="CA615" t="s">
        <v>106</v>
      </c>
      <c r="CB615" t="s">
        <v>142</v>
      </c>
      <c r="CC615" t="s">
        <v>112</v>
      </c>
      <c r="CD615" t="s">
        <v>112</v>
      </c>
      <c r="CE615" t="s">
        <v>121</v>
      </c>
      <c r="CF615">
        <v>16618.09</v>
      </c>
      <c r="CG615" t="s">
        <v>144</v>
      </c>
      <c r="CH615">
        <v>4000000</v>
      </c>
      <c r="CI615">
        <v>16618.09</v>
      </c>
      <c r="CJ615">
        <v>0</v>
      </c>
      <c r="CK615" t="s">
        <v>112</v>
      </c>
      <c r="CL615" t="s">
        <v>112</v>
      </c>
      <c r="CM615">
        <v>45885.42</v>
      </c>
      <c r="CN615">
        <v>3581550</v>
      </c>
      <c r="CO615">
        <v>0</v>
      </c>
      <c r="CP615">
        <v>1</v>
      </c>
      <c r="CQ615">
        <v>3921085.52</v>
      </c>
      <c r="CR615">
        <v>53866.76</v>
      </c>
      <c r="CS615" t="s">
        <v>145</v>
      </c>
      <c r="CT615">
        <v>53867.538734999995</v>
      </c>
      <c r="CU615">
        <v>3.2414999999999998</v>
      </c>
      <c r="CV615">
        <v>45</v>
      </c>
      <c r="CW615" t="s">
        <v>171</v>
      </c>
      <c r="CX615" t="s">
        <v>350</v>
      </c>
      <c r="CY615">
        <v>568</v>
      </c>
    </row>
    <row r="616" spans="1:103" x14ac:dyDescent="0.25">
      <c r="A616" t="s">
        <v>106</v>
      </c>
      <c r="B616" s="38">
        <v>44785</v>
      </c>
      <c r="C616" s="43">
        <f>IF(YEAR(Таблица1[[#This Row],[Дата]])=2023,MONTH(Таблица1[[#This Row],[Дата]]),0)</f>
        <v>0</v>
      </c>
      <c r="D616" t="s">
        <v>248</v>
      </c>
      <c r="E616" t="s">
        <v>108</v>
      </c>
      <c r="F616" t="s">
        <v>249</v>
      </c>
      <c r="G616" t="s">
        <v>110</v>
      </c>
      <c r="H616" t="s">
        <v>111</v>
      </c>
      <c r="I616" t="s">
        <v>112</v>
      </c>
      <c r="J616" t="s">
        <v>112</v>
      </c>
      <c r="K616" t="s">
        <v>112</v>
      </c>
      <c r="L616" t="s">
        <v>175</v>
      </c>
      <c r="M616" t="s">
        <v>176</v>
      </c>
      <c r="N616" t="s">
        <v>112</v>
      </c>
      <c r="O616" t="s">
        <v>112</v>
      </c>
      <c r="P616">
        <v>1</v>
      </c>
      <c r="Q616">
        <v>0</v>
      </c>
      <c r="R616">
        <v>1</v>
      </c>
      <c r="S616">
        <v>33</v>
      </c>
      <c r="T616" t="s">
        <v>166</v>
      </c>
      <c r="U616" t="s">
        <v>152</v>
      </c>
      <c r="V616" t="s">
        <v>153</v>
      </c>
      <c r="W616" t="s">
        <v>177</v>
      </c>
      <c r="X616" t="s">
        <v>119</v>
      </c>
      <c r="Y616" t="s">
        <v>112</v>
      </c>
      <c r="Z616" t="s">
        <v>166</v>
      </c>
      <c r="AA616" t="s">
        <v>152</v>
      </c>
      <c r="AB616" t="s">
        <v>153</v>
      </c>
      <c r="AC616" t="s">
        <v>177</v>
      </c>
      <c r="AD616" t="s">
        <v>119</v>
      </c>
      <c r="AE616" t="s">
        <v>112</v>
      </c>
      <c r="AF616" t="s">
        <v>121</v>
      </c>
      <c r="AG616" t="s">
        <v>122</v>
      </c>
      <c r="AH616">
        <v>3479788.83</v>
      </c>
      <c r="AI616" t="s">
        <v>166</v>
      </c>
      <c r="AJ616" t="s">
        <v>152</v>
      </c>
      <c r="AK616" t="s">
        <v>153</v>
      </c>
      <c r="AL616" t="s">
        <v>177</v>
      </c>
      <c r="AM616" t="s">
        <v>119</v>
      </c>
      <c r="AN616" t="s">
        <v>112</v>
      </c>
      <c r="AO616" t="s">
        <v>121</v>
      </c>
      <c r="AP616" t="s">
        <v>122</v>
      </c>
      <c r="AQ616" t="s">
        <v>122</v>
      </c>
      <c r="AR616" t="s">
        <v>124</v>
      </c>
      <c r="AS616" t="s">
        <v>125</v>
      </c>
      <c r="AT616">
        <v>2</v>
      </c>
      <c r="AU616" t="s">
        <v>106</v>
      </c>
      <c r="AV616" t="s">
        <v>155</v>
      </c>
      <c r="AW616" t="s">
        <v>156</v>
      </c>
      <c r="AX616">
        <v>1</v>
      </c>
      <c r="AY616" t="s">
        <v>129</v>
      </c>
      <c r="AZ616">
        <v>44271.54</v>
      </c>
      <c r="BA616">
        <v>3222561</v>
      </c>
      <c r="BB616">
        <v>51341.36</v>
      </c>
      <c r="BC616">
        <v>72.790800000000004</v>
      </c>
      <c r="BD616" t="s">
        <v>130</v>
      </c>
      <c r="BE616" t="s">
        <v>112</v>
      </c>
      <c r="BF616" t="s">
        <v>157</v>
      </c>
      <c r="BG616" t="s">
        <v>133</v>
      </c>
      <c r="BH616" t="s">
        <v>134</v>
      </c>
      <c r="BI616" t="s">
        <v>112</v>
      </c>
      <c r="BJ616" t="s">
        <v>178</v>
      </c>
      <c r="BK616" t="s">
        <v>112</v>
      </c>
      <c r="BL616" t="s">
        <v>125</v>
      </c>
      <c r="BM616" t="s">
        <v>179</v>
      </c>
      <c r="BN616" t="s">
        <v>180</v>
      </c>
      <c r="BO616" t="s">
        <v>181</v>
      </c>
      <c r="BP616">
        <v>1</v>
      </c>
      <c r="BQ616" t="s">
        <v>199</v>
      </c>
      <c r="BR616" s="45">
        <f>ISNUMBER(SEARCH($BR$1,Таблица1[[#This Row],[31_1 Описание и характеристика товара]]))*1</f>
        <v>1</v>
      </c>
      <c r="BT616" t="s">
        <v>150</v>
      </c>
      <c r="BU616">
        <v>33</v>
      </c>
      <c r="BV616">
        <v>1</v>
      </c>
      <c r="BW616">
        <v>0</v>
      </c>
      <c r="BY616">
        <v>0</v>
      </c>
      <c r="CA616" t="s">
        <v>106</v>
      </c>
      <c r="CB616" t="s">
        <v>142</v>
      </c>
      <c r="CC616" t="s">
        <v>112</v>
      </c>
      <c r="CD616" t="s">
        <v>112</v>
      </c>
      <c r="CE616" t="s">
        <v>121</v>
      </c>
      <c r="CF616">
        <v>17008.650000000001</v>
      </c>
      <c r="CG616" t="s">
        <v>144</v>
      </c>
      <c r="CH616">
        <v>4000000</v>
      </c>
      <c r="CI616">
        <v>16990.650000000001</v>
      </c>
      <c r="CJ616">
        <v>0</v>
      </c>
      <c r="CK616" t="s">
        <v>112</v>
      </c>
      <c r="CL616" t="s">
        <v>112</v>
      </c>
      <c r="CM616">
        <v>44271.54</v>
      </c>
      <c r="CN616">
        <v>3222561</v>
      </c>
      <c r="CO616">
        <v>0</v>
      </c>
      <c r="CP616">
        <v>1</v>
      </c>
      <c r="CQ616">
        <v>3479788.83</v>
      </c>
      <c r="CR616">
        <v>51341.36</v>
      </c>
      <c r="CS616" t="s">
        <v>145</v>
      </c>
      <c r="CT616">
        <v>51340.647105000004</v>
      </c>
      <c r="CU616">
        <v>3.0217000000000001</v>
      </c>
      <c r="CV616">
        <v>941</v>
      </c>
      <c r="CW616" t="s">
        <v>183</v>
      </c>
      <c r="CX616" t="s">
        <v>190</v>
      </c>
      <c r="CY616">
        <v>252</v>
      </c>
    </row>
    <row r="617" spans="1:103" x14ac:dyDescent="0.25">
      <c r="A617" t="s">
        <v>106</v>
      </c>
      <c r="B617" s="38">
        <v>45235</v>
      </c>
      <c r="C617" s="43">
        <f>IF(YEAR(Таблица1[[#This Row],[Дата]])=2023,MONTH(Таблица1[[#This Row],[Дата]]),0)</f>
        <v>11</v>
      </c>
      <c r="D617" t="s">
        <v>234</v>
      </c>
      <c r="E617" t="s">
        <v>108</v>
      </c>
      <c r="F617" t="s">
        <v>235</v>
      </c>
      <c r="G617" t="s">
        <v>110</v>
      </c>
      <c r="H617" t="s">
        <v>111</v>
      </c>
      <c r="I617" t="s">
        <v>112</v>
      </c>
      <c r="J617" t="s">
        <v>112</v>
      </c>
      <c r="K617" t="s">
        <v>112</v>
      </c>
      <c r="L617" t="s">
        <v>175</v>
      </c>
      <c r="M617" t="s">
        <v>176</v>
      </c>
      <c r="N617" t="s">
        <v>112</v>
      </c>
      <c r="O617" t="s">
        <v>112</v>
      </c>
      <c r="P617">
        <v>1</v>
      </c>
      <c r="Q617">
        <v>0</v>
      </c>
      <c r="R617">
        <v>1</v>
      </c>
      <c r="S617">
        <v>33</v>
      </c>
      <c r="T617" t="s">
        <v>166</v>
      </c>
      <c r="U617" t="s">
        <v>152</v>
      </c>
      <c r="V617" t="s">
        <v>153</v>
      </c>
      <c r="W617" t="s">
        <v>177</v>
      </c>
      <c r="X617" t="s">
        <v>119</v>
      </c>
      <c r="Y617" t="s">
        <v>112</v>
      </c>
      <c r="Z617" t="s">
        <v>166</v>
      </c>
      <c r="AA617" t="s">
        <v>152</v>
      </c>
      <c r="AB617" t="s">
        <v>153</v>
      </c>
      <c r="AC617" t="s">
        <v>177</v>
      </c>
      <c r="AD617" t="s">
        <v>119</v>
      </c>
      <c r="AE617" t="s">
        <v>112</v>
      </c>
      <c r="AF617" t="s">
        <v>121</v>
      </c>
      <c r="AG617" t="s">
        <v>122</v>
      </c>
      <c r="AH617">
        <v>3488493.16</v>
      </c>
      <c r="AI617" t="s">
        <v>166</v>
      </c>
      <c r="AJ617" t="s">
        <v>152</v>
      </c>
      <c r="AK617" t="s">
        <v>153</v>
      </c>
      <c r="AL617" t="s">
        <v>177</v>
      </c>
      <c r="AM617" t="s">
        <v>119</v>
      </c>
      <c r="AN617" t="s">
        <v>112</v>
      </c>
      <c r="AO617" t="s">
        <v>121</v>
      </c>
      <c r="AP617" t="s">
        <v>122</v>
      </c>
      <c r="AQ617" t="s">
        <v>122</v>
      </c>
      <c r="AR617" t="s">
        <v>124</v>
      </c>
      <c r="AS617" t="s">
        <v>125</v>
      </c>
      <c r="AT617">
        <v>2</v>
      </c>
      <c r="AU617" t="s">
        <v>106</v>
      </c>
      <c r="AV617" t="s">
        <v>155</v>
      </c>
      <c r="AW617" t="s">
        <v>156</v>
      </c>
      <c r="AX617">
        <v>1</v>
      </c>
      <c r="AY617" t="s">
        <v>129</v>
      </c>
      <c r="AZ617">
        <v>44391.12</v>
      </c>
      <c r="BA617">
        <v>3231265</v>
      </c>
      <c r="BB617">
        <v>51469.78</v>
      </c>
      <c r="BC617">
        <v>72.790800000000004</v>
      </c>
      <c r="BD617" t="s">
        <v>130</v>
      </c>
      <c r="BE617" t="s">
        <v>112</v>
      </c>
      <c r="BF617" t="s">
        <v>157</v>
      </c>
      <c r="BG617" t="s">
        <v>133</v>
      </c>
      <c r="BH617" t="s">
        <v>134</v>
      </c>
      <c r="BI617" t="s">
        <v>112</v>
      </c>
      <c r="BJ617" t="s">
        <v>178</v>
      </c>
      <c r="BK617" t="s">
        <v>112</v>
      </c>
      <c r="BL617" t="s">
        <v>125</v>
      </c>
      <c r="BM617" t="s">
        <v>179</v>
      </c>
      <c r="BN617" t="s">
        <v>180</v>
      </c>
      <c r="BO617" t="s">
        <v>181</v>
      </c>
      <c r="BP617">
        <v>1</v>
      </c>
      <c r="BQ617" t="s">
        <v>199</v>
      </c>
      <c r="BR617" s="45">
        <f>ISNUMBER(SEARCH($BR$1,Таблица1[[#This Row],[31_1 Описание и характеристика товара]]))*1</f>
        <v>1</v>
      </c>
      <c r="BT617" t="s">
        <v>150</v>
      </c>
      <c r="BU617">
        <v>33</v>
      </c>
      <c r="BV617">
        <v>1</v>
      </c>
      <c r="BW617">
        <v>0</v>
      </c>
      <c r="BY617">
        <v>0</v>
      </c>
      <c r="CA617" t="s">
        <v>106</v>
      </c>
      <c r="CB617" t="s">
        <v>142</v>
      </c>
      <c r="CC617" t="s">
        <v>112</v>
      </c>
      <c r="CD617" t="s">
        <v>112</v>
      </c>
      <c r="CE617" t="s">
        <v>121</v>
      </c>
      <c r="CF617">
        <v>17395.37</v>
      </c>
      <c r="CG617" t="s">
        <v>144</v>
      </c>
      <c r="CH617">
        <v>4000000</v>
      </c>
      <c r="CI617">
        <v>17395.37</v>
      </c>
      <c r="CJ617">
        <v>0</v>
      </c>
      <c r="CK617" t="s">
        <v>112</v>
      </c>
      <c r="CL617" t="s">
        <v>112</v>
      </c>
      <c r="CM617">
        <v>44391.12</v>
      </c>
      <c r="CN617">
        <v>3231265</v>
      </c>
      <c r="CO617">
        <v>0</v>
      </c>
      <c r="CP617">
        <v>1</v>
      </c>
      <c r="CQ617">
        <v>3488493.16</v>
      </c>
      <c r="CR617">
        <v>51469.78</v>
      </c>
      <c r="CS617" t="s">
        <v>145</v>
      </c>
      <c r="CT617">
        <v>51469.420756</v>
      </c>
      <c r="CU617">
        <v>2.9588000000000001</v>
      </c>
      <c r="CV617">
        <v>941</v>
      </c>
      <c r="CW617" t="s">
        <v>183</v>
      </c>
      <c r="CX617" t="s">
        <v>147</v>
      </c>
      <c r="CY617">
        <v>166</v>
      </c>
    </row>
    <row r="618" spans="1:103" x14ac:dyDescent="0.25">
      <c r="A618" t="s">
        <v>106</v>
      </c>
      <c r="B618" s="38">
        <v>45027</v>
      </c>
      <c r="C618" s="43">
        <f>IF(YEAR(Таблица1[[#This Row],[Дата]])=2023,MONTH(Таблица1[[#This Row],[Дата]]),0)</f>
        <v>4</v>
      </c>
      <c r="D618" t="s">
        <v>222</v>
      </c>
      <c r="E618" t="s">
        <v>108</v>
      </c>
      <c r="F618" t="s">
        <v>223</v>
      </c>
      <c r="G618" t="s">
        <v>110</v>
      </c>
      <c r="H618" t="s">
        <v>111</v>
      </c>
      <c r="I618" t="s">
        <v>112</v>
      </c>
      <c r="J618" t="s">
        <v>112</v>
      </c>
      <c r="K618" t="s">
        <v>112</v>
      </c>
      <c r="L618" t="s">
        <v>175</v>
      </c>
      <c r="M618" t="s">
        <v>176</v>
      </c>
      <c r="N618" t="s">
        <v>112</v>
      </c>
      <c r="O618" t="s">
        <v>112</v>
      </c>
      <c r="P618">
        <v>1</v>
      </c>
      <c r="Q618">
        <v>0</v>
      </c>
      <c r="R618">
        <v>1</v>
      </c>
      <c r="S618">
        <v>33</v>
      </c>
      <c r="T618" t="s">
        <v>166</v>
      </c>
      <c r="U618" t="s">
        <v>152</v>
      </c>
      <c r="V618" t="s">
        <v>153</v>
      </c>
      <c r="W618" t="s">
        <v>177</v>
      </c>
      <c r="X618" t="s">
        <v>119</v>
      </c>
      <c r="Y618" t="s">
        <v>112</v>
      </c>
      <c r="Z618" t="s">
        <v>166</v>
      </c>
      <c r="AA618" t="s">
        <v>152</v>
      </c>
      <c r="AB618" t="s">
        <v>153</v>
      </c>
      <c r="AC618" t="s">
        <v>177</v>
      </c>
      <c r="AD618" t="s">
        <v>119</v>
      </c>
      <c r="AE618" t="s">
        <v>112</v>
      </c>
      <c r="AF618" t="s">
        <v>121</v>
      </c>
      <c r="AG618" t="s">
        <v>122</v>
      </c>
      <c r="AH618">
        <v>3326408.43</v>
      </c>
      <c r="AI618" t="s">
        <v>166</v>
      </c>
      <c r="AJ618" t="s">
        <v>152</v>
      </c>
      <c r="AK618" t="s">
        <v>153</v>
      </c>
      <c r="AL618" t="s">
        <v>177</v>
      </c>
      <c r="AM618" t="s">
        <v>119</v>
      </c>
      <c r="AN618" t="s">
        <v>112</v>
      </c>
      <c r="AO618" t="s">
        <v>121</v>
      </c>
      <c r="AP618" t="s">
        <v>122</v>
      </c>
      <c r="AQ618" t="s">
        <v>122</v>
      </c>
      <c r="AR618" t="s">
        <v>124</v>
      </c>
      <c r="AS618" t="s">
        <v>125</v>
      </c>
      <c r="AT618">
        <v>2</v>
      </c>
      <c r="AU618" t="s">
        <v>106</v>
      </c>
      <c r="AV618" t="s">
        <v>155</v>
      </c>
      <c r="AW618" t="s">
        <v>156</v>
      </c>
      <c r="AX618">
        <v>1</v>
      </c>
      <c r="AY618" t="s">
        <v>129</v>
      </c>
      <c r="AZ618">
        <v>42164.4</v>
      </c>
      <c r="BA618">
        <v>3069180</v>
      </c>
      <c r="BB618">
        <v>49078.36</v>
      </c>
      <c r="BC618">
        <v>72.790800000000004</v>
      </c>
      <c r="BD618" t="s">
        <v>130</v>
      </c>
      <c r="BE618" t="s">
        <v>112</v>
      </c>
      <c r="BF618" t="s">
        <v>157</v>
      </c>
      <c r="BG618" t="s">
        <v>133</v>
      </c>
      <c r="BH618" t="s">
        <v>134</v>
      </c>
      <c r="BI618" t="s">
        <v>112</v>
      </c>
      <c r="BJ618" t="s">
        <v>178</v>
      </c>
      <c r="BK618" t="s">
        <v>112</v>
      </c>
      <c r="BL618" t="s">
        <v>125</v>
      </c>
      <c r="BM618" t="s">
        <v>179</v>
      </c>
      <c r="BN618" t="s">
        <v>180</v>
      </c>
      <c r="BO618" t="s">
        <v>181</v>
      </c>
      <c r="BP618">
        <v>1</v>
      </c>
      <c r="BQ618" t="s">
        <v>199</v>
      </c>
      <c r="BR618" s="45">
        <f>ISNUMBER(SEARCH($BR$1,Таблица1[[#This Row],[31_1 Описание и характеристика товара]]))*1</f>
        <v>1</v>
      </c>
      <c r="BT618" t="s">
        <v>150</v>
      </c>
      <c r="BU618">
        <v>33</v>
      </c>
      <c r="BV618">
        <v>1</v>
      </c>
      <c r="BW618">
        <v>0</v>
      </c>
      <c r="BY618">
        <v>0</v>
      </c>
      <c r="CA618" t="s">
        <v>106</v>
      </c>
      <c r="CB618" t="s">
        <v>142</v>
      </c>
      <c r="CC618" t="s">
        <v>112</v>
      </c>
      <c r="CD618" t="s">
        <v>112</v>
      </c>
      <c r="CE618" t="s">
        <v>121</v>
      </c>
      <c r="CF618">
        <v>16959.509999999998</v>
      </c>
      <c r="CG618" t="s">
        <v>144</v>
      </c>
      <c r="CH618">
        <v>4000000</v>
      </c>
      <c r="CI618">
        <v>16959.509999999998</v>
      </c>
      <c r="CJ618">
        <v>0</v>
      </c>
      <c r="CK618" t="s">
        <v>112</v>
      </c>
      <c r="CL618" t="s">
        <v>112</v>
      </c>
      <c r="CM618">
        <v>42164.4</v>
      </c>
      <c r="CN618">
        <v>3069180</v>
      </c>
      <c r="CO618">
        <v>0</v>
      </c>
      <c r="CP618">
        <v>1</v>
      </c>
      <c r="CQ618">
        <v>3326408.43</v>
      </c>
      <c r="CR618">
        <v>49078.36</v>
      </c>
      <c r="CS618" t="s">
        <v>145</v>
      </c>
      <c r="CT618">
        <v>49079.125988999993</v>
      </c>
      <c r="CU618">
        <v>2.8938999999999999</v>
      </c>
      <c r="CV618">
        <v>941</v>
      </c>
      <c r="CW618" t="s">
        <v>183</v>
      </c>
      <c r="CX618" t="s">
        <v>147</v>
      </c>
      <c r="CY618">
        <v>344</v>
      </c>
    </row>
    <row r="619" spans="1:103" x14ac:dyDescent="0.25">
      <c r="A619" t="s">
        <v>106</v>
      </c>
      <c r="B619" s="38">
        <v>45189</v>
      </c>
      <c r="C619" s="43">
        <f>IF(YEAR(Таблица1[[#This Row],[Дата]])=2023,MONTH(Таблица1[[#This Row],[Дата]]),0)</f>
        <v>9</v>
      </c>
      <c r="D619" t="s">
        <v>214</v>
      </c>
      <c r="E619" t="s">
        <v>108</v>
      </c>
      <c r="F619" t="s">
        <v>215</v>
      </c>
      <c r="G619" t="s">
        <v>110</v>
      </c>
      <c r="H619" t="s">
        <v>111</v>
      </c>
      <c r="I619" t="s">
        <v>112</v>
      </c>
      <c r="J619" t="s">
        <v>112</v>
      </c>
      <c r="K619" t="s">
        <v>112</v>
      </c>
      <c r="L619" t="s">
        <v>175</v>
      </c>
      <c r="M619" t="s">
        <v>176</v>
      </c>
      <c r="N619" t="s">
        <v>112</v>
      </c>
      <c r="O619" t="s">
        <v>112</v>
      </c>
      <c r="P619">
        <v>1</v>
      </c>
      <c r="Q619">
        <v>0</v>
      </c>
      <c r="R619">
        <v>1</v>
      </c>
      <c r="S619">
        <v>33</v>
      </c>
      <c r="T619" t="s">
        <v>166</v>
      </c>
      <c r="U619" t="s">
        <v>152</v>
      </c>
      <c r="V619" t="s">
        <v>153</v>
      </c>
      <c r="W619" t="s">
        <v>177</v>
      </c>
      <c r="X619" t="s">
        <v>119</v>
      </c>
      <c r="Y619" t="s">
        <v>112</v>
      </c>
      <c r="Z619" t="s">
        <v>166</v>
      </c>
      <c r="AA619" t="s">
        <v>152</v>
      </c>
      <c r="AB619" t="s">
        <v>153</v>
      </c>
      <c r="AC619" t="s">
        <v>177</v>
      </c>
      <c r="AD619" t="s">
        <v>119</v>
      </c>
      <c r="AE619" t="s">
        <v>112</v>
      </c>
      <c r="AF619" t="s">
        <v>121</v>
      </c>
      <c r="AG619" t="s">
        <v>122</v>
      </c>
      <c r="AH619">
        <v>3714368.83</v>
      </c>
      <c r="AI619" t="s">
        <v>166</v>
      </c>
      <c r="AJ619" t="s">
        <v>152</v>
      </c>
      <c r="AK619" t="s">
        <v>153</v>
      </c>
      <c r="AL619" t="s">
        <v>177</v>
      </c>
      <c r="AM619" t="s">
        <v>119</v>
      </c>
      <c r="AN619" t="s">
        <v>112</v>
      </c>
      <c r="AO619" t="s">
        <v>121</v>
      </c>
      <c r="AP619" t="s">
        <v>122</v>
      </c>
      <c r="AQ619" t="s">
        <v>122</v>
      </c>
      <c r="AR619" t="s">
        <v>124</v>
      </c>
      <c r="AS619" t="s">
        <v>125</v>
      </c>
      <c r="AT619">
        <v>2</v>
      </c>
      <c r="AU619" t="s">
        <v>106</v>
      </c>
      <c r="AV619" t="s">
        <v>155</v>
      </c>
      <c r="AW619" t="s">
        <v>156</v>
      </c>
      <c r="AX619">
        <v>1</v>
      </c>
      <c r="AY619" t="s">
        <v>129</v>
      </c>
      <c r="AZ619">
        <v>47494.2</v>
      </c>
      <c r="BA619">
        <v>3457141</v>
      </c>
      <c r="BB619">
        <v>54802.39</v>
      </c>
      <c r="BC619">
        <v>72.790800000000004</v>
      </c>
      <c r="BD619" t="s">
        <v>130</v>
      </c>
      <c r="BE619" t="s">
        <v>112</v>
      </c>
      <c r="BF619" t="s">
        <v>157</v>
      </c>
      <c r="BG619" t="s">
        <v>133</v>
      </c>
      <c r="BH619" t="s">
        <v>134</v>
      </c>
      <c r="BI619" t="s">
        <v>112</v>
      </c>
      <c r="BJ619" t="s">
        <v>178</v>
      </c>
      <c r="BK619" t="s">
        <v>112</v>
      </c>
      <c r="BL619" t="s">
        <v>125</v>
      </c>
      <c r="BM619" t="s">
        <v>179</v>
      </c>
      <c r="BN619" t="s">
        <v>180</v>
      </c>
      <c r="BO619" t="s">
        <v>181</v>
      </c>
      <c r="BP619">
        <v>1</v>
      </c>
      <c r="BQ619" t="s">
        <v>199</v>
      </c>
      <c r="BR619" s="45">
        <f>ISNUMBER(SEARCH($BR$1,Таблица1[[#This Row],[31_1 Описание и характеристика товара]]))*1</f>
        <v>1</v>
      </c>
      <c r="BT619" t="s">
        <v>150</v>
      </c>
      <c r="BU619">
        <v>33</v>
      </c>
      <c r="BV619">
        <v>1</v>
      </c>
      <c r="BW619">
        <v>0</v>
      </c>
      <c r="BY619">
        <v>0</v>
      </c>
      <c r="CA619" t="s">
        <v>106</v>
      </c>
      <c r="CB619" t="s">
        <v>142</v>
      </c>
      <c r="CC619" t="s">
        <v>112</v>
      </c>
      <c r="CD619" t="s">
        <v>112</v>
      </c>
      <c r="CE619" t="s">
        <v>121</v>
      </c>
      <c r="CF619">
        <v>15810.6</v>
      </c>
      <c r="CG619" t="s">
        <v>144</v>
      </c>
      <c r="CH619">
        <v>4000000</v>
      </c>
      <c r="CI619">
        <v>15736.2</v>
      </c>
      <c r="CJ619">
        <v>0</v>
      </c>
      <c r="CK619" t="s">
        <v>112</v>
      </c>
      <c r="CL619" t="s">
        <v>112</v>
      </c>
      <c r="CM619">
        <v>47494.2</v>
      </c>
      <c r="CN619">
        <v>3457141</v>
      </c>
      <c r="CO619">
        <v>0</v>
      </c>
      <c r="CP619">
        <v>1</v>
      </c>
      <c r="CQ619">
        <v>3714368.83</v>
      </c>
      <c r="CR619">
        <v>54802.39</v>
      </c>
      <c r="CS619" t="s">
        <v>145</v>
      </c>
      <c r="CT619">
        <v>54802.890120000004</v>
      </c>
      <c r="CU619">
        <v>3.4826000000000001</v>
      </c>
      <c r="CV619">
        <v>941</v>
      </c>
      <c r="CW619" t="s">
        <v>183</v>
      </c>
      <c r="CX619" t="s">
        <v>147</v>
      </c>
      <c r="CY619">
        <v>220</v>
      </c>
    </row>
    <row r="620" spans="1:103" x14ac:dyDescent="0.25">
      <c r="A620" t="s">
        <v>106</v>
      </c>
      <c r="B620" s="38">
        <v>44967</v>
      </c>
      <c r="C620" s="43">
        <f>IF(YEAR(Таблица1[[#This Row],[Дата]])=2023,MONTH(Таблица1[[#This Row],[Дата]]),0)</f>
        <v>2</v>
      </c>
      <c r="D620" t="s">
        <v>218</v>
      </c>
      <c r="E620" t="s">
        <v>108</v>
      </c>
      <c r="F620" t="s">
        <v>219</v>
      </c>
      <c r="G620" t="s">
        <v>110</v>
      </c>
      <c r="H620" t="s">
        <v>111</v>
      </c>
      <c r="I620" t="s">
        <v>112</v>
      </c>
      <c r="J620" t="s">
        <v>112</v>
      </c>
      <c r="K620" t="s">
        <v>112</v>
      </c>
      <c r="L620" t="s">
        <v>175</v>
      </c>
      <c r="M620" t="s">
        <v>176</v>
      </c>
      <c r="N620" t="s">
        <v>112</v>
      </c>
      <c r="O620" t="s">
        <v>112</v>
      </c>
      <c r="P620">
        <v>1</v>
      </c>
      <c r="Q620">
        <v>0</v>
      </c>
      <c r="R620">
        <v>1</v>
      </c>
      <c r="S620">
        <v>33</v>
      </c>
      <c r="T620" t="s">
        <v>166</v>
      </c>
      <c r="U620" t="s">
        <v>152</v>
      </c>
      <c r="V620" t="s">
        <v>153</v>
      </c>
      <c r="W620" t="s">
        <v>177</v>
      </c>
      <c r="X620" t="s">
        <v>119</v>
      </c>
      <c r="Y620" t="s">
        <v>112</v>
      </c>
      <c r="Z620" t="s">
        <v>166</v>
      </c>
      <c r="AA620" t="s">
        <v>152</v>
      </c>
      <c r="AB620" t="s">
        <v>153</v>
      </c>
      <c r="AC620" t="s">
        <v>177</v>
      </c>
      <c r="AD620" t="s">
        <v>119</v>
      </c>
      <c r="AE620" t="s">
        <v>112</v>
      </c>
      <c r="AF620" t="s">
        <v>121</v>
      </c>
      <c r="AG620" t="s">
        <v>122</v>
      </c>
      <c r="AH620">
        <v>3450173.17</v>
      </c>
      <c r="AI620" t="s">
        <v>166</v>
      </c>
      <c r="AJ620" t="s">
        <v>152</v>
      </c>
      <c r="AK620" t="s">
        <v>153</v>
      </c>
      <c r="AL620" t="s">
        <v>177</v>
      </c>
      <c r="AM620" t="s">
        <v>119</v>
      </c>
      <c r="AN620" t="s">
        <v>112</v>
      </c>
      <c r="AO620" t="s">
        <v>121</v>
      </c>
      <c r="AP620" t="s">
        <v>122</v>
      </c>
      <c r="AQ620" t="s">
        <v>122</v>
      </c>
      <c r="AR620" t="s">
        <v>124</v>
      </c>
      <c r="AS620" t="s">
        <v>125</v>
      </c>
      <c r="AT620">
        <v>2</v>
      </c>
      <c r="AU620" t="s">
        <v>106</v>
      </c>
      <c r="AV620" t="s">
        <v>155</v>
      </c>
      <c r="AW620" t="s">
        <v>156</v>
      </c>
      <c r="AX620">
        <v>1</v>
      </c>
      <c r="AY620" t="s">
        <v>129</v>
      </c>
      <c r="AZ620">
        <v>43864.68</v>
      </c>
      <c r="BA620">
        <v>3192945</v>
      </c>
      <c r="BB620">
        <v>50904.4</v>
      </c>
      <c r="BC620">
        <v>72.790800000000004</v>
      </c>
      <c r="BD620" t="s">
        <v>130</v>
      </c>
      <c r="BE620" t="s">
        <v>112</v>
      </c>
      <c r="BF620" t="s">
        <v>157</v>
      </c>
      <c r="BG620" t="s">
        <v>133</v>
      </c>
      <c r="BH620" t="s">
        <v>134</v>
      </c>
      <c r="BI620" t="s">
        <v>112</v>
      </c>
      <c r="BJ620" t="s">
        <v>178</v>
      </c>
      <c r="BK620" t="s">
        <v>112</v>
      </c>
      <c r="BL620" t="s">
        <v>125</v>
      </c>
      <c r="BM620" t="s">
        <v>179</v>
      </c>
      <c r="BN620" t="s">
        <v>180</v>
      </c>
      <c r="BO620" t="s">
        <v>181</v>
      </c>
      <c r="BP620">
        <v>1</v>
      </c>
      <c r="BQ620" t="s">
        <v>199</v>
      </c>
      <c r="BR620" s="45">
        <f>ISNUMBER(SEARCH($BR$1,Таблица1[[#This Row],[31_1 Описание и характеристика товара]]))*1</f>
        <v>1</v>
      </c>
      <c r="BT620" t="s">
        <v>150</v>
      </c>
      <c r="BU620">
        <v>33</v>
      </c>
      <c r="BV620">
        <v>1</v>
      </c>
      <c r="BW620">
        <v>0</v>
      </c>
      <c r="BY620">
        <v>0</v>
      </c>
      <c r="CA620" t="s">
        <v>106</v>
      </c>
      <c r="CB620" t="s">
        <v>142</v>
      </c>
      <c r="CC620" t="s">
        <v>112</v>
      </c>
      <c r="CD620" t="s">
        <v>112</v>
      </c>
      <c r="CE620" t="s">
        <v>121</v>
      </c>
      <c r="CF620">
        <v>17481.84</v>
      </c>
      <c r="CG620" t="s">
        <v>144</v>
      </c>
      <c r="CH620">
        <v>4000000</v>
      </c>
      <c r="CI620">
        <v>17481.84</v>
      </c>
      <c r="CJ620">
        <v>0</v>
      </c>
      <c r="CK620" t="s">
        <v>112</v>
      </c>
      <c r="CL620" t="s">
        <v>112</v>
      </c>
      <c r="CM620">
        <v>43864.68</v>
      </c>
      <c r="CN620">
        <v>3192945</v>
      </c>
      <c r="CO620">
        <v>0</v>
      </c>
      <c r="CP620">
        <v>1</v>
      </c>
      <c r="CQ620">
        <v>3450173.17</v>
      </c>
      <c r="CR620">
        <v>50904.4</v>
      </c>
      <c r="CS620" t="s">
        <v>145</v>
      </c>
      <c r="CT620">
        <v>50903.621712</v>
      </c>
      <c r="CU620">
        <v>2.9117999999999999</v>
      </c>
      <c r="CV620">
        <v>941</v>
      </c>
      <c r="CW620" t="s">
        <v>183</v>
      </c>
      <c r="CX620" t="s">
        <v>147</v>
      </c>
      <c r="CY620">
        <v>77</v>
      </c>
    </row>
    <row r="621" spans="1:103" x14ac:dyDescent="0.25">
      <c r="A621" t="s">
        <v>106</v>
      </c>
      <c r="B621" s="38">
        <v>45229</v>
      </c>
      <c r="C621" s="43">
        <f>IF(YEAR(Таблица1[[#This Row],[Дата]])=2023,MONTH(Таблица1[[#This Row],[Дата]]),0)</f>
        <v>10</v>
      </c>
      <c r="D621" t="s">
        <v>224</v>
      </c>
      <c r="E621" t="s">
        <v>108</v>
      </c>
      <c r="F621" t="s">
        <v>225</v>
      </c>
      <c r="G621" t="s">
        <v>110</v>
      </c>
      <c r="H621" t="s">
        <v>111</v>
      </c>
      <c r="I621" t="s">
        <v>112</v>
      </c>
      <c r="J621" t="s">
        <v>112</v>
      </c>
      <c r="K621" t="s">
        <v>112</v>
      </c>
      <c r="L621" t="s">
        <v>175</v>
      </c>
      <c r="M621" t="s">
        <v>176</v>
      </c>
      <c r="N621" t="s">
        <v>112</v>
      </c>
      <c r="O621" t="s">
        <v>112</v>
      </c>
      <c r="P621">
        <v>1</v>
      </c>
      <c r="Q621">
        <v>0</v>
      </c>
      <c r="R621">
        <v>1</v>
      </c>
      <c r="S621">
        <v>33</v>
      </c>
      <c r="T621" t="s">
        <v>166</v>
      </c>
      <c r="U621" t="s">
        <v>152</v>
      </c>
      <c r="V621" t="s">
        <v>153</v>
      </c>
      <c r="W621" t="s">
        <v>177</v>
      </c>
      <c r="X621" t="s">
        <v>119</v>
      </c>
      <c r="Y621" t="s">
        <v>112</v>
      </c>
      <c r="Z621" t="s">
        <v>166</v>
      </c>
      <c r="AA621" t="s">
        <v>152</v>
      </c>
      <c r="AB621" t="s">
        <v>153</v>
      </c>
      <c r="AC621" t="s">
        <v>177</v>
      </c>
      <c r="AD621" t="s">
        <v>119</v>
      </c>
      <c r="AE621" t="s">
        <v>112</v>
      </c>
      <c r="AF621" t="s">
        <v>121</v>
      </c>
      <c r="AG621" t="s">
        <v>122</v>
      </c>
      <c r="AH621">
        <v>3443071.7</v>
      </c>
      <c r="AI621" t="s">
        <v>166</v>
      </c>
      <c r="AJ621" t="s">
        <v>152</v>
      </c>
      <c r="AK621" t="s">
        <v>153</v>
      </c>
      <c r="AL621" t="s">
        <v>177</v>
      </c>
      <c r="AM621" t="s">
        <v>119</v>
      </c>
      <c r="AN621" t="s">
        <v>112</v>
      </c>
      <c r="AO621" t="s">
        <v>121</v>
      </c>
      <c r="AP621" t="s">
        <v>122</v>
      </c>
      <c r="AQ621" t="s">
        <v>122</v>
      </c>
      <c r="AR621" t="s">
        <v>124</v>
      </c>
      <c r="AS621" t="s">
        <v>125</v>
      </c>
      <c r="AT621">
        <v>2</v>
      </c>
      <c r="AU621" t="s">
        <v>106</v>
      </c>
      <c r="AV621" t="s">
        <v>155</v>
      </c>
      <c r="AW621" t="s">
        <v>156</v>
      </c>
      <c r="AX621">
        <v>1</v>
      </c>
      <c r="AY621" t="s">
        <v>129</v>
      </c>
      <c r="AZ621">
        <v>43767.12</v>
      </c>
      <c r="BA621">
        <v>3185844</v>
      </c>
      <c r="BB621">
        <v>50799.63</v>
      </c>
      <c r="BC621">
        <v>72.790800000000004</v>
      </c>
      <c r="BD621" t="s">
        <v>130</v>
      </c>
      <c r="BE621" t="s">
        <v>112</v>
      </c>
      <c r="BF621" t="s">
        <v>157</v>
      </c>
      <c r="BG621" t="s">
        <v>133</v>
      </c>
      <c r="BH621" t="s">
        <v>134</v>
      </c>
      <c r="BI621" t="s">
        <v>112</v>
      </c>
      <c r="BJ621" t="s">
        <v>178</v>
      </c>
      <c r="BK621" t="s">
        <v>112</v>
      </c>
      <c r="BL621" t="s">
        <v>125</v>
      </c>
      <c r="BM621" t="s">
        <v>179</v>
      </c>
      <c r="BN621" t="s">
        <v>180</v>
      </c>
      <c r="BO621" t="s">
        <v>181</v>
      </c>
      <c r="BP621">
        <v>1</v>
      </c>
      <c r="BQ621" t="s">
        <v>199</v>
      </c>
      <c r="BR621" s="45">
        <f>ISNUMBER(SEARCH($BR$1,Таблица1[[#This Row],[31_1 Описание и характеристика товара]]))*1</f>
        <v>1</v>
      </c>
      <c r="BT621" t="s">
        <v>150</v>
      </c>
      <c r="BU621">
        <v>33</v>
      </c>
      <c r="BV621">
        <v>1</v>
      </c>
      <c r="BW621">
        <v>0</v>
      </c>
      <c r="BY621">
        <v>0</v>
      </c>
      <c r="CA621" t="s">
        <v>106</v>
      </c>
      <c r="CB621" t="s">
        <v>142</v>
      </c>
      <c r="CC621" t="s">
        <v>112</v>
      </c>
      <c r="CD621" t="s">
        <v>112</v>
      </c>
      <c r="CE621" t="s">
        <v>121</v>
      </c>
      <c r="CF621">
        <v>16774.84</v>
      </c>
      <c r="CG621" t="s">
        <v>144</v>
      </c>
      <c r="CH621">
        <v>4000000</v>
      </c>
      <c r="CI621">
        <v>16666.84</v>
      </c>
      <c r="CJ621">
        <v>0</v>
      </c>
      <c r="CK621" t="s">
        <v>112</v>
      </c>
      <c r="CL621" t="s">
        <v>112</v>
      </c>
      <c r="CM621">
        <v>43767.12</v>
      </c>
      <c r="CN621">
        <v>3185844</v>
      </c>
      <c r="CO621">
        <v>0</v>
      </c>
      <c r="CP621">
        <v>1</v>
      </c>
      <c r="CQ621">
        <v>3443071.7</v>
      </c>
      <c r="CR621">
        <v>50799.63</v>
      </c>
      <c r="CS621" t="s">
        <v>145</v>
      </c>
      <c r="CT621">
        <v>50798.861635999994</v>
      </c>
      <c r="CU621">
        <v>3.0478999999999998</v>
      </c>
      <c r="CV621">
        <v>941</v>
      </c>
      <c r="CW621" t="s">
        <v>183</v>
      </c>
      <c r="CX621" t="s">
        <v>190</v>
      </c>
      <c r="CY621">
        <v>238</v>
      </c>
    </row>
    <row r="622" spans="1:103" x14ac:dyDescent="0.25">
      <c r="A622" t="s">
        <v>106</v>
      </c>
      <c r="B622" s="38">
        <v>45120</v>
      </c>
      <c r="C622" s="43">
        <f>IF(YEAR(Таблица1[[#This Row],[Дата]])=2023,MONTH(Таблица1[[#This Row],[Дата]]),0)</f>
        <v>7</v>
      </c>
      <c r="D622" t="s">
        <v>226</v>
      </c>
      <c r="E622" t="s">
        <v>108</v>
      </c>
      <c r="F622" t="s">
        <v>227</v>
      </c>
      <c r="G622" t="s">
        <v>110</v>
      </c>
      <c r="H622" t="s">
        <v>111</v>
      </c>
      <c r="I622" t="s">
        <v>112</v>
      </c>
      <c r="J622" t="s">
        <v>112</v>
      </c>
      <c r="K622" t="s">
        <v>112</v>
      </c>
      <c r="L622" t="s">
        <v>175</v>
      </c>
      <c r="M622" t="s">
        <v>176</v>
      </c>
      <c r="N622" t="s">
        <v>112</v>
      </c>
      <c r="O622" t="s">
        <v>112</v>
      </c>
      <c r="P622">
        <v>1</v>
      </c>
      <c r="Q622">
        <v>0</v>
      </c>
      <c r="R622">
        <v>1</v>
      </c>
      <c r="S622">
        <v>33</v>
      </c>
      <c r="T622" t="s">
        <v>166</v>
      </c>
      <c r="U622" t="s">
        <v>152</v>
      </c>
      <c r="V622" t="s">
        <v>153</v>
      </c>
      <c r="W622" t="s">
        <v>177</v>
      </c>
      <c r="X622" t="s">
        <v>119</v>
      </c>
      <c r="Y622" t="s">
        <v>112</v>
      </c>
      <c r="Z622" t="s">
        <v>166</v>
      </c>
      <c r="AA622" t="s">
        <v>152</v>
      </c>
      <c r="AB622" t="s">
        <v>153</v>
      </c>
      <c r="AC622" t="s">
        <v>177</v>
      </c>
      <c r="AD622" t="s">
        <v>119</v>
      </c>
      <c r="AE622" t="s">
        <v>112</v>
      </c>
      <c r="AF622" t="s">
        <v>121</v>
      </c>
      <c r="AG622" t="s">
        <v>122</v>
      </c>
      <c r="AH622">
        <v>3257236.79</v>
      </c>
      <c r="AI622" t="s">
        <v>166</v>
      </c>
      <c r="AJ622" t="s">
        <v>152</v>
      </c>
      <c r="AK622" t="s">
        <v>153</v>
      </c>
      <c r="AL622" t="s">
        <v>177</v>
      </c>
      <c r="AM622" t="s">
        <v>119</v>
      </c>
      <c r="AN622" t="s">
        <v>112</v>
      </c>
      <c r="AO622" t="s">
        <v>121</v>
      </c>
      <c r="AP622" t="s">
        <v>122</v>
      </c>
      <c r="AQ622" t="s">
        <v>122</v>
      </c>
      <c r="AR622" t="s">
        <v>124</v>
      </c>
      <c r="AS622" t="s">
        <v>125</v>
      </c>
      <c r="AT622">
        <v>2</v>
      </c>
      <c r="AU622" t="s">
        <v>106</v>
      </c>
      <c r="AV622" t="s">
        <v>155</v>
      </c>
      <c r="AW622" t="s">
        <v>156</v>
      </c>
      <c r="AX622">
        <v>1</v>
      </c>
      <c r="AY622" t="s">
        <v>129</v>
      </c>
      <c r="AZ622">
        <v>41214.120000000003</v>
      </c>
      <c r="BA622">
        <v>3000009</v>
      </c>
      <c r="BB622">
        <v>48057.79</v>
      </c>
      <c r="BC622">
        <v>72.790800000000004</v>
      </c>
      <c r="BD622" t="s">
        <v>130</v>
      </c>
      <c r="BE622" t="s">
        <v>112</v>
      </c>
      <c r="BF622" t="s">
        <v>157</v>
      </c>
      <c r="BG622" t="s">
        <v>133</v>
      </c>
      <c r="BH622" t="s">
        <v>134</v>
      </c>
      <c r="BI622" t="s">
        <v>112</v>
      </c>
      <c r="BJ622" t="s">
        <v>178</v>
      </c>
      <c r="BK622" t="s">
        <v>112</v>
      </c>
      <c r="BL622" t="s">
        <v>125</v>
      </c>
      <c r="BM622" t="s">
        <v>179</v>
      </c>
      <c r="BN622" t="s">
        <v>180</v>
      </c>
      <c r="BO622" t="s">
        <v>181</v>
      </c>
      <c r="BP622">
        <v>1</v>
      </c>
      <c r="BQ622" t="s">
        <v>199</v>
      </c>
      <c r="BR622" s="45">
        <f>ISNUMBER(SEARCH($BR$1,Таблица1[[#This Row],[31_1 Описание и характеристика товара]]))*1</f>
        <v>1</v>
      </c>
      <c r="BT622" t="s">
        <v>150</v>
      </c>
      <c r="BU622">
        <v>33</v>
      </c>
      <c r="BV622">
        <v>1</v>
      </c>
      <c r="BW622">
        <v>0</v>
      </c>
      <c r="BY622">
        <v>0</v>
      </c>
      <c r="CA622" t="s">
        <v>106</v>
      </c>
      <c r="CB622" t="s">
        <v>142</v>
      </c>
      <c r="CC622" t="s">
        <v>112</v>
      </c>
      <c r="CD622" t="s">
        <v>112</v>
      </c>
      <c r="CE622" t="s">
        <v>121</v>
      </c>
      <c r="CF622">
        <v>16741.03</v>
      </c>
      <c r="CG622" t="s">
        <v>144</v>
      </c>
      <c r="CH622">
        <v>4000000</v>
      </c>
      <c r="CI622">
        <v>16741.03</v>
      </c>
      <c r="CJ622">
        <v>0</v>
      </c>
      <c r="CK622" t="s">
        <v>112</v>
      </c>
      <c r="CL622" t="s">
        <v>112</v>
      </c>
      <c r="CM622">
        <v>41214.120000000003</v>
      </c>
      <c r="CN622">
        <v>3000009</v>
      </c>
      <c r="CO622">
        <v>0</v>
      </c>
      <c r="CP622">
        <v>1</v>
      </c>
      <c r="CQ622">
        <v>3257236.79</v>
      </c>
      <c r="CR622">
        <v>48057.79</v>
      </c>
      <c r="CS622" t="s">
        <v>145</v>
      </c>
      <c r="CT622">
        <v>48058.474820999996</v>
      </c>
      <c r="CU622">
        <v>2.8706999999999998</v>
      </c>
      <c r="CV622">
        <v>941</v>
      </c>
      <c r="CW622" t="s">
        <v>183</v>
      </c>
      <c r="CX622" t="s">
        <v>147</v>
      </c>
      <c r="CY622">
        <v>4</v>
      </c>
    </row>
    <row r="623" spans="1:103" x14ac:dyDescent="0.25">
      <c r="A623" t="s">
        <v>106</v>
      </c>
      <c r="B623" s="38">
        <v>45286</v>
      </c>
      <c r="C623" s="43">
        <f>IF(YEAR(Таблица1[[#This Row],[Дата]])=2023,MONTH(Таблица1[[#This Row],[Дата]]),0)</f>
        <v>12</v>
      </c>
      <c r="D623" t="s">
        <v>220</v>
      </c>
      <c r="E623" t="s">
        <v>108</v>
      </c>
      <c r="F623" t="s">
        <v>221</v>
      </c>
      <c r="G623" t="s">
        <v>110</v>
      </c>
      <c r="H623" t="s">
        <v>111</v>
      </c>
      <c r="I623" t="s">
        <v>112</v>
      </c>
      <c r="J623" t="s">
        <v>112</v>
      </c>
      <c r="K623" t="s">
        <v>112</v>
      </c>
      <c r="L623" t="s">
        <v>175</v>
      </c>
      <c r="M623" t="s">
        <v>176</v>
      </c>
      <c r="N623" t="s">
        <v>112</v>
      </c>
      <c r="O623" t="s">
        <v>112</v>
      </c>
      <c r="P623">
        <v>1</v>
      </c>
      <c r="Q623">
        <v>0</v>
      </c>
      <c r="R623">
        <v>1</v>
      </c>
      <c r="S623">
        <v>33</v>
      </c>
      <c r="T623" t="s">
        <v>166</v>
      </c>
      <c r="U623" t="s">
        <v>152</v>
      </c>
      <c r="V623" t="s">
        <v>153</v>
      </c>
      <c r="W623" t="s">
        <v>177</v>
      </c>
      <c r="X623" t="s">
        <v>119</v>
      </c>
      <c r="Y623" t="s">
        <v>112</v>
      </c>
      <c r="Z623" t="s">
        <v>166</v>
      </c>
      <c r="AA623" t="s">
        <v>152</v>
      </c>
      <c r="AB623" t="s">
        <v>153</v>
      </c>
      <c r="AC623" t="s">
        <v>177</v>
      </c>
      <c r="AD623" t="s">
        <v>119</v>
      </c>
      <c r="AE623" t="s">
        <v>112</v>
      </c>
      <c r="AF623" t="s">
        <v>121</v>
      </c>
      <c r="AG623" t="s">
        <v>122</v>
      </c>
      <c r="AH623">
        <v>3511444.1</v>
      </c>
      <c r="AI623" t="s">
        <v>166</v>
      </c>
      <c r="AJ623" t="s">
        <v>152</v>
      </c>
      <c r="AK623" t="s">
        <v>153</v>
      </c>
      <c r="AL623" t="s">
        <v>177</v>
      </c>
      <c r="AM623" t="s">
        <v>119</v>
      </c>
      <c r="AN623" t="s">
        <v>112</v>
      </c>
      <c r="AO623" t="s">
        <v>121</v>
      </c>
      <c r="AP623" t="s">
        <v>122</v>
      </c>
      <c r="AQ623" t="s">
        <v>122</v>
      </c>
      <c r="AR623" t="s">
        <v>124</v>
      </c>
      <c r="AS623" t="s">
        <v>125</v>
      </c>
      <c r="AT623">
        <v>2</v>
      </c>
      <c r="AU623" t="s">
        <v>106</v>
      </c>
      <c r="AV623" t="s">
        <v>155</v>
      </c>
      <c r="AW623" t="s">
        <v>156</v>
      </c>
      <c r="AX623">
        <v>1</v>
      </c>
      <c r="AY623" t="s">
        <v>129</v>
      </c>
      <c r="AZ623">
        <v>44706.42</v>
      </c>
      <c r="BA623">
        <v>3254216</v>
      </c>
      <c r="BB623">
        <v>51808.4</v>
      </c>
      <c r="BC623">
        <v>72.790800000000004</v>
      </c>
      <c r="BD623" t="s">
        <v>130</v>
      </c>
      <c r="BE623" t="s">
        <v>112</v>
      </c>
      <c r="BF623" t="s">
        <v>157</v>
      </c>
      <c r="BG623" t="s">
        <v>133</v>
      </c>
      <c r="BH623" t="s">
        <v>134</v>
      </c>
      <c r="BI623" t="s">
        <v>112</v>
      </c>
      <c r="BJ623" t="s">
        <v>178</v>
      </c>
      <c r="BK623" t="s">
        <v>112</v>
      </c>
      <c r="BL623" t="s">
        <v>125</v>
      </c>
      <c r="BM623" t="s">
        <v>179</v>
      </c>
      <c r="BN623" t="s">
        <v>180</v>
      </c>
      <c r="BO623" t="s">
        <v>181</v>
      </c>
      <c r="BP623">
        <v>1</v>
      </c>
      <c r="BQ623" t="s">
        <v>199</v>
      </c>
      <c r="BR623" s="45">
        <f>ISNUMBER(SEARCH($BR$1,Таблица1[[#This Row],[31_1 Описание и характеристика товара]]))*1</f>
        <v>1</v>
      </c>
      <c r="BT623" t="s">
        <v>150</v>
      </c>
      <c r="BU623">
        <v>33</v>
      </c>
      <c r="BV623">
        <v>1</v>
      </c>
      <c r="BW623">
        <v>0</v>
      </c>
      <c r="BY623">
        <v>0</v>
      </c>
      <c r="CA623" t="s">
        <v>106</v>
      </c>
      <c r="CB623" t="s">
        <v>142</v>
      </c>
      <c r="CC623" t="s">
        <v>112</v>
      </c>
      <c r="CD623" t="s">
        <v>112</v>
      </c>
      <c r="CE623" t="s">
        <v>121</v>
      </c>
      <c r="CF623">
        <v>17281.37</v>
      </c>
      <c r="CG623" t="s">
        <v>144</v>
      </c>
      <c r="CH623">
        <v>4000000</v>
      </c>
      <c r="CI623">
        <v>17281.37</v>
      </c>
      <c r="CJ623">
        <v>0</v>
      </c>
      <c r="CK623" t="s">
        <v>112</v>
      </c>
      <c r="CL623" t="s">
        <v>112</v>
      </c>
      <c r="CM623">
        <v>44706.42</v>
      </c>
      <c r="CN623">
        <v>3254216</v>
      </c>
      <c r="CO623">
        <v>0</v>
      </c>
      <c r="CP623">
        <v>1</v>
      </c>
      <c r="CQ623">
        <v>3511444.1</v>
      </c>
      <c r="CR623">
        <v>51808.4</v>
      </c>
      <c r="CS623" t="s">
        <v>145</v>
      </c>
      <c r="CT623">
        <v>51807.819122999994</v>
      </c>
      <c r="CU623">
        <v>2.9979</v>
      </c>
      <c r="CV623">
        <v>941</v>
      </c>
      <c r="CW623" t="s">
        <v>183</v>
      </c>
      <c r="CX623" t="s">
        <v>147</v>
      </c>
      <c r="CY623">
        <v>144</v>
      </c>
    </row>
    <row r="624" spans="1:103" x14ac:dyDescent="0.25">
      <c r="A624" t="s">
        <v>106</v>
      </c>
      <c r="B624" s="38">
        <v>45136</v>
      </c>
      <c r="C624" s="43">
        <f>IF(YEAR(Таблица1[[#This Row],[Дата]])=2023,MONTH(Таблица1[[#This Row],[Дата]]),0)</f>
        <v>7</v>
      </c>
      <c r="D624" t="s">
        <v>228</v>
      </c>
      <c r="E624" t="s">
        <v>108</v>
      </c>
      <c r="F624" t="s">
        <v>229</v>
      </c>
      <c r="G624" t="s">
        <v>110</v>
      </c>
      <c r="H624" t="s">
        <v>111</v>
      </c>
      <c r="I624" t="s">
        <v>112</v>
      </c>
      <c r="J624" t="s">
        <v>112</v>
      </c>
      <c r="K624" t="s">
        <v>112</v>
      </c>
      <c r="L624" t="s">
        <v>175</v>
      </c>
      <c r="M624" t="s">
        <v>176</v>
      </c>
      <c r="N624" t="s">
        <v>112</v>
      </c>
      <c r="O624" t="s">
        <v>112</v>
      </c>
      <c r="P624">
        <v>1</v>
      </c>
      <c r="Q624">
        <v>0</v>
      </c>
      <c r="R624">
        <v>1</v>
      </c>
      <c r="S624">
        <v>33</v>
      </c>
      <c r="T624" t="s">
        <v>166</v>
      </c>
      <c r="U624" t="s">
        <v>152</v>
      </c>
      <c r="V624" t="s">
        <v>153</v>
      </c>
      <c r="W624" t="s">
        <v>177</v>
      </c>
      <c r="X624" t="s">
        <v>119</v>
      </c>
      <c r="Y624" t="s">
        <v>112</v>
      </c>
      <c r="Z624" t="s">
        <v>166</v>
      </c>
      <c r="AA624" t="s">
        <v>152</v>
      </c>
      <c r="AB624" t="s">
        <v>153</v>
      </c>
      <c r="AC624" t="s">
        <v>177</v>
      </c>
      <c r="AD624" t="s">
        <v>119</v>
      </c>
      <c r="AE624" t="s">
        <v>112</v>
      </c>
      <c r="AF624" t="s">
        <v>121</v>
      </c>
      <c r="AG624" t="s">
        <v>122</v>
      </c>
      <c r="AH624">
        <v>3435638.3</v>
      </c>
      <c r="AI624" t="s">
        <v>166</v>
      </c>
      <c r="AJ624" t="s">
        <v>152</v>
      </c>
      <c r="AK624" t="s">
        <v>153</v>
      </c>
      <c r="AL624" t="s">
        <v>177</v>
      </c>
      <c r="AM624" t="s">
        <v>119</v>
      </c>
      <c r="AN624" t="s">
        <v>112</v>
      </c>
      <c r="AO624" t="s">
        <v>121</v>
      </c>
      <c r="AP624" t="s">
        <v>122</v>
      </c>
      <c r="AQ624" t="s">
        <v>122</v>
      </c>
      <c r="AR624" t="s">
        <v>124</v>
      </c>
      <c r="AS624" t="s">
        <v>125</v>
      </c>
      <c r="AT624">
        <v>2</v>
      </c>
      <c r="AU624" t="s">
        <v>106</v>
      </c>
      <c r="AV624" t="s">
        <v>155</v>
      </c>
      <c r="AW624" t="s">
        <v>156</v>
      </c>
      <c r="AX624">
        <v>1</v>
      </c>
      <c r="AY624" t="s">
        <v>129</v>
      </c>
      <c r="AZ624">
        <v>43665</v>
      </c>
      <c r="BA624">
        <v>3178410</v>
      </c>
      <c r="BB624">
        <v>50689.95</v>
      </c>
      <c r="BC624">
        <v>72.790800000000004</v>
      </c>
      <c r="BD624" t="s">
        <v>130</v>
      </c>
      <c r="BE624" t="s">
        <v>112</v>
      </c>
      <c r="BF624" t="s">
        <v>157</v>
      </c>
      <c r="BG624" t="s">
        <v>133</v>
      </c>
      <c r="BH624" t="s">
        <v>134</v>
      </c>
      <c r="BI624" t="s">
        <v>112</v>
      </c>
      <c r="BJ624" t="s">
        <v>178</v>
      </c>
      <c r="BK624" t="s">
        <v>112</v>
      </c>
      <c r="BL624" t="s">
        <v>125</v>
      </c>
      <c r="BM624" t="s">
        <v>179</v>
      </c>
      <c r="BN624" t="s">
        <v>180</v>
      </c>
      <c r="BO624" t="s">
        <v>181</v>
      </c>
      <c r="BP624">
        <v>1</v>
      </c>
      <c r="BQ624" t="s">
        <v>199</v>
      </c>
      <c r="BR624" s="45">
        <f>ISNUMBER(SEARCH($BR$1,Таблица1[[#This Row],[31_1 Описание и характеристика товара]]))*1</f>
        <v>1</v>
      </c>
      <c r="BT624" t="s">
        <v>150</v>
      </c>
      <c r="BU624">
        <v>33</v>
      </c>
      <c r="BV624">
        <v>1</v>
      </c>
      <c r="BW624">
        <v>0</v>
      </c>
      <c r="BY624">
        <v>0</v>
      </c>
      <c r="CA624" t="s">
        <v>106</v>
      </c>
      <c r="CB624" t="s">
        <v>142</v>
      </c>
      <c r="CC624" t="s">
        <v>112</v>
      </c>
      <c r="CD624" t="s">
        <v>112</v>
      </c>
      <c r="CE624" t="s">
        <v>121</v>
      </c>
      <c r="CF624">
        <v>17285.7</v>
      </c>
      <c r="CG624" t="s">
        <v>144</v>
      </c>
      <c r="CH624">
        <v>4000000</v>
      </c>
      <c r="CI624">
        <v>17285.7</v>
      </c>
      <c r="CJ624">
        <v>0</v>
      </c>
      <c r="CK624" t="s">
        <v>112</v>
      </c>
      <c r="CL624" t="s">
        <v>112</v>
      </c>
      <c r="CM624">
        <v>43665</v>
      </c>
      <c r="CN624">
        <v>3178410</v>
      </c>
      <c r="CO624">
        <v>0</v>
      </c>
      <c r="CP624">
        <v>1</v>
      </c>
      <c r="CQ624">
        <v>3435638.3</v>
      </c>
      <c r="CR624">
        <v>50689.95</v>
      </c>
      <c r="CS624" t="s">
        <v>145</v>
      </c>
      <c r="CT624">
        <v>50690.315250000007</v>
      </c>
      <c r="CU624">
        <v>2.9325000000000001</v>
      </c>
      <c r="CV624">
        <v>941</v>
      </c>
      <c r="CW624" t="s">
        <v>183</v>
      </c>
      <c r="CX624" t="s">
        <v>147</v>
      </c>
      <c r="CY624">
        <v>65</v>
      </c>
    </row>
    <row r="625" spans="1:103" x14ac:dyDescent="0.25">
      <c r="A625" t="s">
        <v>106</v>
      </c>
      <c r="B625" s="38">
        <v>44566</v>
      </c>
      <c r="C625" s="43">
        <f>IF(YEAR(Таблица1[[#This Row],[Дата]])=2023,MONTH(Таблица1[[#This Row],[Дата]]),0)</f>
        <v>0</v>
      </c>
      <c r="D625" t="s">
        <v>236</v>
      </c>
      <c r="E625" t="s">
        <v>108</v>
      </c>
      <c r="F625" t="s">
        <v>237</v>
      </c>
      <c r="G625" t="s">
        <v>110</v>
      </c>
      <c r="H625" t="s">
        <v>111</v>
      </c>
      <c r="I625" t="s">
        <v>112</v>
      </c>
      <c r="J625" t="s">
        <v>112</v>
      </c>
      <c r="K625" t="s">
        <v>112</v>
      </c>
      <c r="L625" t="s">
        <v>175</v>
      </c>
      <c r="M625" t="s">
        <v>176</v>
      </c>
      <c r="N625" t="s">
        <v>112</v>
      </c>
      <c r="O625" t="s">
        <v>112</v>
      </c>
      <c r="P625">
        <v>1</v>
      </c>
      <c r="Q625">
        <v>0</v>
      </c>
      <c r="R625">
        <v>1</v>
      </c>
      <c r="S625">
        <v>33</v>
      </c>
      <c r="T625" t="s">
        <v>166</v>
      </c>
      <c r="U625" t="s">
        <v>152</v>
      </c>
      <c r="V625" t="s">
        <v>153</v>
      </c>
      <c r="W625" t="s">
        <v>177</v>
      </c>
      <c r="X625" t="s">
        <v>119</v>
      </c>
      <c r="Y625" t="s">
        <v>112</v>
      </c>
      <c r="Z625" t="s">
        <v>166</v>
      </c>
      <c r="AA625" t="s">
        <v>152</v>
      </c>
      <c r="AB625" t="s">
        <v>153</v>
      </c>
      <c r="AC625" t="s">
        <v>177</v>
      </c>
      <c r="AD625" t="s">
        <v>119</v>
      </c>
      <c r="AE625" t="s">
        <v>112</v>
      </c>
      <c r="AF625" t="s">
        <v>121</v>
      </c>
      <c r="AG625" t="s">
        <v>122</v>
      </c>
      <c r="AH625">
        <v>3612097.76</v>
      </c>
      <c r="AI625" t="s">
        <v>166</v>
      </c>
      <c r="AJ625" t="s">
        <v>152</v>
      </c>
      <c r="AK625" t="s">
        <v>153</v>
      </c>
      <c r="AL625" t="s">
        <v>177</v>
      </c>
      <c r="AM625" t="s">
        <v>119</v>
      </c>
      <c r="AN625" t="s">
        <v>112</v>
      </c>
      <c r="AO625" t="s">
        <v>121</v>
      </c>
      <c r="AP625" t="s">
        <v>122</v>
      </c>
      <c r="AQ625" t="s">
        <v>122</v>
      </c>
      <c r="AR625" t="s">
        <v>124</v>
      </c>
      <c r="AS625" t="s">
        <v>125</v>
      </c>
      <c r="AT625">
        <v>2</v>
      </c>
      <c r="AU625" t="s">
        <v>106</v>
      </c>
      <c r="AV625" t="s">
        <v>155</v>
      </c>
      <c r="AW625" t="s">
        <v>156</v>
      </c>
      <c r="AX625">
        <v>1</v>
      </c>
      <c r="AY625" t="s">
        <v>129</v>
      </c>
      <c r="AZ625">
        <v>46089.2</v>
      </c>
      <c r="BA625">
        <v>3354870</v>
      </c>
      <c r="BB625">
        <v>53293.46</v>
      </c>
      <c r="BC625">
        <v>72.790800000000004</v>
      </c>
      <c r="BD625" t="s">
        <v>130</v>
      </c>
      <c r="BE625" t="s">
        <v>112</v>
      </c>
      <c r="BF625" t="s">
        <v>157</v>
      </c>
      <c r="BG625" t="s">
        <v>133</v>
      </c>
      <c r="BH625" t="s">
        <v>134</v>
      </c>
      <c r="BI625" t="s">
        <v>112</v>
      </c>
      <c r="BJ625" t="s">
        <v>178</v>
      </c>
      <c r="BK625" t="s">
        <v>112</v>
      </c>
      <c r="BL625" t="s">
        <v>125</v>
      </c>
      <c r="BM625" t="s">
        <v>179</v>
      </c>
      <c r="BN625" t="s">
        <v>180</v>
      </c>
      <c r="BO625" t="s">
        <v>181</v>
      </c>
      <c r="BP625">
        <v>1</v>
      </c>
      <c r="BQ625" t="s">
        <v>199</v>
      </c>
      <c r="BR625" s="45">
        <f>ISNUMBER(SEARCH($BR$1,Таблица1[[#This Row],[31_1 Описание и характеристика товара]]))*1</f>
        <v>1</v>
      </c>
      <c r="BT625" t="s">
        <v>150</v>
      </c>
      <c r="BU625">
        <v>33</v>
      </c>
      <c r="BV625">
        <v>1</v>
      </c>
      <c r="BW625">
        <v>0</v>
      </c>
      <c r="BY625">
        <v>0</v>
      </c>
      <c r="CA625" t="s">
        <v>106</v>
      </c>
      <c r="CB625" t="s">
        <v>142</v>
      </c>
      <c r="CC625" t="s">
        <v>112</v>
      </c>
      <c r="CD625" t="s">
        <v>112</v>
      </c>
      <c r="CE625" t="s">
        <v>121</v>
      </c>
      <c r="CF625">
        <v>16530.990000000002</v>
      </c>
      <c r="CG625" t="s">
        <v>144</v>
      </c>
      <c r="CH625">
        <v>4000000</v>
      </c>
      <c r="CI625">
        <v>16368.39</v>
      </c>
      <c r="CJ625">
        <v>0</v>
      </c>
      <c r="CK625" t="s">
        <v>112</v>
      </c>
      <c r="CL625" t="s">
        <v>112</v>
      </c>
      <c r="CM625">
        <v>46089.2</v>
      </c>
      <c r="CN625">
        <v>3354870</v>
      </c>
      <c r="CO625">
        <v>0</v>
      </c>
      <c r="CP625">
        <v>1</v>
      </c>
      <c r="CQ625">
        <v>3612097.76</v>
      </c>
      <c r="CR625">
        <v>53293.46</v>
      </c>
      <c r="CS625" t="s">
        <v>145</v>
      </c>
      <c r="CT625">
        <v>53293.841001000001</v>
      </c>
      <c r="CU625">
        <v>3.2559</v>
      </c>
      <c r="CV625">
        <v>941</v>
      </c>
      <c r="CW625" t="s">
        <v>183</v>
      </c>
      <c r="CX625" t="s">
        <v>147</v>
      </c>
      <c r="CY625">
        <v>325</v>
      </c>
    </row>
    <row r="626" spans="1:103" x14ac:dyDescent="0.25">
      <c r="A626" t="s">
        <v>106</v>
      </c>
      <c r="B626" s="38">
        <v>44965</v>
      </c>
      <c r="C626" s="43">
        <f>IF(YEAR(Таблица1[[#This Row],[Дата]])=2023,MONTH(Таблица1[[#This Row],[Дата]]),0)</f>
        <v>2</v>
      </c>
      <c r="D626" t="s">
        <v>216</v>
      </c>
      <c r="E626" t="s">
        <v>108</v>
      </c>
      <c r="F626" t="s">
        <v>217</v>
      </c>
      <c r="G626" t="s">
        <v>110</v>
      </c>
      <c r="H626" t="s">
        <v>111</v>
      </c>
      <c r="I626" t="s">
        <v>112</v>
      </c>
      <c r="J626" t="s">
        <v>112</v>
      </c>
      <c r="K626" t="s">
        <v>112</v>
      </c>
      <c r="L626" t="s">
        <v>175</v>
      </c>
      <c r="M626" t="s">
        <v>176</v>
      </c>
      <c r="N626" t="s">
        <v>112</v>
      </c>
      <c r="O626" t="s">
        <v>112</v>
      </c>
      <c r="P626">
        <v>1</v>
      </c>
      <c r="Q626">
        <v>0</v>
      </c>
      <c r="R626">
        <v>1</v>
      </c>
      <c r="S626">
        <v>33</v>
      </c>
      <c r="T626" t="s">
        <v>166</v>
      </c>
      <c r="U626" t="s">
        <v>152</v>
      </c>
      <c r="V626" t="s">
        <v>153</v>
      </c>
      <c r="W626" t="s">
        <v>177</v>
      </c>
      <c r="X626" t="s">
        <v>119</v>
      </c>
      <c r="Y626" t="s">
        <v>112</v>
      </c>
      <c r="Z626" t="s">
        <v>166</v>
      </c>
      <c r="AA626" t="s">
        <v>152</v>
      </c>
      <c r="AB626" t="s">
        <v>153</v>
      </c>
      <c r="AC626" t="s">
        <v>177</v>
      </c>
      <c r="AD626" t="s">
        <v>119</v>
      </c>
      <c r="AE626" t="s">
        <v>112</v>
      </c>
      <c r="AF626" t="s">
        <v>121</v>
      </c>
      <c r="AG626" t="s">
        <v>122</v>
      </c>
      <c r="AH626">
        <v>3196382.22</v>
      </c>
      <c r="AI626" t="s">
        <v>166</v>
      </c>
      <c r="AJ626" t="s">
        <v>152</v>
      </c>
      <c r="AK626" t="s">
        <v>153</v>
      </c>
      <c r="AL626" t="s">
        <v>177</v>
      </c>
      <c r="AM626" t="s">
        <v>119</v>
      </c>
      <c r="AN626" t="s">
        <v>112</v>
      </c>
      <c r="AO626" t="s">
        <v>121</v>
      </c>
      <c r="AP626" t="s">
        <v>122</v>
      </c>
      <c r="AQ626" t="s">
        <v>122</v>
      </c>
      <c r="AR626" t="s">
        <v>124</v>
      </c>
      <c r="AS626" t="s">
        <v>125</v>
      </c>
      <c r="AT626">
        <v>2</v>
      </c>
      <c r="AU626" t="s">
        <v>106</v>
      </c>
      <c r="AV626" t="s">
        <v>155</v>
      </c>
      <c r="AW626" t="s">
        <v>156</v>
      </c>
      <c r="AX626">
        <v>1</v>
      </c>
      <c r="AY626" t="s">
        <v>129</v>
      </c>
      <c r="AZ626">
        <v>40378.1</v>
      </c>
      <c r="BA626">
        <v>2939154</v>
      </c>
      <c r="BB626">
        <v>47159.93</v>
      </c>
      <c r="BC626">
        <v>72.790800000000004</v>
      </c>
      <c r="BD626" t="s">
        <v>130</v>
      </c>
      <c r="BE626" t="s">
        <v>112</v>
      </c>
      <c r="BF626" t="s">
        <v>157</v>
      </c>
      <c r="BG626" t="s">
        <v>133</v>
      </c>
      <c r="BH626" t="s">
        <v>134</v>
      </c>
      <c r="BI626" t="s">
        <v>112</v>
      </c>
      <c r="BJ626" t="s">
        <v>178</v>
      </c>
      <c r="BK626" t="s">
        <v>112</v>
      </c>
      <c r="BL626" t="s">
        <v>125</v>
      </c>
      <c r="BM626" t="s">
        <v>179</v>
      </c>
      <c r="BN626" t="s">
        <v>180</v>
      </c>
      <c r="BO626" t="s">
        <v>181</v>
      </c>
      <c r="BP626">
        <v>1</v>
      </c>
      <c r="BQ626" t="s">
        <v>202</v>
      </c>
      <c r="BR626" s="45">
        <f>ISNUMBER(SEARCH($BR$1,Таблица1[[#This Row],[31_1 Описание и характеристика товара]]))*1</f>
        <v>1</v>
      </c>
      <c r="BT626" t="s">
        <v>150</v>
      </c>
      <c r="BU626">
        <v>33</v>
      </c>
      <c r="BV626">
        <v>1</v>
      </c>
      <c r="BW626">
        <v>0</v>
      </c>
      <c r="BY626">
        <v>0</v>
      </c>
      <c r="CA626" t="s">
        <v>106</v>
      </c>
      <c r="CB626" t="s">
        <v>142</v>
      </c>
      <c r="CC626" t="s">
        <v>112</v>
      </c>
      <c r="CD626" t="s">
        <v>112</v>
      </c>
      <c r="CE626" t="s">
        <v>121</v>
      </c>
      <c r="CF626">
        <v>17331.02</v>
      </c>
      <c r="CG626" t="s">
        <v>144</v>
      </c>
      <c r="CH626">
        <v>4000000</v>
      </c>
      <c r="CI626">
        <v>17331.02</v>
      </c>
      <c r="CJ626">
        <v>0</v>
      </c>
      <c r="CK626" t="s">
        <v>112</v>
      </c>
      <c r="CL626" t="s">
        <v>112</v>
      </c>
      <c r="CM626">
        <v>40378.1</v>
      </c>
      <c r="CN626">
        <v>2939154</v>
      </c>
      <c r="CO626">
        <v>0</v>
      </c>
      <c r="CP626">
        <v>1</v>
      </c>
      <c r="CQ626">
        <v>3196382.22</v>
      </c>
      <c r="CR626">
        <v>47159.93</v>
      </c>
      <c r="CS626" t="s">
        <v>145</v>
      </c>
      <c r="CT626">
        <v>47159.438521999997</v>
      </c>
      <c r="CU626">
        <v>2.7210999999999999</v>
      </c>
      <c r="CV626">
        <v>941</v>
      </c>
      <c r="CW626" t="s">
        <v>183</v>
      </c>
      <c r="CX626" t="s">
        <v>190</v>
      </c>
      <c r="CY626">
        <v>233</v>
      </c>
    </row>
    <row r="627" spans="1:103" x14ac:dyDescent="0.25">
      <c r="A627" t="s">
        <v>106</v>
      </c>
      <c r="B627" s="38">
        <v>45141</v>
      </c>
      <c r="C627" s="43">
        <f>IF(YEAR(Таблица1[[#This Row],[Дата]])=2023,MONTH(Таблица1[[#This Row],[Дата]]),0)</f>
        <v>8</v>
      </c>
      <c r="D627" t="s">
        <v>756</v>
      </c>
      <c r="E627" t="s">
        <v>108</v>
      </c>
      <c r="F627" t="s">
        <v>757</v>
      </c>
      <c r="G627" t="s">
        <v>110</v>
      </c>
      <c r="H627" t="s">
        <v>111</v>
      </c>
      <c r="I627" t="s">
        <v>112</v>
      </c>
      <c r="J627" t="s">
        <v>112</v>
      </c>
      <c r="K627" t="s">
        <v>112</v>
      </c>
      <c r="L627" t="s">
        <v>150</v>
      </c>
      <c r="M627" t="s">
        <v>151</v>
      </c>
      <c r="N627" t="s">
        <v>112</v>
      </c>
      <c r="O627" t="s">
        <v>112</v>
      </c>
      <c r="P627">
        <v>1</v>
      </c>
      <c r="R627">
        <v>1</v>
      </c>
      <c r="S627">
        <v>33</v>
      </c>
      <c r="T627" t="s">
        <v>112</v>
      </c>
      <c r="U627" t="s">
        <v>152</v>
      </c>
      <c r="V627" t="s">
        <v>153</v>
      </c>
      <c r="W627" t="s">
        <v>154</v>
      </c>
      <c r="X627" t="s">
        <v>119</v>
      </c>
      <c r="Y627" t="s">
        <v>112</v>
      </c>
      <c r="Z627" t="s">
        <v>112</v>
      </c>
      <c r="AA627" t="s">
        <v>152</v>
      </c>
      <c r="AB627" t="s">
        <v>153</v>
      </c>
      <c r="AC627" t="s">
        <v>154</v>
      </c>
      <c r="AD627" t="s">
        <v>119</v>
      </c>
      <c r="AE627" t="s">
        <v>112</v>
      </c>
      <c r="AF627" t="s">
        <v>121</v>
      </c>
      <c r="AG627" t="s">
        <v>122</v>
      </c>
      <c r="AH627">
        <v>4265462.46</v>
      </c>
      <c r="AI627" t="s">
        <v>112</v>
      </c>
      <c r="AJ627" t="s">
        <v>152</v>
      </c>
      <c r="AK627" t="s">
        <v>153</v>
      </c>
      <c r="AL627" t="s">
        <v>154</v>
      </c>
      <c r="AM627" t="s">
        <v>119</v>
      </c>
      <c r="AN627" t="s">
        <v>112</v>
      </c>
      <c r="AO627" t="s">
        <v>121</v>
      </c>
      <c r="AP627" t="s">
        <v>122</v>
      </c>
      <c r="AQ627" t="s">
        <v>122</v>
      </c>
      <c r="AR627" t="s">
        <v>124</v>
      </c>
      <c r="AS627" t="s">
        <v>125</v>
      </c>
      <c r="AT627">
        <v>2</v>
      </c>
      <c r="AU627" t="s">
        <v>126</v>
      </c>
      <c r="AV627" t="s">
        <v>155</v>
      </c>
      <c r="AW627" t="s">
        <v>156</v>
      </c>
      <c r="AY627" t="s">
        <v>129</v>
      </c>
      <c r="AZ627">
        <v>39501</v>
      </c>
      <c r="BC627">
        <v>98.076899999999995</v>
      </c>
      <c r="BD627" t="s">
        <v>112</v>
      </c>
      <c r="BE627" t="s">
        <v>112</v>
      </c>
      <c r="BF627" t="s">
        <v>157</v>
      </c>
      <c r="BG627" t="s">
        <v>133</v>
      </c>
      <c r="BH627" t="s">
        <v>134</v>
      </c>
      <c r="BI627" t="s">
        <v>112</v>
      </c>
      <c r="BJ627" t="s">
        <v>112</v>
      </c>
      <c r="BK627" t="s">
        <v>112</v>
      </c>
      <c r="BL627" t="s">
        <v>158</v>
      </c>
      <c r="BM627" t="s">
        <v>159</v>
      </c>
      <c r="BN627" t="s">
        <v>212</v>
      </c>
      <c r="BO627" t="s">
        <v>161</v>
      </c>
      <c r="BQ627" t="s">
        <v>213</v>
      </c>
      <c r="BR627" s="45">
        <f>ISNUMBER(SEARCH($BR$1,Таблица1[[#This Row],[31_1 Описание и характеристика товара]]))*1</f>
        <v>1</v>
      </c>
      <c r="BT627" t="s">
        <v>150</v>
      </c>
      <c r="BU627">
        <v>33</v>
      </c>
      <c r="BV627">
        <v>0</v>
      </c>
      <c r="BW627">
        <v>0</v>
      </c>
      <c r="BY627">
        <v>0</v>
      </c>
      <c r="CA627" t="s">
        <v>106</v>
      </c>
      <c r="CB627" t="s">
        <v>142</v>
      </c>
      <c r="CC627" t="s">
        <v>112</v>
      </c>
      <c r="CD627" t="s">
        <v>112</v>
      </c>
      <c r="CE627" t="s">
        <v>121</v>
      </c>
      <c r="CF627">
        <v>16873.740000000002</v>
      </c>
      <c r="CG627" t="s">
        <v>144</v>
      </c>
      <c r="CH627">
        <v>4000000</v>
      </c>
      <c r="CI627">
        <v>16744.14</v>
      </c>
      <c r="CJ627">
        <v>0</v>
      </c>
      <c r="CK627" t="s">
        <v>112</v>
      </c>
      <c r="CL627" t="s">
        <v>112</v>
      </c>
      <c r="CM627">
        <v>39501</v>
      </c>
      <c r="CO627">
        <v>0</v>
      </c>
      <c r="CP627">
        <v>1</v>
      </c>
      <c r="CQ627">
        <v>4265462.46</v>
      </c>
      <c r="CR627">
        <v>46881.15</v>
      </c>
      <c r="CS627" t="s">
        <v>145</v>
      </c>
      <c r="CT627">
        <v>46883.591999999997</v>
      </c>
      <c r="CU627">
        <v>2.8</v>
      </c>
      <c r="CV627">
        <v>45</v>
      </c>
      <c r="CX627" t="s">
        <v>233</v>
      </c>
      <c r="CY627">
        <v>272</v>
      </c>
    </row>
    <row r="628" spans="1:103" x14ac:dyDescent="0.25">
      <c r="A628" t="s">
        <v>106</v>
      </c>
      <c r="B628" s="38">
        <v>45240</v>
      </c>
      <c r="C628" s="43">
        <f>IF(YEAR(Таблица1[[#This Row],[Дата]])=2023,MONTH(Таблица1[[#This Row],[Дата]]),0)</f>
        <v>11</v>
      </c>
      <c r="D628" t="s">
        <v>778</v>
      </c>
      <c r="E628" t="s">
        <v>108</v>
      </c>
      <c r="F628" t="s">
        <v>779</v>
      </c>
      <c r="G628" t="s">
        <v>110</v>
      </c>
      <c r="H628" t="s">
        <v>111</v>
      </c>
      <c r="I628" t="s">
        <v>112</v>
      </c>
      <c r="J628" t="s">
        <v>112</v>
      </c>
      <c r="K628" t="s">
        <v>112</v>
      </c>
      <c r="L628" t="s">
        <v>150</v>
      </c>
      <c r="M628" t="s">
        <v>151</v>
      </c>
      <c r="N628" t="s">
        <v>112</v>
      </c>
      <c r="O628" t="s">
        <v>112</v>
      </c>
      <c r="P628">
        <v>1</v>
      </c>
      <c r="R628">
        <v>1</v>
      </c>
      <c r="S628">
        <v>33</v>
      </c>
      <c r="T628" t="s">
        <v>112</v>
      </c>
      <c r="U628" t="s">
        <v>152</v>
      </c>
      <c r="V628" t="s">
        <v>153</v>
      </c>
      <c r="W628" t="s">
        <v>154</v>
      </c>
      <c r="X628" t="s">
        <v>119</v>
      </c>
      <c r="Y628" t="s">
        <v>112</v>
      </c>
      <c r="Z628" t="s">
        <v>112</v>
      </c>
      <c r="AA628" t="s">
        <v>152</v>
      </c>
      <c r="AB628" t="s">
        <v>153</v>
      </c>
      <c r="AC628" t="s">
        <v>154</v>
      </c>
      <c r="AD628" t="s">
        <v>119</v>
      </c>
      <c r="AE628" t="s">
        <v>112</v>
      </c>
      <c r="AF628" t="s">
        <v>121</v>
      </c>
      <c r="AG628" t="s">
        <v>122</v>
      </c>
      <c r="AH628">
        <v>4077480.42</v>
      </c>
      <c r="AI628" t="s">
        <v>112</v>
      </c>
      <c r="AJ628" t="s">
        <v>152</v>
      </c>
      <c r="AK628" t="s">
        <v>153</v>
      </c>
      <c r="AL628" t="s">
        <v>154</v>
      </c>
      <c r="AM628" t="s">
        <v>119</v>
      </c>
      <c r="AN628" t="s">
        <v>112</v>
      </c>
      <c r="AO628" t="s">
        <v>121</v>
      </c>
      <c r="AP628" t="s">
        <v>122</v>
      </c>
      <c r="AQ628" t="s">
        <v>122</v>
      </c>
      <c r="AR628" t="s">
        <v>124</v>
      </c>
      <c r="AS628" t="s">
        <v>125</v>
      </c>
      <c r="AT628">
        <v>2</v>
      </c>
      <c r="AU628" t="s">
        <v>126</v>
      </c>
      <c r="AV628" t="s">
        <v>155</v>
      </c>
      <c r="AW628" t="s">
        <v>156</v>
      </c>
      <c r="AY628" t="s">
        <v>129</v>
      </c>
      <c r="AZ628">
        <v>37584.32</v>
      </c>
      <c r="BC628">
        <v>98.076899999999995</v>
      </c>
      <c r="BD628" t="s">
        <v>112</v>
      </c>
      <c r="BE628" t="s">
        <v>112</v>
      </c>
      <c r="BF628" t="s">
        <v>157</v>
      </c>
      <c r="BG628" t="s">
        <v>133</v>
      </c>
      <c r="BH628" t="s">
        <v>134</v>
      </c>
      <c r="BI628" t="s">
        <v>112</v>
      </c>
      <c r="BJ628" t="s">
        <v>112</v>
      </c>
      <c r="BK628" t="s">
        <v>112</v>
      </c>
      <c r="BL628" t="s">
        <v>158</v>
      </c>
      <c r="BM628" t="s">
        <v>159</v>
      </c>
      <c r="BN628" t="s">
        <v>212</v>
      </c>
      <c r="BO628" t="s">
        <v>161</v>
      </c>
      <c r="BQ628" t="s">
        <v>205</v>
      </c>
      <c r="BR628" s="45">
        <f>ISNUMBER(SEARCH($BR$1,Таблица1[[#This Row],[31_1 Описание и характеристика товара]]))*1</f>
        <v>1</v>
      </c>
      <c r="BT628" t="s">
        <v>150</v>
      </c>
      <c r="BU628">
        <v>33</v>
      </c>
      <c r="BV628">
        <v>0</v>
      </c>
      <c r="BW628">
        <v>0</v>
      </c>
      <c r="BY628">
        <v>0</v>
      </c>
      <c r="CA628" t="s">
        <v>106</v>
      </c>
      <c r="CB628" t="s">
        <v>142</v>
      </c>
      <c r="CC628" t="s">
        <v>112</v>
      </c>
      <c r="CD628" t="s">
        <v>112</v>
      </c>
      <c r="CE628" t="s">
        <v>121</v>
      </c>
      <c r="CF628">
        <v>15295.25</v>
      </c>
      <c r="CG628" t="s">
        <v>144</v>
      </c>
      <c r="CH628">
        <v>4000000</v>
      </c>
      <c r="CI628">
        <v>14962.85</v>
      </c>
      <c r="CJ628">
        <v>0</v>
      </c>
      <c r="CK628" t="s">
        <v>112</v>
      </c>
      <c r="CL628" t="s">
        <v>112</v>
      </c>
      <c r="CM628">
        <v>37584.32</v>
      </c>
      <c r="CO628">
        <v>0</v>
      </c>
      <c r="CP628">
        <v>1</v>
      </c>
      <c r="CQ628">
        <v>4077480.42</v>
      </c>
      <c r="CR628">
        <v>44815.06</v>
      </c>
      <c r="CS628" t="s">
        <v>145</v>
      </c>
      <c r="CT628">
        <v>44888.55</v>
      </c>
      <c r="CU628">
        <v>3</v>
      </c>
      <c r="CV628">
        <v>45</v>
      </c>
      <c r="CX628" t="s">
        <v>206</v>
      </c>
      <c r="CY628">
        <v>146</v>
      </c>
    </row>
    <row r="629" spans="1:103" x14ac:dyDescent="0.25">
      <c r="A629" t="s">
        <v>106</v>
      </c>
      <c r="B629" s="38">
        <v>45283</v>
      </c>
      <c r="C629" s="43">
        <f>IF(YEAR(Таблица1[[#This Row],[Дата]])=2023,MONTH(Таблица1[[#This Row],[Дата]]),0)</f>
        <v>12</v>
      </c>
      <c r="D629" t="s">
        <v>2122</v>
      </c>
      <c r="E629" t="s">
        <v>108</v>
      </c>
      <c r="F629" t="s">
        <v>2123</v>
      </c>
      <c r="G629" t="s">
        <v>110</v>
      </c>
      <c r="H629" t="s">
        <v>111</v>
      </c>
      <c r="I629" t="s">
        <v>112</v>
      </c>
      <c r="J629" t="s">
        <v>112</v>
      </c>
      <c r="K629" t="s">
        <v>112</v>
      </c>
      <c r="L629" t="s">
        <v>150</v>
      </c>
      <c r="M629" t="s">
        <v>151</v>
      </c>
      <c r="N629" t="s">
        <v>112</v>
      </c>
      <c r="O629" t="s">
        <v>112</v>
      </c>
      <c r="P629">
        <v>1</v>
      </c>
      <c r="R629">
        <v>1</v>
      </c>
      <c r="S629">
        <v>33</v>
      </c>
      <c r="T629" t="s">
        <v>112</v>
      </c>
      <c r="U629" t="s">
        <v>152</v>
      </c>
      <c r="V629" t="s">
        <v>153</v>
      </c>
      <c r="W629" t="s">
        <v>154</v>
      </c>
      <c r="X629" t="s">
        <v>119</v>
      </c>
      <c r="Y629" t="s">
        <v>112</v>
      </c>
      <c r="Z629" t="s">
        <v>112</v>
      </c>
      <c r="AA629" t="s">
        <v>152</v>
      </c>
      <c r="AB629" t="s">
        <v>153</v>
      </c>
      <c r="AC629" t="s">
        <v>154</v>
      </c>
      <c r="AD629" t="s">
        <v>119</v>
      </c>
      <c r="AE629" t="s">
        <v>112</v>
      </c>
      <c r="AF629" t="s">
        <v>121</v>
      </c>
      <c r="AG629" t="s">
        <v>122</v>
      </c>
      <c r="AH629">
        <v>4818762.67</v>
      </c>
      <c r="AI629" t="s">
        <v>112</v>
      </c>
      <c r="AJ629" t="s">
        <v>152</v>
      </c>
      <c r="AK629" t="s">
        <v>153</v>
      </c>
      <c r="AL629" t="s">
        <v>154</v>
      </c>
      <c r="AM629" t="s">
        <v>119</v>
      </c>
      <c r="AN629" t="s">
        <v>112</v>
      </c>
      <c r="AO629" t="s">
        <v>121</v>
      </c>
      <c r="AP629" t="s">
        <v>122</v>
      </c>
      <c r="AQ629" t="s">
        <v>122</v>
      </c>
      <c r="AR629" t="s">
        <v>124</v>
      </c>
      <c r="AS629" t="s">
        <v>125</v>
      </c>
      <c r="AT629">
        <v>2</v>
      </c>
      <c r="AU629" t="s">
        <v>126</v>
      </c>
      <c r="AV629" t="s">
        <v>155</v>
      </c>
      <c r="AW629" t="s">
        <v>156</v>
      </c>
      <c r="AY629" t="s">
        <v>129</v>
      </c>
      <c r="AZ629">
        <v>40959.589999999997</v>
      </c>
      <c r="BC629">
        <v>105.95440000000001</v>
      </c>
      <c r="BD629" t="s">
        <v>112</v>
      </c>
      <c r="BE629" t="s">
        <v>112</v>
      </c>
      <c r="BF629" t="s">
        <v>157</v>
      </c>
      <c r="BG629" t="s">
        <v>133</v>
      </c>
      <c r="BH629" t="s">
        <v>134</v>
      </c>
      <c r="BI629" t="s">
        <v>112</v>
      </c>
      <c r="BJ629" t="s">
        <v>112</v>
      </c>
      <c r="BK629" t="s">
        <v>112</v>
      </c>
      <c r="BL629" t="s">
        <v>158</v>
      </c>
      <c r="BM629" t="s">
        <v>159</v>
      </c>
      <c r="BN629" t="s">
        <v>212</v>
      </c>
      <c r="BO629" t="s">
        <v>161</v>
      </c>
      <c r="BQ629" t="s">
        <v>466</v>
      </c>
      <c r="BR629" s="45">
        <f>ISNUMBER(SEARCH($BR$1,Таблица1[[#This Row],[31_1 Описание и характеристика товара]]))*1</f>
        <v>1</v>
      </c>
      <c r="BT629" t="s">
        <v>150</v>
      </c>
      <c r="BU629">
        <v>33</v>
      </c>
      <c r="BV629">
        <v>0</v>
      </c>
      <c r="BW629">
        <v>0</v>
      </c>
      <c r="BY629">
        <v>0</v>
      </c>
      <c r="CA629" t="s">
        <v>106</v>
      </c>
      <c r="CB629" t="s">
        <v>142</v>
      </c>
      <c r="CC629" t="s">
        <v>112</v>
      </c>
      <c r="CD629" t="s">
        <v>112</v>
      </c>
      <c r="CE629" t="s">
        <v>121</v>
      </c>
      <c r="CF629">
        <v>16621.89</v>
      </c>
      <c r="CG629" t="s">
        <v>144</v>
      </c>
      <c r="CH629">
        <v>4000000</v>
      </c>
      <c r="CI629">
        <v>16535.490000000002</v>
      </c>
      <c r="CJ629">
        <v>0</v>
      </c>
      <c r="CK629" t="s">
        <v>112</v>
      </c>
      <c r="CL629" t="s">
        <v>112</v>
      </c>
      <c r="CM629">
        <v>40959.589999999997</v>
      </c>
      <c r="CO629">
        <v>0</v>
      </c>
      <c r="CP629">
        <v>1</v>
      </c>
      <c r="CQ629">
        <v>4818762.67</v>
      </c>
      <c r="CR629">
        <v>48196.88</v>
      </c>
      <c r="CS629" t="s">
        <v>145</v>
      </c>
      <c r="CT629">
        <v>48118.275900000008</v>
      </c>
      <c r="CU629">
        <v>2.91</v>
      </c>
      <c r="CV629">
        <v>45</v>
      </c>
      <c r="CX629" t="s">
        <v>729</v>
      </c>
      <c r="CY629">
        <v>340</v>
      </c>
    </row>
    <row r="630" spans="1:103" x14ac:dyDescent="0.25">
      <c r="A630" t="s">
        <v>106</v>
      </c>
      <c r="B630" s="38">
        <v>44946</v>
      </c>
      <c r="C630" s="43">
        <f>IF(YEAR(Таблица1[[#This Row],[Дата]])=2023,MONTH(Таблица1[[#This Row],[Дата]]),0)</f>
        <v>1</v>
      </c>
      <c r="D630" t="s">
        <v>2122</v>
      </c>
      <c r="E630" t="s">
        <v>108</v>
      </c>
      <c r="F630" t="s">
        <v>2123</v>
      </c>
      <c r="G630" t="s">
        <v>110</v>
      </c>
      <c r="H630" t="s">
        <v>111</v>
      </c>
      <c r="I630" t="s">
        <v>112</v>
      </c>
      <c r="J630" t="s">
        <v>112</v>
      </c>
      <c r="K630" t="s">
        <v>112</v>
      </c>
      <c r="L630" t="s">
        <v>150</v>
      </c>
      <c r="M630" t="s">
        <v>151</v>
      </c>
      <c r="N630" t="s">
        <v>112</v>
      </c>
      <c r="O630" t="s">
        <v>112</v>
      </c>
      <c r="P630">
        <v>1</v>
      </c>
      <c r="R630">
        <v>1</v>
      </c>
      <c r="S630">
        <v>33</v>
      </c>
      <c r="T630" t="s">
        <v>112</v>
      </c>
      <c r="U630" t="s">
        <v>152</v>
      </c>
      <c r="V630" t="s">
        <v>153</v>
      </c>
      <c r="W630" t="s">
        <v>154</v>
      </c>
      <c r="X630" t="s">
        <v>119</v>
      </c>
      <c r="Y630" t="s">
        <v>112</v>
      </c>
      <c r="Z630" t="s">
        <v>112</v>
      </c>
      <c r="AA630" t="s">
        <v>152</v>
      </c>
      <c r="AB630" t="s">
        <v>153</v>
      </c>
      <c r="AC630" t="s">
        <v>154</v>
      </c>
      <c r="AD630" t="s">
        <v>119</v>
      </c>
      <c r="AE630" t="s">
        <v>112</v>
      </c>
      <c r="AF630" t="s">
        <v>121</v>
      </c>
      <c r="AG630" t="s">
        <v>122</v>
      </c>
      <c r="AH630">
        <v>4818762.67</v>
      </c>
      <c r="AI630" t="s">
        <v>112</v>
      </c>
      <c r="AJ630" t="s">
        <v>152</v>
      </c>
      <c r="AK630" t="s">
        <v>153</v>
      </c>
      <c r="AL630" t="s">
        <v>154</v>
      </c>
      <c r="AM630" t="s">
        <v>119</v>
      </c>
      <c r="AN630" t="s">
        <v>112</v>
      </c>
      <c r="AO630" t="s">
        <v>121</v>
      </c>
      <c r="AP630" t="s">
        <v>122</v>
      </c>
      <c r="AQ630" t="s">
        <v>122</v>
      </c>
      <c r="AR630" t="s">
        <v>124</v>
      </c>
      <c r="AS630" t="s">
        <v>125</v>
      </c>
      <c r="AT630">
        <v>2</v>
      </c>
      <c r="AU630" t="s">
        <v>126</v>
      </c>
      <c r="AV630" t="s">
        <v>155</v>
      </c>
      <c r="AW630" t="s">
        <v>156</v>
      </c>
      <c r="AY630" t="s">
        <v>129</v>
      </c>
      <c r="AZ630">
        <v>40959.589999999997</v>
      </c>
      <c r="BC630">
        <v>105.95440000000001</v>
      </c>
      <c r="BD630" t="s">
        <v>112</v>
      </c>
      <c r="BE630" t="s">
        <v>112</v>
      </c>
      <c r="BF630" t="s">
        <v>157</v>
      </c>
      <c r="BG630" t="s">
        <v>133</v>
      </c>
      <c r="BH630" t="s">
        <v>134</v>
      </c>
      <c r="BI630" t="s">
        <v>112</v>
      </c>
      <c r="BJ630" t="s">
        <v>112</v>
      </c>
      <c r="BK630" t="s">
        <v>112</v>
      </c>
      <c r="BL630" t="s">
        <v>158</v>
      </c>
      <c r="BM630" t="s">
        <v>159</v>
      </c>
      <c r="BN630" t="s">
        <v>212</v>
      </c>
      <c r="BO630" t="s">
        <v>161</v>
      </c>
      <c r="BQ630" t="s">
        <v>466</v>
      </c>
      <c r="BR630" s="45">
        <f>ISNUMBER(SEARCH($BR$1,Таблица1[[#This Row],[31_1 Описание и характеристика товара]]))*1</f>
        <v>1</v>
      </c>
      <c r="BT630" t="s">
        <v>150</v>
      </c>
      <c r="BU630">
        <v>33</v>
      </c>
      <c r="BV630">
        <v>0</v>
      </c>
      <c r="BW630">
        <v>0</v>
      </c>
      <c r="BY630">
        <v>0</v>
      </c>
      <c r="CA630" t="s">
        <v>106</v>
      </c>
      <c r="CB630" t="s">
        <v>142</v>
      </c>
      <c r="CC630" t="s">
        <v>112</v>
      </c>
      <c r="CD630" t="s">
        <v>112</v>
      </c>
      <c r="CE630" t="s">
        <v>121</v>
      </c>
      <c r="CF630">
        <v>16621.89</v>
      </c>
      <c r="CG630" t="s">
        <v>144</v>
      </c>
      <c r="CH630">
        <v>4000000</v>
      </c>
      <c r="CI630">
        <v>16535.490000000002</v>
      </c>
      <c r="CJ630">
        <v>0</v>
      </c>
      <c r="CK630" t="s">
        <v>112</v>
      </c>
      <c r="CL630" t="s">
        <v>112</v>
      </c>
      <c r="CM630">
        <v>40959.589999999997</v>
      </c>
      <c r="CO630">
        <v>0</v>
      </c>
      <c r="CP630">
        <v>1</v>
      </c>
      <c r="CQ630">
        <v>4818762.67</v>
      </c>
      <c r="CR630">
        <v>48196.88</v>
      </c>
      <c r="CS630" t="s">
        <v>145</v>
      </c>
      <c r="CT630">
        <v>48118.275900000008</v>
      </c>
      <c r="CU630">
        <v>2.91</v>
      </c>
      <c r="CV630">
        <v>45</v>
      </c>
      <c r="CX630" t="s">
        <v>729</v>
      </c>
      <c r="CY630">
        <v>340</v>
      </c>
    </row>
    <row r="631" spans="1:103" x14ac:dyDescent="0.25">
      <c r="A631" t="s">
        <v>106</v>
      </c>
      <c r="B631" s="38">
        <v>45201</v>
      </c>
      <c r="C631" s="43">
        <f>IF(YEAR(Таблица1[[#This Row],[Дата]])=2023,MONTH(Таблица1[[#This Row],[Дата]]),0)</f>
        <v>10</v>
      </c>
      <c r="D631" t="s">
        <v>2106</v>
      </c>
      <c r="E631" t="s">
        <v>108</v>
      </c>
      <c r="F631" t="s">
        <v>2107</v>
      </c>
      <c r="G631" t="s">
        <v>110</v>
      </c>
      <c r="H631" t="s">
        <v>111</v>
      </c>
      <c r="I631" t="s">
        <v>112</v>
      </c>
      <c r="J631" t="s">
        <v>112</v>
      </c>
      <c r="K631" t="s">
        <v>112</v>
      </c>
      <c r="L631" t="s">
        <v>150</v>
      </c>
      <c r="M631" t="s">
        <v>151</v>
      </c>
      <c r="N631" t="s">
        <v>112</v>
      </c>
      <c r="O631" t="s">
        <v>112</v>
      </c>
      <c r="P631">
        <v>1</v>
      </c>
      <c r="R631">
        <v>1</v>
      </c>
      <c r="S631">
        <v>33</v>
      </c>
      <c r="T631" t="s">
        <v>112</v>
      </c>
      <c r="U631" t="s">
        <v>152</v>
      </c>
      <c r="V631" t="s">
        <v>153</v>
      </c>
      <c r="W631" t="s">
        <v>154</v>
      </c>
      <c r="X631" t="s">
        <v>119</v>
      </c>
      <c r="Y631" t="s">
        <v>112</v>
      </c>
      <c r="Z631" t="s">
        <v>112</v>
      </c>
      <c r="AA631" t="s">
        <v>152</v>
      </c>
      <c r="AB631" t="s">
        <v>153</v>
      </c>
      <c r="AC631" t="s">
        <v>154</v>
      </c>
      <c r="AD631" t="s">
        <v>119</v>
      </c>
      <c r="AE631" t="s">
        <v>112</v>
      </c>
      <c r="AF631" t="s">
        <v>121</v>
      </c>
      <c r="AG631" t="s">
        <v>122</v>
      </c>
      <c r="AH631">
        <v>5355486.34</v>
      </c>
      <c r="AI631" t="s">
        <v>112</v>
      </c>
      <c r="AJ631" t="s">
        <v>152</v>
      </c>
      <c r="AK631" t="s">
        <v>153</v>
      </c>
      <c r="AL631" t="s">
        <v>154</v>
      </c>
      <c r="AM631" t="s">
        <v>119</v>
      </c>
      <c r="AN631" t="s">
        <v>112</v>
      </c>
      <c r="AO631" t="s">
        <v>121</v>
      </c>
      <c r="AP631" t="s">
        <v>122</v>
      </c>
      <c r="AQ631" t="s">
        <v>122</v>
      </c>
      <c r="AR631" t="s">
        <v>124</v>
      </c>
      <c r="AS631" t="s">
        <v>125</v>
      </c>
      <c r="AT631">
        <v>2</v>
      </c>
      <c r="AU631" t="s">
        <v>126</v>
      </c>
      <c r="AV631" t="s">
        <v>155</v>
      </c>
      <c r="AW631" t="s">
        <v>156</v>
      </c>
      <c r="AY631" t="s">
        <v>129</v>
      </c>
      <c r="AZ631">
        <v>46555.199999999997</v>
      </c>
      <c r="BC631">
        <v>105.95440000000001</v>
      </c>
      <c r="BD631" t="s">
        <v>112</v>
      </c>
      <c r="BE631" t="s">
        <v>112</v>
      </c>
      <c r="BF631" t="s">
        <v>157</v>
      </c>
      <c r="BG631" t="s">
        <v>133</v>
      </c>
      <c r="BH631" t="s">
        <v>134</v>
      </c>
      <c r="BI631" t="s">
        <v>112</v>
      </c>
      <c r="BJ631" t="s">
        <v>112</v>
      </c>
      <c r="BK631" t="s">
        <v>112</v>
      </c>
      <c r="BL631" t="s">
        <v>158</v>
      </c>
      <c r="BM631" t="s">
        <v>159</v>
      </c>
      <c r="BN631" t="s">
        <v>212</v>
      </c>
      <c r="BO631" t="s">
        <v>161</v>
      </c>
      <c r="BQ631" t="s">
        <v>213</v>
      </c>
      <c r="BR631" s="45">
        <f>ISNUMBER(SEARCH($BR$1,Таблица1[[#This Row],[31_1 Описание и характеристика товара]]))*1</f>
        <v>1</v>
      </c>
      <c r="BT631" t="s">
        <v>150</v>
      </c>
      <c r="BU631">
        <v>33</v>
      </c>
      <c r="BV631">
        <v>0</v>
      </c>
      <c r="BW631">
        <v>0</v>
      </c>
      <c r="BY631">
        <v>0</v>
      </c>
      <c r="CA631" t="s">
        <v>106</v>
      </c>
      <c r="CB631" t="s">
        <v>142</v>
      </c>
      <c r="CC631" t="s">
        <v>112</v>
      </c>
      <c r="CD631" t="s">
        <v>112</v>
      </c>
      <c r="CE631" t="s">
        <v>121</v>
      </c>
      <c r="CF631">
        <v>16631.099999999999</v>
      </c>
      <c r="CG631" t="s">
        <v>144</v>
      </c>
      <c r="CH631">
        <v>4000000</v>
      </c>
      <c r="CI631">
        <v>16415.099999999999</v>
      </c>
      <c r="CJ631">
        <v>0</v>
      </c>
      <c r="CK631" t="s">
        <v>112</v>
      </c>
      <c r="CL631" t="s">
        <v>112</v>
      </c>
      <c r="CM631">
        <v>46555.199999999997</v>
      </c>
      <c r="CO631">
        <v>0</v>
      </c>
      <c r="CP631">
        <v>1</v>
      </c>
      <c r="CQ631">
        <v>5355486.34</v>
      </c>
      <c r="CR631">
        <v>53565.15</v>
      </c>
      <c r="CS631" t="s">
        <v>145</v>
      </c>
      <c r="CT631">
        <v>53513.225999999995</v>
      </c>
      <c r="CU631">
        <v>3.26</v>
      </c>
      <c r="CV631">
        <v>45</v>
      </c>
      <c r="CX631" t="s">
        <v>163</v>
      </c>
      <c r="CY631">
        <v>600</v>
      </c>
    </row>
    <row r="632" spans="1:103" x14ac:dyDescent="0.25">
      <c r="A632" t="s">
        <v>106</v>
      </c>
      <c r="B632" s="38">
        <v>45264</v>
      </c>
      <c r="C632" s="43">
        <f>IF(YEAR(Таблица1[[#This Row],[Дата]])=2023,MONTH(Таблица1[[#This Row],[Дата]]),0)</f>
        <v>12</v>
      </c>
      <c r="D632" t="s">
        <v>2106</v>
      </c>
      <c r="E632" t="s">
        <v>108</v>
      </c>
      <c r="F632" t="s">
        <v>2107</v>
      </c>
      <c r="G632" t="s">
        <v>110</v>
      </c>
      <c r="H632" t="s">
        <v>111</v>
      </c>
      <c r="I632" t="s">
        <v>112</v>
      </c>
      <c r="J632" t="s">
        <v>112</v>
      </c>
      <c r="K632" t="s">
        <v>112</v>
      </c>
      <c r="L632" t="s">
        <v>150</v>
      </c>
      <c r="M632" t="s">
        <v>151</v>
      </c>
      <c r="N632" t="s">
        <v>112</v>
      </c>
      <c r="O632" t="s">
        <v>112</v>
      </c>
      <c r="P632">
        <v>1</v>
      </c>
      <c r="R632">
        <v>1</v>
      </c>
      <c r="S632">
        <v>33</v>
      </c>
      <c r="T632" t="s">
        <v>112</v>
      </c>
      <c r="U632" t="s">
        <v>152</v>
      </c>
      <c r="V632" t="s">
        <v>153</v>
      </c>
      <c r="W632" t="s">
        <v>154</v>
      </c>
      <c r="X632" t="s">
        <v>119</v>
      </c>
      <c r="Y632" t="s">
        <v>112</v>
      </c>
      <c r="Z632" t="s">
        <v>112</v>
      </c>
      <c r="AA632" t="s">
        <v>152</v>
      </c>
      <c r="AB632" t="s">
        <v>153</v>
      </c>
      <c r="AC632" t="s">
        <v>154</v>
      </c>
      <c r="AD632" t="s">
        <v>119</v>
      </c>
      <c r="AE632" t="s">
        <v>112</v>
      </c>
      <c r="AF632" t="s">
        <v>121</v>
      </c>
      <c r="AG632" t="s">
        <v>122</v>
      </c>
      <c r="AH632">
        <v>5355486.34</v>
      </c>
      <c r="AI632" t="s">
        <v>112</v>
      </c>
      <c r="AJ632" t="s">
        <v>152</v>
      </c>
      <c r="AK632" t="s">
        <v>153</v>
      </c>
      <c r="AL632" t="s">
        <v>154</v>
      </c>
      <c r="AM632" t="s">
        <v>119</v>
      </c>
      <c r="AN632" t="s">
        <v>112</v>
      </c>
      <c r="AO632" t="s">
        <v>121</v>
      </c>
      <c r="AP632" t="s">
        <v>122</v>
      </c>
      <c r="AQ632" t="s">
        <v>122</v>
      </c>
      <c r="AR632" t="s">
        <v>124</v>
      </c>
      <c r="AS632" t="s">
        <v>125</v>
      </c>
      <c r="AT632">
        <v>2</v>
      </c>
      <c r="AU632" t="s">
        <v>126</v>
      </c>
      <c r="AV632" t="s">
        <v>155</v>
      </c>
      <c r="AW632" t="s">
        <v>156</v>
      </c>
      <c r="AY632" t="s">
        <v>129</v>
      </c>
      <c r="AZ632">
        <v>46555.199999999997</v>
      </c>
      <c r="BC632">
        <v>105.95440000000001</v>
      </c>
      <c r="BD632" t="s">
        <v>112</v>
      </c>
      <c r="BE632" t="s">
        <v>112</v>
      </c>
      <c r="BF632" t="s">
        <v>157</v>
      </c>
      <c r="BG632" t="s">
        <v>133</v>
      </c>
      <c r="BH632" t="s">
        <v>134</v>
      </c>
      <c r="BI632" t="s">
        <v>112</v>
      </c>
      <c r="BJ632" t="s">
        <v>112</v>
      </c>
      <c r="BK632" t="s">
        <v>112</v>
      </c>
      <c r="BL632" t="s">
        <v>158</v>
      </c>
      <c r="BM632" t="s">
        <v>159</v>
      </c>
      <c r="BN632" t="s">
        <v>212</v>
      </c>
      <c r="BO632" t="s">
        <v>161</v>
      </c>
      <c r="BQ632" t="s">
        <v>213</v>
      </c>
      <c r="BR632" s="45">
        <f>ISNUMBER(SEARCH($BR$1,Таблица1[[#This Row],[31_1 Описание и характеристика товара]]))*1</f>
        <v>1</v>
      </c>
      <c r="BT632" t="s">
        <v>150</v>
      </c>
      <c r="BU632">
        <v>33</v>
      </c>
      <c r="BV632">
        <v>0</v>
      </c>
      <c r="BW632">
        <v>0</v>
      </c>
      <c r="BY632">
        <v>0</v>
      </c>
      <c r="CA632" t="s">
        <v>106</v>
      </c>
      <c r="CB632" t="s">
        <v>142</v>
      </c>
      <c r="CC632" t="s">
        <v>112</v>
      </c>
      <c r="CD632" t="s">
        <v>112</v>
      </c>
      <c r="CE632" t="s">
        <v>121</v>
      </c>
      <c r="CF632">
        <v>16631.099999999999</v>
      </c>
      <c r="CG632" t="s">
        <v>144</v>
      </c>
      <c r="CH632">
        <v>4000000</v>
      </c>
      <c r="CI632">
        <v>16415.099999999999</v>
      </c>
      <c r="CJ632">
        <v>0</v>
      </c>
      <c r="CK632" t="s">
        <v>112</v>
      </c>
      <c r="CL632" t="s">
        <v>112</v>
      </c>
      <c r="CM632">
        <v>46555.199999999997</v>
      </c>
      <c r="CO632">
        <v>0</v>
      </c>
      <c r="CP632">
        <v>1</v>
      </c>
      <c r="CQ632">
        <v>5355486.34</v>
      </c>
      <c r="CR632">
        <v>53565.15</v>
      </c>
      <c r="CS632" t="s">
        <v>145</v>
      </c>
      <c r="CT632">
        <v>53513.225999999995</v>
      </c>
      <c r="CU632">
        <v>3.26</v>
      </c>
      <c r="CV632">
        <v>45</v>
      </c>
      <c r="CX632" t="s">
        <v>163</v>
      </c>
      <c r="CY632">
        <v>600</v>
      </c>
    </row>
    <row r="633" spans="1:103" x14ac:dyDescent="0.25">
      <c r="A633" t="s">
        <v>106</v>
      </c>
      <c r="B633" s="38">
        <v>45230</v>
      </c>
      <c r="C633" s="43">
        <f>IF(YEAR(Таблица1[[#This Row],[Дата]])=2023,MONTH(Таблица1[[#This Row],[Дата]]),0)</f>
        <v>10</v>
      </c>
      <c r="D633" t="s">
        <v>1955</v>
      </c>
      <c r="E633" t="s">
        <v>108</v>
      </c>
      <c r="F633" t="s">
        <v>1956</v>
      </c>
      <c r="G633" t="s">
        <v>110</v>
      </c>
      <c r="H633" t="s">
        <v>111</v>
      </c>
      <c r="I633" t="s">
        <v>112</v>
      </c>
      <c r="J633" t="s">
        <v>112</v>
      </c>
      <c r="K633" t="s">
        <v>112</v>
      </c>
      <c r="L633" t="s">
        <v>150</v>
      </c>
      <c r="M633" t="s">
        <v>151</v>
      </c>
      <c r="N633" t="s">
        <v>112</v>
      </c>
      <c r="O633" t="s">
        <v>112</v>
      </c>
      <c r="P633">
        <v>1</v>
      </c>
      <c r="R633">
        <v>1</v>
      </c>
      <c r="S633">
        <v>33</v>
      </c>
      <c r="T633" t="s">
        <v>112</v>
      </c>
      <c r="U633" t="s">
        <v>152</v>
      </c>
      <c r="V633" t="s">
        <v>153</v>
      </c>
      <c r="W633" t="s">
        <v>154</v>
      </c>
      <c r="X633" t="s">
        <v>119</v>
      </c>
      <c r="Y633" t="s">
        <v>112</v>
      </c>
      <c r="Z633" t="s">
        <v>112</v>
      </c>
      <c r="AA633" t="s">
        <v>152</v>
      </c>
      <c r="AB633" t="s">
        <v>153</v>
      </c>
      <c r="AC633" t="s">
        <v>154</v>
      </c>
      <c r="AD633" t="s">
        <v>119</v>
      </c>
      <c r="AE633" t="s">
        <v>112</v>
      </c>
      <c r="AF633" t="s">
        <v>121</v>
      </c>
      <c r="AG633" t="s">
        <v>122</v>
      </c>
      <c r="AH633">
        <v>4407081.16</v>
      </c>
      <c r="AI633" t="s">
        <v>112</v>
      </c>
      <c r="AJ633" t="s">
        <v>152</v>
      </c>
      <c r="AK633" t="s">
        <v>153</v>
      </c>
      <c r="AL633" t="s">
        <v>154</v>
      </c>
      <c r="AM633" t="s">
        <v>119</v>
      </c>
      <c r="AN633" t="s">
        <v>112</v>
      </c>
      <c r="AO633" t="s">
        <v>121</v>
      </c>
      <c r="AP633" t="s">
        <v>122</v>
      </c>
      <c r="AQ633" t="s">
        <v>122</v>
      </c>
      <c r="AR633" t="s">
        <v>124</v>
      </c>
      <c r="AS633" t="s">
        <v>125</v>
      </c>
      <c r="AT633">
        <v>2</v>
      </c>
      <c r="AU633" t="s">
        <v>126</v>
      </c>
      <c r="AV633" t="s">
        <v>155</v>
      </c>
      <c r="AW633" t="s">
        <v>156</v>
      </c>
      <c r="AY633" t="s">
        <v>129</v>
      </c>
      <c r="AZ633">
        <v>38436.839999999997</v>
      </c>
      <c r="BC633">
        <v>103.53319999999999</v>
      </c>
      <c r="BD633" t="s">
        <v>112</v>
      </c>
      <c r="BE633" t="s">
        <v>112</v>
      </c>
      <c r="BF633" t="s">
        <v>157</v>
      </c>
      <c r="BG633" t="s">
        <v>133</v>
      </c>
      <c r="BH633" t="s">
        <v>134</v>
      </c>
      <c r="BI633" t="s">
        <v>112</v>
      </c>
      <c r="BJ633" t="s">
        <v>112</v>
      </c>
      <c r="BK633" t="s">
        <v>112</v>
      </c>
      <c r="BL633" t="s">
        <v>169</v>
      </c>
      <c r="BM633" t="s">
        <v>159</v>
      </c>
      <c r="BN633" t="s">
        <v>212</v>
      </c>
      <c r="BO633" t="s">
        <v>161</v>
      </c>
      <c r="BQ633" t="s">
        <v>213</v>
      </c>
      <c r="BR633" s="45">
        <f>ISNUMBER(SEARCH($BR$1,Таблица1[[#This Row],[31_1 Описание и характеристика товара]]))*1</f>
        <v>1</v>
      </c>
      <c r="BT633" t="s">
        <v>150</v>
      </c>
      <c r="BU633">
        <v>33</v>
      </c>
      <c r="BV633">
        <v>0</v>
      </c>
      <c r="BW633">
        <v>0</v>
      </c>
      <c r="BY633">
        <v>0</v>
      </c>
      <c r="CA633" t="s">
        <v>106</v>
      </c>
      <c r="CB633" t="s">
        <v>142</v>
      </c>
      <c r="CC633" t="s">
        <v>112</v>
      </c>
      <c r="CD633" t="s">
        <v>112</v>
      </c>
      <c r="CE633" t="s">
        <v>121</v>
      </c>
      <c r="CF633">
        <v>16548.63</v>
      </c>
      <c r="CG633" t="s">
        <v>144</v>
      </c>
      <c r="CH633">
        <v>4000000</v>
      </c>
      <c r="CI633">
        <v>16375.83</v>
      </c>
      <c r="CJ633">
        <v>0</v>
      </c>
      <c r="CK633" t="s">
        <v>112</v>
      </c>
      <c r="CL633" t="s">
        <v>112</v>
      </c>
      <c r="CM633">
        <v>38436.839999999997</v>
      </c>
      <c r="CO633">
        <v>0</v>
      </c>
      <c r="CP633">
        <v>1</v>
      </c>
      <c r="CQ633">
        <v>4407081.16</v>
      </c>
      <c r="CR633">
        <v>45665.31</v>
      </c>
      <c r="CS633" t="s">
        <v>145</v>
      </c>
      <c r="CT633">
        <v>45688.565699999999</v>
      </c>
      <c r="CU633">
        <v>2.79</v>
      </c>
      <c r="CV633">
        <v>45</v>
      </c>
      <c r="CX633" t="s">
        <v>206</v>
      </c>
      <c r="CY633">
        <v>140</v>
      </c>
    </row>
    <row r="634" spans="1:103" x14ac:dyDescent="0.25">
      <c r="A634" t="s">
        <v>106</v>
      </c>
      <c r="B634" s="38">
        <v>44791</v>
      </c>
      <c r="C634" s="43">
        <f>IF(YEAR(Таблица1[[#This Row],[Дата]])=2023,MONTH(Таблица1[[#This Row],[Дата]]),0)</f>
        <v>0</v>
      </c>
      <c r="D634" t="s">
        <v>1955</v>
      </c>
      <c r="E634" t="s">
        <v>108</v>
      </c>
      <c r="F634" t="s">
        <v>1956</v>
      </c>
      <c r="G634" t="s">
        <v>110</v>
      </c>
      <c r="H634" t="s">
        <v>111</v>
      </c>
      <c r="I634" t="s">
        <v>112</v>
      </c>
      <c r="J634" t="s">
        <v>112</v>
      </c>
      <c r="K634" t="s">
        <v>112</v>
      </c>
      <c r="L634" t="s">
        <v>150</v>
      </c>
      <c r="M634" t="s">
        <v>151</v>
      </c>
      <c r="N634" t="s">
        <v>112</v>
      </c>
      <c r="O634" t="s">
        <v>112</v>
      </c>
      <c r="P634">
        <v>1</v>
      </c>
      <c r="R634">
        <v>1</v>
      </c>
      <c r="S634">
        <v>33</v>
      </c>
      <c r="T634" t="s">
        <v>112</v>
      </c>
      <c r="U634" t="s">
        <v>152</v>
      </c>
      <c r="V634" t="s">
        <v>153</v>
      </c>
      <c r="W634" t="s">
        <v>154</v>
      </c>
      <c r="X634" t="s">
        <v>119</v>
      </c>
      <c r="Y634" t="s">
        <v>112</v>
      </c>
      <c r="Z634" t="s">
        <v>112</v>
      </c>
      <c r="AA634" t="s">
        <v>152</v>
      </c>
      <c r="AB634" t="s">
        <v>153</v>
      </c>
      <c r="AC634" t="s">
        <v>154</v>
      </c>
      <c r="AD634" t="s">
        <v>119</v>
      </c>
      <c r="AE634" t="s">
        <v>112</v>
      </c>
      <c r="AF634" t="s">
        <v>121</v>
      </c>
      <c r="AG634" t="s">
        <v>122</v>
      </c>
      <c r="AH634">
        <v>4407081.16</v>
      </c>
      <c r="AI634" t="s">
        <v>112</v>
      </c>
      <c r="AJ634" t="s">
        <v>152</v>
      </c>
      <c r="AK634" t="s">
        <v>153</v>
      </c>
      <c r="AL634" t="s">
        <v>154</v>
      </c>
      <c r="AM634" t="s">
        <v>119</v>
      </c>
      <c r="AN634" t="s">
        <v>112</v>
      </c>
      <c r="AO634" t="s">
        <v>121</v>
      </c>
      <c r="AP634" t="s">
        <v>122</v>
      </c>
      <c r="AQ634" t="s">
        <v>122</v>
      </c>
      <c r="AR634" t="s">
        <v>124</v>
      </c>
      <c r="AS634" t="s">
        <v>125</v>
      </c>
      <c r="AT634">
        <v>2</v>
      </c>
      <c r="AU634" t="s">
        <v>126</v>
      </c>
      <c r="AV634" t="s">
        <v>155</v>
      </c>
      <c r="AW634" t="s">
        <v>156</v>
      </c>
      <c r="AY634" t="s">
        <v>129</v>
      </c>
      <c r="AZ634">
        <v>38436.839999999997</v>
      </c>
      <c r="BC634">
        <v>103.53319999999999</v>
      </c>
      <c r="BD634" t="s">
        <v>112</v>
      </c>
      <c r="BE634" t="s">
        <v>112</v>
      </c>
      <c r="BF634" t="s">
        <v>157</v>
      </c>
      <c r="BG634" t="s">
        <v>133</v>
      </c>
      <c r="BH634" t="s">
        <v>134</v>
      </c>
      <c r="BI634" t="s">
        <v>112</v>
      </c>
      <c r="BJ634" t="s">
        <v>112</v>
      </c>
      <c r="BK634" t="s">
        <v>112</v>
      </c>
      <c r="BL634" t="s">
        <v>169</v>
      </c>
      <c r="BM634" t="s">
        <v>159</v>
      </c>
      <c r="BN634" t="s">
        <v>212</v>
      </c>
      <c r="BO634" t="s">
        <v>161</v>
      </c>
      <c r="BQ634" t="s">
        <v>213</v>
      </c>
      <c r="BR634" s="45">
        <f>ISNUMBER(SEARCH($BR$1,Таблица1[[#This Row],[31_1 Описание и характеристика товара]]))*1</f>
        <v>1</v>
      </c>
      <c r="BT634" t="s">
        <v>150</v>
      </c>
      <c r="BU634">
        <v>33</v>
      </c>
      <c r="BV634">
        <v>0</v>
      </c>
      <c r="BW634">
        <v>0</v>
      </c>
      <c r="BY634">
        <v>0</v>
      </c>
      <c r="CA634" t="s">
        <v>106</v>
      </c>
      <c r="CB634" t="s">
        <v>142</v>
      </c>
      <c r="CC634" t="s">
        <v>112</v>
      </c>
      <c r="CD634" t="s">
        <v>112</v>
      </c>
      <c r="CE634" t="s">
        <v>121</v>
      </c>
      <c r="CF634">
        <v>16548.63</v>
      </c>
      <c r="CG634" t="s">
        <v>144</v>
      </c>
      <c r="CH634">
        <v>4000000</v>
      </c>
      <c r="CI634">
        <v>16375.83</v>
      </c>
      <c r="CJ634">
        <v>0</v>
      </c>
      <c r="CK634" t="s">
        <v>112</v>
      </c>
      <c r="CL634" t="s">
        <v>112</v>
      </c>
      <c r="CM634">
        <v>38436.839999999997</v>
      </c>
      <c r="CO634">
        <v>0</v>
      </c>
      <c r="CP634">
        <v>1</v>
      </c>
      <c r="CQ634">
        <v>4407081.16</v>
      </c>
      <c r="CR634">
        <v>45665.31</v>
      </c>
      <c r="CS634" t="s">
        <v>145</v>
      </c>
      <c r="CT634">
        <v>45688.565699999999</v>
      </c>
      <c r="CU634">
        <v>2.79</v>
      </c>
      <c r="CV634">
        <v>45</v>
      </c>
      <c r="CX634" t="s">
        <v>206</v>
      </c>
      <c r="CY634">
        <v>140</v>
      </c>
    </row>
    <row r="635" spans="1:103" x14ac:dyDescent="0.25">
      <c r="A635" t="s">
        <v>106</v>
      </c>
      <c r="B635" s="38">
        <v>45122</v>
      </c>
      <c r="C635" s="43">
        <f>IF(YEAR(Таблица1[[#This Row],[Дата]])=2023,MONTH(Таблица1[[#This Row],[Дата]]),0)</f>
        <v>7</v>
      </c>
      <c r="D635" t="s">
        <v>1916</v>
      </c>
      <c r="E635" t="s">
        <v>108</v>
      </c>
      <c r="F635" t="s">
        <v>1917</v>
      </c>
      <c r="G635" t="s">
        <v>110</v>
      </c>
      <c r="H635" t="s">
        <v>111</v>
      </c>
      <c r="I635" t="s">
        <v>112</v>
      </c>
      <c r="J635" t="s">
        <v>112</v>
      </c>
      <c r="K635" t="s">
        <v>112</v>
      </c>
      <c r="L635" t="s">
        <v>150</v>
      </c>
      <c r="M635" t="s">
        <v>151</v>
      </c>
      <c r="N635" t="s">
        <v>112</v>
      </c>
      <c r="O635" t="s">
        <v>112</v>
      </c>
      <c r="P635">
        <v>1</v>
      </c>
      <c r="R635">
        <v>1</v>
      </c>
      <c r="S635">
        <v>33</v>
      </c>
      <c r="T635" t="s">
        <v>112</v>
      </c>
      <c r="U635" t="s">
        <v>152</v>
      </c>
      <c r="V635" t="s">
        <v>153</v>
      </c>
      <c r="W635" t="s">
        <v>154</v>
      </c>
      <c r="X635" t="s">
        <v>119</v>
      </c>
      <c r="Y635" t="s">
        <v>112</v>
      </c>
      <c r="Z635" t="s">
        <v>112</v>
      </c>
      <c r="AA635" t="s">
        <v>152</v>
      </c>
      <c r="AB635" t="s">
        <v>153</v>
      </c>
      <c r="AC635" t="s">
        <v>154</v>
      </c>
      <c r="AD635" t="s">
        <v>119</v>
      </c>
      <c r="AE635" t="s">
        <v>112</v>
      </c>
      <c r="AF635" t="s">
        <v>121</v>
      </c>
      <c r="AG635" t="s">
        <v>122</v>
      </c>
      <c r="AH635">
        <v>4839626.3099999996</v>
      </c>
      <c r="AI635" t="s">
        <v>112</v>
      </c>
      <c r="AJ635" t="s">
        <v>152</v>
      </c>
      <c r="AK635" t="s">
        <v>153</v>
      </c>
      <c r="AL635" t="s">
        <v>154</v>
      </c>
      <c r="AM635" t="s">
        <v>119</v>
      </c>
      <c r="AN635" t="s">
        <v>112</v>
      </c>
      <c r="AO635" t="s">
        <v>121</v>
      </c>
      <c r="AP635" t="s">
        <v>122</v>
      </c>
      <c r="AQ635" t="s">
        <v>122</v>
      </c>
      <c r="AR635" t="s">
        <v>124</v>
      </c>
      <c r="AS635" t="s">
        <v>125</v>
      </c>
      <c r="AT635">
        <v>2</v>
      </c>
      <c r="AU635" t="s">
        <v>126</v>
      </c>
      <c r="AV635" t="s">
        <v>155</v>
      </c>
      <c r="AW635" t="s">
        <v>156</v>
      </c>
      <c r="AY635" t="s">
        <v>129</v>
      </c>
      <c r="AZ635">
        <v>41914.68</v>
      </c>
      <c r="BC635">
        <v>103.53319999999999</v>
      </c>
      <c r="BD635" t="s">
        <v>112</v>
      </c>
      <c r="BE635" t="s">
        <v>112</v>
      </c>
      <c r="BF635" t="s">
        <v>157</v>
      </c>
      <c r="BG635" t="s">
        <v>133</v>
      </c>
      <c r="BH635" t="s">
        <v>134</v>
      </c>
      <c r="BI635" t="s">
        <v>112</v>
      </c>
      <c r="BJ635" t="s">
        <v>112</v>
      </c>
      <c r="BK635" t="s">
        <v>112</v>
      </c>
      <c r="BL635" t="s">
        <v>169</v>
      </c>
      <c r="BM635" t="s">
        <v>159</v>
      </c>
      <c r="BN635" t="s">
        <v>212</v>
      </c>
      <c r="BO635" t="s">
        <v>161</v>
      </c>
      <c r="BQ635" t="s">
        <v>205</v>
      </c>
      <c r="BR635" s="45">
        <f>ISNUMBER(SEARCH($BR$1,Таблица1[[#This Row],[31_1 Описание и характеристика товара]]))*1</f>
        <v>1</v>
      </c>
      <c r="BT635" t="s">
        <v>150</v>
      </c>
      <c r="BU635">
        <v>33</v>
      </c>
      <c r="BV635">
        <v>0</v>
      </c>
      <c r="BW635">
        <v>0</v>
      </c>
      <c r="BY635">
        <v>0</v>
      </c>
      <c r="CA635" t="s">
        <v>106</v>
      </c>
      <c r="CB635" t="s">
        <v>142</v>
      </c>
      <c r="CC635" t="s">
        <v>112</v>
      </c>
      <c r="CD635" t="s">
        <v>112</v>
      </c>
      <c r="CE635" t="s">
        <v>121</v>
      </c>
      <c r="CF635">
        <v>16673.37</v>
      </c>
      <c r="CG635" t="s">
        <v>144</v>
      </c>
      <c r="CH635">
        <v>4000000</v>
      </c>
      <c r="CI635">
        <v>16635.79</v>
      </c>
      <c r="CJ635">
        <v>0</v>
      </c>
      <c r="CK635" t="s">
        <v>112</v>
      </c>
      <c r="CL635" t="s">
        <v>112</v>
      </c>
      <c r="CM635">
        <v>41914.68</v>
      </c>
      <c r="CO635">
        <v>0</v>
      </c>
      <c r="CP635">
        <v>1</v>
      </c>
      <c r="CQ635">
        <v>4839626.3099999996</v>
      </c>
      <c r="CR635">
        <v>50147.25</v>
      </c>
      <c r="CS635" t="s">
        <v>145</v>
      </c>
      <c r="CT635">
        <v>50073.727899999998</v>
      </c>
      <c r="CU635">
        <v>3.01</v>
      </c>
      <c r="CV635">
        <v>45</v>
      </c>
      <c r="CX635" t="s">
        <v>233</v>
      </c>
      <c r="CY635">
        <v>321</v>
      </c>
    </row>
    <row r="636" spans="1:103" x14ac:dyDescent="0.25">
      <c r="A636" t="s">
        <v>106</v>
      </c>
      <c r="B636" s="38">
        <v>45051</v>
      </c>
      <c r="C636" s="43">
        <f>IF(YEAR(Таблица1[[#This Row],[Дата]])=2023,MONTH(Таблица1[[#This Row],[Дата]]),0)</f>
        <v>5</v>
      </c>
      <c r="D636" t="s">
        <v>1957</v>
      </c>
      <c r="E636" t="s">
        <v>108</v>
      </c>
      <c r="F636" t="s">
        <v>1958</v>
      </c>
      <c r="G636" t="s">
        <v>110</v>
      </c>
      <c r="H636" t="s">
        <v>111</v>
      </c>
      <c r="I636" t="s">
        <v>112</v>
      </c>
      <c r="J636" t="s">
        <v>112</v>
      </c>
      <c r="K636" t="s">
        <v>112</v>
      </c>
      <c r="L636" t="s">
        <v>150</v>
      </c>
      <c r="M636" t="s">
        <v>151</v>
      </c>
      <c r="N636" t="s">
        <v>112</v>
      </c>
      <c r="O636" t="s">
        <v>112</v>
      </c>
      <c r="P636">
        <v>1</v>
      </c>
      <c r="R636">
        <v>1</v>
      </c>
      <c r="S636">
        <v>33</v>
      </c>
      <c r="T636" t="s">
        <v>112</v>
      </c>
      <c r="U636" t="s">
        <v>152</v>
      </c>
      <c r="V636" t="s">
        <v>153</v>
      </c>
      <c r="W636" t="s">
        <v>154</v>
      </c>
      <c r="X636" t="s">
        <v>119</v>
      </c>
      <c r="Y636" t="s">
        <v>112</v>
      </c>
      <c r="Z636" t="s">
        <v>112</v>
      </c>
      <c r="AA636" t="s">
        <v>152</v>
      </c>
      <c r="AB636" t="s">
        <v>153</v>
      </c>
      <c r="AC636" t="s">
        <v>154</v>
      </c>
      <c r="AD636" t="s">
        <v>119</v>
      </c>
      <c r="AE636" t="s">
        <v>112</v>
      </c>
      <c r="AF636" t="s">
        <v>121</v>
      </c>
      <c r="AG636" t="s">
        <v>122</v>
      </c>
      <c r="AH636">
        <v>4780533.7</v>
      </c>
      <c r="AI636" t="s">
        <v>112</v>
      </c>
      <c r="AJ636" t="s">
        <v>152</v>
      </c>
      <c r="AK636" t="s">
        <v>153</v>
      </c>
      <c r="AL636" t="s">
        <v>154</v>
      </c>
      <c r="AM636" t="s">
        <v>119</v>
      </c>
      <c r="AN636" t="s">
        <v>112</v>
      </c>
      <c r="AO636" t="s">
        <v>121</v>
      </c>
      <c r="AP636" t="s">
        <v>122</v>
      </c>
      <c r="AQ636" t="s">
        <v>122</v>
      </c>
      <c r="AR636" t="s">
        <v>124</v>
      </c>
      <c r="AS636" t="s">
        <v>125</v>
      </c>
      <c r="AT636">
        <v>2</v>
      </c>
      <c r="AU636" t="s">
        <v>126</v>
      </c>
      <c r="AV636" t="s">
        <v>155</v>
      </c>
      <c r="AW636" t="s">
        <v>156</v>
      </c>
      <c r="AY636" t="s">
        <v>129</v>
      </c>
      <c r="AZ636">
        <v>42043.92</v>
      </c>
      <c r="BC636">
        <v>103.53319999999999</v>
      </c>
      <c r="BD636" t="s">
        <v>112</v>
      </c>
      <c r="BE636" t="s">
        <v>112</v>
      </c>
      <c r="BF636" t="s">
        <v>157</v>
      </c>
      <c r="BG636" t="s">
        <v>133</v>
      </c>
      <c r="BH636" t="s">
        <v>134</v>
      </c>
      <c r="BI636" t="s">
        <v>112</v>
      </c>
      <c r="BJ636" t="s">
        <v>112</v>
      </c>
      <c r="BK636" t="s">
        <v>112</v>
      </c>
      <c r="BL636" t="s">
        <v>169</v>
      </c>
      <c r="BM636" t="s">
        <v>159</v>
      </c>
      <c r="BN636" t="s">
        <v>212</v>
      </c>
      <c r="BO636" t="s">
        <v>161</v>
      </c>
      <c r="BQ636" t="s">
        <v>162</v>
      </c>
      <c r="BR636" s="45">
        <f>ISNUMBER(SEARCH($BR$1,Таблица1[[#This Row],[31_1 Описание и характеристика товара]]))*1</f>
        <v>1</v>
      </c>
      <c r="BT636" t="s">
        <v>150</v>
      </c>
      <c r="BU636">
        <v>33</v>
      </c>
      <c r="BV636">
        <v>0</v>
      </c>
      <c r="BW636">
        <v>0</v>
      </c>
      <c r="BY636">
        <v>0</v>
      </c>
      <c r="CA636" t="s">
        <v>106</v>
      </c>
      <c r="CB636" t="s">
        <v>142</v>
      </c>
      <c r="CC636" t="s">
        <v>112</v>
      </c>
      <c r="CD636" t="s">
        <v>112</v>
      </c>
      <c r="CE636" t="s">
        <v>121</v>
      </c>
      <c r="CF636">
        <v>16363.65</v>
      </c>
      <c r="CG636" t="s">
        <v>144</v>
      </c>
      <c r="CH636">
        <v>4000000</v>
      </c>
      <c r="CI636">
        <v>16363.65</v>
      </c>
      <c r="CJ636">
        <v>0</v>
      </c>
      <c r="CK636" t="s">
        <v>112</v>
      </c>
      <c r="CL636" t="s">
        <v>112</v>
      </c>
      <c r="CM636">
        <v>42043.92</v>
      </c>
      <c r="CO636">
        <v>0</v>
      </c>
      <c r="CP636">
        <v>1</v>
      </c>
      <c r="CQ636">
        <v>4780533.7</v>
      </c>
      <c r="CR636">
        <v>49534.95</v>
      </c>
      <c r="CS636" t="s">
        <v>145</v>
      </c>
      <c r="CT636">
        <v>49581.859499999999</v>
      </c>
      <c r="CU636">
        <v>3.03</v>
      </c>
      <c r="CV636">
        <v>45</v>
      </c>
      <c r="CX636" t="s">
        <v>1140</v>
      </c>
      <c r="CY636">
        <v>557</v>
      </c>
    </row>
    <row r="637" spans="1:103" x14ac:dyDescent="0.25">
      <c r="A637" t="s">
        <v>106</v>
      </c>
      <c r="B637" s="38">
        <v>44605</v>
      </c>
      <c r="C637" s="43">
        <f>IF(YEAR(Таблица1[[#This Row],[Дата]])=2023,MONTH(Таблица1[[#This Row],[Дата]]),0)</f>
        <v>0</v>
      </c>
      <c r="D637" t="s">
        <v>1957</v>
      </c>
      <c r="E637" t="s">
        <v>108</v>
      </c>
      <c r="F637" t="s">
        <v>1958</v>
      </c>
      <c r="G637" t="s">
        <v>110</v>
      </c>
      <c r="H637" t="s">
        <v>111</v>
      </c>
      <c r="I637" t="s">
        <v>112</v>
      </c>
      <c r="J637" t="s">
        <v>112</v>
      </c>
      <c r="K637" t="s">
        <v>112</v>
      </c>
      <c r="L637" t="s">
        <v>150</v>
      </c>
      <c r="M637" t="s">
        <v>151</v>
      </c>
      <c r="N637" t="s">
        <v>112</v>
      </c>
      <c r="O637" t="s">
        <v>112</v>
      </c>
      <c r="P637">
        <v>1</v>
      </c>
      <c r="R637">
        <v>1</v>
      </c>
      <c r="S637">
        <v>33</v>
      </c>
      <c r="T637" t="s">
        <v>112</v>
      </c>
      <c r="U637" t="s">
        <v>152</v>
      </c>
      <c r="V637" t="s">
        <v>153</v>
      </c>
      <c r="W637" t="s">
        <v>154</v>
      </c>
      <c r="X637" t="s">
        <v>119</v>
      </c>
      <c r="Y637" t="s">
        <v>112</v>
      </c>
      <c r="Z637" t="s">
        <v>112</v>
      </c>
      <c r="AA637" t="s">
        <v>152</v>
      </c>
      <c r="AB637" t="s">
        <v>153</v>
      </c>
      <c r="AC637" t="s">
        <v>154</v>
      </c>
      <c r="AD637" t="s">
        <v>119</v>
      </c>
      <c r="AE637" t="s">
        <v>112</v>
      </c>
      <c r="AF637" t="s">
        <v>121</v>
      </c>
      <c r="AG637" t="s">
        <v>122</v>
      </c>
      <c r="AH637">
        <v>4780533.7</v>
      </c>
      <c r="AI637" t="s">
        <v>112</v>
      </c>
      <c r="AJ637" t="s">
        <v>152</v>
      </c>
      <c r="AK637" t="s">
        <v>153</v>
      </c>
      <c r="AL637" t="s">
        <v>154</v>
      </c>
      <c r="AM637" t="s">
        <v>119</v>
      </c>
      <c r="AN637" t="s">
        <v>112</v>
      </c>
      <c r="AO637" t="s">
        <v>121</v>
      </c>
      <c r="AP637" t="s">
        <v>122</v>
      </c>
      <c r="AQ637" t="s">
        <v>122</v>
      </c>
      <c r="AR637" t="s">
        <v>124</v>
      </c>
      <c r="AS637" t="s">
        <v>125</v>
      </c>
      <c r="AT637">
        <v>2</v>
      </c>
      <c r="AU637" t="s">
        <v>126</v>
      </c>
      <c r="AV637" t="s">
        <v>155</v>
      </c>
      <c r="AW637" t="s">
        <v>156</v>
      </c>
      <c r="AY637" t="s">
        <v>129</v>
      </c>
      <c r="AZ637">
        <v>42043.92</v>
      </c>
      <c r="BC637">
        <v>103.53319999999999</v>
      </c>
      <c r="BD637" t="s">
        <v>112</v>
      </c>
      <c r="BE637" t="s">
        <v>112</v>
      </c>
      <c r="BF637" t="s">
        <v>157</v>
      </c>
      <c r="BG637" t="s">
        <v>133</v>
      </c>
      <c r="BH637" t="s">
        <v>134</v>
      </c>
      <c r="BI637" t="s">
        <v>112</v>
      </c>
      <c r="BJ637" t="s">
        <v>112</v>
      </c>
      <c r="BK637" t="s">
        <v>112</v>
      </c>
      <c r="BL637" t="s">
        <v>169</v>
      </c>
      <c r="BM637" t="s">
        <v>159</v>
      </c>
      <c r="BN637" t="s">
        <v>212</v>
      </c>
      <c r="BO637" t="s">
        <v>161</v>
      </c>
      <c r="BQ637" t="s">
        <v>162</v>
      </c>
      <c r="BR637" s="45">
        <f>ISNUMBER(SEARCH($BR$1,Таблица1[[#This Row],[31_1 Описание и характеристика товара]]))*1</f>
        <v>1</v>
      </c>
      <c r="BT637" t="s">
        <v>150</v>
      </c>
      <c r="BU637">
        <v>33</v>
      </c>
      <c r="BV637">
        <v>0</v>
      </c>
      <c r="BW637">
        <v>0</v>
      </c>
      <c r="BY637">
        <v>0</v>
      </c>
      <c r="CA637" t="s">
        <v>106</v>
      </c>
      <c r="CB637" t="s">
        <v>142</v>
      </c>
      <c r="CC637" t="s">
        <v>112</v>
      </c>
      <c r="CD637" t="s">
        <v>112</v>
      </c>
      <c r="CE637" t="s">
        <v>121</v>
      </c>
      <c r="CF637">
        <v>16363.65</v>
      </c>
      <c r="CG637" t="s">
        <v>144</v>
      </c>
      <c r="CH637">
        <v>4000000</v>
      </c>
      <c r="CI637">
        <v>16363.65</v>
      </c>
      <c r="CJ637">
        <v>0</v>
      </c>
      <c r="CK637" t="s">
        <v>112</v>
      </c>
      <c r="CL637" t="s">
        <v>112</v>
      </c>
      <c r="CM637">
        <v>42043.92</v>
      </c>
      <c r="CO637">
        <v>0</v>
      </c>
      <c r="CP637">
        <v>1</v>
      </c>
      <c r="CQ637">
        <v>4780533.7</v>
      </c>
      <c r="CR637">
        <v>49534.95</v>
      </c>
      <c r="CS637" t="s">
        <v>145</v>
      </c>
      <c r="CT637">
        <v>49581.859499999999</v>
      </c>
      <c r="CU637">
        <v>3.03</v>
      </c>
      <c r="CV637">
        <v>45</v>
      </c>
      <c r="CX637" t="s">
        <v>1140</v>
      </c>
      <c r="CY637">
        <v>557</v>
      </c>
    </row>
    <row r="638" spans="1:103" x14ac:dyDescent="0.25">
      <c r="A638" t="s">
        <v>106</v>
      </c>
      <c r="B638" s="38">
        <v>44972</v>
      </c>
      <c r="C638" s="43">
        <f>IF(YEAR(Таблица1[[#This Row],[Дата]])=2023,MONTH(Таблица1[[#This Row],[Дата]]),0)</f>
        <v>2</v>
      </c>
      <c r="D638" t="s">
        <v>1986</v>
      </c>
      <c r="E638" t="s">
        <v>108</v>
      </c>
      <c r="F638" t="s">
        <v>1987</v>
      </c>
      <c r="G638" t="s">
        <v>110</v>
      </c>
      <c r="H638" t="s">
        <v>111</v>
      </c>
      <c r="I638" t="s">
        <v>112</v>
      </c>
      <c r="J638" t="s">
        <v>112</v>
      </c>
      <c r="K638" t="s">
        <v>112</v>
      </c>
      <c r="L638" t="s">
        <v>150</v>
      </c>
      <c r="M638" t="s">
        <v>151</v>
      </c>
      <c r="N638" t="s">
        <v>112</v>
      </c>
      <c r="O638" t="s">
        <v>112</v>
      </c>
      <c r="P638">
        <v>1</v>
      </c>
      <c r="R638">
        <v>1</v>
      </c>
      <c r="S638">
        <v>33</v>
      </c>
      <c r="T638" t="s">
        <v>112</v>
      </c>
      <c r="U638" t="s">
        <v>152</v>
      </c>
      <c r="V638" t="s">
        <v>153</v>
      </c>
      <c r="W638" t="s">
        <v>154</v>
      </c>
      <c r="X638" t="s">
        <v>119</v>
      </c>
      <c r="Y638" t="s">
        <v>112</v>
      </c>
      <c r="Z638" t="s">
        <v>112</v>
      </c>
      <c r="AA638" t="s">
        <v>152</v>
      </c>
      <c r="AB638" t="s">
        <v>153</v>
      </c>
      <c r="AC638" t="s">
        <v>154</v>
      </c>
      <c r="AD638" t="s">
        <v>119</v>
      </c>
      <c r="AE638" t="s">
        <v>112</v>
      </c>
      <c r="AF638" t="s">
        <v>121</v>
      </c>
      <c r="AG638" t="s">
        <v>122</v>
      </c>
      <c r="AH638">
        <v>4773398.1900000004</v>
      </c>
      <c r="AI638" t="s">
        <v>112</v>
      </c>
      <c r="AJ638" t="s">
        <v>152</v>
      </c>
      <c r="AK638" t="s">
        <v>153</v>
      </c>
      <c r="AL638" t="s">
        <v>154</v>
      </c>
      <c r="AM638" t="s">
        <v>119</v>
      </c>
      <c r="AN638" t="s">
        <v>112</v>
      </c>
      <c r="AO638" t="s">
        <v>121</v>
      </c>
      <c r="AP638" t="s">
        <v>122</v>
      </c>
      <c r="AQ638" t="s">
        <v>122</v>
      </c>
      <c r="AR638" t="s">
        <v>124</v>
      </c>
      <c r="AS638" t="s">
        <v>125</v>
      </c>
      <c r="AT638">
        <v>2</v>
      </c>
      <c r="AU638" t="s">
        <v>126</v>
      </c>
      <c r="AV638" t="s">
        <v>155</v>
      </c>
      <c r="AW638" t="s">
        <v>156</v>
      </c>
      <c r="AY638" t="s">
        <v>129</v>
      </c>
      <c r="AZ638">
        <v>41455</v>
      </c>
      <c r="BC638">
        <v>103.53319999999999</v>
      </c>
      <c r="BD638" t="s">
        <v>112</v>
      </c>
      <c r="BE638" t="s">
        <v>112</v>
      </c>
      <c r="BF638" t="s">
        <v>157</v>
      </c>
      <c r="BG638" t="s">
        <v>133</v>
      </c>
      <c r="BH638" t="s">
        <v>167</v>
      </c>
      <c r="BI638" t="s">
        <v>112</v>
      </c>
      <c r="BJ638" t="s">
        <v>112</v>
      </c>
      <c r="BK638" t="s">
        <v>112</v>
      </c>
      <c r="BL638" t="s">
        <v>169</v>
      </c>
      <c r="BM638" t="s">
        <v>159</v>
      </c>
      <c r="BN638" t="s">
        <v>160</v>
      </c>
      <c r="BO638" t="s">
        <v>161</v>
      </c>
      <c r="BQ638" t="s">
        <v>205</v>
      </c>
      <c r="BR638" s="45">
        <f>ISNUMBER(SEARCH($BR$1,Таблица1[[#This Row],[31_1 Описание и характеристика товара]]))*1</f>
        <v>1</v>
      </c>
      <c r="BT638" t="s">
        <v>150</v>
      </c>
      <c r="BU638">
        <v>33</v>
      </c>
      <c r="BV638">
        <v>0</v>
      </c>
      <c r="BW638">
        <v>0</v>
      </c>
      <c r="BY638">
        <v>0</v>
      </c>
      <c r="CA638" t="s">
        <v>106</v>
      </c>
      <c r="CB638" t="s">
        <v>142</v>
      </c>
      <c r="CC638" t="s">
        <v>112</v>
      </c>
      <c r="CD638" t="s">
        <v>112</v>
      </c>
      <c r="CE638" t="s">
        <v>121</v>
      </c>
      <c r="CF638">
        <v>16569.84</v>
      </c>
      <c r="CG638" t="s">
        <v>144</v>
      </c>
      <c r="CH638">
        <v>4000000</v>
      </c>
      <c r="CI638">
        <v>16440.240000000002</v>
      </c>
      <c r="CJ638">
        <v>0</v>
      </c>
      <c r="CK638" t="s">
        <v>112</v>
      </c>
      <c r="CL638" t="s">
        <v>112</v>
      </c>
      <c r="CM638">
        <v>41455</v>
      </c>
      <c r="CO638">
        <v>0</v>
      </c>
      <c r="CP638">
        <v>1</v>
      </c>
      <c r="CQ638">
        <v>4773398.1900000004</v>
      </c>
      <c r="CR638">
        <v>49461.01</v>
      </c>
      <c r="CS638" t="s">
        <v>145</v>
      </c>
      <c r="CT638">
        <v>49485.1224</v>
      </c>
      <c r="CU638">
        <v>3.01</v>
      </c>
      <c r="CV638">
        <v>45</v>
      </c>
      <c r="CX638" t="s">
        <v>206</v>
      </c>
      <c r="CY638">
        <v>324</v>
      </c>
    </row>
    <row r="639" spans="1:103" x14ac:dyDescent="0.25">
      <c r="A639" t="s">
        <v>106</v>
      </c>
      <c r="B639" s="38">
        <v>45224</v>
      </c>
      <c r="C639" s="43">
        <f>IF(YEAR(Таблица1[[#This Row],[Дата]])=2023,MONTH(Таблица1[[#This Row],[Дата]]),0)</f>
        <v>10</v>
      </c>
      <c r="D639" t="s">
        <v>1986</v>
      </c>
      <c r="E639" t="s">
        <v>108</v>
      </c>
      <c r="F639" t="s">
        <v>1987</v>
      </c>
      <c r="G639" t="s">
        <v>110</v>
      </c>
      <c r="H639" t="s">
        <v>111</v>
      </c>
      <c r="I639" t="s">
        <v>112</v>
      </c>
      <c r="J639" t="s">
        <v>112</v>
      </c>
      <c r="K639" t="s">
        <v>112</v>
      </c>
      <c r="L639" t="s">
        <v>150</v>
      </c>
      <c r="M639" t="s">
        <v>151</v>
      </c>
      <c r="N639" t="s">
        <v>112</v>
      </c>
      <c r="O639" t="s">
        <v>112</v>
      </c>
      <c r="P639">
        <v>1</v>
      </c>
      <c r="R639">
        <v>1</v>
      </c>
      <c r="S639">
        <v>33</v>
      </c>
      <c r="T639" t="s">
        <v>112</v>
      </c>
      <c r="U639" t="s">
        <v>152</v>
      </c>
      <c r="V639" t="s">
        <v>153</v>
      </c>
      <c r="W639" t="s">
        <v>154</v>
      </c>
      <c r="X639" t="s">
        <v>119</v>
      </c>
      <c r="Y639" t="s">
        <v>112</v>
      </c>
      <c r="Z639" t="s">
        <v>112</v>
      </c>
      <c r="AA639" t="s">
        <v>152</v>
      </c>
      <c r="AB639" t="s">
        <v>153</v>
      </c>
      <c r="AC639" t="s">
        <v>154</v>
      </c>
      <c r="AD639" t="s">
        <v>119</v>
      </c>
      <c r="AE639" t="s">
        <v>112</v>
      </c>
      <c r="AF639" t="s">
        <v>121</v>
      </c>
      <c r="AG639" t="s">
        <v>122</v>
      </c>
      <c r="AH639">
        <v>4773398.1900000004</v>
      </c>
      <c r="AI639" t="s">
        <v>112</v>
      </c>
      <c r="AJ639" t="s">
        <v>152</v>
      </c>
      <c r="AK639" t="s">
        <v>153</v>
      </c>
      <c r="AL639" t="s">
        <v>154</v>
      </c>
      <c r="AM639" t="s">
        <v>119</v>
      </c>
      <c r="AN639" t="s">
        <v>112</v>
      </c>
      <c r="AO639" t="s">
        <v>121</v>
      </c>
      <c r="AP639" t="s">
        <v>122</v>
      </c>
      <c r="AQ639" t="s">
        <v>122</v>
      </c>
      <c r="AR639" t="s">
        <v>124</v>
      </c>
      <c r="AS639" t="s">
        <v>125</v>
      </c>
      <c r="AT639">
        <v>2</v>
      </c>
      <c r="AU639" t="s">
        <v>126</v>
      </c>
      <c r="AV639" t="s">
        <v>155</v>
      </c>
      <c r="AW639" t="s">
        <v>156</v>
      </c>
      <c r="AY639" t="s">
        <v>129</v>
      </c>
      <c r="AZ639">
        <v>41455</v>
      </c>
      <c r="BC639">
        <v>103.53319999999999</v>
      </c>
      <c r="BD639" t="s">
        <v>112</v>
      </c>
      <c r="BE639" t="s">
        <v>112</v>
      </c>
      <c r="BF639" t="s">
        <v>157</v>
      </c>
      <c r="BG639" t="s">
        <v>133</v>
      </c>
      <c r="BH639" t="s">
        <v>167</v>
      </c>
      <c r="BI639" t="s">
        <v>112</v>
      </c>
      <c r="BJ639" t="s">
        <v>112</v>
      </c>
      <c r="BK639" t="s">
        <v>112</v>
      </c>
      <c r="BL639" t="s">
        <v>169</v>
      </c>
      <c r="BM639" t="s">
        <v>159</v>
      </c>
      <c r="BN639" t="s">
        <v>160</v>
      </c>
      <c r="BO639" t="s">
        <v>161</v>
      </c>
      <c r="BQ639" t="s">
        <v>205</v>
      </c>
      <c r="BR639" s="45">
        <f>ISNUMBER(SEARCH($BR$1,Таблица1[[#This Row],[31_1 Описание и характеристика товара]]))*1</f>
        <v>1</v>
      </c>
      <c r="BT639" t="s">
        <v>150</v>
      </c>
      <c r="BU639">
        <v>33</v>
      </c>
      <c r="BV639">
        <v>0</v>
      </c>
      <c r="BW639">
        <v>0</v>
      </c>
      <c r="BY639">
        <v>0</v>
      </c>
      <c r="CA639" t="s">
        <v>106</v>
      </c>
      <c r="CB639" t="s">
        <v>142</v>
      </c>
      <c r="CC639" t="s">
        <v>112</v>
      </c>
      <c r="CD639" t="s">
        <v>112</v>
      </c>
      <c r="CE639" t="s">
        <v>121</v>
      </c>
      <c r="CF639">
        <v>16569.84</v>
      </c>
      <c r="CG639" t="s">
        <v>144</v>
      </c>
      <c r="CH639">
        <v>4000000</v>
      </c>
      <c r="CI639">
        <v>16440.240000000002</v>
      </c>
      <c r="CJ639">
        <v>0</v>
      </c>
      <c r="CK639" t="s">
        <v>112</v>
      </c>
      <c r="CL639" t="s">
        <v>112</v>
      </c>
      <c r="CM639">
        <v>41455</v>
      </c>
      <c r="CO639">
        <v>0</v>
      </c>
      <c r="CP639">
        <v>1</v>
      </c>
      <c r="CQ639">
        <v>4773398.1900000004</v>
      </c>
      <c r="CR639">
        <v>49461.01</v>
      </c>
      <c r="CS639" t="s">
        <v>145</v>
      </c>
      <c r="CT639">
        <v>49485.1224</v>
      </c>
      <c r="CU639">
        <v>3.01</v>
      </c>
      <c r="CV639">
        <v>45</v>
      </c>
      <c r="CX639" t="s">
        <v>206</v>
      </c>
      <c r="CY639">
        <v>324</v>
      </c>
    </row>
    <row r="640" spans="1:103" x14ac:dyDescent="0.25">
      <c r="A640" t="s">
        <v>106</v>
      </c>
      <c r="B640" s="38">
        <v>45104</v>
      </c>
      <c r="C640" s="43">
        <f>IF(YEAR(Таблица1[[#This Row],[Дата]])=2023,MONTH(Таблица1[[#This Row],[Дата]]),0)</f>
        <v>6</v>
      </c>
      <c r="D640" t="s">
        <v>1452</v>
      </c>
      <c r="E640" t="s">
        <v>108</v>
      </c>
      <c r="F640" t="s">
        <v>1453</v>
      </c>
      <c r="G640" t="s">
        <v>110</v>
      </c>
      <c r="H640" t="s">
        <v>111</v>
      </c>
      <c r="I640" t="s">
        <v>112</v>
      </c>
      <c r="J640" t="s">
        <v>112</v>
      </c>
      <c r="K640" t="s">
        <v>112</v>
      </c>
      <c r="L640" t="s">
        <v>150</v>
      </c>
      <c r="M640" t="s">
        <v>1439</v>
      </c>
      <c r="N640" t="s">
        <v>112</v>
      </c>
      <c r="O640" t="s">
        <v>112</v>
      </c>
      <c r="P640">
        <v>1</v>
      </c>
      <c r="Q640">
        <v>0</v>
      </c>
      <c r="R640">
        <v>1</v>
      </c>
      <c r="S640">
        <v>33</v>
      </c>
      <c r="T640" t="s">
        <v>166</v>
      </c>
      <c r="U640" t="s">
        <v>152</v>
      </c>
      <c r="V640" t="s">
        <v>153</v>
      </c>
      <c r="W640" t="s">
        <v>154</v>
      </c>
      <c r="X640" t="s">
        <v>119</v>
      </c>
      <c r="Y640" t="s">
        <v>112</v>
      </c>
      <c r="Z640" t="s">
        <v>166</v>
      </c>
      <c r="AA640" t="s">
        <v>152</v>
      </c>
      <c r="AB640" t="s">
        <v>153</v>
      </c>
      <c r="AC640" t="s">
        <v>154</v>
      </c>
      <c r="AD640" t="s">
        <v>119</v>
      </c>
      <c r="AE640" t="s">
        <v>112</v>
      </c>
      <c r="AF640" t="s">
        <v>121</v>
      </c>
      <c r="AG640" t="s">
        <v>122</v>
      </c>
      <c r="AH640">
        <v>4626579.01</v>
      </c>
      <c r="AI640" t="s">
        <v>166</v>
      </c>
      <c r="AJ640" t="s">
        <v>152</v>
      </c>
      <c r="AK640" t="s">
        <v>153</v>
      </c>
      <c r="AL640" t="s">
        <v>154</v>
      </c>
      <c r="AM640" t="s">
        <v>119</v>
      </c>
      <c r="AN640" t="s">
        <v>112</v>
      </c>
      <c r="AO640" t="s">
        <v>121</v>
      </c>
      <c r="AP640" t="s">
        <v>122</v>
      </c>
      <c r="AQ640" t="s">
        <v>122</v>
      </c>
      <c r="AR640" t="s">
        <v>124</v>
      </c>
      <c r="AS640" t="s">
        <v>125</v>
      </c>
      <c r="AT640">
        <v>2</v>
      </c>
      <c r="AU640" t="s">
        <v>126</v>
      </c>
      <c r="AV640" t="s">
        <v>155</v>
      </c>
      <c r="AW640" t="s">
        <v>156</v>
      </c>
      <c r="AX640">
        <v>1</v>
      </c>
      <c r="AY640" t="s">
        <v>129</v>
      </c>
      <c r="AZ640">
        <v>42285.48</v>
      </c>
      <c r="BA640">
        <v>4214911</v>
      </c>
      <c r="BB640">
        <v>51119.88</v>
      </c>
      <c r="BC640">
        <v>99.677499999999995</v>
      </c>
      <c r="BD640" t="s">
        <v>130</v>
      </c>
      <c r="BE640" t="s">
        <v>112</v>
      </c>
      <c r="BF640" t="s">
        <v>157</v>
      </c>
      <c r="BG640" t="s">
        <v>133</v>
      </c>
      <c r="BH640" t="s">
        <v>134</v>
      </c>
      <c r="BI640" t="s">
        <v>112</v>
      </c>
      <c r="BJ640" t="s">
        <v>112</v>
      </c>
      <c r="BK640" t="s">
        <v>112</v>
      </c>
      <c r="BL640" t="s">
        <v>169</v>
      </c>
      <c r="BM640" t="s">
        <v>159</v>
      </c>
      <c r="BN640" t="s">
        <v>722</v>
      </c>
      <c r="BO640" t="s">
        <v>161</v>
      </c>
      <c r="BP640">
        <v>1</v>
      </c>
      <c r="BQ640" t="s">
        <v>466</v>
      </c>
      <c r="BR640" s="45">
        <f>ISNUMBER(SEARCH($BR$1,Таблица1[[#This Row],[31_1 Описание и характеристика товара]]))*1</f>
        <v>1</v>
      </c>
      <c r="BT640" t="s">
        <v>150</v>
      </c>
      <c r="BU640">
        <v>33</v>
      </c>
      <c r="BV640">
        <v>0</v>
      </c>
      <c r="BW640">
        <v>0</v>
      </c>
      <c r="BY640">
        <v>0</v>
      </c>
      <c r="CA640" t="s">
        <v>106</v>
      </c>
      <c r="CB640" t="s">
        <v>142</v>
      </c>
      <c r="CC640" t="s">
        <v>112</v>
      </c>
      <c r="CD640" t="s">
        <v>112</v>
      </c>
      <c r="CE640" t="s">
        <v>121</v>
      </c>
      <c r="CF640">
        <v>16095.65</v>
      </c>
      <c r="CG640" t="s">
        <v>144</v>
      </c>
      <c r="CH640">
        <v>4000000</v>
      </c>
      <c r="CI640">
        <v>15965.45</v>
      </c>
      <c r="CJ640">
        <v>0</v>
      </c>
      <c r="CK640" t="s">
        <v>112</v>
      </c>
      <c r="CL640" t="s">
        <v>112</v>
      </c>
      <c r="CM640">
        <v>42285.48</v>
      </c>
      <c r="CN640">
        <v>4214911</v>
      </c>
      <c r="CO640">
        <v>0</v>
      </c>
      <c r="CP640">
        <v>1</v>
      </c>
      <c r="CQ640">
        <v>4626579.01</v>
      </c>
      <c r="CR640">
        <v>51119.88</v>
      </c>
      <c r="CS640" t="s">
        <v>145</v>
      </c>
      <c r="CT640">
        <v>51089.440000000002</v>
      </c>
      <c r="CU640">
        <v>3.2</v>
      </c>
      <c r="CV640">
        <v>45</v>
      </c>
      <c r="CW640" t="s">
        <v>171</v>
      </c>
      <c r="CX640" t="s">
        <v>350</v>
      </c>
      <c r="CY640">
        <v>212</v>
      </c>
    </row>
    <row r="641" spans="1:103" x14ac:dyDescent="0.25">
      <c r="A641" t="s">
        <v>106</v>
      </c>
      <c r="B641" s="38">
        <v>45136</v>
      </c>
      <c r="C641" s="43">
        <f>IF(YEAR(Таблица1[[#This Row],[Дата]])=2023,MONTH(Таблица1[[#This Row],[Дата]]),0)</f>
        <v>7</v>
      </c>
      <c r="D641" t="s">
        <v>1457</v>
      </c>
      <c r="E641" t="s">
        <v>108</v>
      </c>
      <c r="F641" t="s">
        <v>1458</v>
      </c>
      <c r="G641" t="s">
        <v>110</v>
      </c>
      <c r="H641" t="s">
        <v>111</v>
      </c>
      <c r="I641" t="s">
        <v>112</v>
      </c>
      <c r="J641" t="s">
        <v>112</v>
      </c>
      <c r="K641" t="s">
        <v>112</v>
      </c>
      <c r="L641" t="s">
        <v>150</v>
      </c>
      <c r="M641" t="s">
        <v>1439</v>
      </c>
      <c r="N641" t="s">
        <v>112</v>
      </c>
      <c r="O641" t="s">
        <v>112</v>
      </c>
      <c r="P641">
        <v>1</v>
      </c>
      <c r="Q641">
        <v>0</v>
      </c>
      <c r="R641">
        <v>1</v>
      </c>
      <c r="S641">
        <v>33</v>
      </c>
      <c r="T641" t="s">
        <v>166</v>
      </c>
      <c r="U641" t="s">
        <v>152</v>
      </c>
      <c r="V641" t="s">
        <v>153</v>
      </c>
      <c r="W641" t="s">
        <v>154</v>
      </c>
      <c r="X641" t="s">
        <v>119</v>
      </c>
      <c r="Y641" t="s">
        <v>112</v>
      </c>
      <c r="Z641" t="s">
        <v>166</v>
      </c>
      <c r="AA641" t="s">
        <v>152</v>
      </c>
      <c r="AB641" t="s">
        <v>153</v>
      </c>
      <c r="AC641" t="s">
        <v>154</v>
      </c>
      <c r="AD641" t="s">
        <v>119</v>
      </c>
      <c r="AE641" t="s">
        <v>112</v>
      </c>
      <c r="AF641" t="s">
        <v>121</v>
      </c>
      <c r="AG641" t="s">
        <v>122</v>
      </c>
      <c r="AH641">
        <v>4668694.75</v>
      </c>
      <c r="AI641" t="s">
        <v>166</v>
      </c>
      <c r="AJ641" t="s">
        <v>152</v>
      </c>
      <c r="AK641" t="s">
        <v>153</v>
      </c>
      <c r="AL641" t="s">
        <v>154</v>
      </c>
      <c r="AM641" t="s">
        <v>119</v>
      </c>
      <c r="AN641" t="s">
        <v>112</v>
      </c>
      <c r="AO641" t="s">
        <v>121</v>
      </c>
      <c r="AP641" t="s">
        <v>122</v>
      </c>
      <c r="AQ641" t="s">
        <v>122</v>
      </c>
      <c r="AR641" t="s">
        <v>124</v>
      </c>
      <c r="AS641" t="s">
        <v>125</v>
      </c>
      <c r="AT641">
        <v>2</v>
      </c>
      <c r="AU641" t="s">
        <v>126</v>
      </c>
      <c r="AV641" t="s">
        <v>155</v>
      </c>
      <c r="AW641" t="s">
        <v>156</v>
      </c>
      <c r="AX641">
        <v>1</v>
      </c>
      <c r="AY641" t="s">
        <v>129</v>
      </c>
      <c r="AZ641">
        <v>42708</v>
      </c>
      <c r="BA641">
        <v>4257027</v>
      </c>
      <c r="BB641">
        <v>51585.22</v>
      </c>
      <c r="BC641">
        <v>99.677499999999995</v>
      </c>
      <c r="BD641" t="s">
        <v>130</v>
      </c>
      <c r="BE641" t="s">
        <v>112</v>
      </c>
      <c r="BF641" t="s">
        <v>157</v>
      </c>
      <c r="BG641" t="s">
        <v>133</v>
      </c>
      <c r="BH641" t="s">
        <v>134</v>
      </c>
      <c r="BI641" t="s">
        <v>112</v>
      </c>
      <c r="BJ641" t="s">
        <v>112</v>
      </c>
      <c r="BK641" t="s">
        <v>112</v>
      </c>
      <c r="BL641" t="s">
        <v>169</v>
      </c>
      <c r="BM641" t="s">
        <v>159</v>
      </c>
      <c r="BN641" t="s">
        <v>722</v>
      </c>
      <c r="BO641" t="s">
        <v>161</v>
      </c>
      <c r="BP641">
        <v>1</v>
      </c>
      <c r="BQ641" t="s">
        <v>653</v>
      </c>
      <c r="BR641" s="45">
        <f>ISNUMBER(SEARCH($BR$1,Таблица1[[#This Row],[31_1 Описание и характеристика товара]]))*1</f>
        <v>1</v>
      </c>
      <c r="BT641" t="s">
        <v>150</v>
      </c>
      <c r="BU641">
        <v>33</v>
      </c>
      <c r="BV641">
        <v>0</v>
      </c>
      <c r="BW641">
        <v>0</v>
      </c>
      <c r="BY641">
        <v>0</v>
      </c>
      <c r="CA641" t="s">
        <v>106</v>
      </c>
      <c r="CB641" t="s">
        <v>142</v>
      </c>
      <c r="CC641" t="s">
        <v>112</v>
      </c>
      <c r="CD641" t="s">
        <v>112</v>
      </c>
      <c r="CE641" t="s">
        <v>121</v>
      </c>
      <c r="CF641">
        <v>16259.34</v>
      </c>
      <c r="CG641" t="s">
        <v>144</v>
      </c>
      <c r="CH641">
        <v>4000000</v>
      </c>
      <c r="CI641">
        <v>16086.6</v>
      </c>
      <c r="CJ641">
        <v>0</v>
      </c>
      <c r="CK641" t="s">
        <v>112</v>
      </c>
      <c r="CL641" t="s">
        <v>112</v>
      </c>
      <c r="CM641">
        <v>42708</v>
      </c>
      <c r="CN641">
        <v>4257027</v>
      </c>
      <c r="CO641">
        <v>0</v>
      </c>
      <c r="CP641">
        <v>1</v>
      </c>
      <c r="CQ641">
        <v>4668694.75</v>
      </c>
      <c r="CR641">
        <v>51585.22</v>
      </c>
      <c r="CS641" t="s">
        <v>145</v>
      </c>
      <c r="CT641">
        <v>51637.985999999997</v>
      </c>
      <c r="CU641">
        <v>3.21</v>
      </c>
      <c r="CV641">
        <v>45</v>
      </c>
      <c r="CW641" t="s">
        <v>171</v>
      </c>
      <c r="CX641" t="s">
        <v>372</v>
      </c>
      <c r="CY641">
        <v>567</v>
      </c>
    </row>
    <row r="642" spans="1:103" x14ac:dyDescent="0.25">
      <c r="A642" t="s">
        <v>106</v>
      </c>
      <c r="B642" s="38">
        <v>45112</v>
      </c>
      <c r="C642" s="43">
        <f>IF(YEAR(Таблица1[[#This Row],[Дата]])=2023,MONTH(Таблица1[[#This Row],[Дата]]),0)</f>
        <v>7</v>
      </c>
      <c r="D642" t="s">
        <v>1454</v>
      </c>
      <c r="E642" t="s">
        <v>108</v>
      </c>
      <c r="F642" t="s">
        <v>1455</v>
      </c>
      <c r="G642" t="s">
        <v>110</v>
      </c>
      <c r="H642" t="s">
        <v>111</v>
      </c>
      <c r="I642" t="s">
        <v>112</v>
      </c>
      <c r="J642" t="s">
        <v>112</v>
      </c>
      <c r="K642" t="s">
        <v>112</v>
      </c>
      <c r="L642" t="s">
        <v>150</v>
      </c>
      <c r="M642" t="s">
        <v>1439</v>
      </c>
      <c r="N642" t="s">
        <v>112</v>
      </c>
      <c r="O642" t="s">
        <v>112</v>
      </c>
      <c r="P642">
        <v>1</v>
      </c>
      <c r="Q642">
        <v>0</v>
      </c>
      <c r="R642">
        <v>1</v>
      </c>
      <c r="S642">
        <v>33</v>
      </c>
      <c r="T642" t="s">
        <v>166</v>
      </c>
      <c r="U642" t="s">
        <v>152</v>
      </c>
      <c r="V642" t="s">
        <v>153</v>
      </c>
      <c r="W642" t="s">
        <v>154</v>
      </c>
      <c r="X642" t="s">
        <v>119</v>
      </c>
      <c r="Y642" t="s">
        <v>112</v>
      </c>
      <c r="Z642" t="s">
        <v>166</v>
      </c>
      <c r="AA642" t="s">
        <v>152</v>
      </c>
      <c r="AB642" t="s">
        <v>153</v>
      </c>
      <c r="AC642" t="s">
        <v>154</v>
      </c>
      <c r="AD642" t="s">
        <v>119</v>
      </c>
      <c r="AE642" t="s">
        <v>112</v>
      </c>
      <c r="AF642" t="s">
        <v>121</v>
      </c>
      <c r="AG642" t="s">
        <v>122</v>
      </c>
      <c r="AH642">
        <v>5159726.05</v>
      </c>
      <c r="AI642" t="s">
        <v>166</v>
      </c>
      <c r="AJ642" t="s">
        <v>152</v>
      </c>
      <c r="AK642" t="s">
        <v>153</v>
      </c>
      <c r="AL642" t="s">
        <v>154</v>
      </c>
      <c r="AM642" t="s">
        <v>119</v>
      </c>
      <c r="AN642" t="s">
        <v>112</v>
      </c>
      <c r="AO642" t="s">
        <v>121</v>
      </c>
      <c r="AP642" t="s">
        <v>122</v>
      </c>
      <c r="AQ642" t="s">
        <v>122</v>
      </c>
      <c r="AR642" t="s">
        <v>124</v>
      </c>
      <c r="AS642" t="s">
        <v>125</v>
      </c>
      <c r="AT642">
        <v>2</v>
      </c>
      <c r="AU642" t="s">
        <v>126</v>
      </c>
      <c r="AV642" t="s">
        <v>155</v>
      </c>
      <c r="AW642" t="s">
        <v>156</v>
      </c>
      <c r="AX642">
        <v>1</v>
      </c>
      <c r="AY642" t="s">
        <v>129</v>
      </c>
      <c r="AZ642">
        <v>47634.2</v>
      </c>
      <c r="BA642">
        <v>4748058</v>
      </c>
      <c r="BB642">
        <v>57010.71</v>
      </c>
      <c r="BC642">
        <v>99.677499999999995</v>
      </c>
      <c r="BD642" t="s">
        <v>130</v>
      </c>
      <c r="BE642" t="s">
        <v>112</v>
      </c>
      <c r="BF642" t="s">
        <v>157</v>
      </c>
      <c r="BG642" t="s">
        <v>133</v>
      </c>
      <c r="BH642" t="s">
        <v>134</v>
      </c>
      <c r="BI642" t="s">
        <v>112</v>
      </c>
      <c r="BJ642" t="s">
        <v>112</v>
      </c>
      <c r="BK642" t="s">
        <v>112</v>
      </c>
      <c r="BL642" t="s">
        <v>169</v>
      </c>
      <c r="BM642" t="s">
        <v>159</v>
      </c>
      <c r="BN642" t="s">
        <v>722</v>
      </c>
      <c r="BO642" t="s">
        <v>161</v>
      </c>
      <c r="BP642">
        <v>1</v>
      </c>
      <c r="BQ642" t="s">
        <v>1456</v>
      </c>
      <c r="BR642" s="45">
        <f>ISNUMBER(SEARCH($BR$1,Таблица1[[#This Row],[31_1 Описание и характеристика товара]]))*1</f>
        <v>1</v>
      </c>
      <c r="BT642" t="s">
        <v>150</v>
      </c>
      <c r="BU642">
        <v>33</v>
      </c>
      <c r="BV642">
        <v>0</v>
      </c>
      <c r="BW642">
        <v>0</v>
      </c>
      <c r="BY642">
        <v>0</v>
      </c>
      <c r="CA642" t="s">
        <v>106</v>
      </c>
      <c r="CB642" t="s">
        <v>142</v>
      </c>
      <c r="CC642" t="s">
        <v>112</v>
      </c>
      <c r="CD642" t="s">
        <v>112</v>
      </c>
      <c r="CE642" t="s">
        <v>121</v>
      </c>
      <c r="CF642">
        <v>16840.5</v>
      </c>
      <c r="CG642" t="s">
        <v>144</v>
      </c>
      <c r="CH642">
        <v>4000000</v>
      </c>
      <c r="CI642">
        <v>16840.5</v>
      </c>
      <c r="CJ642">
        <v>0</v>
      </c>
      <c r="CK642" t="s">
        <v>112</v>
      </c>
      <c r="CL642" t="s">
        <v>112</v>
      </c>
      <c r="CM642">
        <v>47634.2</v>
      </c>
      <c r="CN642">
        <v>4748058</v>
      </c>
      <c r="CO642">
        <v>0</v>
      </c>
      <c r="CP642">
        <v>1</v>
      </c>
      <c r="CQ642">
        <v>5159726.05</v>
      </c>
      <c r="CR642">
        <v>57010.71</v>
      </c>
      <c r="CS642" t="s">
        <v>145</v>
      </c>
      <c r="CT642">
        <v>57089.295000000006</v>
      </c>
      <c r="CU642">
        <v>3.39</v>
      </c>
      <c r="CV642">
        <v>45</v>
      </c>
      <c r="CW642" t="s">
        <v>171</v>
      </c>
      <c r="CX642" t="s">
        <v>463</v>
      </c>
      <c r="CY642">
        <v>286</v>
      </c>
    </row>
    <row r="643" spans="1:103" x14ac:dyDescent="0.25">
      <c r="A643" t="s">
        <v>106</v>
      </c>
      <c r="B643" s="38">
        <v>45241</v>
      </c>
      <c r="C643" s="43">
        <f>IF(YEAR(Таблица1[[#This Row],[Дата]])=2023,MONTH(Таблица1[[#This Row],[Дата]]),0)</f>
        <v>11</v>
      </c>
      <c r="D643" t="s">
        <v>1172</v>
      </c>
      <c r="E643" t="s">
        <v>108</v>
      </c>
      <c r="F643" t="s">
        <v>1173</v>
      </c>
      <c r="G643" t="s">
        <v>110</v>
      </c>
      <c r="H643" t="s">
        <v>111</v>
      </c>
      <c r="I643" t="s">
        <v>112</v>
      </c>
      <c r="J643" t="s">
        <v>112</v>
      </c>
      <c r="K643" t="s">
        <v>112</v>
      </c>
      <c r="L643" t="s">
        <v>150</v>
      </c>
      <c r="M643" t="s">
        <v>1143</v>
      </c>
      <c r="N643" t="s">
        <v>112</v>
      </c>
      <c r="O643" t="s">
        <v>112</v>
      </c>
      <c r="P643">
        <v>1</v>
      </c>
      <c r="Q643">
        <v>0</v>
      </c>
      <c r="R643">
        <v>1</v>
      </c>
      <c r="S643">
        <v>33</v>
      </c>
      <c r="T643" t="s">
        <v>166</v>
      </c>
      <c r="U643" t="s">
        <v>152</v>
      </c>
      <c r="V643" t="s">
        <v>153</v>
      </c>
      <c r="W643" t="s">
        <v>154</v>
      </c>
      <c r="X643" t="s">
        <v>119</v>
      </c>
      <c r="Y643" t="s">
        <v>112</v>
      </c>
      <c r="Z643" t="s">
        <v>166</v>
      </c>
      <c r="AA643" t="s">
        <v>152</v>
      </c>
      <c r="AB643" t="s">
        <v>153</v>
      </c>
      <c r="AC643" t="s">
        <v>154</v>
      </c>
      <c r="AD643" t="s">
        <v>119</v>
      </c>
      <c r="AE643" t="s">
        <v>112</v>
      </c>
      <c r="AF643" t="s">
        <v>121</v>
      </c>
      <c r="AG643" t="s">
        <v>122</v>
      </c>
      <c r="AH643">
        <v>4027549.81</v>
      </c>
      <c r="AI643" t="s">
        <v>166</v>
      </c>
      <c r="AJ643" t="s">
        <v>152</v>
      </c>
      <c r="AK643" t="s">
        <v>153</v>
      </c>
      <c r="AL643" t="s">
        <v>154</v>
      </c>
      <c r="AM643" t="s">
        <v>119</v>
      </c>
      <c r="AN643" t="s">
        <v>112</v>
      </c>
      <c r="AO643" t="s">
        <v>121</v>
      </c>
      <c r="AP643" t="s">
        <v>122</v>
      </c>
      <c r="AQ643" t="s">
        <v>122</v>
      </c>
      <c r="AR643" t="s">
        <v>124</v>
      </c>
      <c r="AS643" t="s">
        <v>125</v>
      </c>
      <c r="AT643">
        <v>2</v>
      </c>
      <c r="AU643" t="s">
        <v>126</v>
      </c>
      <c r="AV643" t="s">
        <v>155</v>
      </c>
      <c r="AW643" t="s">
        <v>156</v>
      </c>
      <c r="AX643">
        <v>1</v>
      </c>
      <c r="AY643" t="s">
        <v>129</v>
      </c>
      <c r="AZ643">
        <v>44460.44</v>
      </c>
      <c r="BA643">
        <v>3685224</v>
      </c>
      <c r="BB643">
        <v>53074.67</v>
      </c>
      <c r="BC643">
        <v>82.887699999999995</v>
      </c>
      <c r="BD643" t="s">
        <v>130</v>
      </c>
      <c r="BE643" t="s">
        <v>112</v>
      </c>
      <c r="BF643" t="s">
        <v>157</v>
      </c>
      <c r="BG643" t="s">
        <v>133</v>
      </c>
      <c r="BH643" t="s">
        <v>134</v>
      </c>
      <c r="BI643" t="s">
        <v>112</v>
      </c>
      <c r="BJ643" t="s">
        <v>112</v>
      </c>
      <c r="BK643" t="s">
        <v>112</v>
      </c>
      <c r="BL643" t="s">
        <v>169</v>
      </c>
      <c r="BM643" t="s">
        <v>159</v>
      </c>
      <c r="BN643" t="s">
        <v>722</v>
      </c>
      <c r="BO643" t="s">
        <v>161</v>
      </c>
      <c r="BP643">
        <v>1</v>
      </c>
      <c r="BQ643" t="s">
        <v>162</v>
      </c>
      <c r="BR643" s="45">
        <f>ISNUMBER(SEARCH($BR$1,Таблица1[[#This Row],[31_1 Описание и характеристика товара]]))*1</f>
        <v>1</v>
      </c>
      <c r="BT643" t="s">
        <v>150</v>
      </c>
      <c r="BU643">
        <v>33</v>
      </c>
      <c r="BV643">
        <v>0</v>
      </c>
      <c r="BW643">
        <v>0</v>
      </c>
      <c r="BY643">
        <v>0</v>
      </c>
      <c r="CA643" t="s">
        <v>106</v>
      </c>
      <c r="CB643" t="s">
        <v>142</v>
      </c>
      <c r="CC643" t="s">
        <v>112</v>
      </c>
      <c r="CD643" t="s">
        <v>112</v>
      </c>
      <c r="CE643" t="s">
        <v>121</v>
      </c>
      <c r="CF643">
        <v>17453.28</v>
      </c>
      <c r="CG643" t="s">
        <v>144</v>
      </c>
      <c r="CH643">
        <v>4000000</v>
      </c>
      <c r="CI643">
        <v>17453.28</v>
      </c>
      <c r="CJ643">
        <v>0</v>
      </c>
      <c r="CK643" t="s">
        <v>112</v>
      </c>
      <c r="CL643" t="s">
        <v>112</v>
      </c>
      <c r="CM643">
        <v>44460.44</v>
      </c>
      <c r="CN643">
        <v>3685224</v>
      </c>
      <c r="CO643">
        <v>0</v>
      </c>
      <c r="CP643">
        <v>1</v>
      </c>
      <c r="CQ643">
        <v>4027549.81</v>
      </c>
      <c r="CR643">
        <v>53074.67</v>
      </c>
      <c r="CS643" t="s">
        <v>145</v>
      </c>
      <c r="CT643">
        <v>53075.424479999994</v>
      </c>
      <c r="CU643">
        <v>3.0409999999999999</v>
      </c>
      <c r="CV643">
        <v>45</v>
      </c>
      <c r="CW643" t="s">
        <v>171</v>
      </c>
      <c r="CX643" t="s">
        <v>350</v>
      </c>
      <c r="CY643">
        <v>42</v>
      </c>
    </row>
    <row r="644" spans="1:103" x14ac:dyDescent="0.25">
      <c r="A644" t="s">
        <v>106</v>
      </c>
      <c r="B644" s="38">
        <v>45045</v>
      </c>
      <c r="C644" s="43">
        <f>IF(YEAR(Таблица1[[#This Row],[Дата]])=2023,MONTH(Таблица1[[#This Row],[Дата]]),0)</f>
        <v>4</v>
      </c>
      <c r="D644" t="s">
        <v>1168</v>
      </c>
      <c r="E644" t="s">
        <v>108</v>
      </c>
      <c r="F644" t="s">
        <v>1169</v>
      </c>
      <c r="G644" t="s">
        <v>110</v>
      </c>
      <c r="H644" t="s">
        <v>111</v>
      </c>
      <c r="I644" t="s">
        <v>112</v>
      </c>
      <c r="J644" t="s">
        <v>112</v>
      </c>
      <c r="K644" t="s">
        <v>112</v>
      </c>
      <c r="L644" t="s">
        <v>150</v>
      </c>
      <c r="M644" t="s">
        <v>1143</v>
      </c>
      <c r="N644" t="s">
        <v>112</v>
      </c>
      <c r="O644" t="s">
        <v>112</v>
      </c>
      <c r="P644">
        <v>1</v>
      </c>
      <c r="Q644">
        <v>0</v>
      </c>
      <c r="R644">
        <v>1</v>
      </c>
      <c r="S644">
        <v>33</v>
      </c>
      <c r="T644" t="s">
        <v>166</v>
      </c>
      <c r="U644" t="s">
        <v>152</v>
      </c>
      <c r="V644" t="s">
        <v>153</v>
      </c>
      <c r="W644" t="s">
        <v>154</v>
      </c>
      <c r="X644" t="s">
        <v>119</v>
      </c>
      <c r="Y644" t="s">
        <v>112</v>
      </c>
      <c r="Z644" t="s">
        <v>166</v>
      </c>
      <c r="AA644" t="s">
        <v>152</v>
      </c>
      <c r="AB644" t="s">
        <v>153</v>
      </c>
      <c r="AC644" t="s">
        <v>154</v>
      </c>
      <c r="AD644" t="s">
        <v>119</v>
      </c>
      <c r="AE644" t="s">
        <v>112</v>
      </c>
      <c r="AF644" t="s">
        <v>121</v>
      </c>
      <c r="AG644" t="s">
        <v>122</v>
      </c>
      <c r="AH644">
        <v>3924858.58</v>
      </c>
      <c r="AI644" t="s">
        <v>166</v>
      </c>
      <c r="AJ644" t="s">
        <v>152</v>
      </c>
      <c r="AK644" t="s">
        <v>153</v>
      </c>
      <c r="AL644" t="s">
        <v>154</v>
      </c>
      <c r="AM644" t="s">
        <v>119</v>
      </c>
      <c r="AN644" t="s">
        <v>112</v>
      </c>
      <c r="AO644" t="s">
        <v>121</v>
      </c>
      <c r="AP644" t="s">
        <v>122</v>
      </c>
      <c r="AQ644" t="s">
        <v>122</v>
      </c>
      <c r="AR644" t="s">
        <v>124</v>
      </c>
      <c r="AS644" t="s">
        <v>125</v>
      </c>
      <c r="AT644">
        <v>2</v>
      </c>
      <c r="AU644" t="s">
        <v>126</v>
      </c>
      <c r="AV644" t="s">
        <v>155</v>
      </c>
      <c r="AW644" t="s">
        <v>156</v>
      </c>
      <c r="AX644">
        <v>1</v>
      </c>
      <c r="AY644" t="s">
        <v>129</v>
      </c>
      <c r="AZ644">
        <v>43221.52</v>
      </c>
      <c r="BA644">
        <v>3582532</v>
      </c>
      <c r="BB644">
        <v>51721.41</v>
      </c>
      <c r="BC644">
        <v>82.887699999999995</v>
      </c>
      <c r="BD644" t="s">
        <v>130</v>
      </c>
      <c r="BE644" t="s">
        <v>112</v>
      </c>
      <c r="BF644" t="s">
        <v>157</v>
      </c>
      <c r="BG644" t="s">
        <v>133</v>
      </c>
      <c r="BH644" t="s">
        <v>134</v>
      </c>
      <c r="BI644" t="s">
        <v>112</v>
      </c>
      <c r="BJ644" t="s">
        <v>112</v>
      </c>
      <c r="BK644" t="s">
        <v>112</v>
      </c>
      <c r="BL644" t="s">
        <v>169</v>
      </c>
      <c r="BM644" t="s">
        <v>159</v>
      </c>
      <c r="BN644" t="s">
        <v>722</v>
      </c>
      <c r="BO644" t="s">
        <v>161</v>
      </c>
      <c r="BP644">
        <v>1</v>
      </c>
      <c r="BQ644" t="s">
        <v>232</v>
      </c>
      <c r="BR644" s="45">
        <f>ISNUMBER(SEARCH($BR$1,Таблица1[[#This Row],[31_1 Описание и характеристика товара]]))*1</f>
        <v>1</v>
      </c>
      <c r="BT644" t="s">
        <v>150</v>
      </c>
      <c r="BU644">
        <v>33</v>
      </c>
      <c r="BV644">
        <v>0</v>
      </c>
      <c r="BW644">
        <v>0</v>
      </c>
      <c r="BY644">
        <v>0</v>
      </c>
      <c r="CA644" t="s">
        <v>106</v>
      </c>
      <c r="CB644" t="s">
        <v>142</v>
      </c>
      <c r="CC644" t="s">
        <v>112</v>
      </c>
      <c r="CD644" t="s">
        <v>112</v>
      </c>
      <c r="CE644" t="s">
        <v>121</v>
      </c>
      <c r="CF644">
        <v>17483.62</v>
      </c>
      <c r="CG644" t="s">
        <v>144</v>
      </c>
      <c r="CH644">
        <v>4000000</v>
      </c>
      <c r="CI644">
        <v>17483.62</v>
      </c>
      <c r="CJ644">
        <v>0</v>
      </c>
      <c r="CK644" t="s">
        <v>112</v>
      </c>
      <c r="CL644" t="s">
        <v>112</v>
      </c>
      <c r="CM644">
        <v>43221.52</v>
      </c>
      <c r="CN644">
        <v>3582532</v>
      </c>
      <c r="CO644">
        <v>0</v>
      </c>
      <c r="CP644">
        <v>1</v>
      </c>
      <c r="CQ644">
        <v>3924858.58</v>
      </c>
      <c r="CR644">
        <v>51721.41</v>
      </c>
      <c r="CS644" t="s">
        <v>145</v>
      </c>
      <c r="CT644">
        <v>51721.793045999999</v>
      </c>
      <c r="CU644">
        <v>2.9582999999999999</v>
      </c>
      <c r="CV644">
        <v>45</v>
      </c>
      <c r="CW644" t="s">
        <v>171</v>
      </c>
      <c r="CX644" t="s">
        <v>463</v>
      </c>
      <c r="CY644">
        <v>68</v>
      </c>
    </row>
    <row r="645" spans="1:103" x14ac:dyDescent="0.25">
      <c r="A645" t="s">
        <v>106</v>
      </c>
      <c r="B645" s="38">
        <v>45135</v>
      </c>
      <c r="C645" s="43">
        <f>IF(YEAR(Таблица1[[#This Row],[Дата]])=2023,MONTH(Таблица1[[#This Row],[Дата]]),0)</f>
        <v>7</v>
      </c>
      <c r="D645" t="s">
        <v>1166</v>
      </c>
      <c r="E645" t="s">
        <v>108</v>
      </c>
      <c r="F645" t="s">
        <v>1167</v>
      </c>
      <c r="G645" t="s">
        <v>110</v>
      </c>
      <c r="H645" t="s">
        <v>111</v>
      </c>
      <c r="I645" t="s">
        <v>112</v>
      </c>
      <c r="J645" t="s">
        <v>112</v>
      </c>
      <c r="K645" t="s">
        <v>112</v>
      </c>
      <c r="L645" t="s">
        <v>150</v>
      </c>
      <c r="M645" t="s">
        <v>1143</v>
      </c>
      <c r="N645" t="s">
        <v>112</v>
      </c>
      <c r="O645" t="s">
        <v>112</v>
      </c>
      <c r="P645">
        <v>1</v>
      </c>
      <c r="Q645">
        <v>0</v>
      </c>
      <c r="R645">
        <v>1</v>
      </c>
      <c r="S645">
        <v>33</v>
      </c>
      <c r="T645" t="s">
        <v>166</v>
      </c>
      <c r="U645" t="s">
        <v>152</v>
      </c>
      <c r="V645" t="s">
        <v>153</v>
      </c>
      <c r="W645" t="s">
        <v>154</v>
      </c>
      <c r="X645" t="s">
        <v>119</v>
      </c>
      <c r="Y645" t="s">
        <v>112</v>
      </c>
      <c r="Z645" t="s">
        <v>166</v>
      </c>
      <c r="AA645" t="s">
        <v>152</v>
      </c>
      <c r="AB645" t="s">
        <v>153</v>
      </c>
      <c r="AC645" t="s">
        <v>154</v>
      </c>
      <c r="AD645" t="s">
        <v>119</v>
      </c>
      <c r="AE645" t="s">
        <v>112</v>
      </c>
      <c r="AF645" t="s">
        <v>121</v>
      </c>
      <c r="AG645" t="s">
        <v>122</v>
      </c>
      <c r="AH645">
        <v>4164047.63</v>
      </c>
      <c r="AI645" t="s">
        <v>166</v>
      </c>
      <c r="AJ645" t="s">
        <v>152</v>
      </c>
      <c r="AK645" t="s">
        <v>153</v>
      </c>
      <c r="AL645" t="s">
        <v>154</v>
      </c>
      <c r="AM645" t="s">
        <v>119</v>
      </c>
      <c r="AN645" t="s">
        <v>112</v>
      </c>
      <c r="AO645" t="s">
        <v>121</v>
      </c>
      <c r="AP645" t="s">
        <v>122</v>
      </c>
      <c r="AQ645" t="s">
        <v>122</v>
      </c>
      <c r="AR645" t="s">
        <v>124</v>
      </c>
      <c r="AS645" t="s">
        <v>125</v>
      </c>
      <c r="AT645">
        <v>2</v>
      </c>
      <c r="AU645" t="s">
        <v>126</v>
      </c>
      <c r="AV645" t="s">
        <v>155</v>
      </c>
      <c r="AW645" t="s">
        <v>156</v>
      </c>
      <c r="AX645">
        <v>1</v>
      </c>
      <c r="AY645" t="s">
        <v>129</v>
      </c>
      <c r="AZ645">
        <v>45587.22</v>
      </c>
      <c r="BA645">
        <v>3778620</v>
      </c>
      <c r="BB645">
        <v>54873.42</v>
      </c>
      <c r="BC645">
        <v>82.887699999999995</v>
      </c>
      <c r="BD645" t="s">
        <v>130</v>
      </c>
      <c r="BE645" t="s">
        <v>112</v>
      </c>
      <c r="BF645" t="s">
        <v>157</v>
      </c>
      <c r="BG645" t="s">
        <v>133</v>
      </c>
      <c r="BH645" t="s">
        <v>134</v>
      </c>
      <c r="BI645" t="s">
        <v>112</v>
      </c>
      <c r="BJ645" t="s">
        <v>112</v>
      </c>
      <c r="BK645" t="s">
        <v>112</v>
      </c>
      <c r="BL645" t="s">
        <v>169</v>
      </c>
      <c r="BM645" t="s">
        <v>159</v>
      </c>
      <c r="BN645" t="s">
        <v>722</v>
      </c>
      <c r="BO645" t="s">
        <v>161</v>
      </c>
      <c r="BP645">
        <v>1</v>
      </c>
      <c r="BQ645" t="s">
        <v>162</v>
      </c>
      <c r="BR645" s="45">
        <f>ISNUMBER(SEARCH($BR$1,Таблица1[[#This Row],[31_1 Описание и характеристика товара]]))*1</f>
        <v>1</v>
      </c>
      <c r="BT645" t="s">
        <v>150</v>
      </c>
      <c r="BU645">
        <v>33</v>
      </c>
      <c r="BV645">
        <v>0</v>
      </c>
      <c r="BW645">
        <v>0</v>
      </c>
      <c r="BY645">
        <v>0</v>
      </c>
      <c r="CA645" t="s">
        <v>106</v>
      </c>
      <c r="CB645" t="s">
        <v>142</v>
      </c>
      <c r="CC645" t="s">
        <v>112</v>
      </c>
      <c r="CD645" t="s">
        <v>112</v>
      </c>
      <c r="CE645" t="s">
        <v>121</v>
      </c>
      <c r="CF645">
        <v>16886.23</v>
      </c>
      <c r="CG645" t="s">
        <v>144</v>
      </c>
      <c r="CH645">
        <v>4000000</v>
      </c>
      <c r="CI645">
        <v>16886.23</v>
      </c>
      <c r="CJ645">
        <v>0</v>
      </c>
      <c r="CK645" t="s">
        <v>112</v>
      </c>
      <c r="CL645" t="s">
        <v>112</v>
      </c>
      <c r="CM645">
        <v>45587.22</v>
      </c>
      <c r="CN645">
        <v>3778620</v>
      </c>
      <c r="CO645">
        <v>0</v>
      </c>
      <c r="CP645">
        <v>1</v>
      </c>
      <c r="CQ645">
        <v>4164047.63</v>
      </c>
      <c r="CR645">
        <v>54873.42</v>
      </c>
      <c r="CS645" t="s">
        <v>145</v>
      </c>
      <c r="CT645">
        <v>54873.493007999998</v>
      </c>
      <c r="CU645">
        <v>3.2496</v>
      </c>
      <c r="CV645">
        <v>45</v>
      </c>
      <c r="CW645" t="s">
        <v>171</v>
      </c>
      <c r="CX645" t="s">
        <v>350</v>
      </c>
      <c r="CY645">
        <v>567</v>
      </c>
    </row>
    <row r="646" spans="1:103" x14ac:dyDescent="0.25">
      <c r="A646" t="s">
        <v>106</v>
      </c>
      <c r="B646" s="38">
        <v>45139</v>
      </c>
      <c r="C646" s="43">
        <f>IF(YEAR(Таблица1[[#This Row],[Дата]])=2023,MONTH(Таблица1[[#This Row],[Дата]]),0)</f>
        <v>8</v>
      </c>
      <c r="D646" t="s">
        <v>1170</v>
      </c>
      <c r="E646" t="s">
        <v>108</v>
      </c>
      <c r="F646" t="s">
        <v>1171</v>
      </c>
      <c r="G646" t="s">
        <v>110</v>
      </c>
      <c r="H646" t="s">
        <v>111</v>
      </c>
      <c r="I646" t="s">
        <v>112</v>
      </c>
      <c r="J646" t="s">
        <v>112</v>
      </c>
      <c r="K646" t="s">
        <v>112</v>
      </c>
      <c r="L646" t="s">
        <v>150</v>
      </c>
      <c r="M646" t="s">
        <v>1143</v>
      </c>
      <c r="N646" t="s">
        <v>112</v>
      </c>
      <c r="O646" t="s">
        <v>112</v>
      </c>
      <c r="P646">
        <v>1</v>
      </c>
      <c r="Q646">
        <v>0</v>
      </c>
      <c r="R646">
        <v>1</v>
      </c>
      <c r="S646">
        <v>33</v>
      </c>
      <c r="T646" t="s">
        <v>166</v>
      </c>
      <c r="U646" t="s">
        <v>152</v>
      </c>
      <c r="V646" t="s">
        <v>153</v>
      </c>
      <c r="W646" t="s">
        <v>154</v>
      </c>
      <c r="X646" t="s">
        <v>119</v>
      </c>
      <c r="Y646" t="s">
        <v>112</v>
      </c>
      <c r="Z646" t="s">
        <v>166</v>
      </c>
      <c r="AA646" t="s">
        <v>152</v>
      </c>
      <c r="AB646" t="s">
        <v>153</v>
      </c>
      <c r="AC646" t="s">
        <v>154</v>
      </c>
      <c r="AD646" t="s">
        <v>119</v>
      </c>
      <c r="AE646" t="s">
        <v>112</v>
      </c>
      <c r="AF646" t="s">
        <v>121</v>
      </c>
      <c r="AG646" t="s">
        <v>122</v>
      </c>
      <c r="AH646">
        <v>4569051.84</v>
      </c>
      <c r="AI646" t="s">
        <v>166</v>
      </c>
      <c r="AJ646" t="s">
        <v>152</v>
      </c>
      <c r="AK646" t="s">
        <v>153</v>
      </c>
      <c r="AL646" t="s">
        <v>154</v>
      </c>
      <c r="AM646" t="s">
        <v>119</v>
      </c>
      <c r="AN646" t="s">
        <v>112</v>
      </c>
      <c r="AO646" t="s">
        <v>121</v>
      </c>
      <c r="AP646" t="s">
        <v>122</v>
      </c>
      <c r="AQ646" t="s">
        <v>122</v>
      </c>
      <c r="AR646" t="s">
        <v>124</v>
      </c>
      <c r="AS646" t="s">
        <v>125</v>
      </c>
      <c r="AT646">
        <v>2</v>
      </c>
      <c r="AU646" t="s">
        <v>126</v>
      </c>
      <c r="AV646" t="s">
        <v>155</v>
      </c>
      <c r="AW646" t="s">
        <v>156</v>
      </c>
      <c r="AX646">
        <v>1</v>
      </c>
      <c r="AY646" t="s">
        <v>129</v>
      </c>
      <c r="AZ646">
        <v>50993.4</v>
      </c>
      <c r="BA646">
        <v>4226726</v>
      </c>
      <c r="BB646">
        <v>60210.53</v>
      </c>
      <c r="BC646">
        <v>82.887699999999995</v>
      </c>
      <c r="BD646" t="s">
        <v>130</v>
      </c>
      <c r="BE646" t="s">
        <v>112</v>
      </c>
      <c r="BF646" t="s">
        <v>157</v>
      </c>
      <c r="BG646" t="s">
        <v>133</v>
      </c>
      <c r="BH646" t="s">
        <v>134</v>
      </c>
      <c r="BI646" t="s">
        <v>112</v>
      </c>
      <c r="BJ646" t="s">
        <v>112</v>
      </c>
      <c r="BK646" t="s">
        <v>112</v>
      </c>
      <c r="BL646" t="s">
        <v>169</v>
      </c>
      <c r="BM646" t="s">
        <v>159</v>
      </c>
      <c r="BN646" t="s">
        <v>722</v>
      </c>
      <c r="BO646" t="s">
        <v>161</v>
      </c>
      <c r="BP646">
        <v>1</v>
      </c>
      <c r="BQ646" t="s">
        <v>162</v>
      </c>
      <c r="BR646" s="45">
        <f>ISNUMBER(SEARCH($BR$1,Таблица1[[#This Row],[31_1 Описание и характеристика товара]]))*1</f>
        <v>1</v>
      </c>
      <c r="BT646" t="s">
        <v>150</v>
      </c>
      <c r="BU646">
        <v>33</v>
      </c>
      <c r="BV646">
        <v>0</v>
      </c>
      <c r="BW646">
        <v>0</v>
      </c>
      <c r="BY646">
        <v>0</v>
      </c>
      <c r="CA646" t="s">
        <v>106</v>
      </c>
      <c r="CB646" t="s">
        <v>142</v>
      </c>
      <c r="CC646" t="s">
        <v>112</v>
      </c>
      <c r="CD646" t="s">
        <v>112</v>
      </c>
      <c r="CE646" t="s">
        <v>121</v>
      </c>
      <c r="CF646">
        <v>16968.900000000001</v>
      </c>
      <c r="CG646" t="s">
        <v>144</v>
      </c>
      <c r="CH646">
        <v>4000000</v>
      </c>
      <c r="CI646">
        <v>16968.900000000001</v>
      </c>
      <c r="CJ646">
        <v>0</v>
      </c>
      <c r="CK646" t="s">
        <v>112</v>
      </c>
      <c r="CL646" t="s">
        <v>112</v>
      </c>
      <c r="CM646">
        <v>50993.4</v>
      </c>
      <c r="CN646">
        <v>4226726</v>
      </c>
      <c r="CO646">
        <v>0</v>
      </c>
      <c r="CP646">
        <v>1</v>
      </c>
      <c r="CQ646">
        <v>4569051.84</v>
      </c>
      <c r="CR646">
        <v>60210.53</v>
      </c>
      <c r="CS646" t="s">
        <v>145</v>
      </c>
      <c r="CT646">
        <v>60210.747869999999</v>
      </c>
      <c r="CU646">
        <v>3.5482999999999998</v>
      </c>
      <c r="CV646">
        <v>45</v>
      </c>
      <c r="CW646" t="s">
        <v>171</v>
      </c>
      <c r="CX646" t="s">
        <v>372</v>
      </c>
      <c r="CY646">
        <v>257</v>
      </c>
    </row>
    <row r="647" spans="1:103" x14ac:dyDescent="0.25">
      <c r="A647" t="s">
        <v>106</v>
      </c>
      <c r="B647" s="38">
        <v>44982</v>
      </c>
      <c r="C647" s="43">
        <f>IF(YEAR(Таблица1[[#This Row],[Дата]])=2023,MONTH(Таблица1[[#This Row],[Дата]]),0)</f>
        <v>2</v>
      </c>
      <c r="D647" t="s">
        <v>1037</v>
      </c>
      <c r="E647" t="s">
        <v>108</v>
      </c>
      <c r="F647" t="s">
        <v>1038</v>
      </c>
      <c r="G647" t="s">
        <v>110</v>
      </c>
      <c r="H647" t="s">
        <v>111</v>
      </c>
      <c r="I647" t="s">
        <v>112</v>
      </c>
      <c r="J647" t="s">
        <v>112</v>
      </c>
      <c r="K647" t="s">
        <v>112</v>
      </c>
      <c r="L647" t="s">
        <v>150</v>
      </c>
      <c r="M647" t="s">
        <v>1036</v>
      </c>
      <c r="N647" t="s">
        <v>112</v>
      </c>
      <c r="O647" t="s">
        <v>112</v>
      </c>
      <c r="P647">
        <v>1</v>
      </c>
      <c r="Q647">
        <v>0</v>
      </c>
      <c r="R647">
        <v>1</v>
      </c>
      <c r="S647">
        <v>38</v>
      </c>
      <c r="T647" t="s">
        <v>166</v>
      </c>
      <c r="U647" t="s">
        <v>152</v>
      </c>
      <c r="V647" t="s">
        <v>153</v>
      </c>
      <c r="W647" t="s">
        <v>154</v>
      </c>
      <c r="X647" t="s">
        <v>119</v>
      </c>
      <c r="Y647" t="s">
        <v>112</v>
      </c>
      <c r="Z647" t="s">
        <v>166</v>
      </c>
      <c r="AA647" t="s">
        <v>152</v>
      </c>
      <c r="AB647" t="s">
        <v>153</v>
      </c>
      <c r="AC647" t="s">
        <v>154</v>
      </c>
      <c r="AD647" t="s">
        <v>119</v>
      </c>
      <c r="AE647" t="s">
        <v>112</v>
      </c>
      <c r="AF647" t="s">
        <v>121</v>
      </c>
      <c r="AG647" t="s">
        <v>122</v>
      </c>
      <c r="AH647">
        <v>4477852.47</v>
      </c>
      <c r="AI647" t="s">
        <v>166</v>
      </c>
      <c r="AJ647" t="s">
        <v>152</v>
      </c>
      <c r="AK647" t="s">
        <v>153</v>
      </c>
      <c r="AL647" t="s">
        <v>154</v>
      </c>
      <c r="AM647" t="s">
        <v>119</v>
      </c>
      <c r="AN647" t="s">
        <v>112</v>
      </c>
      <c r="AO647" t="s">
        <v>121</v>
      </c>
      <c r="AP647" t="s">
        <v>122</v>
      </c>
      <c r="AQ647" t="s">
        <v>122</v>
      </c>
      <c r="AR647" t="s">
        <v>124</v>
      </c>
      <c r="AS647" t="s">
        <v>125</v>
      </c>
      <c r="AT647">
        <v>2</v>
      </c>
      <c r="AU647" t="s">
        <v>126</v>
      </c>
      <c r="AV647" t="s">
        <v>155</v>
      </c>
      <c r="AW647" t="s">
        <v>156</v>
      </c>
      <c r="AX647">
        <v>1</v>
      </c>
      <c r="AY647" t="s">
        <v>129</v>
      </c>
      <c r="AZ647">
        <v>45555.24</v>
      </c>
      <c r="BA647">
        <v>4087540</v>
      </c>
      <c r="BB647">
        <v>54488.41</v>
      </c>
      <c r="BC647">
        <v>89.727099999999993</v>
      </c>
      <c r="BD647" t="s">
        <v>130</v>
      </c>
      <c r="BE647" t="s">
        <v>112</v>
      </c>
      <c r="BF647" t="s">
        <v>157</v>
      </c>
      <c r="BG647" t="s">
        <v>133</v>
      </c>
      <c r="BH647" t="s">
        <v>167</v>
      </c>
      <c r="BI647" t="s">
        <v>168</v>
      </c>
      <c r="BJ647" t="s">
        <v>112</v>
      </c>
      <c r="BK647" t="s">
        <v>112</v>
      </c>
      <c r="BL647" t="s">
        <v>169</v>
      </c>
      <c r="BM647" t="s">
        <v>159</v>
      </c>
      <c r="BN647" t="s">
        <v>726</v>
      </c>
      <c r="BO647" t="s">
        <v>161</v>
      </c>
      <c r="BP647">
        <v>1</v>
      </c>
      <c r="BQ647" t="s">
        <v>205</v>
      </c>
      <c r="BR647" s="45">
        <f>ISNUMBER(SEARCH($BR$1,Таблица1[[#This Row],[31_1 Описание и характеристика товара]]))*1</f>
        <v>1</v>
      </c>
      <c r="BT647" t="s">
        <v>150</v>
      </c>
      <c r="BU647">
        <v>38</v>
      </c>
      <c r="BV647">
        <v>0</v>
      </c>
      <c r="BW647">
        <v>0</v>
      </c>
      <c r="BY647">
        <v>0</v>
      </c>
      <c r="CA647" t="s">
        <v>106</v>
      </c>
      <c r="CB647" t="s">
        <v>142</v>
      </c>
      <c r="CC647" t="s">
        <v>112</v>
      </c>
      <c r="CD647" t="s">
        <v>112</v>
      </c>
      <c r="CE647" t="s">
        <v>121</v>
      </c>
      <c r="CF647">
        <v>18235.75</v>
      </c>
      <c r="CG647" t="s">
        <v>144</v>
      </c>
      <c r="CH647">
        <v>4000000</v>
      </c>
      <c r="CI647">
        <v>17911.75</v>
      </c>
      <c r="CJ647">
        <v>0</v>
      </c>
      <c r="CK647" t="s">
        <v>112</v>
      </c>
      <c r="CL647" t="s">
        <v>112</v>
      </c>
      <c r="CM647">
        <v>45555.24</v>
      </c>
      <c r="CN647">
        <v>4087540</v>
      </c>
      <c r="CO647">
        <v>0</v>
      </c>
      <c r="CP647">
        <v>1</v>
      </c>
      <c r="CQ647">
        <v>4477852.47</v>
      </c>
      <c r="CR647">
        <v>54488.41</v>
      </c>
      <c r="CS647" t="s">
        <v>145</v>
      </c>
      <c r="CT647">
        <v>54487.5435</v>
      </c>
      <c r="CU647">
        <v>3.0419999999999998</v>
      </c>
      <c r="CV647">
        <v>45</v>
      </c>
      <c r="CW647" t="s">
        <v>171</v>
      </c>
      <c r="CX647" t="s">
        <v>172</v>
      </c>
      <c r="CY647">
        <v>340</v>
      </c>
    </row>
    <row r="648" spans="1:103" x14ac:dyDescent="0.25">
      <c r="A648" t="s">
        <v>106</v>
      </c>
      <c r="B648" s="38">
        <v>45082</v>
      </c>
      <c r="C648" s="43">
        <f>IF(YEAR(Таблица1[[#This Row],[Дата]])=2023,MONTH(Таблица1[[#This Row],[Дата]]),0)</f>
        <v>6</v>
      </c>
      <c r="D648" t="s">
        <v>1039</v>
      </c>
      <c r="E648" t="s">
        <v>108</v>
      </c>
      <c r="F648" t="s">
        <v>1040</v>
      </c>
      <c r="G648" t="s">
        <v>110</v>
      </c>
      <c r="H648" t="s">
        <v>111</v>
      </c>
      <c r="I648" t="s">
        <v>112</v>
      </c>
      <c r="J648" t="s">
        <v>112</v>
      </c>
      <c r="K648" t="s">
        <v>112</v>
      </c>
      <c r="L648" t="s">
        <v>150</v>
      </c>
      <c r="M648" t="s">
        <v>1036</v>
      </c>
      <c r="N648" t="s">
        <v>112</v>
      </c>
      <c r="O648" t="s">
        <v>112</v>
      </c>
      <c r="P648">
        <v>1</v>
      </c>
      <c r="Q648">
        <v>0</v>
      </c>
      <c r="R648">
        <v>1</v>
      </c>
      <c r="S648">
        <v>33</v>
      </c>
      <c r="T648" t="s">
        <v>166</v>
      </c>
      <c r="U648" t="s">
        <v>152</v>
      </c>
      <c r="V648" t="s">
        <v>153</v>
      </c>
      <c r="W648" t="s">
        <v>154</v>
      </c>
      <c r="X648" t="s">
        <v>119</v>
      </c>
      <c r="Y648" t="s">
        <v>112</v>
      </c>
      <c r="Z648" t="s">
        <v>166</v>
      </c>
      <c r="AA648" t="s">
        <v>152</v>
      </c>
      <c r="AB648" t="s">
        <v>153</v>
      </c>
      <c r="AC648" t="s">
        <v>154</v>
      </c>
      <c r="AD648" t="s">
        <v>119</v>
      </c>
      <c r="AE648" t="s">
        <v>112</v>
      </c>
      <c r="AF648" t="s">
        <v>121</v>
      </c>
      <c r="AG648" t="s">
        <v>122</v>
      </c>
      <c r="AH648">
        <v>4100435.16</v>
      </c>
      <c r="AI648" t="s">
        <v>166</v>
      </c>
      <c r="AJ648" t="s">
        <v>152</v>
      </c>
      <c r="AK648" t="s">
        <v>153</v>
      </c>
      <c r="AL648" t="s">
        <v>154</v>
      </c>
      <c r="AM648" t="s">
        <v>119</v>
      </c>
      <c r="AN648" t="s">
        <v>112</v>
      </c>
      <c r="AO648" t="s">
        <v>121</v>
      </c>
      <c r="AP648" t="s">
        <v>122</v>
      </c>
      <c r="AQ648" t="s">
        <v>122</v>
      </c>
      <c r="AR648" t="s">
        <v>124</v>
      </c>
      <c r="AS648" t="s">
        <v>125</v>
      </c>
      <c r="AT648">
        <v>2</v>
      </c>
      <c r="AU648" t="s">
        <v>126</v>
      </c>
      <c r="AV648" t="s">
        <v>155</v>
      </c>
      <c r="AW648" t="s">
        <v>156</v>
      </c>
      <c r="AX648">
        <v>1</v>
      </c>
      <c r="AY648" t="s">
        <v>129</v>
      </c>
      <c r="AZ648">
        <v>41348.959999999999</v>
      </c>
      <c r="BA648">
        <v>3710122</v>
      </c>
      <c r="BB648">
        <v>49895.839999999997</v>
      </c>
      <c r="BC648">
        <v>89.727099999999993</v>
      </c>
      <c r="BD648" t="s">
        <v>130</v>
      </c>
      <c r="BE648" t="s">
        <v>112</v>
      </c>
      <c r="BF648" t="s">
        <v>157</v>
      </c>
      <c r="BG648" t="s">
        <v>133</v>
      </c>
      <c r="BH648" t="s">
        <v>167</v>
      </c>
      <c r="BI648" t="s">
        <v>168</v>
      </c>
      <c r="BJ648" t="s">
        <v>112</v>
      </c>
      <c r="BK648" t="s">
        <v>112</v>
      </c>
      <c r="BL648" t="s">
        <v>169</v>
      </c>
      <c r="BM648" t="s">
        <v>159</v>
      </c>
      <c r="BN648" t="s">
        <v>726</v>
      </c>
      <c r="BO648" t="s">
        <v>161</v>
      </c>
      <c r="BP648">
        <v>1</v>
      </c>
      <c r="BQ648" t="s">
        <v>466</v>
      </c>
      <c r="BR648" s="45">
        <f>ISNUMBER(SEARCH($BR$1,Таблица1[[#This Row],[31_1 Описание и характеристика товара]]))*1</f>
        <v>1</v>
      </c>
      <c r="BT648" t="s">
        <v>150</v>
      </c>
      <c r="BU648">
        <v>33</v>
      </c>
      <c r="BV648">
        <v>0</v>
      </c>
      <c r="BW648">
        <v>0</v>
      </c>
      <c r="BY648">
        <v>0</v>
      </c>
      <c r="CA648" t="s">
        <v>106</v>
      </c>
      <c r="CB648" t="s">
        <v>142</v>
      </c>
      <c r="CC648" t="s">
        <v>112</v>
      </c>
      <c r="CD648" t="s">
        <v>112</v>
      </c>
      <c r="CE648" t="s">
        <v>121</v>
      </c>
      <c r="CF648">
        <v>17191.43</v>
      </c>
      <c r="CG648" t="s">
        <v>144</v>
      </c>
      <c r="CH648">
        <v>4000000</v>
      </c>
      <c r="CI648">
        <v>17141.03</v>
      </c>
      <c r="CJ648">
        <v>0</v>
      </c>
      <c r="CK648" t="s">
        <v>112</v>
      </c>
      <c r="CL648" t="s">
        <v>112</v>
      </c>
      <c r="CM648">
        <v>41348.959999999999</v>
      </c>
      <c r="CN648">
        <v>3710122</v>
      </c>
      <c r="CO648">
        <v>0</v>
      </c>
      <c r="CP648">
        <v>1</v>
      </c>
      <c r="CQ648">
        <v>4100435.16</v>
      </c>
      <c r="CR648">
        <v>49895.839999999997</v>
      </c>
      <c r="CS648" t="s">
        <v>145</v>
      </c>
      <c r="CT648">
        <v>49895.82422699999</v>
      </c>
      <c r="CU648">
        <v>2.9108999999999998</v>
      </c>
      <c r="CV648">
        <v>45</v>
      </c>
      <c r="CW648" t="s">
        <v>171</v>
      </c>
      <c r="CX648" t="s">
        <v>369</v>
      </c>
      <c r="CY648">
        <v>288</v>
      </c>
    </row>
    <row r="649" spans="1:103" x14ac:dyDescent="0.25">
      <c r="A649" t="s">
        <v>106</v>
      </c>
      <c r="B649" s="38">
        <v>45054</v>
      </c>
      <c r="C649" s="43">
        <f>IF(YEAR(Таблица1[[#This Row],[Дата]])=2023,MONTH(Таблица1[[#This Row],[Дата]]),0)</f>
        <v>5</v>
      </c>
      <c r="D649" t="s">
        <v>1046</v>
      </c>
      <c r="E649" t="s">
        <v>108</v>
      </c>
      <c r="F649" t="s">
        <v>1047</v>
      </c>
      <c r="G649" t="s">
        <v>110</v>
      </c>
      <c r="H649" t="s">
        <v>111</v>
      </c>
      <c r="I649" t="s">
        <v>112</v>
      </c>
      <c r="J649" t="s">
        <v>112</v>
      </c>
      <c r="K649" t="s">
        <v>112</v>
      </c>
      <c r="L649" t="s">
        <v>150</v>
      </c>
      <c r="M649" t="s">
        <v>1036</v>
      </c>
      <c r="N649" t="s">
        <v>112</v>
      </c>
      <c r="O649" t="s">
        <v>112</v>
      </c>
      <c r="P649">
        <v>1</v>
      </c>
      <c r="Q649">
        <v>0</v>
      </c>
      <c r="R649">
        <v>1</v>
      </c>
      <c r="S649">
        <v>33</v>
      </c>
      <c r="T649" t="s">
        <v>166</v>
      </c>
      <c r="U649" t="s">
        <v>152</v>
      </c>
      <c r="V649" t="s">
        <v>153</v>
      </c>
      <c r="W649" t="s">
        <v>154</v>
      </c>
      <c r="X649" t="s">
        <v>119</v>
      </c>
      <c r="Y649" t="s">
        <v>112</v>
      </c>
      <c r="Z649" t="s">
        <v>166</v>
      </c>
      <c r="AA649" t="s">
        <v>152</v>
      </c>
      <c r="AB649" t="s">
        <v>153</v>
      </c>
      <c r="AC649" t="s">
        <v>154</v>
      </c>
      <c r="AD649" t="s">
        <v>119</v>
      </c>
      <c r="AE649" t="s">
        <v>112</v>
      </c>
      <c r="AF649" t="s">
        <v>121</v>
      </c>
      <c r="AG649" t="s">
        <v>122</v>
      </c>
      <c r="AH649">
        <v>4660629.26</v>
      </c>
      <c r="AI649" t="s">
        <v>166</v>
      </c>
      <c r="AJ649" t="s">
        <v>152</v>
      </c>
      <c r="AK649" t="s">
        <v>153</v>
      </c>
      <c r="AL649" t="s">
        <v>154</v>
      </c>
      <c r="AM649" t="s">
        <v>119</v>
      </c>
      <c r="AN649" t="s">
        <v>112</v>
      </c>
      <c r="AO649" t="s">
        <v>121</v>
      </c>
      <c r="AP649" t="s">
        <v>122</v>
      </c>
      <c r="AQ649" t="s">
        <v>122</v>
      </c>
      <c r="AR649" t="s">
        <v>124</v>
      </c>
      <c r="AS649" t="s">
        <v>125</v>
      </c>
      <c r="AT649">
        <v>2</v>
      </c>
      <c r="AU649" t="s">
        <v>126</v>
      </c>
      <c r="AV649" t="s">
        <v>155</v>
      </c>
      <c r="AW649" t="s">
        <v>156</v>
      </c>
      <c r="AX649">
        <v>1</v>
      </c>
      <c r="AY649" t="s">
        <v>129</v>
      </c>
      <c r="AZ649">
        <v>47592.27</v>
      </c>
      <c r="BA649">
        <v>4270316</v>
      </c>
      <c r="BB649">
        <v>56712.52</v>
      </c>
      <c r="BC649">
        <v>89.727099999999993</v>
      </c>
      <c r="BD649" t="s">
        <v>130</v>
      </c>
      <c r="BE649" t="s">
        <v>112</v>
      </c>
      <c r="BF649" t="s">
        <v>157</v>
      </c>
      <c r="BG649" t="s">
        <v>133</v>
      </c>
      <c r="BH649" t="s">
        <v>167</v>
      </c>
      <c r="BI649" t="s">
        <v>168</v>
      </c>
      <c r="BJ649" t="s">
        <v>112</v>
      </c>
      <c r="BK649" t="s">
        <v>112</v>
      </c>
      <c r="BL649" t="s">
        <v>169</v>
      </c>
      <c r="BM649" t="s">
        <v>159</v>
      </c>
      <c r="BN649" t="s">
        <v>726</v>
      </c>
      <c r="BO649" t="s">
        <v>161</v>
      </c>
      <c r="BP649">
        <v>1</v>
      </c>
      <c r="BQ649" t="s">
        <v>466</v>
      </c>
      <c r="BR649" s="45">
        <f>ISNUMBER(SEARCH($BR$1,Таблица1[[#This Row],[31_1 Описание и характеристика товара]]))*1</f>
        <v>1</v>
      </c>
      <c r="BT649" t="s">
        <v>150</v>
      </c>
      <c r="BU649">
        <v>33</v>
      </c>
      <c r="BV649">
        <v>0</v>
      </c>
      <c r="BW649">
        <v>0</v>
      </c>
      <c r="BY649">
        <v>0</v>
      </c>
      <c r="CA649" t="s">
        <v>106</v>
      </c>
      <c r="CB649" t="s">
        <v>142</v>
      </c>
      <c r="CC649" t="s">
        <v>112</v>
      </c>
      <c r="CD649" t="s">
        <v>112</v>
      </c>
      <c r="CE649" t="s">
        <v>121</v>
      </c>
      <c r="CF649">
        <v>16947.45</v>
      </c>
      <c r="CG649" t="s">
        <v>144</v>
      </c>
      <c r="CH649">
        <v>4000000</v>
      </c>
      <c r="CI649">
        <v>16947.45</v>
      </c>
      <c r="CJ649">
        <v>0</v>
      </c>
      <c r="CK649" t="s">
        <v>112</v>
      </c>
      <c r="CL649" t="s">
        <v>112</v>
      </c>
      <c r="CM649">
        <v>47592.27</v>
      </c>
      <c r="CN649">
        <v>4270316</v>
      </c>
      <c r="CO649">
        <v>0</v>
      </c>
      <c r="CP649">
        <v>1</v>
      </c>
      <c r="CQ649">
        <v>4660629.26</v>
      </c>
      <c r="CR649">
        <v>56712.52</v>
      </c>
      <c r="CS649" t="s">
        <v>145</v>
      </c>
      <c r="CT649">
        <v>56712.946680000001</v>
      </c>
      <c r="CU649">
        <v>3.3464</v>
      </c>
      <c r="CV649">
        <v>45</v>
      </c>
      <c r="CW649" t="s">
        <v>171</v>
      </c>
      <c r="CX649" t="s">
        <v>369</v>
      </c>
      <c r="CY649">
        <v>555</v>
      </c>
    </row>
    <row r="650" spans="1:103" x14ac:dyDescent="0.25">
      <c r="A650" t="s">
        <v>106</v>
      </c>
      <c r="B650" s="38">
        <v>45250</v>
      </c>
      <c r="C650" s="43">
        <f>IF(YEAR(Таблица1[[#This Row],[Дата]])=2023,MONTH(Таблица1[[#This Row],[Дата]]),0)</f>
        <v>11</v>
      </c>
      <c r="D650" t="s">
        <v>207</v>
      </c>
      <c r="E650" t="s">
        <v>108</v>
      </c>
      <c r="F650" t="s">
        <v>208</v>
      </c>
      <c r="G650" t="s">
        <v>110</v>
      </c>
      <c r="H650" t="s">
        <v>111</v>
      </c>
      <c r="I650" t="s">
        <v>112</v>
      </c>
      <c r="J650" t="s">
        <v>112</v>
      </c>
      <c r="K650" t="s">
        <v>112</v>
      </c>
      <c r="L650" t="s">
        <v>175</v>
      </c>
      <c r="M650" t="s">
        <v>176</v>
      </c>
      <c r="N650" t="s">
        <v>112</v>
      </c>
      <c r="O650" t="s">
        <v>112</v>
      </c>
      <c r="P650">
        <v>1</v>
      </c>
      <c r="Q650">
        <v>0</v>
      </c>
      <c r="R650">
        <v>1</v>
      </c>
      <c r="S650">
        <v>33</v>
      </c>
      <c r="T650" t="s">
        <v>166</v>
      </c>
      <c r="U650" t="s">
        <v>152</v>
      </c>
      <c r="V650" t="s">
        <v>153</v>
      </c>
      <c r="W650" t="s">
        <v>177</v>
      </c>
      <c r="X650" t="s">
        <v>119</v>
      </c>
      <c r="Y650" t="s">
        <v>112</v>
      </c>
      <c r="Z650" t="s">
        <v>166</v>
      </c>
      <c r="AA650" t="s">
        <v>152</v>
      </c>
      <c r="AB650" t="s">
        <v>153</v>
      </c>
      <c r="AC650" t="s">
        <v>177</v>
      </c>
      <c r="AD650" t="s">
        <v>119</v>
      </c>
      <c r="AE650" t="s">
        <v>112</v>
      </c>
      <c r="AF650" t="s">
        <v>121</v>
      </c>
      <c r="AG650" t="s">
        <v>122</v>
      </c>
      <c r="AH650">
        <v>3071667.16</v>
      </c>
      <c r="AI650" t="s">
        <v>166</v>
      </c>
      <c r="AJ650" t="s">
        <v>152</v>
      </c>
      <c r="AK650" t="s">
        <v>153</v>
      </c>
      <c r="AL650" t="s">
        <v>177</v>
      </c>
      <c r="AM650" t="s">
        <v>119</v>
      </c>
      <c r="AN650" t="s">
        <v>112</v>
      </c>
      <c r="AO650" t="s">
        <v>121</v>
      </c>
      <c r="AP650" t="s">
        <v>122</v>
      </c>
      <c r="AQ650" t="s">
        <v>122</v>
      </c>
      <c r="AR650" t="s">
        <v>124</v>
      </c>
      <c r="AS650" t="s">
        <v>125</v>
      </c>
      <c r="AT650">
        <v>2</v>
      </c>
      <c r="AU650" t="s">
        <v>106</v>
      </c>
      <c r="AV650" t="s">
        <v>155</v>
      </c>
      <c r="AW650" t="s">
        <v>156</v>
      </c>
      <c r="AX650">
        <v>1</v>
      </c>
      <c r="AY650" t="s">
        <v>129</v>
      </c>
      <c r="AZ650">
        <v>37963.14</v>
      </c>
      <c r="BA650">
        <v>2814439</v>
      </c>
      <c r="BB650">
        <v>44503.89</v>
      </c>
      <c r="BC650">
        <v>74.136099999999999</v>
      </c>
      <c r="BD650" t="s">
        <v>130</v>
      </c>
      <c r="BE650" t="s">
        <v>112</v>
      </c>
      <c r="BF650" t="s">
        <v>157</v>
      </c>
      <c r="BG650" t="s">
        <v>133</v>
      </c>
      <c r="BH650" t="s">
        <v>134</v>
      </c>
      <c r="BI650" t="s">
        <v>112</v>
      </c>
      <c r="BJ650" t="s">
        <v>178</v>
      </c>
      <c r="BK650" t="s">
        <v>112</v>
      </c>
      <c r="BL650" t="s">
        <v>125</v>
      </c>
      <c r="BM650" t="s">
        <v>179</v>
      </c>
      <c r="BN650" t="s">
        <v>180</v>
      </c>
      <c r="BO650" t="s">
        <v>181</v>
      </c>
      <c r="BP650">
        <v>1</v>
      </c>
      <c r="BQ650" t="s">
        <v>209</v>
      </c>
      <c r="BR650" s="45">
        <f>ISNUMBER(SEARCH($BR$1,Таблица1[[#This Row],[31_1 Описание и характеристика товара]]))*1</f>
        <v>1</v>
      </c>
      <c r="BT650" t="s">
        <v>150</v>
      </c>
      <c r="BU650">
        <v>33</v>
      </c>
      <c r="BV650">
        <v>1</v>
      </c>
      <c r="BW650">
        <v>0</v>
      </c>
      <c r="BY650">
        <v>0</v>
      </c>
      <c r="CA650" t="s">
        <v>106</v>
      </c>
      <c r="CB650" t="s">
        <v>142</v>
      </c>
      <c r="CC650" t="s">
        <v>112</v>
      </c>
      <c r="CD650" t="s">
        <v>112</v>
      </c>
      <c r="CE650" t="s">
        <v>121</v>
      </c>
      <c r="CF650">
        <v>15592.69</v>
      </c>
      <c r="CG650" t="s">
        <v>144</v>
      </c>
      <c r="CH650">
        <v>4000000</v>
      </c>
      <c r="CI650">
        <v>15271.69</v>
      </c>
      <c r="CJ650">
        <v>0</v>
      </c>
      <c r="CK650" t="s">
        <v>112</v>
      </c>
      <c r="CL650" t="s">
        <v>112</v>
      </c>
      <c r="CM650">
        <v>37963.14</v>
      </c>
      <c r="CN650">
        <v>2814439</v>
      </c>
      <c r="CO650">
        <v>0</v>
      </c>
      <c r="CP650">
        <v>1</v>
      </c>
      <c r="CQ650">
        <v>3071667.16</v>
      </c>
      <c r="CR650">
        <v>44503.89</v>
      </c>
      <c r="CS650" t="s">
        <v>145</v>
      </c>
      <c r="CT650">
        <v>44503.231828999997</v>
      </c>
      <c r="CU650">
        <v>2.9140999999999999</v>
      </c>
      <c r="CV650">
        <v>941</v>
      </c>
      <c r="CW650" t="s">
        <v>183</v>
      </c>
      <c r="CX650" t="s">
        <v>190</v>
      </c>
      <c r="CY650">
        <v>229</v>
      </c>
    </row>
    <row r="651" spans="1:103" x14ac:dyDescent="0.25">
      <c r="A651" t="s">
        <v>106</v>
      </c>
      <c r="B651" s="38">
        <v>44954</v>
      </c>
      <c r="C651" s="43">
        <f>IF(YEAR(Таблица1[[#This Row],[Дата]])=2023,MONTH(Таблица1[[#This Row],[Дата]]),0)</f>
        <v>1</v>
      </c>
      <c r="D651" t="s">
        <v>768</v>
      </c>
      <c r="E651" t="s">
        <v>108</v>
      </c>
      <c r="F651" t="s">
        <v>769</v>
      </c>
      <c r="G651" t="s">
        <v>110</v>
      </c>
      <c r="H651" t="s">
        <v>111</v>
      </c>
      <c r="I651" t="s">
        <v>112</v>
      </c>
      <c r="J651" t="s">
        <v>112</v>
      </c>
      <c r="K651" t="s">
        <v>112</v>
      </c>
      <c r="L651" t="s">
        <v>150</v>
      </c>
      <c r="M651" t="s">
        <v>151</v>
      </c>
      <c r="N651" t="s">
        <v>112</v>
      </c>
      <c r="O651" t="s">
        <v>112</v>
      </c>
      <c r="P651">
        <v>1</v>
      </c>
      <c r="R651">
        <v>1</v>
      </c>
      <c r="S651">
        <v>33</v>
      </c>
      <c r="T651" t="s">
        <v>112</v>
      </c>
      <c r="U651" t="s">
        <v>152</v>
      </c>
      <c r="V651" t="s">
        <v>153</v>
      </c>
      <c r="W651" t="s">
        <v>154</v>
      </c>
      <c r="X651" t="s">
        <v>119</v>
      </c>
      <c r="Y651" t="s">
        <v>112</v>
      </c>
      <c r="Z651" t="s">
        <v>112</v>
      </c>
      <c r="AA651" t="s">
        <v>152</v>
      </c>
      <c r="AB651" t="s">
        <v>153</v>
      </c>
      <c r="AC651" t="s">
        <v>154</v>
      </c>
      <c r="AD651" t="s">
        <v>119</v>
      </c>
      <c r="AE651" t="s">
        <v>112</v>
      </c>
      <c r="AF651" t="s">
        <v>121</v>
      </c>
      <c r="AG651" t="s">
        <v>122</v>
      </c>
      <c r="AH651">
        <v>4713744.26</v>
      </c>
      <c r="AI651" t="s">
        <v>112</v>
      </c>
      <c r="AJ651" t="s">
        <v>152</v>
      </c>
      <c r="AK651" t="s">
        <v>153</v>
      </c>
      <c r="AL651" t="s">
        <v>154</v>
      </c>
      <c r="AM651" t="s">
        <v>119</v>
      </c>
      <c r="AN651" t="s">
        <v>112</v>
      </c>
      <c r="AO651" t="s">
        <v>121</v>
      </c>
      <c r="AP651" t="s">
        <v>122</v>
      </c>
      <c r="AQ651" t="s">
        <v>122</v>
      </c>
      <c r="AR651" t="s">
        <v>124</v>
      </c>
      <c r="AS651" t="s">
        <v>125</v>
      </c>
      <c r="AT651">
        <v>2</v>
      </c>
      <c r="AU651" t="s">
        <v>126</v>
      </c>
      <c r="AV651" t="s">
        <v>155</v>
      </c>
      <c r="AW651" t="s">
        <v>156</v>
      </c>
      <c r="AY651" t="s">
        <v>129</v>
      </c>
      <c r="AZ651">
        <v>43700.22</v>
      </c>
      <c r="BC651">
        <v>98.840900000000005</v>
      </c>
      <c r="BD651" t="s">
        <v>112</v>
      </c>
      <c r="BE651" t="s">
        <v>112</v>
      </c>
      <c r="BF651" t="s">
        <v>157</v>
      </c>
      <c r="BG651" t="s">
        <v>133</v>
      </c>
      <c r="BH651" t="s">
        <v>134</v>
      </c>
      <c r="BI651" t="s">
        <v>112</v>
      </c>
      <c r="BJ651" t="s">
        <v>112</v>
      </c>
      <c r="BK651" t="s">
        <v>112</v>
      </c>
      <c r="BL651" t="s">
        <v>158</v>
      </c>
      <c r="BM651" t="s">
        <v>159</v>
      </c>
      <c r="BN651" t="s">
        <v>212</v>
      </c>
      <c r="BO651" t="s">
        <v>161</v>
      </c>
      <c r="BQ651" t="s">
        <v>162</v>
      </c>
      <c r="BR651" s="45">
        <f>ISNUMBER(SEARCH($BR$1,Таблица1[[#This Row],[31_1 Описание и характеристика товара]]))*1</f>
        <v>1</v>
      </c>
      <c r="BT651" t="s">
        <v>150</v>
      </c>
      <c r="BU651">
        <v>33</v>
      </c>
      <c r="BV651">
        <v>0</v>
      </c>
      <c r="BW651">
        <v>0</v>
      </c>
      <c r="BY651">
        <v>0</v>
      </c>
      <c r="CA651" t="s">
        <v>106</v>
      </c>
      <c r="CB651" t="s">
        <v>142</v>
      </c>
      <c r="CC651" t="s">
        <v>112</v>
      </c>
      <c r="CD651" t="s">
        <v>112</v>
      </c>
      <c r="CE651" t="s">
        <v>121</v>
      </c>
      <c r="CF651">
        <v>17278.11</v>
      </c>
      <c r="CG651" t="s">
        <v>144</v>
      </c>
      <c r="CH651">
        <v>4000000</v>
      </c>
      <c r="CI651">
        <v>17278.11</v>
      </c>
      <c r="CJ651">
        <v>0</v>
      </c>
      <c r="CK651" t="s">
        <v>112</v>
      </c>
      <c r="CL651" t="s">
        <v>112</v>
      </c>
      <c r="CM651">
        <v>43700.22</v>
      </c>
      <c r="CO651">
        <v>0</v>
      </c>
      <c r="CP651">
        <v>1</v>
      </c>
      <c r="CQ651">
        <v>4713744.26</v>
      </c>
      <c r="CR651">
        <v>51437.52</v>
      </c>
      <c r="CS651" t="s">
        <v>145</v>
      </c>
      <c r="CT651">
        <v>51488.767800000001</v>
      </c>
      <c r="CU651">
        <v>2.98</v>
      </c>
      <c r="CV651">
        <v>45</v>
      </c>
      <c r="CX651" t="s">
        <v>163</v>
      </c>
      <c r="CY651">
        <v>182</v>
      </c>
    </row>
    <row r="652" spans="1:103" x14ac:dyDescent="0.25">
      <c r="A652" t="s">
        <v>106</v>
      </c>
      <c r="B652" s="38">
        <v>45214</v>
      </c>
      <c r="C652" s="43">
        <f>IF(YEAR(Таблица1[[#This Row],[Дата]])=2023,MONTH(Таблица1[[#This Row],[Дата]]),0)</f>
        <v>10</v>
      </c>
      <c r="D652" t="s">
        <v>727</v>
      </c>
      <c r="E652" t="s">
        <v>108</v>
      </c>
      <c r="F652" t="s">
        <v>728</v>
      </c>
      <c r="G652" t="s">
        <v>110</v>
      </c>
      <c r="H652" t="s">
        <v>111</v>
      </c>
      <c r="I652" t="s">
        <v>112</v>
      </c>
      <c r="J652" t="s">
        <v>112</v>
      </c>
      <c r="K652" t="s">
        <v>112</v>
      </c>
      <c r="L652" t="s">
        <v>150</v>
      </c>
      <c r="M652" t="s">
        <v>151</v>
      </c>
      <c r="N652" t="s">
        <v>112</v>
      </c>
      <c r="O652" t="s">
        <v>112</v>
      </c>
      <c r="P652">
        <v>1</v>
      </c>
      <c r="R652">
        <v>1</v>
      </c>
      <c r="S652">
        <v>33</v>
      </c>
      <c r="T652" t="s">
        <v>112</v>
      </c>
      <c r="U652" t="s">
        <v>152</v>
      </c>
      <c r="V652" t="s">
        <v>153</v>
      </c>
      <c r="W652" t="s">
        <v>154</v>
      </c>
      <c r="X652" t="s">
        <v>119</v>
      </c>
      <c r="Y652" t="s">
        <v>112</v>
      </c>
      <c r="Z652" t="s">
        <v>112</v>
      </c>
      <c r="AA652" t="s">
        <v>152</v>
      </c>
      <c r="AB652" t="s">
        <v>153</v>
      </c>
      <c r="AC652" t="s">
        <v>154</v>
      </c>
      <c r="AD652" t="s">
        <v>119</v>
      </c>
      <c r="AE652" t="s">
        <v>112</v>
      </c>
      <c r="AF652" t="s">
        <v>121</v>
      </c>
      <c r="AG652" t="s">
        <v>122</v>
      </c>
      <c r="AH652">
        <v>4096186.32</v>
      </c>
      <c r="AI652" t="s">
        <v>112</v>
      </c>
      <c r="AJ652" t="s">
        <v>152</v>
      </c>
      <c r="AK652" t="s">
        <v>153</v>
      </c>
      <c r="AL652" t="s">
        <v>154</v>
      </c>
      <c r="AM652" t="s">
        <v>119</v>
      </c>
      <c r="AN652" t="s">
        <v>112</v>
      </c>
      <c r="AO652" t="s">
        <v>121</v>
      </c>
      <c r="AP652" t="s">
        <v>122</v>
      </c>
      <c r="AQ652" t="s">
        <v>122</v>
      </c>
      <c r="AR652" t="s">
        <v>124</v>
      </c>
      <c r="AS652" t="s">
        <v>125</v>
      </c>
      <c r="AT652">
        <v>2</v>
      </c>
      <c r="AU652" t="s">
        <v>126</v>
      </c>
      <c r="AV652" t="s">
        <v>155</v>
      </c>
      <c r="AW652" t="s">
        <v>156</v>
      </c>
      <c r="AY652" t="s">
        <v>129</v>
      </c>
      <c r="AZ652">
        <v>37452.22</v>
      </c>
      <c r="BC652">
        <v>98.840900000000005</v>
      </c>
      <c r="BD652" t="s">
        <v>112</v>
      </c>
      <c r="BE652" t="s">
        <v>112</v>
      </c>
      <c r="BF652" t="s">
        <v>157</v>
      </c>
      <c r="BG652" t="s">
        <v>133</v>
      </c>
      <c r="BH652" t="s">
        <v>134</v>
      </c>
      <c r="BI652" t="s">
        <v>112</v>
      </c>
      <c r="BJ652" t="s">
        <v>112</v>
      </c>
      <c r="BK652" t="s">
        <v>112</v>
      </c>
      <c r="BL652" t="s">
        <v>158</v>
      </c>
      <c r="BM652" t="s">
        <v>159</v>
      </c>
      <c r="BN652" t="s">
        <v>212</v>
      </c>
      <c r="BO652" t="s">
        <v>161</v>
      </c>
      <c r="BQ652" t="s">
        <v>205</v>
      </c>
      <c r="BR652" s="45">
        <f>ISNUMBER(SEARCH($BR$1,Таблица1[[#This Row],[31_1 Описание и характеристика товара]]))*1</f>
        <v>1</v>
      </c>
      <c r="BT652" t="s">
        <v>150</v>
      </c>
      <c r="BU652">
        <v>33</v>
      </c>
      <c r="BV652">
        <v>0</v>
      </c>
      <c r="BW652">
        <v>0</v>
      </c>
      <c r="BY652">
        <v>0</v>
      </c>
      <c r="CA652" t="s">
        <v>106</v>
      </c>
      <c r="CB652" t="s">
        <v>142</v>
      </c>
      <c r="CC652" t="s">
        <v>112</v>
      </c>
      <c r="CD652" t="s">
        <v>112</v>
      </c>
      <c r="CE652" t="s">
        <v>121</v>
      </c>
      <c r="CF652">
        <v>15023.14</v>
      </c>
      <c r="CG652" t="s">
        <v>144</v>
      </c>
      <c r="CH652">
        <v>4000000</v>
      </c>
      <c r="CI652">
        <v>14763.34</v>
      </c>
      <c r="CJ652">
        <v>0</v>
      </c>
      <c r="CK652" t="s">
        <v>112</v>
      </c>
      <c r="CL652" t="s">
        <v>112</v>
      </c>
      <c r="CM652">
        <v>37452.22</v>
      </c>
      <c r="CO652">
        <v>0</v>
      </c>
      <c r="CP652">
        <v>1</v>
      </c>
      <c r="CQ652">
        <v>4096186.32</v>
      </c>
      <c r="CR652">
        <v>44698.57</v>
      </c>
      <c r="CS652" t="s">
        <v>145</v>
      </c>
      <c r="CT652">
        <v>44732.9202</v>
      </c>
      <c r="CU652">
        <v>3.03</v>
      </c>
      <c r="CV652">
        <v>45</v>
      </c>
      <c r="CX652" t="s">
        <v>729</v>
      </c>
      <c r="CY652">
        <v>174</v>
      </c>
    </row>
    <row r="653" spans="1:103" x14ac:dyDescent="0.25">
      <c r="A653" t="s">
        <v>106</v>
      </c>
      <c r="B653" s="38">
        <v>45237</v>
      </c>
      <c r="C653" s="43">
        <f>IF(YEAR(Таблица1[[#This Row],[Дата]])=2023,MONTH(Таблица1[[#This Row],[Дата]]),0)</f>
        <v>11</v>
      </c>
      <c r="D653" t="s">
        <v>850</v>
      </c>
      <c r="E653" t="s">
        <v>108</v>
      </c>
      <c r="F653" t="s">
        <v>851</v>
      </c>
      <c r="G653" t="s">
        <v>110</v>
      </c>
      <c r="H653" t="s">
        <v>111</v>
      </c>
      <c r="I653" t="s">
        <v>112</v>
      </c>
      <c r="J653" t="s">
        <v>112</v>
      </c>
      <c r="K653" t="s">
        <v>112</v>
      </c>
      <c r="L653" t="s">
        <v>150</v>
      </c>
      <c r="M653" t="s">
        <v>151</v>
      </c>
      <c r="N653" t="s">
        <v>112</v>
      </c>
      <c r="O653" t="s">
        <v>112</v>
      </c>
      <c r="P653">
        <v>1</v>
      </c>
      <c r="R653">
        <v>1</v>
      </c>
      <c r="S653">
        <v>33</v>
      </c>
      <c r="T653" t="s">
        <v>112</v>
      </c>
      <c r="U653" t="s">
        <v>152</v>
      </c>
      <c r="V653" t="s">
        <v>153</v>
      </c>
      <c r="W653" t="s">
        <v>154</v>
      </c>
      <c r="X653" t="s">
        <v>119</v>
      </c>
      <c r="Y653" t="s">
        <v>112</v>
      </c>
      <c r="Z653" t="s">
        <v>112</v>
      </c>
      <c r="AA653" t="s">
        <v>152</v>
      </c>
      <c r="AB653" t="s">
        <v>153</v>
      </c>
      <c r="AC653" t="s">
        <v>154</v>
      </c>
      <c r="AD653" t="s">
        <v>119</v>
      </c>
      <c r="AE653" t="s">
        <v>112</v>
      </c>
      <c r="AF653" t="s">
        <v>121</v>
      </c>
      <c r="AG653" t="s">
        <v>122</v>
      </c>
      <c r="AH653">
        <v>4457558.54</v>
      </c>
      <c r="AI653" t="s">
        <v>112</v>
      </c>
      <c r="AJ653" t="s">
        <v>152</v>
      </c>
      <c r="AK653" t="s">
        <v>153</v>
      </c>
      <c r="AL653" t="s">
        <v>154</v>
      </c>
      <c r="AM653" t="s">
        <v>119</v>
      </c>
      <c r="AN653" t="s">
        <v>112</v>
      </c>
      <c r="AO653" t="s">
        <v>121</v>
      </c>
      <c r="AP653" t="s">
        <v>122</v>
      </c>
      <c r="AQ653" t="s">
        <v>122</v>
      </c>
      <c r="AR653" t="s">
        <v>124</v>
      </c>
      <c r="AS653" t="s">
        <v>125</v>
      </c>
      <c r="AT653">
        <v>2</v>
      </c>
      <c r="AU653" t="s">
        <v>126</v>
      </c>
      <c r="AV653" t="s">
        <v>155</v>
      </c>
      <c r="AW653" t="s">
        <v>156</v>
      </c>
      <c r="AY653" t="s">
        <v>129</v>
      </c>
      <c r="AZ653">
        <v>41108.32</v>
      </c>
      <c r="BC653">
        <v>98.840900000000005</v>
      </c>
      <c r="BD653" t="s">
        <v>112</v>
      </c>
      <c r="BE653" t="s">
        <v>112</v>
      </c>
      <c r="BF653" t="s">
        <v>157</v>
      </c>
      <c r="BG653" t="s">
        <v>133</v>
      </c>
      <c r="BH653" t="s">
        <v>167</v>
      </c>
      <c r="BI653" t="s">
        <v>112</v>
      </c>
      <c r="BJ653" t="s">
        <v>112</v>
      </c>
      <c r="BK653" t="s">
        <v>112</v>
      </c>
      <c r="BL653" t="s">
        <v>158</v>
      </c>
      <c r="BM653" t="s">
        <v>159</v>
      </c>
      <c r="BN653" t="s">
        <v>160</v>
      </c>
      <c r="BO653" t="s">
        <v>161</v>
      </c>
      <c r="BQ653" t="s">
        <v>162</v>
      </c>
      <c r="BR653" s="45">
        <f>ISNUMBER(SEARCH($BR$1,Таблица1[[#This Row],[31_1 Описание и характеристика товара]]))*1</f>
        <v>1</v>
      </c>
      <c r="BT653" t="s">
        <v>150</v>
      </c>
      <c r="BU653">
        <v>33</v>
      </c>
      <c r="BV653">
        <v>0</v>
      </c>
      <c r="BW653">
        <v>0</v>
      </c>
      <c r="BY653">
        <v>0</v>
      </c>
      <c r="CA653" t="s">
        <v>106</v>
      </c>
      <c r="CB653" t="s">
        <v>142</v>
      </c>
      <c r="CC653" t="s">
        <v>112</v>
      </c>
      <c r="CD653" t="s">
        <v>112</v>
      </c>
      <c r="CE653" t="s">
        <v>121</v>
      </c>
      <c r="CF653">
        <v>17166.82</v>
      </c>
      <c r="CG653" t="s">
        <v>144</v>
      </c>
      <c r="CH653">
        <v>4000000</v>
      </c>
      <c r="CI653">
        <v>17130.82</v>
      </c>
      <c r="CJ653">
        <v>0</v>
      </c>
      <c r="CK653" t="s">
        <v>112</v>
      </c>
      <c r="CL653" t="s">
        <v>112</v>
      </c>
      <c r="CM653">
        <v>41108.32</v>
      </c>
      <c r="CO653">
        <v>0</v>
      </c>
      <c r="CP653">
        <v>1</v>
      </c>
      <c r="CQ653">
        <v>4457558.54</v>
      </c>
      <c r="CR653">
        <v>48641.96</v>
      </c>
      <c r="CS653" t="s">
        <v>145</v>
      </c>
      <c r="CT653">
        <v>48651.5288</v>
      </c>
      <c r="CU653">
        <v>2.84</v>
      </c>
      <c r="CV653">
        <v>45</v>
      </c>
      <c r="CX653" t="s">
        <v>163</v>
      </c>
      <c r="CY653">
        <v>4</v>
      </c>
    </row>
    <row r="654" spans="1:103" x14ac:dyDescent="0.25">
      <c r="A654" t="s">
        <v>106</v>
      </c>
      <c r="B654" s="38">
        <v>44997</v>
      </c>
      <c r="C654" s="43">
        <f>IF(YEAR(Таблица1[[#This Row],[Дата]])=2023,MONTH(Таблица1[[#This Row],[Дата]]),0)</f>
        <v>3</v>
      </c>
      <c r="D654" t="s">
        <v>856</v>
      </c>
      <c r="E654" t="s">
        <v>108</v>
      </c>
      <c r="F654" t="s">
        <v>857</v>
      </c>
      <c r="G654" t="s">
        <v>110</v>
      </c>
      <c r="H654" t="s">
        <v>111</v>
      </c>
      <c r="I654" t="s">
        <v>112</v>
      </c>
      <c r="J654" t="s">
        <v>112</v>
      </c>
      <c r="K654" t="s">
        <v>112</v>
      </c>
      <c r="L654" t="s">
        <v>150</v>
      </c>
      <c r="M654" t="s">
        <v>151</v>
      </c>
      <c r="N654" t="s">
        <v>112</v>
      </c>
      <c r="O654" t="s">
        <v>112</v>
      </c>
      <c r="P654">
        <v>1</v>
      </c>
      <c r="R654">
        <v>1</v>
      </c>
      <c r="S654">
        <v>33</v>
      </c>
      <c r="T654" t="s">
        <v>112</v>
      </c>
      <c r="U654" t="s">
        <v>152</v>
      </c>
      <c r="V654" t="s">
        <v>153</v>
      </c>
      <c r="W654" t="s">
        <v>154</v>
      </c>
      <c r="X654" t="s">
        <v>119</v>
      </c>
      <c r="Y654" t="s">
        <v>112</v>
      </c>
      <c r="Z654" t="s">
        <v>112</v>
      </c>
      <c r="AA654" t="s">
        <v>152</v>
      </c>
      <c r="AB654" t="s">
        <v>153</v>
      </c>
      <c r="AC654" t="s">
        <v>154</v>
      </c>
      <c r="AD654" t="s">
        <v>119</v>
      </c>
      <c r="AE654" t="s">
        <v>112</v>
      </c>
      <c r="AF654" t="s">
        <v>121</v>
      </c>
      <c r="AG654" t="s">
        <v>122</v>
      </c>
      <c r="AH654">
        <v>4847450.3</v>
      </c>
      <c r="AI654" t="s">
        <v>112</v>
      </c>
      <c r="AJ654" t="s">
        <v>152</v>
      </c>
      <c r="AK654" t="s">
        <v>153</v>
      </c>
      <c r="AL654" t="s">
        <v>154</v>
      </c>
      <c r="AM654" t="s">
        <v>119</v>
      </c>
      <c r="AN654" t="s">
        <v>112</v>
      </c>
      <c r="AO654" t="s">
        <v>121</v>
      </c>
      <c r="AP654" t="s">
        <v>122</v>
      </c>
      <c r="AQ654" t="s">
        <v>122</v>
      </c>
      <c r="AR654" t="s">
        <v>124</v>
      </c>
      <c r="AS654" t="s">
        <v>125</v>
      </c>
      <c r="AT654">
        <v>2</v>
      </c>
      <c r="AU654" t="s">
        <v>126</v>
      </c>
      <c r="AV654" t="s">
        <v>155</v>
      </c>
      <c r="AW654" t="s">
        <v>156</v>
      </c>
      <c r="AY654" t="s">
        <v>129</v>
      </c>
      <c r="AZ654">
        <v>45052.959999999999</v>
      </c>
      <c r="BC654">
        <v>98.840900000000005</v>
      </c>
      <c r="BD654" t="s">
        <v>112</v>
      </c>
      <c r="BE654" t="s">
        <v>112</v>
      </c>
      <c r="BF654" t="s">
        <v>157</v>
      </c>
      <c r="BG654" t="s">
        <v>133</v>
      </c>
      <c r="BH654" t="s">
        <v>134</v>
      </c>
      <c r="BI654" t="s">
        <v>112</v>
      </c>
      <c r="BJ654" t="s">
        <v>112</v>
      </c>
      <c r="BK654" t="s">
        <v>112</v>
      </c>
      <c r="BL654" t="s">
        <v>158</v>
      </c>
      <c r="BM654" t="s">
        <v>159</v>
      </c>
      <c r="BN654" t="s">
        <v>212</v>
      </c>
      <c r="BO654" t="s">
        <v>161</v>
      </c>
      <c r="BQ654" t="s">
        <v>232</v>
      </c>
      <c r="BR654" s="45">
        <f>ISNUMBER(SEARCH($BR$1,Таблица1[[#This Row],[31_1 Описание и характеристика товара]]))*1</f>
        <v>1</v>
      </c>
      <c r="BT654" t="s">
        <v>150</v>
      </c>
      <c r="BU654">
        <v>33</v>
      </c>
      <c r="BV654">
        <v>0</v>
      </c>
      <c r="BW654">
        <v>0</v>
      </c>
      <c r="BY654">
        <v>0</v>
      </c>
      <c r="CA654" t="s">
        <v>106</v>
      </c>
      <c r="CB654" t="s">
        <v>142</v>
      </c>
      <c r="CC654" t="s">
        <v>112</v>
      </c>
      <c r="CD654" t="s">
        <v>112</v>
      </c>
      <c r="CE654" t="s">
        <v>121</v>
      </c>
      <c r="CF654">
        <v>15861.05</v>
      </c>
      <c r="CG654" t="s">
        <v>144</v>
      </c>
      <c r="CH654">
        <v>4000000</v>
      </c>
      <c r="CI654">
        <v>15771.05</v>
      </c>
      <c r="CJ654">
        <v>0</v>
      </c>
      <c r="CK654" t="s">
        <v>112</v>
      </c>
      <c r="CL654" t="s">
        <v>112</v>
      </c>
      <c r="CM654">
        <v>45052.959999999999</v>
      </c>
      <c r="CO654">
        <v>0</v>
      </c>
      <c r="CP654">
        <v>1</v>
      </c>
      <c r="CQ654">
        <v>4847450.3</v>
      </c>
      <c r="CR654">
        <v>52896.55</v>
      </c>
      <c r="CS654" t="s">
        <v>145</v>
      </c>
      <c r="CT654">
        <v>52833.017500000002</v>
      </c>
      <c r="CU654">
        <v>3.35</v>
      </c>
      <c r="CV654">
        <v>45</v>
      </c>
      <c r="CX654" t="s">
        <v>233</v>
      </c>
      <c r="CY654">
        <v>310</v>
      </c>
    </row>
    <row r="655" spans="1:103" x14ac:dyDescent="0.25">
      <c r="A655" t="s">
        <v>106</v>
      </c>
      <c r="B655" s="38">
        <v>45155</v>
      </c>
      <c r="C655" s="43">
        <f>IF(YEAR(Таблица1[[#This Row],[Дата]])=2023,MONTH(Таблица1[[#This Row],[Дата]]),0)</f>
        <v>8</v>
      </c>
      <c r="D655" t="s">
        <v>883</v>
      </c>
      <c r="E655" t="s">
        <v>108</v>
      </c>
      <c r="F655" t="s">
        <v>884</v>
      </c>
      <c r="G655" t="s">
        <v>110</v>
      </c>
      <c r="H655" t="s">
        <v>111</v>
      </c>
      <c r="I655" t="s">
        <v>112</v>
      </c>
      <c r="J655" t="s">
        <v>112</v>
      </c>
      <c r="K655" t="s">
        <v>112</v>
      </c>
      <c r="L655" t="s">
        <v>150</v>
      </c>
      <c r="M655" t="s">
        <v>151</v>
      </c>
      <c r="N655" t="s">
        <v>112</v>
      </c>
      <c r="O655" t="s">
        <v>112</v>
      </c>
      <c r="P655">
        <v>1</v>
      </c>
      <c r="R655">
        <v>1</v>
      </c>
      <c r="S655">
        <v>33</v>
      </c>
      <c r="T655" t="s">
        <v>112</v>
      </c>
      <c r="U655" t="s">
        <v>152</v>
      </c>
      <c r="V655" t="s">
        <v>153</v>
      </c>
      <c r="W655" t="s">
        <v>154</v>
      </c>
      <c r="X655" t="s">
        <v>119</v>
      </c>
      <c r="Y655" t="s">
        <v>112</v>
      </c>
      <c r="Z655" t="s">
        <v>112</v>
      </c>
      <c r="AA655" t="s">
        <v>152</v>
      </c>
      <c r="AB655" t="s">
        <v>153</v>
      </c>
      <c r="AC655" t="s">
        <v>154</v>
      </c>
      <c r="AD655" t="s">
        <v>119</v>
      </c>
      <c r="AE655" t="s">
        <v>112</v>
      </c>
      <c r="AF655" t="s">
        <v>121</v>
      </c>
      <c r="AG655" t="s">
        <v>122</v>
      </c>
      <c r="AH655">
        <v>4304511.3099999996</v>
      </c>
      <c r="AI655" t="s">
        <v>112</v>
      </c>
      <c r="AJ655" t="s">
        <v>152</v>
      </c>
      <c r="AK655" t="s">
        <v>153</v>
      </c>
      <c r="AL655" t="s">
        <v>154</v>
      </c>
      <c r="AM655" t="s">
        <v>119</v>
      </c>
      <c r="AN655" t="s">
        <v>112</v>
      </c>
      <c r="AO655" t="s">
        <v>121</v>
      </c>
      <c r="AP655" t="s">
        <v>122</v>
      </c>
      <c r="AQ655" t="s">
        <v>122</v>
      </c>
      <c r="AR655" t="s">
        <v>124</v>
      </c>
      <c r="AS655" t="s">
        <v>125</v>
      </c>
      <c r="AT655">
        <v>2</v>
      </c>
      <c r="AU655" t="s">
        <v>126</v>
      </c>
      <c r="AV655" t="s">
        <v>155</v>
      </c>
      <c r="AW655" t="s">
        <v>156</v>
      </c>
      <c r="AY655" t="s">
        <v>129</v>
      </c>
      <c r="AZ655">
        <v>39559.9</v>
      </c>
      <c r="BC655">
        <v>98.840900000000005</v>
      </c>
      <c r="BD655" t="s">
        <v>112</v>
      </c>
      <c r="BE655" t="s">
        <v>112</v>
      </c>
      <c r="BF655" t="s">
        <v>157</v>
      </c>
      <c r="BG655" t="s">
        <v>133</v>
      </c>
      <c r="BH655" t="s">
        <v>167</v>
      </c>
      <c r="BI655" t="s">
        <v>112</v>
      </c>
      <c r="BJ655" t="s">
        <v>112</v>
      </c>
      <c r="BK655" t="s">
        <v>112</v>
      </c>
      <c r="BL655" t="s">
        <v>158</v>
      </c>
      <c r="BM655" t="s">
        <v>159</v>
      </c>
      <c r="BN655" t="s">
        <v>160</v>
      </c>
      <c r="BO655" t="s">
        <v>161</v>
      </c>
      <c r="BQ655" t="s">
        <v>232</v>
      </c>
      <c r="BR655" s="45">
        <f>ISNUMBER(SEARCH($BR$1,Таблица1[[#This Row],[31_1 Описание и характеристика товара]]))*1</f>
        <v>1</v>
      </c>
      <c r="BT655" t="s">
        <v>150</v>
      </c>
      <c r="BU655">
        <v>33</v>
      </c>
      <c r="BV655">
        <v>0</v>
      </c>
      <c r="BW655">
        <v>0</v>
      </c>
      <c r="BY655">
        <v>0</v>
      </c>
      <c r="CA655" t="s">
        <v>106</v>
      </c>
      <c r="CB655" t="s">
        <v>142</v>
      </c>
      <c r="CC655" t="s">
        <v>112</v>
      </c>
      <c r="CD655" t="s">
        <v>112</v>
      </c>
      <c r="CE655" t="s">
        <v>121</v>
      </c>
      <c r="CF655">
        <v>16381.04</v>
      </c>
      <c r="CG655" t="s">
        <v>144</v>
      </c>
      <c r="CH655">
        <v>4000000</v>
      </c>
      <c r="CI655">
        <v>16271.9</v>
      </c>
      <c r="CJ655">
        <v>0</v>
      </c>
      <c r="CK655" t="s">
        <v>112</v>
      </c>
      <c r="CL655" t="s">
        <v>112</v>
      </c>
      <c r="CM655">
        <v>39559.9</v>
      </c>
      <c r="CO655">
        <v>0</v>
      </c>
      <c r="CP655">
        <v>1</v>
      </c>
      <c r="CQ655">
        <v>4304511.3099999996</v>
      </c>
      <c r="CR655">
        <v>46971.87</v>
      </c>
      <c r="CS655" t="s">
        <v>145</v>
      </c>
      <c r="CT655">
        <v>47025.790999999997</v>
      </c>
      <c r="CU655">
        <v>2.89</v>
      </c>
      <c r="CV655">
        <v>45</v>
      </c>
      <c r="CX655" t="s">
        <v>233</v>
      </c>
      <c r="CY655">
        <v>15</v>
      </c>
    </row>
    <row r="656" spans="1:103" x14ac:dyDescent="0.25">
      <c r="A656" t="s">
        <v>106</v>
      </c>
      <c r="B656" s="38">
        <v>45090</v>
      </c>
      <c r="C656" s="43">
        <f>IF(YEAR(Таблица1[[#This Row],[Дата]])=2023,MONTH(Таблица1[[#This Row],[Дата]]),0)</f>
        <v>6</v>
      </c>
      <c r="D656" t="s">
        <v>784</v>
      </c>
      <c r="E656" t="s">
        <v>108</v>
      </c>
      <c r="F656" t="s">
        <v>785</v>
      </c>
      <c r="G656" t="s">
        <v>110</v>
      </c>
      <c r="H656" t="s">
        <v>111</v>
      </c>
      <c r="I656" t="s">
        <v>112</v>
      </c>
      <c r="J656" t="s">
        <v>112</v>
      </c>
      <c r="K656" t="s">
        <v>112</v>
      </c>
      <c r="L656" t="s">
        <v>150</v>
      </c>
      <c r="M656" t="s">
        <v>151</v>
      </c>
      <c r="N656" t="s">
        <v>112</v>
      </c>
      <c r="O656" t="s">
        <v>112</v>
      </c>
      <c r="P656">
        <v>1</v>
      </c>
      <c r="R656">
        <v>1</v>
      </c>
      <c r="S656">
        <v>33</v>
      </c>
      <c r="T656" t="s">
        <v>112</v>
      </c>
      <c r="U656" t="s">
        <v>152</v>
      </c>
      <c r="V656" t="s">
        <v>153</v>
      </c>
      <c r="W656" t="s">
        <v>154</v>
      </c>
      <c r="X656" t="s">
        <v>119</v>
      </c>
      <c r="Y656" t="s">
        <v>112</v>
      </c>
      <c r="Z656" t="s">
        <v>112</v>
      </c>
      <c r="AA656" t="s">
        <v>152</v>
      </c>
      <c r="AB656" t="s">
        <v>153</v>
      </c>
      <c r="AC656" t="s">
        <v>154</v>
      </c>
      <c r="AD656" t="s">
        <v>119</v>
      </c>
      <c r="AE656" t="s">
        <v>112</v>
      </c>
      <c r="AF656" t="s">
        <v>121</v>
      </c>
      <c r="AG656" t="s">
        <v>122</v>
      </c>
      <c r="AH656">
        <v>5163468.38</v>
      </c>
      <c r="AI656" t="s">
        <v>112</v>
      </c>
      <c r="AJ656" t="s">
        <v>152</v>
      </c>
      <c r="AK656" t="s">
        <v>153</v>
      </c>
      <c r="AL656" t="s">
        <v>154</v>
      </c>
      <c r="AM656" t="s">
        <v>119</v>
      </c>
      <c r="AN656" t="s">
        <v>112</v>
      </c>
      <c r="AO656" t="s">
        <v>121</v>
      </c>
      <c r="AP656" t="s">
        <v>122</v>
      </c>
      <c r="AQ656" t="s">
        <v>122</v>
      </c>
      <c r="AR656" t="s">
        <v>124</v>
      </c>
      <c r="AS656" t="s">
        <v>125</v>
      </c>
      <c r="AT656">
        <v>2</v>
      </c>
      <c r="AU656" t="s">
        <v>126</v>
      </c>
      <c r="AV656" t="s">
        <v>155</v>
      </c>
      <c r="AW656" t="s">
        <v>156</v>
      </c>
      <c r="AY656" t="s">
        <v>129</v>
      </c>
      <c r="AZ656">
        <v>48250.2</v>
      </c>
      <c r="BC656">
        <v>98.840900000000005</v>
      </c>
      <c r="BD656" t="s">
        <v>112</v>
      </c>
      <c r="BE656" t="s">
        <v>112</v>
      </c>
      <c r="BF656" t="s">
        <v>157</v>
      </c>
      <c r="BG656" t="s">
        <v>133</v>
      </c>
      <c r="BH656" t="s">
        <v>167</v>
      </c>
      <c r="BI656" t="s">
        <v>112</v>
      </c>
      <c r="BJ656" t="s">
        <v>112</v>
      </c>
      <c r="BK656" t="s">
        <v>112</v>
      </c>
      <c r="BL656" t="s">
        <v>158</v>
      </c>
      <c r="BM656" t="s">
        <v>159</v>
      </c>
      <c r="BN656" t="s">
        <v>160</v>
      </c>
      <c r="BO656" t="s">
        <v>161</v>
      </c>
      <c r="BQ656" t="s">
        <v>205</v>
      </c>
      <c r="BR656" s="45">
        <f>ISNUMBER(SEARCH($BR$1,Таблица1[[#This Row],[31_1 Описание и характеристика товара]]))*1</f>
        <v>1</v>
      </c>
      <c r="BT656" t="s">
        <v>150</v>
      </c>
      <c r="BU656">
        <v>33</v>
      </c>
      <c r="BV656">
        <v>0</v>
      </c>
      <c r="BW656">
        <v>0</v>
      </c>
      <c r="BY656">
        <v>0</v>
      </c>
      <c r="CA656" t="s">
        <v>106</v>
      </c>
      <c r="CB656" t="s">
        <v>142</v>
      </c>
      <c r="CC656" t="s">
        <v>112</v>
      </c>
      <c r="CD656" t="s">
        <v>112</v>
      </c>
      <c r="CE656" t="s">
        <v>121</v>
      </c>
      <c r="CF656">
        <v>16602.419999999998</v>
      </c>
      <c r="CG656" t="s">
        <v>144</v>
      </c>
      <c r="CH656">
        <v>4000000</v>
      </c>
      <c r="CI656">
        <v>16476.419999999998</v>
      </c>
      <c r="CJ656">
        <v>0</v>
      </c>
      <c r="CK656" t="s">
        <v>112</v>
      </c>
      <c r="CL656" t="s">
        <v>112</v>
      </c>
      <c r="CM656">
        <v>48250.2</v>
      </c>
      <c r="CO656">
        <v>0</v>
      </c>
      <c r="CP656">
        <v>1</v>
      </c>
      <c r="CQ656">
        <v>5163468.38</v>
      </c>
      <c r="CR656">
        <v>56345.01</v>
      </c>
      <c r="CS656" t="s">
        <v>145</v>
      </c>
      <c r="CT656">
        <v>56349.35639999999</v>
      </c>
      <c r="CU656">
        <v>3.42</v>
      </c>
      <c r="CV656">
        <v>45</v>
      </c>
      <c r="CX656" t="s">
        <v>729</v>
      </c>
      <c r="CY656">
        <v>174</v>
      </c>
    </row>
    <row r="657" spans="1:103" x14ac:dyDescent="0.25">
      <c r="A657" t="s">
        <v>106</v>
      </c>
      <c r="B657" s="38">
        <v>45101</v>
      </c>
      <c r="C657" s="43">
        <f>IF(YEAR(Таблица1[[#This Row],[Дата]])=2023,MONTH(Таблица1[[#This Row],[Дата]]),0)</f>
        <v>6</v>
      </c>
      <c r="D657" t="s">
        <v>842</v>
      </c>
      <c r="E657" t="s">
        <v>108</v>
      </c>
      <c r="F657" t="s">
        <v>843</v>
      </c>
      <c r="G657" t="s">
        <v>110</v>
      </c>
      <c r="H657" t="s">
        <v>111</v>
      </c>
      <c r="I657" t="s">
        <v>112</v>
      </c>
      <c r="J657" t="s">
        <v>112</v>
      </c>
      <c r="K657" t="s">
        <v>112</v>
      </c>
      <c r="L657" t="s">
        <v>150</v>
      </c>
      <c r="M657" t="s">
        <v>151</v>
      </c>
      <c r="N657" t="s">
        <v>112</v>
      </c>
      <c r="O657" t="s">
        <v>112</v>
      </c>
      <c r="P657">
        <v>1</v>
      </c>
      <c r="R657">
        <v>1</v>
      </c>
      <c r="S657">
        <v>33</v>
      </c>
      <c r="T657" t="s">
        <v>112</v>
      </c>
      <c r="U657" t="s">
        <v>152</v>
      </c>
      <c r="V657" t="s">
        <v>153</v>
      </c>
      <c r="W657" t="s">
        <v>154</v>
      </c>
      <c r="X657" t="s">
        <v>119</v>
      </c>
      <c r="Y657" t="s">
        <v>112</v>
      </c>
      <c r="Z657" t="s">
        <v>112</v>
      </c>
      <c r="AA657" t="s">
        <v>152</v>
      </c>
      <c r="AB657" t="s">
        <v>153</v>
      </c>
      <c r="AC657" t="s">
        <v>154</v>
      </c>
      <c r="AD657" t="s">
        <v>119</v>
      </c>
      <c r="AE657" t="s">
        <v>112</v>
      </c>
      <c r="AF657" t="s">
        <v>121</v>
      </c>
      <c r="AG657" t="s">
        <v>122</v>
      </c>
      <c r="AH657">
        <v>4090967.52</v>
      </c>
      <c r="AI657" t="s">
        <v>112</v>
      </c>
      <c r="AJ657" t="s">
        <v>152</v>
      </c>
      <c r="AK657" t="s">
        <v>153</v>
      </c>
      <c r="AL657" t="s">
        <v>154</v>
      </c>
      <c r="AM657" t="s">
        <v>119</v>
      </c>
      <c r="AN657" t="s">
        <v>112</v>
      </c>
      <c r="AO657" t="s">
        <v>121</v>
      </c>
      <c r="AP657" t="s">
        <v>122</v>
      </c>
      <c r="AQ657" t="s">
        <v>122</v>
      </c>
      <c r="AR657" t="s">
        <v>124</v>
      </c>
      <c r="AS657" t="s">
        <v>125</v>
      </c>
      <c r="AT657">
        <v>2</v>
      </c>
      <c r="AU657" t="s">
        <v>126</v>
      </c>
      <c r="AV657" t="s">
        <v>155</v>
      </c>
      <c r="AW657" t="s">
        <v>156</v>
      </c>
      <c r="AY657" t="s">
        <v>129</v>
      </c>
      <c r="AZ657">
        <v>37399.42</v>
      </c>
      <c r="BC657">
        <v>98.840900000000005</v>
      </c>
      <c r="BD657" t="s">
        <v>112</v>
      </c>
      <c r="BE657" t="s">
        <v>112</v>
      </c>
      <c r="BF657" t="s">
        <v>157</v>
      </c>
      <c r="BG657" t="s">
        <v>133</v>
      </c>
      <c r="BH657" t="s">
        <v>167</v>
      </c>
      <c r="BI657" t="s">
        <v>112</v>
      </c>
      <c r="BJ657" t="s">
        <v>112</v>
      </c>
      <c r="BK657" t="s">
        <v>112</v>
      </c>
      <c r="BL657" t="s">
        <v>158</v>
      </c>
      <c r="BM657" t="s">
        <v>159</v>
      </c>
      <c r="BN657" t="s">
        <v>160</v>
      </c>
      <c r="BO657" t="s">
        <v>161</v>
      </c>
      <c r="BQ657" t="s">
        <v>281</v>
      </c>
      <c r="BR657" s="45">
        <f>ISNUMBER(SEARCH($BR$1,Таблица1[[#This Row],[31_1 Описание и характеристика товара]]))*1</f>
        <v>1</v>
      </c>
      <c r="BT657" t="s">
        <v>150</v>
      </c>
      <c r="BU657">
        <v>33</v>
      </c>
      <c r="BV657">
        <v>0</v>
      </c>
      <c r="BW657">
        <v>0</v>
      </c>
      <c r="BY657">
        <v>0</v>
      </c>
      <c r="CA657" t="s">
        <v>106</v>
      </c>
      <c r="CB657" t="s">
        <v>142</v>
      </c>
      <c r="CC657" t="s">
        <v>112</v>
      </c>
      <c r="CD657" t="s">
        <v>112</v>
      </c>
      <c r="CE657" t="s">
        <v>121</v>
      </c>
      <c r="CF657">
        <v>15917.75</v>
      </c>
      <c r="CG657" t="s">
        <v>144</v>
      </c>
      <c r="CH657">
        <v>4000000</v>
      </c>
      <c r="CI657">
        <v>15680.15</v>
      </c>
      <c r="CJ657">
        <v>0</v>
      </c>
      <c r="CK657" t="s">
        <v>112</v>
      </c>
      <c r="CL657" t="s">
        <v>112</v>
      </c>
      <c r="CM657">
        <v>37399.42</v>
      </c>
      <c r="CO657">
        <v>0</v>
      </c>
      <c r="CP657">
        <v>1</v>
      </c>
      <c r="CQ657">
        <v>4090967.52</v>
      </c>
      <c r="CR657">
        <v>44641.63</v>
      </c>
      <c r="CS657" t="s">
        <v>145</v>
      </c>
      <c r="CT657">
        <v>44688.427499999998</v>
      </c>
      <c r="CU657">
        <v>2.85</v>
      </c>
      <c r="CV657">
        <v>45</v>
      </c>
      <c r="CX657" t="s">
        <v>729</v>
      </c>
      <c r="CY657">
        <v>152</v>
      </c>
    </row>
    <row r="658" spans="1:103" x14ac:dyDescent="0.25">
      <c r="A658" t="s">
        <v>106</v>
      </c>
      <c r="B658" s="38">
        <v>45201</v>
      </c>
      <c r="C658" s="43">
        <f>IF(YEAR(Таблица1[[#This Row],[Дата]])=2023,MONTH(Таблица1[[#This Row],[Дата]]),0)</f>
        <v>10</v>
      </c>
      <c r="D658" t="s">
        <v>816</v>
      </c>
      <c r="E658" t="s">
        <v>108</v>
      </c>
      <c r="F658" t="s">
        <v>817</v>
      </c>
      <c r="G658" t="s">
        <v>110</v>
      </c>
      <c r="H658" t="s">
        <v>111</v>
      </c>
      <c r="I658" t="s">
        <v>112</v>
      </c>
      <c r="J658" t="s">
        <v>112</v>
      </c>
      <c r="K658" t="s">
        <v>112</v>
      </c>
      <c r="L658" t="s">
        <v>150</v>
      </c>
      <c r="M658" t="s">
        <v>151</v>
      </c>
      <c r="N658" t="s">
        <v>112</v>
      </c>
      <c r="O658" t="s">
        <v>112</v>
      </c>
      <c r="P658">
        <v>1</v>
      </c>
      <c r="R658">
        <v>1</v>
      </c>
      <c r="S658">
        <v>33</v>
      </c>
      <c r="T658" t="s">
        <v>112</v>
      </c>
      <c r="U658" t="s">
        <v>152</v>
      </c>
      <c r="V658" t="s">
        <v>153</v>
      </c>
      <c r="W658" t="s">
        <v>154</v>
      </c>
      <c r="X658" t="s">
        <v>119</v>
      </c>
      <c r="Y658" t="s">
        <v>112</v>
      </c>
      <c r="Z658" t="s">
        <v>112</v>
      </c>
      <c r="AA658" t="s">
        <v>152</v>
      </c>
      <c r="AB658" t="s">
        <v>153</v>
      </c>
      <c r="AC658" t="s">
        <v>154</v>
      </c>
      <c r="AD658" t="s">
        <v>119</v>
      </c>
      <c r="AE658" t="s">
        <v>112</v>
      </c>
      <c r="AF658" t="s">
        <v>121</v>
      </c>
      <c r="AG658" t="s">
        <v>122</v>
      </c>
      <c r="AH658">
        <v>4839665.59</v>
      </c>
      <c r="AI658" t="s">
        <v>112</v>
      </c>
      <c r="AJ658" t="s">
        <v>152</v>
      </c>
      <c r="AK658" t="s">
        <v>153</v>
      </c>
      <c r="AL658" t="s">
        <v>154</v>
      </c>
      <c r="AM658" t="s">
        <v>119</v>
      </c>
      <c r="AN658" t="s">
        <v>112</v>
      </c>
      <c r="AO658" t="s">
        <v>121</v>
      </c>
      <c r="AP658" t="s">
        <v>122</v>
      </c>
      <c r="AQ658" t="s">
        <v>122</v>
      </c>
      <c r="AR658" t="s">
        <v>124</v>
      </c>
      <c r="AS658" t="s">
        <v>125</v>
      </c>
      <c r="AT658">
        <v>2</v>
      </c>
      <c r="AU658" t="s">
        <v>126</v>
      </c>
      <c r="AV658" t="s">
        <v>155</v>
      </c>
      <c r="AW658" t="s">
        <v>156</v>
      </c>
      <c r="AY658" t="s">
        <v>129</v>
      </c>
      <c r="AZ658">
        <v>44974.2</v>
      </c>
      <c r="BC658">
        <v>98.840900000000005</v>
      </c>
      <c r="BD658" t="s">
        <v>112</v>
      </c>
      <c r="BE658" t="s">
        <v>112</v>
      </c>
      <c r="BF658" t="s">
        <v>157</v>
      </c>
      <c r="BG658" t="s">
        <v>133</v>
      </c>
      <c r="BH658" t="s">
        <v>167</v>
      </c>
      <c r="BI658" t="s">
        <v>112</v>
      </c>
      <c r="BJ658" t="s">
        <v>112</v>
      </c>
      <c r="BK658" t="s">
        <v>112</v>
      </c>
      <c r="BL658" t="s">
        <v>158</v>
      </c>
      <c r="BM658" t="s">
        <v>159</v>
      </c>
      <c r="BN658" t="s">
        <v>160</v>
      </c>
      <c r="BO658" t="s">
        <v>161</v>
      </c>
      <c r="BQ658" t="s">
        <v>162</v>
      </c>
      <c r="BR658" s="45">
        <f>ISNUMBER(SEARCH($BR$1,Таблица1[[#This Row],[31_1 Описание и характеристика товара]]))*1</f>
        <v>1</v>
      </c>
      <c r="BT658" t="s">
        <v>150</v>
      </c>
      <c r="BU658">
        <v>33</v>
      </c>
      <c r="BV658">
        <v>0</v>
      </c>
      <c r="BW658">
        <v>0</v>
      </c>
      <c r="BY658">
        <v>0</v>
      </c>
      <c r="CA658" t="s">
        <v>106</v>
      </c>
      <c r="CB658" t="s">
        <v>142</v>
      </c>
      <c r="CC658" t="s">
        <v>112</v>
      </c>
      <c r="CD658" t="s">
        <v>112</v>
      </c>
      <c r="CE658" t="s">
        <v>121</v>
      </c>
      <c r="CF658">
        <v>16854.060000000001</v>
      </c>
      <c r="CG658" t="s">
        <v>144</v>
      </c>
      <c r="CH658">
        <v>4000000</v>
      </c>
      <c r="CI658">
        <v>16800.060000000001</v>
      </c>
      <c r="CJ658">
        <v>0</v>
      </c>
      <c r="CK658" t="s">
        <v>112</v>
      </c>
      <c r="CL658" t="s">
        <v>112</v>
      </c>
      <c r="CM658">
        <v>44974.2</v>
      </c>
      <c r="CP658">
        <v>1</v>
      </c>
      <c r="CQ658">
        <v>4839665.59</v>
      </c>
      <c r="CR658">
        <v>52811.6</v>
      </c>
      <c r="CS658" t="s">
        <v>145</v>
      </c>
      <c r="CT658">
        <v>52752.188400000006</v>
      </c>
      <c r="CU658">
        <v>3.14</v>
      </c>
      <c r="CV658">
        <v>45</v>
      </c>
      <c r="CX658" t="s">
        <v>163</v>
      </c>
      <c r="CY658">
        <v>589</v>
      </c>
    </row>
    <row r="659" spans="1:103" x14ac:dyDescent="0.25">
      <c r="A659" t="s">
        <v>106</v>
      </c>
      <c r="B659" s="38">
        <v>45047</v>
      </c>
      <c r="C659" s="43">
        <f>IF(YEAR(Таблица1[[#This Row],[Дата]])=2023,MONTH(Таблица1[[#This Row],[Дата]]),0)</f>
        <v>5</v>
      </c>
      <c r="D659" t="s">
        <v>803</v>
      </c>
      <c r="E659" t="s">
        <v>108</v>
      </c>
      <c r="F659" t="s">
        <v>804</v>
      </c>
      <c r="G659" t="s">
        <v>110</v>
      </c>
      <c r="H659" t="s">
        <v>111</v>
      </c>
      <c r="I659" t="s">
        <v>112</v>
      </c>
      <c r="J659" t="s">
        <v>112</v>
      </c>
      <c r="K659" t="s">
        <v>112</v>
      </c>
      <c r="L659" t="s">
        <v>150</v>
      </c>
      <c r="M659" t="s">
        <v>151</v>
      </c>
      <c r="N659" t="s">
        <v>112</v>
      </c>
      <c r="O659" t="s">
        <v>112</v>
      </c>
      <c r="P659">
        <v>1</v>
      </c>
      <c r="R659">
        <v>1</v>
      </c>
      <c r="S659">
        <v>33</v>
      </c>
      <c r="T659" t="s">
        <v>112</v>
      </c>
      <c r="U659" t="s">
        <v>152</v>
      </c>
      <c r="V659" t="s">
        <v>153</v>
      </c>
      <c r="W659" t="s">
        <v>154</v>
      </c>
      <c r="X659" t="s">
        <v>119</v>
      </c>
      <c r="Y659" t="s">
        <v>112</v>
      </c>
      <c r="Z659" t="s">
        <v>112</v>
      </c>
      <c r="AA659" t="s">
        <v>152</v>
      </c>
      <c r="AB659" t="s">
        <v>153</v>
      </c>
      <c r="AC659" t="s">
        <v>154</v>
      </c>
      <c r="AD659" t="s">
        <v>119</v>
      </c>
      <c r="AE659" t="s">
        <v>112</v>
      </c>
      <c r="AF659" t="s">
        <v>121</v>
      </c>
      <c r="AG659" t="s">
        <v>122</v>
      </c>
      <c r="AH659">
        <v>4579793.0999999996</v>
      </c>
      <c r="AI659" t="s">
        <v>112</v>
      </c>
      <c r="AJ659" t="s">
        <v>152</v>
      </c>
      <c r="AK659" t="s">
        <v>153</v>
      </c>
      <c r="AL659" t="s">
        <v>154</v>
      </c>
      <c r="AM659" t="s">
        <v>119</v>
      </c>
      <c r="AN659" t="s">
        <v>112</v>
      </c>
      <c r="AO659" t="s">
        <v>121</v>
      </c>
      <c r="AP659" t="s">
        <v>122</v>
      </c>
      <c r="AQ659" t="s">
        <v>122</v>
      </c>
      <c r="AR659" t="s">
        <v>124</v>
      </c>
      <c r="AS659" t="s">
        <v>125</v>
      </c>
      <c r="AT659">
        <v>2</v>
      </c>
      <c r="AU659" t="s">
        <v>126</v>
      </c>
      <c r="AV659" t="s">
        <v>155</v>
      </c>
      <c r="AW659" t="s">
        <v>156</v>
      </c>
      <c r="AY659" t="s">
        <v>129</v>
      </c>
      <c r="AZ659">
        <v>42345</v>
      </c>
      <c r="BC659">
        <v>98.840900000000005</v>
      </c>
      <c r="BD659" t="s">
        <v>112</v>
      </c>
      <c r="BE659" t="s">
        <v>112</v>
      </c>
      <c r="BF659" t="s">
        <v>157</v>
      </c>
      <c r="BG659" t="s">
        <v>133</v>
      </c>
      <c r="BH659" t="s">
        <v>167</v>
      </c>
      <c r="BI659" t="s">
        <v>112</v>
      </c>
      <c r="BJ659" t="s">
        <v>112</v>
      </c>
      <c r="BK659" t="s">
        <v>112</v>
      </c>
      <c r="BL659" t="s">
        <v>158</v>
      </c>
      <c r="BM659" t="s">
        <v>159</v>
      </c>
      <c r="BN659" t="s">
        <v>160</v>
      </c>
      <c r="BO659" t="s">
        <v>161</v>
      </c>
      <c r="BQ659" t="s">
        <v>205</v>
      </c>
      <c r="BR659" s="45">
        <f>ISNUMBER(SEARCH($BR$1,Таблица1[[#This Row],[31_1 Описание и характеристика товара]]))*1</f>
        <v>1</v>
      </c>
      <c r="BT659" t="s">
        <v>150</v>
      </c>
      <c r="BU659">
        <v>33</v>
      </c>
      <c r="BV659">
        <v>0</v>
      </c>
      <c r="BW659">
        <v>0</v>
      </c>
      <c r="BY659">
        <v>0</v>
      </c>
      <c r="CA659" t="s">
        <v>106</v>
      </c>
      <c r="CB659" t="s">
        <v>142</v>
      </c>
      <c r="CC659" t="s">
        <v>112</v>
      </c>
      <c r="CD659" t="s">
        <v>112</v>
      </c>
      <c r="CE659" t="s">
        <v>121</v>
      </c>
      <c r="CF659">
        <v>16885.439999999999</v>
      </c>
      <c r="CG659" t="s">
        <v>144</v>
      </c>
      <c r="CH659">
        <v>4000000</v>
      </c>
      <c r="CI659">
        <v>16885.439999999999</v>
      </c>
      <c r="CJ659">
        <v>0</v>
      </c>
      <c r="CK659" t="s">
        <v>112</v>
      </c>
      <c r="CL659" t="s">
        <v>112</v>
      </c>
      <c r="CM659">
        <v>42345</v>
      </c>
      <c r="CO659">
        <v>0</v>
      </c>
      <c r="CP659">
        <v>1</v>
      </c>
      <c r="CQ659">
        <v>4579793.0999999996</v>
      </c>
      <c r="CR659">
        <v>49975.81</v>
      </c>
      <c r="CS659" t="s">
        <v>145</v>
      </c>
      <c r="CT659">
        <v>49980.902399999999</v>
      </c>
      <c r="CU659">
        <v>2.96</v>
      </c>
      <c r="CV659">
        <v>45</v>
      </c>
      <c r="CX659" t="s">
        <v>729</v>
      </c>
      <c r="CY659">
        <v>604</v>
      </c>
    </row>
    <row r="660" spans="1:103" x14ac:dyDescent="0.25">
      <c r="A660" t="s">
        <v>106</v>
      </c>
      <c r="B660" s="38">
        <v>45228</v>
      </c>
      <c r="C660" s="43">
        <f>IF(YEAR(Таблица1[[#This Row],[Дата]])=2023,MONTH(Таблица1[[#This Row],[Дата]]),0)</f>
        <v>10</v>
      </c>
      <c r="D660" t="s">
        <v>830</v>
      </c>
      <c r="E660" t="s">
        <v>108</v>
      </c>
      <c r="F660" t="s">
        <v>831</v>
      </c>
      <c r="G660" t="s">
        <v>110</v>
      </c>
      <c r="H660" t="s">
        <v>111</v>
      </c>
      <c r="I660" t="s">
        <v>112</v>
      </c>
      <c r="J660" t="s">
        <v>112</v>
      </c>
      <c r="K660" t="s">
        <v>112</v>
      </c>
      <c r="L660" t="s">
        <v>150</v>
      </c>
      <c r="M660" t="s">
        <v>151</v>
      </c>
      <c r="N660" t="s">
        <v>112</v>
      </c>
      <c r="O660" t="s">
        <v>112</v>
      </c>
      <c r="P660">
        <v>1</v>
      </c>
      <c r="R660">
        <v>1</v>
      </c>
      <c r="S660">
        <v>33</v>
      </c>
      <c r="T660" t="s">
        <v>112</v>
      </c>
      <c r="U660" t="s">
        <v>152</v>
      </c>
      <c r="V660" t="s">
        <v>153</v>
      </c>
      <c r="W660" t="s">
        <v>154</v>
      </c>
      <c r="X660" t="s">
        <v>119</v>
      </c>
      <c r="Y660" t="s">
        <v>112</v>
      </c>
      <c r="Z660" t="s">
        <v>112</v>
      </c>
      <c r="AA660" t="s">
        <v>152</v>
      </c>
      <c r="AB660" t="s">
        <v>153</v>
      </c>
      <c r="AC660" t="s">
        <v>154</v>
      </c>
      <c r="AD660" t="s">
        <v>119</v>
      </c>
      <c r="AE660" t="s">
        <v>112</v>
      </c>
      <c r="AF660" t="s">
        <v>121</v>
      </c>
      <c r="AG660" t="s">
        <v>122</v>
      </c>
      <c r="AH660">
        <v>4507829.0199999996</v>
      </c>
      <c r="AI660" t="s">
        <v>112</v>
      </c>
      <c r="AJ660" t="s">
        <v>152</v>
      </c>
      <c r="AK660" t="s">
        <v>153</v>
      </c>
      <c r="AL660" t="s">
        <v>154</v>
      </c>
      <c r="AM660" t="s">
        <v>119</v>
      </c>
      <c r="AN660" t="s">
        <v>112</v>
      </c>
      <c r="AO660" t="s">
        <v>121</v>
      </c>
      <c r="AP660" t="s">
        <v>122</v>
      </c>
      <c r="AQ660" t="s">
        <v>122</v>
      </c>
      <c r="AR660" t="s">
        <v>124</v>
      </c>
      <c r="AS660" t="s">
        <v>125</v>
      </c>
      <c r="AT660">
        <v>2</v>
      </c>
      <c r="AU660" t="s">
        <v>126</v>
      </c>
      <c r="AV660" t="s">
        <v>155</v>
      </c>
      <c r="AW660" t="s">
        <v>156</v>
      </c>
      <c r="AY660" t="s">
        <v>129</v>
      </c>
      <c r="AZ660">
        <v>41616.92</v>
      </c>
      <c r="BC660">
        <v>98.840900000000005</v>
      </c>
      <c r="BD660" t="s">
        <v>112</v>
      </c>
      <c r="BE660" t="s">
        <v>112</v>
      </c>
      <c r="BF660" t="s">
        <v>157</v>
      </c>
      <c r="BG660" t="s">
        <v>133</v>
      </c>
      <c r="BH660" t="s">
        <v>167</v>
      </c>
      <c r="BI660" t="s">
        <v>112</v>
      </c>
      <c r="BJ660" t="s">
        <v>112</v>
      </c>
      <c r="BK660" t="s">
        <v>112</v>
      </c>
      <c r="BL660" t="s">
        <v>158</v>
      </c>
      <c r="BM660" t="s">
        <v>159</v>
      </c>
      <c r="BN660" t="s">
        <v>160</v>
      </c>
      <c r="BO660" t="s">
        <v>161</v>
      </c>
      <c r="BQ660" t="s">
        <v>232</v>
      </c>
      <c r="BR660" s="45">
        <f>ISNUMBER(SEARCH($BR$1,Таблица1[[#This Row],[31_1 Описание и характеристика товара]]))*1</f>
        <v>1</v>
      </c>
      <c r="BT660" t="s">
        <v>150</v>
      </c>
      <c r="BU660">
        <v>33</v>
      </c>
      <c r="BV660">
        <v>0</v>
      </c>
      <c r="BW660">
        <v>0</v>
      </c>
      <c r="BY660">
        <v>0</v>
      </c>
      <c r="CA660" t="s">
        <v>106</v>
      </c>
      <c r="CB660" t="s">
        <v>142</v>
      </c>
      <c r="CC660" t="s">
        <v>112</v>
      </c>
      <c r="CD660" t="s">
        <v>112</v>
      </c>
      <c r="CE660" t="s">
        <v>121</v>
      </c>
      <c r="CF660">
        <v>17087.78</v>
      </c>
      <c r="CG660" t="s">
        <v>144</v>
      </c>
      <c r="CH660">
        <v>4000000</v>
      </c>
      <c r="CI660">
        <v>16962.580000000002</v>
      </c>
      <c r="CJ660">
        <v>0</v>
      </c>
      <c r="CK660" t="s">
        <v>112</v>
      </c>
      <c r="CL660" t="s">
        <v>112</v>
      </c>
      <c r="CM660">
        <v>41616.92</v>
      </c>
      <c r="CO660">
        <v>0</v>
      </c>
      <c r="CP660">
        <v>1</v>
      </c>
      <c r="CQ660">
        <v>4507829.0199999996</v>
      </c>
      <c r="CR660">
        <v>49190.52</v>
      </c>
      <c r="CS660" t="s">
        <v>145</v>
      </c>
      <c r="CT660">
        <v>49191.482000000004</v>
      </c>
      <c r="CU660">
        <v>2.9</v>
      </c>
      <c r="CV660">
        <v>45</v>
      </c>
      <c r="CX660" t="s">
        <v>233</v>
      </c>
      <c r="CY660">
        <v>180</v>
      </c>
    </row>
    <row r="661" spans="1:103" x14ac:dyDescent="0.25">
      <c r="A661" t="s">
        <v>106</v>
      </c>
      <c r="B661" s="38">
        <v>45183</v>
      </c>
      <c r="C661" s="43">
        <f>IF(YEAR(Таблица1[[#This Row],[Дата]])=2023,MONTH(Таблица1[[#This Row],[Дата]]),0)</f>
        <v>9</v>
      </c>
      <c r="D661" t="s">
        <v>846</v>
      </c>
      <c r="E661" t="s">
        <v>108</v>
      </c>
      <c r="F661" t="s">
        <v>847</v>
      </c>
      <c r="G661" t="s">
        <v>110</v>
      </c>
      <c r="H661" t="s">
        <v>111</v>
      </c>
      <c r="I661" t="s">
        <v>112</v>
      </c>
      <c r="J661" t="s">
        <v>112</v>
      </c>
      <c r="K661" t="s">
        <v>112</v>
      </c>
      <c r="L661" t="s">
        <v>150</v>
      </c>
      <c r="M661" t="s">
        <v>151</v>
      </c>
      <c r="N661" t="s">
        <v>112</v>
      </c>
      <c r="O661" t="s">
        <v>112</v>
      </c>
      <c r="P661">
        <v>1</v>
      </c>
      <c r="R661">
        <v>1</v>
      </c>
      <c r="S661">
        <v>33</v>
      </c>
      <c r="T661" t="s">
        <v>112</v>
      </c>
      <c r="U661" t="s">
        <v>152</v>
      </c>
      <c r="V661" t="s">
        <v>153</v>
      </c>
      <c r="W661" t="s">
        <v>154</v>
      </c>
      <c r="X661" t="s">
        <v>119</v>
      </c>
      <c r="Y661" t="s">
        <v>112</v>
      </c>
      <c r="Z661" t="s">
        <v>112</v>
      </c>
      <c r="AA661" t="s">
        <v>152</v>
      </c>
      <c r="AB661" t="s">
        <v>153</v>
      </c>
      <c r="AC661" t="s">
        <v>154</v>
      </c>
      <c r="AD661" t="s">
        <v>119</v>
      </c>
      <c r="AE661" t="s">
        <v>112</v>
      </c>
      <c r="AF661" t="s">
        <v>121</v>
      </c>
      <c r="AG661" t="s">
        <v>122</v>
      </c>
      <c r="AH661">
        <v>4390425.8</v>
      </c>
      <c r="AI661" t="s">
        <v>112</v>
      </c>
      <c r="AJ661" t="s">
        <v>152</v>
      </c>
      <c r="AK661" t="s">
        <v>153</v>
      </c>
      <c r="AL661" t="s">
        <v>154</v>
      </c>
      <c r="AM661" t="s">
        <v>119</v>
      </c>
      <c r="AN661" t="s">
        <v>112</v>
      </c>
      <c r="AO661" t="s">
        <v>121</v>
      </c>
      <c r="AP661" t="s">
        <v>122</v>
      </c>
      <c r="AQ661" t="s">
        <v>122</v>
      </c>
      <c r="AR661" t="s">
        <v>124</v>
      </c>
      <c r="AS661" t="s">
        <v>125</v>
      </c>
      <c r="AT661">
        <v>2</v>
      </c>
      <c r="AU661" t="s">
        <v>126</v>
      </c>
      <c r="AV661" t="s">
        <v>155</v>
      </c>
      <c r="AW661" t="s">
        <v>156</v>
      </c>
      <c r="AY661" t="s">
        <v>129</v>
      </c>
      <c r="AZ661">
        <v>40429.120000000003</v>
      </c>
      <c r="BC661">
        <v>98.840900000000005</v>
      </c>
      <c r="BD661" t="s">
        <v>112</v>
      </c>
      <c r="BE661" t="s">
        <v>112</v>
      </c>
      <c r="BF661" t="s">
        <v>157</v>
      </c>
      <c r="BG661" t="s">
        <v>133</v>
      </c>
      <c r="BH661" t="s">
        <v>167</v>
      </c>
      <c r="BI661" t="s">
        <v>112</v>
      </c>
      <c r="BJ661" t="s">
        <v>112</v>
      </c>
      <c r="BK661" t="s">
        <v>112</v>
      </c>
      <c r="BL661" t="s">
        <v>158</v>
      </c>
      <c r="BM661" t="s">
        <v>159</v>
      </c>
      <c r="BN661" t="s">
        <v>160</v>
      </c>
      <c r="BO661" t="s">
        <v>161</v>
      </c>
      <c r="BQ661" t="s">
        <v>162</v>
      </c>
      <c r="BR661" s="45">
        <f>ISNUMBER(SEARCH($BR$1,Таблица1[[#This Row],[31_1 Описание и характеристика товара]]))*1</f>
        <v>1</v>
      </c>
      <c r="BT661" t="s">
        <v>150</v>
      </c>
      <c r="BU661">
        <v>33</v>
      </c>
      <c r="BV661">
        <v>0</v>
      </c>
      <c r="BW661">
        <v>0</v>
      </c>
      <c r="BY661">
        <v>0</v>
      </c>
      <c r="CA661" t="s">
        <v>106</v>
      </c>
      <c r="CB661" t="s">
        <v>142</v>
      </c>
      <c r="CC661" t="s">
        <v>112</v>
      </c>
      <c r="CD661" t="s">
        <v>112</v>
      </c>
      <c r="CE661" t="s">
        <v>121</v>
      </c>
      <c r="CF661">
        <v>16931.5</v>
      </c>
      <c r="CG661" t="s">
        <v>144</v>
      </c>
      <c r="CH661">
        <v>4000000</v>
      </c>
      <c r="CI661">
        <v>16746.099999999999</v>
      </c>
      <c r="CJ661">
        <v>0</v>
      </c>
      <c r="CK661" t="s">
        <v>112</v>
      </c>
      <c r="CL661" t="s">
        <v>112</v>
      </c>
      <c r="CM661">
        <v>40429.120000000003</v>
      </c>
      <c r="CO661">
        <v>0</v>
      </c>
      <c r="CP661">
        <v>1</v>
      </c>
      <c r="CQ661">
        <v>4390425.8</v>
      </c>
      <c r="CR661">
        <v>47909.39</v>
      </c>
      <c r="CS661" t="s">
        <v>145</v>
      </c>
      <c r="CT661">
        <v>47893.84599999999</v>
      </c>
      <c r="CU661">
        <v>2.86</v>
      </c>
      <c r="CV661">
        <v>45</v>
      </c>
      <c r="CX661" t="s">
        <v>163</v>
      </c>
      <c r="CY661">
        <v>590</v>
      </c>
    </row>
    <row r="662" spans="1:103" x14ac:dyDescent="0.25">
      <c r="A662" t="s">
        <v>106</v>
      </c>
      <c r="B662" s="38">
        <v>44934</v>
      </c>
      <c r="C662" s="43">
        <f>IF(YEAR(Таблица1[[#This Row],[Дата]])=2023,MONTH(Таблица1[[#This Row],[Дата]]),0)</f>
        <v>1</v>
      </c>
      <c r="D662" t="s">
        <v>2110</v>
      </c>
      <c r="E662" t="s">
        <v>108</v>
      </c>
      <c r="F662" t="s">
        <v>2111</v>
      </c>
      <c r="G662" t="s">
        <v>110</v>
      </c>
      <c r="H662" t="s">
        <v>111</v>
      </c>
      <c r="I662" t="s">
        <v>112</v>
      </c>
      <c r="J662" t="s">
        <v>112</v>
      </c>
      <c r="K662" t="s">
        <v>112</v>
      </c>
      <c r="L662" t="s">
        <v>150</v>
      </c>
      <c r="M662" t="s">
        <v>151</v>
      </c>
      <c r="N662" t="s">
        <v>112</v>
      </c>
      <c r="O662" t="s">
        <v>112</v>
      </c>
      <c r="P662">
        <v>1</v>
      </c>
      <c r="R662">
        <v>1</v>
      </c>
      <c r="S662">
        <v>33</v>
      </c>
      <c r="T662" t="s">
        <v>112</v>
      </c>
      <c r="U662" t="s">
        <v>152</v>
      </c>
      <c r="V662" t="s">
        <v>153</v>
      </c>
      <c r="W662" t="s">
        <v>154</v>
      </c>
      <c r="X662" t="s">
        <v>119</v>
      </c>
      <c r="Y662" t="s">
        <v>112</v>
      </c>
      <c r="Z662" t="s">
        <v>112</v>
      </c>
      <c r="AA662" t="s">
        <v>152</v>
      </c>
      <c r="AB662" t="s">
        <v>153</v>
      </c>
      <c r="AC662" t="s">
        <v>154</v>
      </c>
      <c r="AD662" t="s">
        <v>119</v>
      </c>
      <c r="AE662" t="s">
        <v>112</v>
      </c>
      <c r="AF662" t="s">
        <v>121</v>
      </c>
      <c r="AG662" t="s">
        <v>122</v>
      </c>
      <c r="AH662">
        <v>5132175.97</v>
      </c>
      <c r="AI662" t="s">
        <v>112</v>
      </c>
      <c r="AJ662" t="s">
        <v>152</v>
      </c>
      <c r="AK662" t="s">
        <v>153</v>
      </c>
      <c r="AL662" t="s">
        <v>154</v>
      </c>
      <c r="AM662" t="s">
        <v>119</v>
      </c>
      <c r="AN662" t="s">
        <v>112</v>
      </c>
      <c r="AO662" t="s">
        <v>121</v>
      </c>
      <c r="AP662" t="s">
        <v>122</v>
      </c>
      <c r="AQ662" t="s">
        <v>122</v>
      </c>
      <c r="AR662" t="s">
        <v>124</v>
      </c>
      <c r="AS662" t="s">
        <v>125</v>
      </c>
      <c r="AT662">
        <v>2</v>
      </c>
      <c r="AU662" t="s">
        <v>126</v>
      </c>
      <c r="AV662" t="s">
        <v>155</v>
      </c>
      <c r="AW662" t="s">
        <v>156</v>
      </c>
      <c r="AY662" t="s">
        <v>129</v>
      </c>
      <c r="AZ662">
        <v>44040.42</v>
      </c>
      <c r="BC662">
        <v>105.68640000000001</v>
      </c>
      <c r="BD662" t="s">
        <v>112</v>
      </c>
      <c r="BE662" t="s">
        <v>112</v>
      </c>
      <c r="BF662" t="s">
        <v>157</v>
      </c>
      <c r="BG662" t="s">
        <v>133</v>
      </c>
      <c r="BH662" t="s">
        <v>134</v>
      </c>
      <c r="BI662" t="s">
        <v>112</v>
      </c>
      <c r="BJ662" t="s">
        <v>112</v>
      </c>
      <c r="BK662" t="s">
        <v>112</v>
      </c>
      <c r="BL662" t="s">
        <v>158</v>
      </c>
      <c r="BM662" t="s">
        <v>159</v>
      </c>
      <c r="BN662" t="s">
        <v>212</v>
      </c>
      <c r="BO662" t="s">
        <v>161</v>
      </c>
      <c r="BQ662" t="s">
        <v>232</v>
      </c>
      <c r="BR662" s="45">
        <f>ISNUMBER(SEARCH($BR$1,Таблица1[[#This Row],[31_1 Описание и характеристика товара]]))*1</f>
        <v>1</v>
      </c>
      <c r="BT662" t="s">
        <v>150</v>
      </c>
      <c r="BU662">
        <v>33</v>
      </c>
      <c r="BV662">
        <v>0</v>
      </c>
      <c r="BW662">
        <v>0</v>
      </c>
      <c r="BY662">
        <v>0</v>
      </c>
      <c r="CA662" t="s">
        <v>106</v>
      </c>
      <c r="CB662" t="s">
        <v>142</v>
      </c>
      <c r="CC662" t="s">
        <v>112</v>
      </c>
      <c r="CD662" t="s">
        <v>112</v>
      </c>
      <c r="CE662" t="s">
        <v>121</v>
      </c>
      <c r="CF662">
        <v>15349.83</v>
      </c>
      <c r="CG662" t="s">
        <v>144</v>
      </c>
      <c r="CH662">
        <v>4000000</v>
      </c>
      <c r="CI662">
        <v>15097.23</v>
      </c>
      <c r="CJ662">
        <v>0</v>
      </c>
      <c r="CK662" t="s">
        <v>112</v>
      </c>
      <c r="CL662" t="s">
        <v>112</v>
      </c>
      <c r="CM662">
        <v>44040.42</v>
      </c>
      <c r="CO662">
        <v>0</v>
      </c>
      <c r="CP662">
        <v>1</v>
      </c>
      <c r="CQ662">
        <v>5132175.97</v>
      </c>
      <c r="CR662">
        <v>51355.19</v>
      </c>
      <c r="CS662" t="s">
        <v>145</v>
      </c>
      <c r="CT662">
        <v>51330.581999999995</v>
      </c>
      <c r="CU662">
        <v>3.4</v>
      </c>
      <c r="CV662">
        <v>45</v>
      </c>
      <c r="CX662" t="s">
        <v>233</v>
      </c>
      <c r="CY662">
        <v>590</v>
      </c>
    </row>
    <row r="663" spans="1:103" x14ac:dyDescent="0.25">
      <c r="A663" t="s">
        <v>106</v>
      </c>
      <c r="B663" s="38">
        <v>45078</v>
      </c>
      <c r="C663" s="43">
        <f>IF(YEAR(Таблица1[[#This Row],[Дата]])=2023,MONTH(Таблица1[[#This Row],[Дата]]),0)</f>
        <v>6</v>
      </c>
      <c r="D663" t="s">
        <v>2110</v>
      </c>
      <c r="E663" t="s">
        <v>108</v>
      </c>
      <c r="F663" t="s">
        <v>2111</v>
      </c>
      <c r="G663" t="s">
        <v>110</v>
      </c>
      <c r="H663" t="s">
        <v>111</v>
      </c>
      <c r="I663" t="s">
        <v>112</v>
      </c>
      <c r="J663" t="s">
        <v>112</v>
      </c>
      <c r="K663" t="s">
        <v>112</v>
      </c>
      <c r="L663" t="s">
        <v>150</v>
      </c>
      <c r="M663" t="s">
        <v>151</v>
      </c>
      <c r="N663" t="s">
        <v>112</v>
      </c>
      <c r="O663" t="s">
        <v>112</v>
      </c>
      <c r="P663">
        <v>1</v>
      </c>
      <c r="R663">
        <v>1</v>
      </c>
      <c r="S663">
        <v>33</v>
      </c>
      <c r="T663" t="s">
        <v>112</v>
      </c>
      <c r="U663" t="s">
        <v>152</v>
      </c>
      <c r="V663" t="s">
        <v>153</v>
      </c>
      <c r="W663" t="s">
        <v>154</v>
      </c>
      <c r="X663" t="s">
        <v>119</v>
      </c>
      <c r="Y663" t="s">
        <v>112</v>
      </c>
      <c r="Z663" t="s">
        <v>112</v>
      </c>
      <c r="AA663" t="s">
        <v>152</v>
      </c>
      <c r="AB663" t="s">
        <v>153</v>
      </c>
      <c r="AC663" t="s">
        <v>154</v>
      </c>
      <c r="AD663" t="s">
        <v>119</v>
      </c>
      <c r="AE663" t="s">
        <v>112</v>
      </c>
      <c r="AF663" t="s">
        <v>121</v>
      </c>
      <c r="AG663" t="s">
        <v>122</v>
      </c>
      <c r="AH663">
        <v>5132175.97</v>
      </c>
      <c r="AI663" t="s">
        <v>112</v>
      </c>
      <c r="AJ663" t="s">
        <v>152</v>
      </c>
      <c r="AK663" t="s">
        <v>153</v>
      </c>
      <c r="AL663" t="s">
        <v>154</v>
      </c>
      <c r="AM663" t="s">
        <v>119</v>
      </c>
      <c r="AN663" t="s">
        <v>112</v>
      </c>
      <c r="AO663" t="s">
        <v>121</v>
      </c>
      <c r="AP663" t="s">
        <v>122</v>
      </c>
      <c r="AQ663" t="s">
        <v>122</v>
      </c>
      <c r="AR663" t="s">
        <v>124</v>
      </c>
      <c r="AS663" t="s">
        <v>125</v>
      </c>
      <c r="AT663">
        <v>2</v>
      </c>
      <c r="AU663" t="s">
        <v>126</v>
      </c>
      <c r="AV663" t="s">
        <v>155</v>
      </c>
      <c r="AW663" t="s">
        <v>156</v>
      </c>
      <c r="AY663" t="s">
        <v>129</v>
      </c>
      <c r="AZ663">
        <v>44040.42</v>
      </c>
      <c r="BC663">
        <v>105.68640000000001</v>
      </c>
      <c r="BD663" t="s">
        <v>112</v>
      </c>
      <c r="BE663" t="s">
        <v>112</v>
      </c>
      <c r="BF663" t="s">
        <v>157</v>
      </c>
      <c r="BG663" t="s">
        <v>133</v>
      </c>
      <c r="BH663" t="s">
        <v>134</v>
      </c>
      <c r="BI663" t="s">
        <v>112</v>
      </c>
      <c r="BJ663" t="s">
        <v>112</v>
      </c>
      <c r="BK663" t="s">
        <v>112</v>
      </c>
      <c r="BL663" t="s">
        <v>158</v>
      </c>
      <c r="BM663" t="s">
        <v>159</v>
      </c>
      <c r="BN663" t="s">
        <v>212</v>
      </c>
      <c r="BO663" t="s">
        <v>161</v>
      </c>
      <c r="BQ663" t="s">
        <v>232</v>
      </c>
      <c r="BR663" s="45">
        <f>ISNUMBER(SEARCH($BR$1,Таблица1[[#This Row],[31_1 Описание и характеристика товара]]))*1</f>
        <v>1</v>
      </c>
      <c r="BT663" t="s">
        <v>150</v>
      </c>
      <c r="BU663">
        <v>33</v>
      </c>
      <c r="BV663">
        <v>0</v>
      </c>
      <c r="BW663">
        <v>0</v>
      </c>
      <c r="BY663">
        <v>0</v>
      </c>
      <c r="CA663" t="s">
        <v>106</v>
      </c>
      <c r="CB663" t="s">
        <v>142</v>
      </c>
      <c r="CC663" t="s">
        <v>112</v>
      </c>
      <c r="CD663" t="s">
        <v>112</v>
      </c>
      <c r="CE663" t="s">
        <v>121</v>
      </c>
      <c r="CF663">
        <v>15349.83</v>
      </c>
      <c r="CG663" t="s">
        <v>144</v>
      </c>
      <c r="CH663">
        <v>4000000</v>
      </c>
      <c r="CI663">
        <v>15097.23</v>
      </c>
      <c r="CJ663">
        <v>0</v>
      </c>
      <c r="CK663" t="s">
        <v>112</v>
      </c>
      <c r="CL663" t="s">
        <v>112</v>
      </c>
      <c r="CM663">
        <v>44040.42</v>
      </c>
      <c r="CO663">
        <v>0</v>
      </c>
      <c r="CP663">
        <v>1</v>
      </c>
      <c r="CQ663">
        <v>5132175.97</v>
      </c>
      <c r="CR663">
        <v>51355.19</v>
      </c>
      <c r="CS663" t="s">
        <v>145</v>
      </c>
      <c r="CT663">
        <v>51330.581999999995</v>
      </c>
      <c r="CU663">
        <v>3.4</v>
      </c>
      <c r="CV663">
        <v>45</v>
      </c>
      <c r="CX663" t="s">
        <v>233</v>
      </c>
      <c r="CY663">
        <v>590</v>
      </c>
    </row>
    <row r="664" spans="1:103" x14ac:dyDescent="0.25">
      <c r="A664" t="s">
        <v>106</v>
      </c>
      <c r="B664" s="38">
        <v>45186</v>
      </c>
      <c r="C664" s="43">
        <f>IF(YEAR(Таблица1[[#This Row],[Дата]])=2023,MONTH(Таблица1[[#This Row],[Дата]]),0)</f>
        <v>9</v>
      </c>
      <c r="D664" t="s">
        <v>1978</v>
      </c>
      <c r="E664" t="s">
        <v>108</v>
      </c>
      <c r="F664" t="s">
        <v>1979</v>
      </c>
      <c r="G664" t="s">
        <v>110</v>
      </c>
      <c r="H664" t="s">
        <v>111</v>
      </c>
      <c r="I664" t="s">
        <v>112</v>
      </c>
      <c r="J664" t="s">
        <v>112</v>
      </c>
      <c r="K664" t="s">
        <v>112</v>
      </c>
      <c r="L664" t="s">
        <v>150</v>
      </c>
      <c r="M664" t="s">
        <v>151</v>
      </c>
      <c r="N664" t="s">
        <v>112</v>
      </c>
      <c r="O664" t="s">
        <v>112</v>
      </c>
      <c r="P664">
        <v>1</v>
      </c>
      <c r="R664">
        <v>1</v>
      </c>
      <c r="S664">
        <v>33</v>
      </c>
      <c r="T664" t="s">
        <v>112</v>
      </c>
      <c r="U664" t="s">
        <v>152</v>
      </c>
      <c r="V664" t="s">
        <v>153</v>
      </c>
      <c r="W664" t="s">
        <v>154</v>
      </c>
      <c r="X664" t="s">
        <v>119</v>
      </c>
      <c r="Y664" t="s">
        <v>112</v>
      </c>
      <c r="Z664" t="s">
        <v>112</v>
      </c>
      <c r="AA664" t="s">
        <v>152</v>
      </c>
      <c r="AB664" t="s">
        <v>153</v>
      </c>
      <c r="AC664" t="s">
        <v>154</v>
      </c>
      <c r="AD664" t="s">
        <v>119</v>
      </c>
      <c r="AE664" t="s">
        <v>112</v>
      </c>
      <c r="AF664" t="s">
        <v>121</v>
      </c>
      <c r="AG664" t="s">
        <v>122</v>
      </c>
      <c r="AH664">
        <v>4862482.49</v>
      </c>
      <c r="AI664" t="s">
        <v>112</v>
      </c>
      <c r="AJ664" t="s">
        <v>152</v>
      </c>
      <c r="AK664" t="s">
        <v>153</v>
      </c>
      <c r="AL664" t="s">
        <v>154</v>
      </c>
      <c r="AM664" t="s">
        <v>119</v>
      </c>
      <c r="AN664" t="s">
        <v>112</v>
      </c>
      <c r="AO664" t="s">
        <v>121</v>
      </c>
      <c r="AP664" t="s">
        <v>122</v>
      </c>
      <c r="AQ664" t="s">
        <v>122</v>
      </c>
      <c r="AR664" t="s">
        <v>124</v>
      </c>
      <c r="AS664" t="s">
        <v>125</v>
      </c>
      <c r="AT664">
        <v>2</v>
      </c>
      <c r="AU664" t="s">
        <v>126</v>
      </c>
      <c r="AV664" t="s">
        <v>155</v>
      </c>
      <c r="AW664" t="s">
        <v>156</v>
      </c>
      <c r="AY664" t="s">
        <v>129</v>
      </c>
      <c r="AZ664">
        <v>42229.16</v>
      </c>
      <c r="BC664">
        <v>104.88720000000001</v>
      </c>
      <c r="BD664" t="s">
        <v>112</v>
      </c>
      <c r="BE664" t="s">
        <v>112</v>
      </c>
      <c r="BF664" t="s">
        <v>157</v>
      </c>
      <c r="BG664" t="s">
        <v>133</v>
      </c>
      <c r="BH664" t="s">
        <v>134</v>
      </c>
      <c r="BI664" t="s">
        <v>112</v>
      </c>
      <c r="BJ664" t="s">
        <v>112</v>
      </c>
      <c r="BK664" t="s">
        <v>112</v>
      </c>
      <c r="BL664" t="s">
        <v>169</v>
      </c>
      <c r="BM664" t="s">
        <v>159</v>
      </c>
      <c r="BN664" t="s">
        <v>212</v>
      </c>
      <c r="BO664" t="s">
        <v>161</v>
      </c>
      <c r="BQ664" t="s">
        <v>205</v>
      </c>
      <c r="BR664" s="45">
        <f>ISNUMBER(SEARCH($BR$1,Таблица1[[#This Row],[31_1 Описание и характеристика товара]]))*1</f>
        <v>1</v>
      </c>
      <c r="BT664" t="s">
        <v>150</v>
      </c>
      <c r="BU664">
        <v>33</v>
      </c>
      <c r="BV664">
        <v>0</v>
      </c>
      <c r="BW664">
        <v>0</v>
      </c>
      <c r="BY664">
        <v>0</v>
      </c>
      <c r="CA664" t="s">
        <v>106</v>
      </c>
      <c r="CB664" t="s">
        <v>142</v>
      </c>
      <c r="CC664" t="s">
        <v>112</v>
      </c>
      <c r="CD664" t="s">
        <v>112</v>
      </c>
      <c r="CE664" t="s">
        <v>121</v>
      </c>
      <c r="CF664">
        <v>16686.96</v>
      </c>
      <c r="CG664" t="s">
        <v>144</v>
      </c>
      <c r="CH664">
        <v>4000000</v>
      </c>
      <c r="CI664">
        <v>16517.759999999998</v>
      </c>
      <c r="CJ664">
        <v>0</v>
      </c>
      <c r="CK664" t="s">
        <v>112</v>
      </c>
      <c r="CL664" t="s">
        <v>112</v>
      </c>
      <c r="CM664">
        <v>42229.16</v>
      </c>
      <c r="CO664">
        <v>0</v>
      </c>
      <c r="CP664">
        <v>1</v>
      </c>
      <c r="CQ664">
        <v>4862482.49</v>
      </c>
      <c r="CR664">
        <v>49655.63</v>
      </c>
      <c r="CS664" t="s">
        <v>145</v>
      </c>
      <c r="CT664">
        <v>49718.457599999994</v>
      </c>
      <c r="CU664">
        <v>3.01</v>
      </c>
      <c r="CV664">
        <v>45</v>
      </c>
      <c r="CX664" t="s">
        <v>206</v>
      </c>
      <c r="CY664">
        <v>342</v>
      </c>
    </row>
    <row r="665" spans="1:103" x14ac:dyDescent="0.25">
      <c r="A665" t="s">
        <v>106</v>
      </c>
      <c r="B665" s="38">
        <v>44969</v>
      </c>
      <c r="C665" s="43">
        <f>IF(YEAR(Таблица1[[#This Row],[Дата]])=2023,MONTH(Таблица1[[#This Row],[Дата]]),0)</f>
        <v>2</v>
      </c>
      <c r="D665" t="s">
        <v>1978</v>
      </c>
      <c r="E665" t="s">
        <v>108</v>
      </c>
      <c r="F665" t="s">
        <v>1979</v>
      </c>
      <c r="G665" t="s">
        <v>110</v>
      </c>
      <c r="H665" t="s">
        <v>111</v>
      </c>
      <c r="I665" t="s">
        <v>112</v>
      </c>
      <c r="J665" t="s">
        <v>112</v>
      </c>
      <c r="K665" t="s">
        <v>112</v>
      </c>
      <c r="L665" t="s">
        <v>150</v>
      </c>
      <c r="M665" t="s">
        <v>151</v>
      </c>
      <c r="N665" t="s">
        <v>112</v>
      </c>
      <c r="O665" t="s">
        <v>112</v>
      </c>
      <c r="P665">
        <v>1</v>
      </c>
      <c r="R665">
        <v>1</v>
      </c>
      <c r="S665">
        <v>33</v>
      </c>
      <c r="T665" t="s">
        <v>112</v>
      </c>
      <c r="U665" t="s">
        <v>152</v>
      </c>
      <c r="V665" t="s">
        <v>153</v>
      </c>
      <c r="W665" t="s">
        <v>154</v>
      </c>
      <c r="X665" t="s">
        <v>119</v>
      </c>
      <c r="Y665" t="s">
        <v>112</v>
      </c>
      <c r="Z665" t="s">
        <v>112</v>
      </c>
      <c r="AA665" t="s">
        <v>152</v>
      </c>
      <c r="AB665" t="s">
        <v>153</v>
      </c>
      <c r="AC665" t="s">
        <v>154</v>
      </c>
      <c r="AD665" t="s">
        <v>119</v>
      </c>
      <c r="AE665" t="s">
        <v>112</v>
      </c>
      <c r="AF665" t="s">
        <v>121</v>
      </c>
      <c r="AG665" t="s">
        <v>122</v>
      </c>
      <c r="AH665">
        <v>4862482.49</v>
      </c>
      <c r="AI665" t="s">
        <v>112</v>
      </c>
      <c r="AJ665" t="s">
        <v>152</v>
      </c>
      <c r="AK665" t="s">
        <v>153</v>
      </c>
      <c r="AL665" t="s">
        <v>154</v>
      </c>
      <c r="AM665" t="s">
        <v>119</v>
      </c>
      <c r="AN665" t="s">
        <v>112</v>
      </c>
      <c r="AO665" t="s">
        <v>121</v>
      </c>
      <c r="AP665" t="s">
        <v>122</v>
      </c>
      <c r="AQ665" t="s">
        <v>122</v>
      </c>
      <c r="AR665" t="s">
        <v>124</v>
      </c>
      <c r="AS665" t="s">
        <v>125</v>
      </c>
      <c r="AT665">
        <v>2</v>
      </c>
      <c r="AU665" t="s">
        <v>126</v>
      </c>
      <c r="AV665" t="s">
        <v>155</v>
      </c>
      <c r="AW665" t="s">
        <v>156</v>
      </c>
      <c r="AY665" t="s">
        <v>129</v>
      </c>
      <c r="AZ665">
        <v>42229.16</v>
      </c>
      <c r="BC665">
        <v>104.88720000000001</v>
      </c>
      <c r="BD665" t="s">
        <v>112</v>
      </c>
      <c r="BE665" t="s">
        <v>112</v>
      </c>
      <c r="BF665" t="s">
        <v>157</v>
      </c>
      <c r="BG665" t="s">
        <v>133</v>
      </c>
      <c r="BH665" t="s">
        <v>134</v>
      </c>
      <c r="BI665" t="s">
        <v>112</v>
      </c>
      <c r="BJ665" t="s">
        <v>112</v>
      </c>
      <c r="BK665" t="s">
        <v>112</v>
      </c>
      <c r="BL665" t="s">
        <v>169</v>
      </c>
      <c r="BM665" t="s">
        <v>159</v>
      </c>
      <c r="BN665" t="s">
        <v>212</v>
      </c>
      <c r="BO665" t="s">
        <v>161</v>
      </c>
      <c r="BQ665" t="s">
        <v>205</v>
      </c>
      <c r="BR665" s="45">
        <f>ISNUMBER(SEARCH($BR$1,Таблица1[[#This Row],[31_1 Описание и характеристика товара]]))*1</f>
        <v>1</v>
      </c>
      <c r="BT665" t="s">
        <v>150</v>
      </c>
      <c r="BU665">
        <v>33</v>
      </c>
      <c r="BV665">
        <v>0</v>
      </c>
      <c r="BW665">
        <v>0</v>
      </c>
      <c r="BY665">
        <v>0</v>
      </c>
      <c r="CA665" t="s">
        <v>106</v>
      </c>
      <c r="CB665" t="s">
        <v>142</v>
      </c>
      <c r="CC665" t="s">
        <v>112</v>
      </c>
      <c r="CD665" t="s">
        <v>112</v>
      </c>
      <c r="CE665" t="s">
        <v>121</v>
      </c>
      <c r="CF665">
        <v>16686.96</v>
      </c>
      <c r="CG665" t="s">
        <v>144</v>
      </c>
      <c r="CH665">
        <v>4000000</v>
      </c>
      <c r="CI665">
        <v>16517.759999999998</v>
      </c>
      <c r="CJ665">
        <v>0</v>
      </c>
      <c r="CK665" t="s">
        <v>112</v>
      </c>
      <c r="CL665" t="s">
        <v>112</v>
      </c>
      <c r="CM665">
        <v>42229.16</v>
      </c>
      <c r="CO665">
        <v>0</v>
      </c>
      <c r="CP665">
        <v>1</v>
      </c>
      <c r="CQ665">
        <v>4862482.49</v>
      </c>
      <c r="CR665">
        <v>49655.63</v>
      </c>
      <c r="CS665" t="s">
        <v>145</v>
      </c>
      <c r="CT665">
        <v>49718.457599999994</v>
      </c>
      <c r="CU665">
        <v>3.01</v>
      </c>
      <c r="CV665">
        <v>45</v>
      </c>
      <c r="CX665" t="s">
        <v>206</v>
      </c>
      <c r="CY665">
        <v>342</v>
      </c>
    </row>
    <row r="666" spans="1:103" x14ac:dyDescent="0.25">
      <c r="A666" t="s">
        <v>106</v>
      </c>
      <c r="B666" s="38">
        <v>45113</v>
      </c>
      <c r="C666" s="43">
        <f>IF(YEAR(Таблица1[[#This Row],[Дата]])=2023,MONTH(Таблица1[[#This Row],[Дата]]),0)</f>
        <v>7</v>
      </c>
      <c r="D666" t="s">
        <v>1972</v>
      </c>
      <c r="E666" t="s">
        <v>108</v>
      </c>
      <c r="F666" t="s">
        <v>1973</v>
      </c>
      <c r="G666" t="s">
        <v>110</v>
      </c>
      <c r="H666" t="s">
        <v>111</v>
      </c>
      <c r="I666" t="s">
        <v>112</v>
      </c>
      <c r="J666" t="s">
        <v>112</v>
      </c>
      <c r="K666" t="s">
        <v>112</v>
      </c>
      <c r="L666" t="s">
        <v>175</v>
      </c>
      <c r="M666" t="s">
        <v>448</v>
      </c>
      <c r="N666" t="s">
        <v>112</v>
      </c>
      <c r="O666" t="s">
        <v>112</v>
      </c>
      <c r="P666">
        <v>1</v>
      </c>
      <c r="R666">
        <v>1</v>
      </c>
      <c r="S666">
        <v>33</v>
      </c>
      <c r="T666" t="s">
        <v>112</v>
      </c>
      <c r="U666" t="s">
        <v>152</v>
      </c>
      <c r="V666" t="s">
        <v>153</v>
      </c>
      <c r="W666" t="s">
        <v>154</v>
      </c>
      <c r="X666" t="s">
        <v>119</v>
      </c>
      <c r="Y666" t="s">
        <v>112</v>
      </c>
      <c r="Z666" t="s">
        <v>112</v>
      </c>
      <c r="AA666" t="s">
        <v>152</v>
      </c>
      <c r="AB666" t="s">
        <v>153</v>
      </c>
      <c r="AC666" t="s">
        <v>154</v>
      </c>
      <c r="AD666" t="s">
        <v>119</v>
      </c>
      <c r="AE666" t="s">
        <v>112</v>
      </c>
      <c r="AF666" t="s">
        <v>121</v>
      </c>
      <c r="AG666" t="s">
        <v>122</v>
      </c>
      <c r="AH666">
        <v>5214752.4400000004</v>
      </c>
      <c r="AI666" t="s">
        <v>112</v>
      </c>
      <c r="AJ666" t="s">
        <v>152</v>
      </c>
      <c r="AK666" t="s">
        <v>153</v>
      </c>
      <c r="AL666" t="s">
        <v>154</v>
      </c>
      <c r="AM666" t="s">
        <v>119</v>
      </c>
      <c r="AN666" t="s">
        <v>112</v>
      </c>
      <c r="AO666" t="s">
        <v>121</v>
      </c>
      <c r="AP666" t="s">
        <v>122</v>
      </c>
      <c r="AQ666" t="s">
        <v>122</v>
      </c>
      <c r="AR666" t="s">
        <v>124</v>
      </c>
      <c r="AS666" t="s">
        <v>125</v>
      </c>
      <c r="AT666">
        <v>2</v>
      </c>
      <c r="AU666" t="s">
        <v>126</v>
      </c>
      <c r="AV666" t="s">
        <v>155</v>
      </c>
      <c r="AW666" t="s">
        <v>156</v>
      </c>
      <c r="AY666" t="s">
        <v>129</v>
      </c>
      <c r="AZ666">
        <v>45067.72</v>
      </c>
      <c r="BC666">
        <v>104.88720000000001</v>
      </c>
      <c r="BD666" t="s">
        <v>112</v>
      </c>
      <c r="BE666" t="s">
        <v>112</v>
      </c>
      <c r="BF666" t="s">
        <v>157</v>
      </c>
      <c r="BG666" t="s">
        <v>133</v>
      </c>
      <c r="BH666" t="s">
        <v>134</v>
      </c>
      <c r="BI666" t="s">
        <v>112</v>
      </c>
      <c r="BJ666" t="s">
        <v>112</v>
      </c>
      <c r="BK666" t="s">
        <v>112</v>
      </c>
      <c r="BL666" t="s">
        <v>169</v>
      </c>
      <c r="BM666" t="s">
        <v>159</v>
      </c>
      <c r="BN666" t="s">
        <v>212</v>
      </c>
      <c r="BO666" t="s">
        <v>161</v>
      </c>
      <c r="BQ666" t="s">
        <v>232</v>
      </c>
      <c r="BR666" s="45">
        <f>ISNUMBER(SEARCH($BR$1,Таблица1[[#This Row],[31_1 Описание и характеристика товара]]))*1</f>
        <v>1</v>
      </c>
      <c r="BT666" t="s">
        <v>150</v>
      </c>
      <c r="BU666">
        <v>33</v>
      </c>
      <c r="BV666">
        <v>0</v>
      </c>
      <c r="BW666">
        <v>0</v>
      </c>
      <c r="BY666">
        <v>0</v>
      </c>
      <c r="CA666" t="s">
        <v>106</v>
      </c>
      <c r="CB666" t="s">
        <v>142</v>
      </c>
      <c r="CC666" t="s">
        <v>112</v>
      </c>
      <c r="CD666" t="s">
        <v>112</v>
      </c>
      <c r="CE666" t="s">
        <v>121</v>
      </c>
      <c r="CF666">
        <v>16376.62</v>
      </c>
      <c r="CG666" t="s">
        <v>144</v>
      </c>
      <c r="CH666">
        <v>4000000</v>
      </c>
      <c r="CI666">
        <v>16243.42</v>
      </c>
      <c r="CJ666">
        <v>0</v>
      </c>
      <c r="CK666" t="s">
        <v>112</v>
      </c>
      <c r="CL666" t="s">
        <v>112</v>
      </c>
      <c r="CM666">
        <v>45067.72</v>
      </c>
      <c r="CO666">
        <v>0</v>
      </c>
      <c r="CP666">
        <v>1</v>
      </c>
      <c r="CQ666">
        <v>5214752.4400000004</v>
      </c>
      <c r="CR666">
        <v>53253</v>
      </c>
      <c r="CS666" t="s">
        <v>145</v>
      </c>
      <c r="CT666">
        <v>53278.417600000001</v>
      </c>
      <c r="CU666">
        <v>3.28</v>
      </c>
      <c r="CV666">
        <v>45</v>
      </c>
      <c r="CX666" t="s">
        <v>206</v>
      </c>
      <c r="CY666">
        <v>224</v>
      </c>
    </row>
    <row r="667" spans="1:103" x14ac:dyDescent="0.25">
      <c r="A667" t="s">
        <v>106</v>
      </c>
      <c r="B667" s="38">
        <v>45156</v>
      </c>
      <c r="C667" s="43">
        <f>IF(YEAR(Таблица1[[#This Row],[Дата]])=2023,MONTH(Таблица1[[#This Row],[Дата]]),0)</f>
        <v>8</v>
      </c>
      <c r="D667" t="s">
        <v>1972</v>
      </c>
      <c r="E667" t="s">
        <v>108</v>
      </c>
      <c r="F667" t="s">
        <v>1973</v>
      </c>
      <c r="G667" t="s">
        <v>110</v>
      </c>
      <c r="H667" t="s">
        <v>111</v>
      </c>
      <c r="I667" t="s">
        <v>112</v>
      </c>
      <c r="J667" t="s">
        <v>112</v>
      </c>
      <c r="K667" t="s">
        <v>112</v>
      </c>
      <c r="L667" t="s">
        <v>175</v>
      </c>
      <c r="M667" t="s">
        <v>448</v>
      </c>
      <c r="N667" t="s">
        <v>112</v>
      </c>
      <c r="O667" t="s">
        <v>112</v>
      </c>
      <c r="P667">
        <v>1</v>
      </c>
      <c r="R667">
        <v>1</v>
      </c>
      <c r="S667">
        <v>33</v>
      </c>
      <c r="T667" t="s">
        <v>112</v>
      </c>
      <c r="U667" t="s">
        <v>152</v>
      </c>
      <c r="V667" t="s">
        <v>153</v>
      </c>
      <c r="W667" t="s">
        <v>154</v>
      </c>
      <c r="X667" t="s">
        <v>119</v>
      </c>
      <c r="Y667" t="s">
        <v>112</v>
      </c>
      <c r="Z667" t="s">
        <v>112</v>
      </c>
      <c r="AA667" t="s">
        <v>152</v>
      </c>
      <c r="AB667" t="s">
        <v>153</v>
      </c>
      <c r="AC667" t="s">
        <v>154</v>
      </c>
      <c r="AD667" t="s">
        <v>119</v>
      </c>
      <c r="AE667" t="s">
        <v>112</v>
      </c>
      <c r="AF667" t="s">
        <v>121</v>
      </c>
      <c r="AG667" t="s">
        <v>122</v>
      </c>
      <c r="AH667">
        <v>5214752.4400000004</v>
      </c>
      <c r="AI667" t="s">
        <v>112</v>
      </c>
      <c r="AJ667" t="s">
        <v>152</v>
      </c>
      <c r="AK667" t="s">
        <v>153</v>
      </c>
      <c r="AL667" t="s">
        <v>154</v>
      </c>
      <c r="AM667" t="s">
        <v>119</v>
      </c>
      <c r="AN667" t="s">
        <v>112</v>
      </c>
      <c r="AO667" t="s">
        <v>121</v>
      </c>
      <c r="AP667" t="s">
        <v>122</v>
      </c>
      <c r="AQ667" t="s">
        <v>122</v>
      </c>
      <c r="AR667" t="s">
        <v>124</v>
      </c>
      <c r="AS667" t="s">
        <v>125</v>
      </c>
      <c r="AT667">
        <v>2</v>
      </c>
      <c r="AU667" t="s">
        <v>126</v>
      </c>
      <c r="AV667" t="s">
        <v>155</v>
      </c>
      <c r="AW667" t="s">
        <v>156</v>
      </c>
      <c r="AY667" t="s">
        <v>129</v>
      </c>
      <c r="AZ667">
        <v>45067.72</v>
      </c>
      <c r="BC667">
        <v>104.88720000000001</v>
      </c>
      <c r="BD667" t="s">
        <v>112</v>
      </c>
      <c r="BE667" t="s">
        <v>112</v>
      </c>
      <c r="BF667" t="s">
        <v>157</v>
      </c>
      <c r="BG667" t="s">
        <v>133</v>
      </c>
      <c r="BH667" t="s">
        <v>134</v>
      </c>
      <c r="BI667" t="s">
        <v>112</v>
      </c>
      <c r="BJ667" t="s">
        <v>112</v>
      </c>
      <c r="BK667" t="s">
        <v>112</v>
      </c>
      <c r="BL667" t="s">
        <v>169</v>
      </c>
      <c r="BM667" t="s">
        <v>159</v>
      </c>
      <c r="BN667" t="s">
        <v>212</v>
      </c>
      <c r="BO667" t="s">
        <v>161</v>
      </c>
      <c r="BQ667" t="s">
        <v>232</v>
      </c>
      <c r="BR667" s="45">
        <f>ISNUMBER(SEARCH($BR$1,Таблица1[[#This Row],[31_1 Описание и характеристика товара]]))*1</f>
        <v>1</v>
      </c>
      <c r="BT667" t="s">
        <v>150</v>
      </c>
      <c r="BU667">
        <v>33</v>
      </c>
      <c r="BV667">
        <v>0</v>
      </c>
      <c r="BW667">
        <v>0</v>
      </c>
      <c r="BY667">
        <v>0</v>
      </c>
      <c r="CA667" t="s">
        <v>106</v>
      </c>
      <c r="CB667" t="s">
        <v>142</v>
      </c>
      <c r="CC667" t="s">
        <v>112</v>
      </c>
      <c r="CD667" t="s">
        <v>112</v>
      </c>
      <c r="CE667" t="s">
        <v>121</v>
      </c>
      <c r="CF667">
        <v>16376.62</v>
      </c>
      <c r="CG667" t="s">
        <v>144</v>
      </c>
      <c r="CH667">
        <v>4000000</v>
      </c>
      <c r="CI667">
        <v>16243.42</v>
      </c>
      <c r="CJ667">
        <v>0</v>
      </c>
      <c r="CK667" t="s">
        <v>112</v>
      </c>
      <c r="CL667" t="s">
        <v>112</v>
      </c>
      <c r="CM667">
        <v>45067.72</v>
      </c>
      <c r="CO667">
        <v>0</v>
      </c>
      <c r="CP667">
        <v>1</v>
      </c>
      <c r="CQ667">
        <v>5214752.4400000004</v>
      </c>
      <c r="CR667">
        <v>53253</v>
      </c>
      <c r="CS667" t="s">
        <v>145</v>
      </c>
      <c r="CT667">
        <v>53278.417600000001</v>
      </c>
      <c r="CU667">
        <v>3.28</v>
      </c>
      <c r="CV667">
        <v>45</v>
      </c>
      <c r="CX667" t="s">
        <v>206</v>
      </c>
      <c r="CY667">
        <v>224</v>
      </c>
    </row>
    <row r="668" spans="1:103" x14ac:dyDescent="0.25">
      <c r="A668" t="s">
        <v>106</v>
      </c>
      <c r="B668" s="38">
        <v>45269</v>
      </c>
      <c r="C668" s="43">
        <f>IF(YEAR(Таблица1[[#This Row],[Дата]])=2023,MONTH(Таблица1[[#This Row],[Дата]]),0)</f>
        <v>12</v>
      </c>
      <c r="D668" t="s">
        <v>1984</v>
      </c>
      <c r="E668" t="s">
        <v>108</v>
      </c>
      <c r="F668" t="s">
        <v>1985</v>
      </c>
      <c r="G668" t="s">
        <v>110</v>
      </c>
      <c r="H668" t="s">
        <v>111</v>
      </c>
      <c r="I668" t="s">
        <v>112</v>
      </c>
      <c r="J668" t="s">
        <v>112</v>
      </c>
      <c r="K668" t="s">
        <v>112</v>
      </c>
      <c r="L668" t="s">
        <v>150</v>
      </c>
      <c r="M668" t="s">
        <v>151</v>
      </c>
      <c r="N668" t="s">
        <v>112</v>
      </c>
      <c r="O668" t="s">
        <v>112</v>
      </c>
      <c r="P668">
        <v>1</v>
      </c>
      <c r="R668">
        <v>1</v>
      </c>
      <c r="S668">
        <v>33</v>
      </c>
      <c r="T668" t="s">
        <v>112</v>
      </c>
      <c r="U668" t="s">
        <v>152</v>
      </c>
      <c r="V668" t="s">
        <v>153</v>
      </c>
      <c r="W668" t="s">
        <v>154</v>
      </c>
      <c r="X668" t="s">
        <v>119</v>
      </c>
      <c r="Y668" t="s">
        <v>112</v>
      </c>
      <c r="Z668" t="s">
        <v>112</v>
      </c>
      <c r="AA668" t="s">
        <v>152</v>
      </c>
      <c r="AB668" t="s">
        <v>153</v>
      </c>
      <c r="AC668" t="s">
        <v>154</v>
      </c>
      <c r="AD668" t="s">
        <v>119</v>
      </c>
      <c r="AE668" t="s">
        <v>112</v>
      </c>
      <c r="AF668" t="s">
        <v>121</v>
      </c>
      <c r="AG668" t="s">
        <v>122</v>
      </c>
      <c r="AH668">
        <v>4284088.3200000003</v>
      </c>
      <c r="AI668" t="s">
        <v>112</v>
      </c>
      <c r="AJ668" t="s">
        <v>152</v>
      </c>
      <c r="AK668" t="s">
        <v>153</v>
      </c>
      <c r="AL668" t="s">
        <v>154</v>
      </c>
      <c r="AM668" t="s">
        <v>119</v>
      </c>
      <c r="AN668" t="s">
        <v>112</v>
      </c>
      <c r="AO668" t="s">
        <v>121</v>
      </c>
      <c r="AP668" t="s">
        <v>122</v>
      </c>
      <c r="AQ668" t="s">
        <v>122</v>
      </c>
      <c r="AR668" t="s">
        <v>124</v>
      </c>
      <c r="AS668" t="s">
        <v>125</v>
      </c>
      <c r="AT668">
        <v>2</v>
      </c>
      <c r="AU668" t="s">
        <v>126</v>
      </c>
      <c r="AV668" t="s">
        <v>155</v>
      </c>
      <c r="AW668" t="s">
        <v>156</v>
      </c>
      <c r="AY668" t="s">
        <v>129</v>
      </c>
      <c r="AZ668">
        <v>36714.720000000001</v>
      </c>
      <c r="BC668">
        <v>104.88720000000001</v>
      </c>
      <c r="BD668" t="s">
        <v>112</v>
      </c>
      <c r="BE668" t="s">
        <v>112</v>
      </c>
      <c r="BF668" t="s">
        <v>157</v>
      </c>
      <c r="BG668" t="s">
        <v>133</v>
      </c>
      <c r="BH668" t="s">
        <v>134</v>
      </c>
      <c r="BI668" t="s">
        <v>112</v>
      </c>
      <c r="BJ668" t="s">
        <v>112</v>
      </c>
      <c r="BK668" t="s">
        <v>112</v>
      </c>
      <c r="BL668" t="s">
        <v>169</v>
      </c>
      <c r="BM668" t="s">
        <v>159</v>
      </c>
      <c r="BN668" t="s">
        <v>212</v>
      </c>
      <c r="BO668" t="s">
        <v>161</v>
      </c>
      <c r="BQ668" t="s">
        <v>616</v>
      </c>
      <c r="BR668" s="45">
        <f>ISNUMBER(SEARCH($BR$1,Таблица1[[#This Row],[31_1 Описание и характеристика товара]]))*1</f>
        <v>1</v>
      </c>
      <c r="BT668" t="s">
        <v>150</v>
      </c>
      <c r="BU668">
        <v>33</v>
      </c>
      <c r="BV668">
        <v>0</v>
      </c>
      <c r="BW668">
        <v>0</v>
      </c>
      <c r="BY668">
        <v>0</v>
      </c>
      <c r="CA668" t="s">
        <v>106</v>
      </c>
      <c r="CB668" t="s">
        <v>142</v>
      </c>
      <c r="CC668" t="s">
        <v>112</v>
      </c>
      <c r="CD668" t="s">
        <v>112</v>
      </c>
      <c r="CE668" t="s">
        <v>121</v>
      </c>
      <c r="CF668">
        <v>15489.1</v>
      </c>
      <c r="CG668" t="s">
        <v>144</v>
      </c>
      <c r="CH668">
        <v>4000000</v>
      </c>
      <c r="CI668">
        <v>15245.5</v>
      </c>
      <c r="CJ668">
        <v>0</v>
      </c>
      <c r="CK668" t="s">
        <v>112</v>
      </c>
      <c r="CL668" t="s">
        <v>112</v>
      </c>
      <c r="CM668">
        <v>36714.720000000001</v>
      </c>
      <c r="CO668">
        <v>0</v>
      </c>
      <c r="CP668">
        <v>1</v>
      </c>
      <c r="CQ668">
        <v>4284088.3200000003</v>
      </c>
      <c r="CR668">
        <v>43749.07</v>
      </c>
      <c r="CS668" t="s">
        <v>145</v>
      </c>
      <c r="CT668">
        <v>43754.584999999999</v>
      </c>
      <c r="CU668">
        <v>2.87</v>
      </c>
      <c r="CV668">
        <v>45</v>
      </c>
      <c r="CX668" t="s">
        <v>1140</v>
      </c>
      <c r="CY668">
        <v>205</v>
      </c>
    </row>
    <row r="669" spans="1:103" x14ac:dyDescent="0.25">
      <c r="A669" t="s">
        <v>106</v>
      </c>
      <c r="B669" s="38">
        <v>45205</v>
      </c>
      <c r="C669" s="43">
        <f>IF(YEAR(Таблица1[[#This Row],[Дата]])=2023,MONTH(Таблица1[[#This Row],[Дата]]),0)</f>
        <v>10</v>
      </c>
      <c r="D669" t="s">
        <v>1984</v>
      </c>
      <c r="E669" t="s">
        <v>108</v>
      </c>
      <c r="F669" t="s">
        <v>1985</v>
      </c>
      <c r="G669" t="s">
        <v>110</v>
      </c>
      <c r="H669" t="s">
        <v>111</v>
      </c>
      <c r="I669" t="s">
        <v>112</v>
      </c>
      <c r="J669" t="s">
        <v>112</v>
      </c>
      <c r="K669" t="s">
        <v>112</v>
      </c>
      <c r="L669" t="s">
        <v>150</v>
      </c>
      <c r="M669" t="s">
        <v>151</v>
      </c>
      <c r="N669" t="s">
        <v>112</v>
      </c>
      <c r="O669" t="s">
        <v>112</v>
      </c>
      <c r="P669">
        <v>1</v>
      </c>
      <c r="R669">
        <v>1</v>
      </c>
      <c r="S669">
        <v>33</v>
      </c>
      <c r="T669" t="s">
        <v>112</v>
      </c>
      <c r="U669" t="s">
        <v>152</v>
      </c>
      <c r="V669" t="s">
        <v>153</v>
      </c>
      <c r="W669" t="s">
        <v>154</v>
      </c>
      <c r="X669" t="s">
        <v>119</v>
      </c>
      <c r="Y669" t="s">
        <v>112</v>
      </c>
      <c r="Z669" t="s">
        <v>112</v>
      </c>
      <c r="AA669" t="s">
        <v>152</v>
      </c>
      <c r="AB669" t="s">
        <v>153</v>
      </c>
      <c r="AC669" t="s">
        <v>154</v>
      </c>
      <c r="AD669" t="s">
        <v>119</v>
      </c>
      <c r="AE669" t="s">
        <v>112</v>
      </c>
      <c r="AF669" t="s">
        <v>121</v>
      </c>
      <c r="AG669" t="s">
        <v>122</v>
      </c>
      <c r="AH669">
        <v>4284088.3200000003</v>
      </c>
      <c r="AI669" t="s">
        <v>112</v>
      </c>
      <c r="AJ669" t="s">
        <v>152</v>
      </c>
      <c r="AK669" t="s">
        <v>153</v>
      </c>
      <c r="AL669" t="s">
        <v>154</v>
      </c>
      <c r="AM669" t="s">
        <v>119</v>
      </c>
      <c r="AN669" t="s">
        <v>112</v>
      </c>
      <c r="AO669" t="s">
        <v>121</v>
      </c>
      <c r="AP669" t="s">
        <v>122</v>
      </c>
      <c r="AQ669" t="s">
        <v>122</v>
      </c>
      <c r="AR669" t="s">
        <v>124</v>
      </c>
      <c r="AS669" t="s">
        <v>125</v>
      </c>
      <c r="AT669">
        <v>2</v>
      </c>
      <c r="AU669" t="s">
        <v>126</v>
      </c>
      <c r="AV669" t="s">
        <v>155</v>
      </c>
      <c r="AW669" t="s">
        <v>156</v>
      </c>
      <c r="AY669" t="s">
        <v>129</v>
      </c>
      <c r="AZ669">
        <v>36714.720000000001</v>
      </c>
      <c r="BC669">
        <v>104.88720000000001</v>
      </c>
      <c r="BD669" t="s">
        <v>112</v>
      </c>
      <c r="BE669" t="s">
        <v>112</v>
      </c>
      <c r="BF669" t="s">
        <v>157</v>
      </c>
      <c r="BG669" t="s">
        <v>133</v>
      </c>
      <c r="BH669" t="s">
        <v>134</v>
      </c>
      <c r="BI669" t="s">
        <v>112</v>
      </c>
      <c r="BJ669" t="s">
        <v>112</v>
      </c>
      <c r="BK669" t="s">
        <v>112</v>
      </c>
      <c r="BL669" t="s">
        <v>169</v>
      </c>
      <c r="BM669" t="s">
        <v>159</v>
      </c>
      <c r="BN669" t="s">
        <v>212</v>
      </c>
      <c r="BO669" t="s">
        <v>161</v>
      </c>
      <c r="BQ669" t="s">
        <v>616</v>
      </c>
      <c r="BR669" s="45">
        <f>ISNUMBER(SEARCH($BR$1,Таблица1[[#This Row],[31_1 Описание и характеристика товара]]))*1</f>
        <v>1</v>
      </c>
      <c r="BT669" t="s">
        <v>150</v>
      </c>
      <c r="BU669">
        <v>33</v>
      </c>
      <c r="BV669">
        <v>0</v>
      </c>
      <c r="BW669">
        <v>0</v>
      </c>
      <c r="BY669">
        <v>0</v>
      </c>
      <c r="CA669" t="s">
        <v>106</v>
      </c>
      <c r="CB669" t="s">
        <v>142</v>
      </c>
      <c r="CC669" t="s">
        <v>112</v>
      </c>
      <c r="CD669" t="s">
        <v>112</v>
      </c>
      <c r="CE669" t="s">
        <v>121</v>
      </c>
      <c r="CF669">
        <v>15489.1</v>
      </c>
      <c r="CG669" t="s">
        <v>144</v>
      </c>
      <c r="CH669">
        <v>4000000</v>
      </c>
      <c r="CI669">
        <v>15245.5</v>
      </c>
      <c r="CJ669">
        <v>0</v>
      </c>
      <c r="CK669" t="s">
        <v>112</v>
      </c>
      <c r="CL669" t="s">
        <v>112</v>
      </c>
      <c r="CM669">
        <v>36714.720000000001</v>
      </c>
      <c r="CO669">
        <v>0</v>
      </c>
      <c r="CP669">
        <v>1</v>
      </c>
      <c r="CQ669">
        <v>4284088.3200000003</v>
      </c>
      <c r="CR669">
        <v>43749.07</v>
      </c>
      <c r="CS669" t="s">
        <v>145</v>
      </c>
      <c r="CT669">
        <v>43754.584999999999</v>
      </c>
      <c r="CU669">
        <v>2.87</v>
      </c>
      <c r="CV669">
        <v>45</v>
      </c>
      <c r="CX669" t="s">
        <v>1140</v>
      </c>
      <c r="CY669">
        <v>205</v>
      </c>
    </row>
    <row r="670" spans="1:103" x14ac:dyDescent="0.25">
      <c r="A670" t="s">
        <v>106</v>
      </c>
      <c r="B670" s="38">
        <v>45205</v>
      </c>
      <c r="C670" s="43">
        <f>IF(YEAR(Таблица1[[#This Row],[Дата]])=2023,MONTH(Таблица1[[#This Row],[Дата]]),0)</f>
        <v>10</v>
      </c>
      <c r="D670" t="s">
        <v>1980</v>
      </c>
      <c r="E670" t="s">
        <v>108</v>
      </c>
      <c r="F670" t="s">
        <v>1981</v>
      </c>
      <c r="G670" t="s">
        <v>110</v>
      </c>
      <c r="H670" t="s">
        <v>111</v>
      </c>
      <c r="I670" t="s">
        <v>112</v>
      </c>
      <c r="J670" t="s">
        <v>112</v>
      </c>
      <c r="K670" t="s">
        <v>112</v>
      </c>
      <c r="L670" t="s">
        <v>150</v>
      </c>
      <c r="M670" t="s">
        <v>151</v>
      </c>
      <c r="N670" t="s">
        <v>112</v>
      </c>
      <c r="O670" t="s">
        <v>112</v>
      </c>
      <c r="P670">
        <v>1</v>
      </c>
      <c r="R670">
        <v>1</v>
      </c>
      <c r="S670">
        <v>33</v>
      </c>
      <c r="T670" t="s">
        <v>112</v>
      </c>
      <c r="U670" t="s">
        <v>152</v>
      </c>
      <c r="V670" t="s">
        <v>153</v>
      </c>
      <c r="W670" t="s">
        <v>154</v>
      </c>
      <c r="X670" t="s">
        <v>119</v>
      </c>
      <c r="Y670" t="s">
        <v>112</v>
      </c>
      <c r="Z670" t="s">
        <v>112</v>
      </c>
      <c r="AA670" t="s">
        <v>152</v>
      </c>
      <c r="AB670" t="s">
        <v>153</v>
      </c>
      <c r="AC670" t="s">
        <v>154</v>
      </c>
      <c r="AD670" t="s">
        <v>119</v>
      </c>
      <c r="AE670" t="s">
        <v>112</v>
      </c>
      <c r="AF670" t="s">
        <v>121</v>
      </c>
      <c r="AG670" t="s">
        <v>122</v>
      </c>
      <c r="AH670">
        <v>4932039.49</v>
      </c>
      <c r="AI670" t="s">
        <v>112</v>
      </c>
      <c r="AJ670" t="s">
        <v>152</v>
      </c>
      <c r="AK670" t="s">
        <v>153</v>
      </c>
      <c r="AL670" t="s">
        <v>154</v>
      </c>
      <c r="AM670" t="s">
        <v>119</v>
      </c>
      <c r="AN670" t="s">
        <v>112</v>
      </c>
      <c r="AO670" t="s">
        <v>121</v>
      </c>
      <c r="AP670" t="s">
        <v>122</v>
      </c>
      <c r="AQ670" t="s">
        <v>122</v>
      </c>
      <c r="AR670" t="s">
        <v>124</v>
      </c>
      <c r="AS670" t="s">
        <v>125</v>
      </c>
      <c r="AT670">
        <v>2</v>
      </c>
      <c r="AU670" t="s">
        <v>126</v>
      </c>
      <c r="AV670" t="s">
        <v>155</v>
      </c>
      <c r="AW670" t="s">
        <v>156</v>
      </c>
      <c r="AY670" t="s">
        <v>129</v>
      </c>
      <c r="AZ670">
        <v>42892.32</v>
      </c>
      <c r="BC670">
        <v>104.88720000000001</v>
      </c>
      <c r="BD670" t="s">
        <v>112</v>
      </c>
      <c r="BE670" t="s">
        <v>112</v>
      </c>
      <c r="BF670" t="s">
        <v>157</v>
      </c>
      <c r="BG670" t="s">
        <v>133</v>
      </c>
      <c r="BH670" t="s">
        <v>167</v>
      </c>
      <c r="BI670" t="s">
        <v>112</v>
      </c>
      <c r="BJ670" t="s">
        <v>112</v>
      </c>
      <c r="BK670" t="s">
        <v>112</v>
      </c>
      <c r="BL670" t="s">
        <v>169</v>
      </c>
      <c r="BM670" t="s">
        <v>159</v>
      </c>
      <c r="BN670" t="s">
        <v>160</v>
      </c>
      <c r="BO670" t="s">
        <v>161</v>
      </c>
      <c r="BQ670" t="s">
        <v>162</v>
      </c>
      <c r="BR670" s="45">
        <f>ISNUMBER(SEARCH($BR$1,Таблица1[[#This Row],[31_1 Описание и характеристика товара]]))*1</f>
        <v>1</v>
      </c>
      <c r="BT670" t="s">
        <v>150</v>
      </c>
      <c r="BU670">
        <v>33</v>
      </c>
      <c r="BV670">
        <v>0</v>
      </c>
      <c r="BW670">
        <v>0</v>
      </c>
      <c r="BY670">
        <v>0</v>
      </c>
      <c r="CA670" t="s">
        <v>106</v>
      </c>
      <c r="CB670" t="s">
        <v>142</v>
      </c>
      <c r="CC670" t="s">
        <v>112</v>
      </c>
      <c r="CD670" t="s">
        <v>112</v>
      </c>
      <c r="CE670" t="s">
        <v>121</v>
      </c>
      <c r="CF670">
        <v>17030.2</v>
      </c>
      <c r="CG670" t="s">
        <v>144</v>
      </c>
      <c r="CH670">
        <v>4000000</v>
      </c>
      <c r="CI670">
        <v>16958.2</v>
      </c>
      <c r="CJ670">
        <v>0</v>
      </c>
      <c r="CK670" t="s">
        <v>112</v>
      </c>
      <c r="CL670" t="s">
        <v>112</v>
      </c>
      <c r="CM670">
        <v>42892.32</v>
      </c>
      <c r="CO670">
        <v>0</v>
      </c>
      <c r="CP670">
        <v>1</v>
      </c>
      <c r="CQ670">
        <v>4932039.49</v>
      </c>
      <c r="CR670">
        <v>50365.94</v>
      </c>
      <c r="CS670" t="s">
        <v>145</v>
      </c>
      <c r="CT670">
        <v>50365.854000000007</v>
      </c>
      <c r="CU670">
        <v>2.97</v>
      </c>
      <c r="CV670">
        <v>45</v>
      </c>
      <c r="CX670" t="s">
        <v>1140</v>
      </c>
      <c r="CY670">
        <v>557</v>
      </c>
    </row>
    <row r="671" spans="1:103" x14ac:dyDescent="0.25">
      <c r="A671" t="s">
        <v>106</v>
      </c>
      <c r="B671" s="38">
        <v>45184</v>
      </c>
      <c r="C671" s="43">
        <f>IF(YEAR(Таблица1[[#This Row],[Дата]])=2023,MONTH(Таблица1[[#This Row],[Дата]]),0)</f>
        <v>9</v>
      </c>
      <c r="D671" t="s">
        <v>1980</v>
      </c>
      <c r="E671" t="s">
        <v>108</v>
      </c>
      <c r="F671" t="s">
        <v>1981</v>
      </c>
      <c r="G671" t="s">
        <v>110</v>
      </c>
      <c r="H671" t="s">
        <v>111</v>
      </c>
      <c r="I671" t="s">
        <v>112</v>
      </c>
      <c r="J671" t="s">
        <v>112</v>
      </c>
      <c r="K671" t="s">
        <v>112</v>
      </c>
      <c r="L671" t="s">
        <v>150</v>
      </c>
      <c r="M671" t="s">
        <v>151</v>
      </c>
      <c r="N671" t="s">
        <v>112</v>
      </c>
      <c r="O671" t="s">
        <v>112</v>
      </c>
      <c r="P671">
        <v>1</v>
      </c>
      <c r="R671">
        <v>1</v>
      </c>
      <c r="S671">
        <v>33</v>
      </c>
      <c r="T671" t="s">
        <v>112</v>
      </c>
      <c r="U671" t="s">
        <v>152</v>
      </c>
      <c r="V671" t="s">
        <v>153</v>
      </c>
      <c r="W671" t="s">
        <v>154</v>
      </c>
      <c r="X671" t="s">
        <v>119</v>
      </c>
      <c r="Y671" t="s">
        <v>112</v>
      </c>
      <c r="Z671" t="s">
        <v>112</v>
      </c>
      <c r="AA671" t="s">
        <v>152</v>
      </c>
      <c r="AB671" t="s">
        <v>153</v>
      </c>
      <c r="AC671" t="s">
        <v>154</v>
      </c>
      <c r="AD671" t="s">
        <v>119</v>
      </c>
      <c r="AE671" t="s">
        <v>112</v>
      </c>
      <c r="AF671" t="s">
        <v>121</v>
      </c>
      <c r="AG671" t="s">
        <v>122</v>
      </c>
      <c r="AH671">
        <v>4932039.49</v>
      </c>
      <c r="AI671" t="s">
        <v>112</v>
      </c>
      <c r="AJ671" t="s">
        <v>152</v>
      </c>
      <c r="AK671" t="s">
        <v>153</v>
      </c>
      <c r="AL671" t="s">
        <v>154</v>
      </c>
      <c r="AM671" t="s">
        <v>119</v>
      </c>
      <c r="AN671" t="s">
        <v>112</v>
      </c>
      <c r="AO671" t="s">
        <v>121</v>
      </c>
      <c r="AP671" t="s">
        <v>122</v>
      </c>
      <c r="AQ671" t="s">
        <v>122</v>
      </c>
      <c r="AR671" t="s">
        <v>124</v>
      </c>
      <c r="AS671" t="s">
        <v>125</v>
      </c>
      <c r="AT671">
        <v>2</v>
      </c>
      <c r="AU671" t="s">
        <v>126</v>
      </c>
      <c r="AV671" t="s">
        <v>155</v>
      </c>
      <c r="AW671" t="s">
        <v>156</v>
      </c>
      <c r="AY671" t="s">
        <v>129</v>
      </c>
      <c r="AZ671">
        <v>42892.32</v>
      </c>
      <c r="BC671">
        <v>104.88720000000001</v>
      </c>
      <c r="BD671" t="s">
        <v>112</v>
      </c>
      <c r="BE671" t="s">
        <v>112</v>
      </c>
      <c r="BF671" t="s">
        <v>157</v>
      </c>
      <c r="BG671" t="s">
        <v>133</v>
      </c>
      <c r="BH671" t="s">
        <v>167</v>
      </c>
      <c r="BI671" t="s">
        <v>112</v>
      </c>
      <c r="BJ671" t="s">
        <v>112</v>
      </c>
      <c r="BK671" t="s">
        <v>112</v>
      </c>
      <c r="BL671" t="s">
        <v>169</v>
      </c>
      <c r="BM671" t="s">
        <v>159</v>
      </c>
      <c r="BN671" t="s">
        <v>160</v>
      </c>
      <c r="BO671" t="s">
        <v>161</v>
      </c>
      <c r="BQ671" t="s">
        <v>162</v>
      </c>
      <c r="BR671" s="45">
        <f>ISNUMBER(SEARCH($BR$1,Таблица1[[#This Row],[31_1 Описание и характеристика товара]]))*1</f>
        <v>1</v>
      </c>
      <c r="BT671" t="s">
        <v>150</v>
      </c>
      <c r="BU671">
        <v>33</v>
      </c>
      <c r="BV671">
        <v>0</v>
      </c>
      <c r="BW671">
        <v>0</v>
      </c>
      <c r="BY671">
        <v>0</v>
      </c>
      <c r="CA671" t="s">
        <v>106</v>
      </c>
      <c r="CB671" t="s">
        <v>142</v>
      </c>
      <c r="CC671" t="s">
        <v>112</v>
      </c>
      <c r="CD671" t="s">
        <v>112</v>
      </c>
      <c r="CE671" t="s">
        <v>121</v>
      </c>
      <c r="CF671">
        <v>17030.2</v>
      </c>
      <c r="CG671" t="s">
        <v>144</v>
      </c>
      <c r="CH671">
        <v>4000000</v>
      </c>
      <c r="CI671">
        <v>16958.2</v>
      </c>
      <c r="CJ671">
        <v>0</v>
      </c>
      <c r="CK671" t="s">
        <v>112</v>
      </c>
      <c r="CL671" t="s">
        <v>112</v>
      </c>
      <c r="CM671">
        <v>42892.32</v>
      </c>
      <c r="CO671">
        <v>0</v>
      </c>
      <c r="CP671">
        <v>1</v>
      </c>
      <c r="CQ671">
        <v>4932039.49</v>
      </c>
      <c r="CR671">
        <v>50365.94</v>
      </c>
      <c r="CS671" t="s">
        <v>145</v>
      </c>
      <c r="CT671">
        <v>50365.854000000007</v>
      </c>
      <c r="CU671">
        <v>2.97</v>
      </c>
      <c r="CV671">
        <v>45</v>
      </c>
      <c r="CX671" t="s">
        <v>1140</v>
      </c>
      <c r="CY671">
        <v>557</v>
      </c>
    </row>
    <row r="672" spans="1:103" x14ac:dyDescent="0.25">
      <c r="A672" t="s">
        <v>106</v>
      </c>
      <c r="B672" s="38">
        <v>45288</v>
      </c>
      <c r="C672" s="43">
        <f>IF(YEAR(Таблица1[[#This Row],[Дата]])=2023,MONTH(Таблица1[[#This Row],[Дата]]),0)</f>
        <v>12</v>
      </c>
      <c r="D672" t="s">
        <v>1974</v>
      </c>
      <c r="E672" t="s">
        <v>108</v>
      </c>
      <c r="F672" t="s">
        <v>1975</v>
      </c>
      <c r="G672" t="s">
        <v>110</v>
      </c>
      <c r="H672" t="s">
        <v>111</v>
      </c>
      <c r="I672" t="s">
        <v>112</v>
      </c>
      <c r="J672" t="s">
        <v>112</v>
      </c>
      <c r="K672" t="s">
        <v>112</v>
      </c>
      <c r="L672" t="s">
        <v>150</v>
      </c>
      <c r="M672" t="s">
        <v>151</v>
      </c>
      <c r="N672" t="s">
        <v>112</v>
      </c>
      <c r="O672" t="s">
        <v>112</v>
      </c>
      <c r="P672">
        <v>1</v>
      </c>
      <c r="R672">
        <v>1</v>
      </c>
      <c r="S672">
        <v>33</v>
      </c>
      <c r="T672" t="s">
        <v>112</v>
      </c>
      <c r="U672" t="s">
        <v>152</v>
      </c>
      <c r="V672" t="s">
        <v>153</v>
      </c>
      <c r="W672" t="s">
        <v>154</v>
      </c>
      <c r="X672" t="s">
        <v>119</v>
      </c>
      <c r="Y672" t="s">
        <v>112</v>
      </c>
      <c r="Z672" t="s">
        <v>112</v>
      </c>
      <c r="AA672" t="s">
        <v>152</v>
      </c>
      <c r="AB672" t="s">
        <v>153</v>
      </c>
      <c r="AC672" t="s">
        <v>154</v>
      </c>
      <c r="AD672" t="s">
        <v>119</v>
      </c>
      <c r="AE672" t="s">
        <v>112</v>
      </c>
      <c r="AF672" t="s">
        <v>121</v>
      </c>
      <c r="AG672" t="s">
        <v>122</v>
      </c>
      <c r="AH672">
        <v>4856508.12</v>
      </c>
      <c r="AI672" t="s">
        <v>112</v>
      </c>
      <c r="AJ672" t="s">
        <v>152</v>
      </c>
      <c r="AK672" t="s">
        <v>153</v>
      </c>
      <c r="AL672" t="s">
        <v>154</v>
      </c>
      <c r="AM672" t="s">
        <v>119</v>
      </c>
      <c r="AN672" t="s">
        <v>112</v>
      </c>
      <c r="AO672" t="s">
        <v>121</v>
      </c>
      <c r="AP672" t="s">
        <v>122</v>
      </c>
      <c r="AQ672" t="s">
        <v>122</v>
      </c>
      <c r="AR672" t="s">
        <v>124</v>
      </c>
      <c r="AS672" t="s">
        <v>125</v>
      </c>
      <c r="AT672">
        <v>2</v>
      </c>
      <c r="AU672" t="s">
        <v>126</v>
      </c>
      <c r="AV672" t="s">
        <v>155</v>
      </c>
      <c r="AW672" t="s">
        <v>156</v>
      </c>
      <c r="AY672" t="s">
        <v>129</v>
      </c>
      <c r="AZ672">
        <v>42172.2</v>
      </c>
      <c r="BC672">
        <v>104.88720000000001</v>
      </c>
      <c r="BD672" t="s">
        <v>112</v>
      </c>
      <c r="BE672" t="s">
        <v>112</v>
      </c>
      <c r="BF672" t="s">
        <v>157</v>
      </c>
      <c r="BG672" t="s">
        <v>133</v>
      </c>
      <c r="BH672" t="s">
        <v>134</v>
      </c>
      <c r="BI672" t="s">
        <v>112</v>
      </c>
      <c r="BJ672" t="s">
        <v>112</v>
      </c>
      <c r="BK672" t="s">
        <v>112</v>
      </c>
      <c r="BL672" t="s">
        <v>169</v>
      </c>
      <c r="BM672" t="s">
        <v>159</v>
      </c>
      <c r="BN672" t="s">
        <v>212</v>
      </c>
      <c r="BO672" t="s">
        <v>161</v>
      </c>
      <c r="BQ672" t="s">
        <v>232</v>
      </c>
      <c r="BR672" s="45">
        <f>ISNUMBER(SEARCH($BR$1,Таблица1[[#This Row],[31_1 Описание и характеристика товара]]))*1</f>
        <v>1</v>
      </c>
      <c r="BT672" t="s">
        <v>150</v>
      </c>
      <c r="BU672">
        <v>33</v>
      </c>
      <c r="BV672">
        <v>0</v>
      </c>
      <c r="BW672">
        <v>0</v>
      </c>
      <c r="BY672">
        <v>0</v>
      </c>
      <c r="CA672" t="s">
        <v>106</v>
      </c>
      <c r="CB672" t="s">
        <v>142</v>
      </c>
      <c r="CC672" t="s">
        <v>112</v>
      </c>
      <c r="CD672" t="s">
        <v>112</v>
      </c>
      <c r="CE672" t="s">
        <v>121</v>
      </c>
      <c r="CF672">
        <v>14443.2</v>
      </c>
      <c r="CG672" t="s">
        <v>144</v>
      </c>
      <c r="CH672">
        <v>4000000</v>
      </c>
      <c r="CI672">
        <v>14054.4</v>
      </c>
      <c r="CJ672">
        <v>0</v>
      </c>
      <c r="CK672" t="s">
        <v>112</v>
      </c>
      <c r="CL672" t="s">
        <v>112</v>
      </c>
      <c r="CM672">
        <v>42172.2</v>
      </c>
      <c r="CO672">
        <v>0</v>
      </c>
      <c r="CP672">
        <v>1</v>
      </c>
      <c r="CQ672">
        <v>4856508.12</v>
      </c>
      <c r="CR672">
        <v>49594.62</v>
      </c>
      <c r="CS672" t="s">
        <v>145</v>
      </c>
      <c r="CT672">
        <v>49612.031999999999</v>
      </c>
      <c r="CU672">
        <v>3.53</v>
      </c>
      <c r="CV672">
        <v>45</v>
      </c>
      <c r="CX672" t="s">
        <v>233</v>
      </c>
      <c r="CY672">
        <v>552</v>
      </c>
    </row>
    <row r="673" spans="1:103" x14ac:dyDescent="0.25">
      <c r="A673" t="s">
        <v>106</v>
      </c>
      <c r="B673" s="38">
        <v>45170</v>
      </c>
      <c r="C673" s="43">
        <f>IF(YEAR(Таблица1[[#This Row],[Дата]])=2023,MONTH(Таблица1[[#This Row],[Дата]]),0)</f>
        <v>9</v>
      </c>
      <c r="D673" t="s">
        <v>1974</v>
      </c>
      <c r="E673" t="s">
        <v>108</v>
      </c>
      <c r="F673" t="s">
        <v>1975</v>
      </c>
      <c r="G673" t="s">
        <v>110</v>
      </c>
      <c r="H673" t="s">
        <v>111</v>
      </c>
      <c r="I673" t="s">
        <v>112</v>
      </c>
      <c r="J673" t="s">
        <v>112</v>
      </c>
      <c r="K673" t="s">
        <v>112</v>
      </c>
      <c r="L673" t="s">
        <v>150</v>
      </c>
      <c r="M673" t="s">
        <v>151</v>
      </c>
      <c r="N673" t="s">
        <v>112</v>
      </c>
      <c r="O673" t="s">
        <v>112</v>
      </c>
      <c r="P673">
        <v>1</v>
      </c>
      <c r="R673">
        <v>1</v>
      </c>
      <c r="S673">
        <v>33</v>
      </c>
      <c r="T673" t="s">
        <v>112</v>
      </c>
      <c r="U673" t="s">
        <v>152</v>
      </c>
      <c r="V673" t="s">
        <v>153</v>
      </c>
      <c r="W673" t="s">
        <v>154</v>
      </c>
      <c r="X673" t="s">
        <v>119</v>
      </c>
      <c r="Y673" t="s">
        <v>112</v>
      </c>
      <c r="Z673" t="s">
        <v>112</v>
      </c>
      <c r="AA673" t="s">
        <v>152</v>
      </c>
      <c r="AB673" t="s">
        <v>153</v>
      </c>
      <c r="AC673" t="s">
        <v>154</v>
      </c>
      <c r="AD673" t="s">
        <v>119</v>
      </c>
      <c r="AE673" t="s">
        <v>112</v>
      </c>
      <c r="AF673" t="s">
        <v>121</v>
      </c>
      <c r="AG673" t="s">
        <v>122</v>
      </c>
      <c r="AH673">
        <v>4856508.12</v>
      </c>
      <c r="AI673" t="s">
        <v>112</v>
      </c>
      <c r="AJ673" t="s">
        <v>152</v>
      </c>
      <c r="AK673" t="s">
        <v>153</v>
      </c>
      <c r="AL673" t="s">
        <v>154</v>
      </c>
      <c r="AM673" t="s">
        <v>119</v>
      </c>
      <c r="AN673" t="s">
        <v>112</v>
      </c>
      <c r="AO673" t="s">
        <v>121</v>
      </c>
      <c r="AP673" t="s">
        <v>122</v>
      </c>
      <c r="AQ673" t="s">
        <v>122</v>
      </c>
      <c r="AR673" t="s">
        <v>124</v>
      </c>
      <c r="AS673" t="s">
        <v>125</v>
      </c>
      <c r="AT673">
        <v>2</v>
      </c>
      <c r="AU673" t="s">
        <v>126</v>
      </c>
      <c r="AV673" t="s">
        <v>155</v>
      </c>
      <c r="AW673" t="s">
        <v>156</v>
      </c>
      <c r="AY673" t="s">
        <v>129</v>
      </c>
      <c r="AZ673">
        <v>42172.2</v>
      </c>
      <c r="BC673">
        <v>104.88720000000001</v>
      </c>
      <c r="BD673" t="s">
        <v>112</v>
      </c>
      <c r="BE673" t="s">
        <v>112</v>
      </c>
      <c r="BF673" t="s">
        <v>157</v>
      </c>
      <c r="BG673" t="s">
        <v>133</v>
      </c>
      <c r="BH673" t="s">
        <v>134</v>
      </c>
      <c r="BI673" t="s">
        <v>112</v>
      </c>
      <c r="BJ673" t="s">
        <v>112</v>
      </c>
      <c r="BK673" t="s">
        <v>112</v>
      </c>
      <c r="BL673" t="s">
        <v>169</v>
      </c>
      <c r="BM673" t="s">
        <v>159</v>
      </c>
      <c r="BN673" t="s">
        <v>212</v>
      </c>
      <c r="BO673" t="s">
        <v>161</v>
      </c>
      <c r="BQ673" t="s">
        <v>232</v>
      </c>
      <c r="BR673" s="45">
        <f>ISNUMBER(SEARCH($BR$1,Таблица1[[#This Row],[31_1 Описание и характеристика товара]]))*1</f>
        <v>1</v>
      </c>
      <c r="BT673" t="s">
        <v>150</v>
      </c>
      <c r="BU673">
        <v>33</v>
      </c>
      <c r="BV673">
        <v>0</v>
      </c>
      <c r="BW673">
        <v>0</v>
      </c>
      <c r="BY673">
        <v>0</v>
      </c>
      <c r="CA673" t="s">
        <v>106</v>
      </c>
      <c r="CB673" t="s">
        <v>142</v>
      </c>
      <c r="CC673" t="s">
        <v>112</v>
      </c>
      <c r="CD673" t="s">
        <v>112</v>
      </c>
      <c r="CE673" t="s">
        <v>121</v>
      </c>
      <c r="CF673">
        <v>14443.2</v>
      </c>
      <c r="CG673" t="s">
        <v>144</v>
      </c>
      <c r="CH673">
        <v>4000000</v>
      </c>
      <c r="CI673">
        <v>14054.4</v>
      </c>
      <c r="CJ673">
        <v>0</v>
      </c>
      <c r="CK673" t="s">
        <v>112</v>
      </c>
      <c r="CL673" t="s">
        <v>112</v>
      </c>
      <c r="CM673">
        <v>42172.2</v>
      </c>
      <c r="CO673">
        <v>0</v>
      </c>
      <c r="CP673">
        <v>1</v>
      </c>
      <c r="CQ673">
        <v>4856508.12</v>
      </c>
      <c r="CR673">
        <v>49594.62</v>
      </c>
      <c r="CS673" t="s">
        <v>145</v>
      </c>
      <c r="CT673">
        <v>49612.031999999999</v>
      </c>
      <c r="CU673">
        <v>3.53</v>
      </c>
      <c r="CV673">
        <v>45</v>
      </c>
      <c r="CX673" t="s">
        <v>233</v>
      </c>
      <c r="CY673">
        <v>552</v>
      </c>
    </row>
    <row r="674" spans="1:103" x14ac:dyDescent="0.25">
      <c r="A674" t="s">
        <v>106</v>
      </c>
      <c r="B674" s="38">
        <v>45181</v>
      </c>
      <c r="C674" s="43">
        <f>IF(YEAR(Таблица1[[#This Row],[Дата]])=2023,MONTH(Таблица1[[#This Row],[Дата]]),0)</f>
        <v>9</v>
      </c>
      <c r="D674" t="s">
        <v>1982</v>
      </c>
      <c r="E674" t="s">
        <v>108</v>
      </c>
      <c r="F674" t="s">
        <v>1983</v>
      </c>
      <c r="G674" t="s">
        <v>110</v>
      </c>
      <c r="H674" t="s">
        <v>111</v>
      </c>
      <c r="I674" t="s">
        <v>112</v>
      </c>
      <c r="J674" t="s">
        <v>112</v>
      </c>
      <c r="K674" t="s">
        <v>112</v>
      </c>
      <c r="L674" t="s">
        <v>150</v>
      </c>
      <c r="M674" t="s">
        <v>151</v>
      </c>
      <c r="N674" t="s">
        <v>112</v>
      </c>
      <c r="O674" t="s">
        <v>112</v>
      </c>
      <c r="P674">
        <v>1</v>
      </c>
      <c r="R674">
        <v>1</v>
      </c>
      <c r="S674">
        <v>33</v>
      </c>
      <c r="T674" t="s">
        <v>112</v>
      </c>
      <c r="U674" t="s">
        <v>152</v>
      </c>
      <c r="V674" t="s">
        <v>153</v>
      </c>
      <c r="W674" t="s">
        <v>154</v>
      </c>
      <c r="X674" t="s">
        <v>119</v>
      </c>
      <c r="Y674" t="s">
        <v>112</v>
      </c>
      <c r="Z674" t="s">
        <v>112</v>
      </c>
      <c r="AA674" t="s">
        <v>152</v>
      </c>
      <c r="AB674" t="s">
        <v>153</v>
      </c>
      <c r="AC674" t="s">
        <v>154</v>
      </c>
      <c r="AD674" t="s">
        <v>119</v>
      </c>
      <c r="AE674" t="s">
        <v>112</v>
      </c>
      <c r="AF674" t="s">
        <v>121</v>
      </c>
      <c r="AG674" t="s">
        <v>122</v>
      </c>
      <c r="AH674">
        <v>4358474.32</v>
      </c>
      <c r="AI674" t="s">
        <v>112</v>
      </c>
      <c r="AJ674" t="s">
        <v>152</v>
      </c>
      <c r="AK674" t="s">
        <v>153</v>
      </c>
      <c r="AL674" t="s">
        <v>154</v>
      </c>
      <c r="AM674" t="s">
        <v>119</v>
      </c>
      <c r="AN674" t="s">
        <v>112</v>
      </c>
      <c r="AO674" t="s">
        <v>121</v>
      </c>
      <c r="AP674" t="s">
        <v>122</v>
      </c>
      <c r="AQ674" t="s">
        <v>122</v>
      </c>
      <c r="AR674" t="s">
        <v>124</v>
      </c>
      <c r="AS674" t="s">
        <v>125</v>
      </c>
      <c r="AT674">
        <v>2</v>
      </c>
      <c r="AU674" t="s">
        <v>126</v>
      </c>
      <c r="AV674" t="s">
        <v>155</v>
      </c>
      <c r="AW674" t="s">
        <v>156</v>
      </c>
      <c r="AY674" t="s">
        <v>129</v>
      </c>
      <c r="AZ674">
        <v>37423.919999999998</v>
      </c>
      <c r="BC674">
        <v>104.88720000000001</v>
      </c>
      <c r="BD674" t="s">
        <v>112</v>
      </c>
      <c r="BE674" t="s">
        <v>112</v>
      </c>
      <c r="BF674" t="s">
        <v>157</v>
      </c>
      <c r="BG674" t="s">
        <v>133</v>
      </c>
      <c r="BH674" t="s">
        <v>134</v>
      </c>
      <c r="BI674" t="s">
        <v>112</v>
      </c>
      <c r="BJ674" t="s">
        <v>112</v>
      </c>
      <c r="BK674" t="s">
        <v>112</v>
      </c>
      <c r="BL674" t="s">
        <v>169</v>
      </c>
      <c r="BM674" t="s">
        <v>159</v>
      </c>
      <c r="BN674" t="s">
        <v>212</v>
      </c>
      <c r="BO674" t="s">
        <v>161</v>
      </c>
      <c r="BQ674" t="s">
        <v>281</v>
      </c>
      <c r="BR674" s="45">
        <f>ISNUMBER(SEARCH($BR$1,Таблица1[[#This Row],[31_1 Описание и характеристика товара]]))*1</f>
        <v>1</v>
      </c>
      <c r="BT674" t="s">
        <v>150</v>
      </c>
      <c r="BU674">
        <v>33</v>
      </c>
      <c r="BV674">
        <v>0</v>
      </c>
      <c r="BW674">
        <v>0</v>
      </c>
      <c r="BY674">
        <v>0</v>
      </c>
      <c r="CA674" t="s">
        <v>106</v>
      </c>
      <c r="CB674" t="s">
        <v>142</v>
      </c>
      <c r="CC674" t="s">
        <v>112</v>
      </c>
      <c r="CD674" t="s">
        <v>112</v>
      </c>
      <c r="CE674" t="s">
        <v>121</v>
      </c>
      <c r="CF674">
        <v>15773.8</v>
      </c>
      <c r="CG674" t="s">
        <v>144</v>
      </c>
      <c r="CH674">
        <v>4000000</v>
      </c>
      <c r="CI674">
        <v>15514.6</v>
      </c>
      <c r="CJ674">
        <v>0</v>
      </c>
      <c r="CK674" t="s">
        <v>112</v>
      </c>
      <c r="CL674" t="s">
        <v>112</v>
      </c>
      <c r="CM674">
        <v>37423.919999999998</v>
      </c>
      <c r="CO674">
        <v>0</v>
      </c>
      <c r="CP674">
        <v>1</v>
      </c>
      <c r="CQ674">
        <v>4358474.32</v>
      </c>
      <c r="CR674">
        <v>44508.7</v>
      </c>
      <c r="CS674" t="s">
        <v>145</v>
      </c>
      <c r="CT674">
        <v>44526.902000000002</v>
      </c>
      <c r="CU674">
        <v>2.87</v>
      </c>
      <c r="CV674">
        <v>45</v>
      </c>
      <c r="CX674" t="s">
        <v>233</v>
      </c>
      <c r="CY674">
        <v>256</v>
      </c>
    </row>
    <row r="675" spans="1:103" x14ac:dyDescent="0.25">
      <c r="A675" t="s">
        <v>106</v>
      </c>
      <c r="B675" s="38">
        <v>45264</v>
      </c>
      <c r="C675" s="43">
        <f>IF(YEAR(Таблица1[[#This Row],[Дата]])=2023,MONTH(Таблица1[[#This Row],[Дата]]),0)</f>
        <v>12</v>
      </c>
      <c r="D675" t="s">
        <v>1982</v>
      </c>
      <c r="E675" t="s">
        <v>108</v>
      </c>
      <c r="F675" t="s">
        <v>1983</v>
      </c>
      <c r="G675" t="s">
        <v>110</v>
      </c>
      <c r="H675" t="s">
        <v>111</v>
      </c>
      <c r="I675" t="s">
        <v>112</v>
      </c>
      <c r="J675" t="s">
        <v>112</v>
      </c>
      <c r="K675" t="s">
        <v>112</v>
      </c>
      <c r="L675" t="s">
        <v>150</v>
      </c>
      <c r="M675" t="s">
        <v>151</v>
      </c>
      <c r="N675" t="s">
        <v>112</v>
      </c>
      <c r="O675" t="s">
        <v>112</v>
      </c>
      <c r="P675">
        <v>1</v>
      </c>
      <c r="R675">
        <v>1</v>
      </c>
      <c r="S675">
        <v>33</v>
      </c>
      <c r="T675" t="s">
        <v>112</v>
      </c>
      <c r="U675" t="s">
        <v>152</v>
      </c>
      <c r="V675" t="s">
        <v>153</v>
      </c>
      <c r="W675" t="s">
        <v>154</v>
      </c>
      <c r="X675" t="s">
        <v>119</v>
      </c>
      <c r="Y675" t="s">
        <v>112</v>
      </c>
      <c r="Z675" t="s">
        <v>112</v>
      </c>
      <c r="AA675" t="s">
        <v>152</v>
      </c>
      <c r="AB675" t="s">
        <v>153</v>
      </c>
      <c r="AC675" t="s">
        <v>154</v>
      </c>
      <c r="AD675" t="s">
        <v>119</v>
      </c>
      <c r="AE675" t="s">
        <v>112</v>
      </c>
      <c r="AF675" t="s">
        <v>121</v>
      </c>
      <c r="AG675" t="s">
        <v>122</v>
      </c>
      <c r="AH675">
        <v>4358474.32</v>
      </c>
      <c r="AI675" t="s">
        <v>112</v>
      </c>
      <c r="AJ675" t="s">
        <v>152</v>
      </c>
      <c r="AK675" t="s">
        <v>153</v>
      </c>
      <c r="AL675" t="s">
        <v>154</v>
      </c>
      <c r="AM675" t="s">
        <v>119</v>
      </c>
      <c r="AN675" t="s">
        <v>112</v>
      </c>
      <c r="AO675" t="s">
        <v>121</v>
      </c>
      <c r="AP675" t="s">
        <v>122</v>
      </c>
      <c r="AQ675" t="s">
        <v>122</v>
      </c>
      <c r="AR675" t="s">
        <v>124</v>
      </c>
      <c r="AS675" t="s">
        <v>125</v>
      </c>
      <c r="AT675">
        <v>2</v>
      </c>
      <c r="AU675" t="s">
        <v>126</v>
      </c>
      <c r="AV675" t="s">
        <v>155</v>
      </c>
      <c r="AW675" t="s">
        <v>156</v>
      </c>
      <c r="AY675" t="s">
        <v>129</v>
      </c>
      <c r="AZ675">
        <v>37423.919999999998</v>
      </c>
      <c r="BC675">
        <v>104.88720000000001</v>
      </c>
      <c r="BD675" t="s">
        <v>112</v>
      </c>
      <c r="BE675" t="s">
        <v>112</v>
      </c>
      <c r="BF675" t="s">
        <v>157</v>
      </c>
      <c r="BG675" t="s">
        <v>133</v>
      </c>
      <c r="BH675" t="s">
        <v>134</v>
      </c>
      <c r="BI675" t="s">
        <v>112</v>
      </c>
      <c r="BJ675" t="s">
        <v>112</v>
      </c>
      <c r="BK675" t="s">
        <v>112</v>
      </c>
      <c r="BL675" t="s">
        <v>169</v>
      </c>
      <c r="BM675" t="s">
        <v>159</v>
      </c>
      <c r="BN675" t="s">
        <v>212</v>
      </c>
      <c r="BO675" t="s">
        <v>161</v>
      </c>
      <c r="BQ675" t="s">
        <v>281</v>
      </c>
      <c r="BR675" s="45">
        <f>ISNUMBER(SEARCH($BR$1,Таблица1[[#This Row],[31_1 Описание и характеристика товара]]))*1</f>
        <v>1</v>
      </c>
      <c r="BT675" t="s">
        <v>150</v>
      </c>
      <c r="BU675">
        <v>33</v>
      </c>
      <c r="BV675">
        <v>0</v>
      </c>
      <c r="BW675">
        <v>0</v>
      </c>
      <c r="BY675">
        <v>0</v>
      </c>
      <c r="CA675" t="s">
        <v>106</v>
      </c>
      <c r="CB675" t="s">
        <v>142</v>
      </c>
      <c r="CC675" t="s">
        <v>112</v>
      </c>
      <c r="CD675" t="s">
        <v>112</v>
      </c>
      <c r="CE675" t="s">
        <v>121</v>
      </c>
      <c r="CF675">
        <v>15773.8</v>
      </c>
      <c r="CG675" t="s">
        <v>144</v>
      </c>
      <c r="CH675">
        <v>4000000</v>
      </c>
      <c r="CI675">
        <v>15514.6</v>
      </c>
      <c r="CJ675">
        <v>0</v>
      </c>
      <c r="CK675" t="s">
        <v>112</v>
      </c>
      <c r="CL675" t="s">
        <v>112</v>
      </c>
      <c r="CM675">
        <v>37423.919999999998</v>
      </c>
      <c r="CO675">
        <v>0</v>
      </c>
      <c r="CP675">
        <v>1</v>
      </c>
      <c r="CQ675">
        <v>4358474.32</v>
      </c>
      <c r="CR675">
        <v>44508.7</v>
      </c>
      <c r="CS675" t="s">
        <v>145</v>
      </c>
      <c r="CT675">
        <v>44526.902000000002</v>
      </c>
      <c r="CU675">
        <v>2.87</v>
      </c>
      <c r="CV675">
        <v>45</v>
      </c>
      <c r="CX675" t="s">
        <v>233</v>
      </c>
      <c r="CY675">
        <v>256</v>
      </c>
    </row>
    <row r="676" spans="1:103" x14ac:dyDescent="0.25">
      <c r="A676" t="s">
        <v>106</v>
      </c>
      <c r="B676" s="38">
        <v>45102</v>
      </c>
      <c r="C676" s="43">
        <f>IF(YEAR(Таблица1[[#This Row],[Дата]])=2023,MONTH(Таблица1[[#This Row],[Дата]]),0)</f>
        <v>6</v>
      </c>
      <c r="D676" t="s">
        <v>1951</v>
      </c>
      <c r="E676" t="s">
        <v>108</v>
      </c>
      <c r="F676" t="s">
        <v>1952</v>
      </c>
      <c r="G676" t="s">
        <v>110</v>
      </c>
      <c r="H676" t="s">
        <v>111</v>
      </c>
      <c r="I676" t="s">
        <v>112</v>
      </c>
      <c r="J676" t="s">
        <v>112</v>
      </c>
      <c r="K676" t="s">
        <v>112</v>
      </c>
      <c r="L676" t="s">
        <v>150</v>
      </c>
      <c r="M676" t="s">
        <v>151</v>
      </c>
      <c r="N676" t="s">
        <v>112</v>
      </c>
      <c r="O676" t="s">
        <v>112</v>
      </c>
      <c r="P676">
        <v>1</v>
      </c>
      <c r="R676">
        <v>1</v>
      </c>
      <c r="S676">
        <v>33</v>
      </c>
      <c r="T676" t="s">
        <v>112</v>
      </c>
      <c r="U676" t="s">
        <v>152</v>
      </c>
      <c r="V676" t="s">
        <v>153</v>
      </c>
      <c r="W676" t="s">
        <v>154</v>
      </c>
      <c r="X676" t="s">
        <v>119</v>
      </c>
      <c r="Y676" t="s">
        <v>112</v>
      </c>
      <c r="Z676" t="s">
        <v>112</v>
      </c>
      <c r="AA676" t="s">
        <v>152</v>
      </c>
      <c r="AB676" t="s">
        <v>153</v>
      </c>
      <c r="AC676" t="s">
        <v>154</v>
      </c>
      <c r="AD676" t="s">
        <v>119</v>
      </c>
      <c r="AE676" t="s">
        <v>112</v>
      </c>
      <c r="AF676" t="s">
        <v>121</v>
      </c>
      <c r="AG676" t="s">
        <v>122</v>
      </c>
      <c r="AH676">
        <v>5067218.1100000003</v>
      </c>
      <c r="AI676" t="s">
        <v>112</v>
      </c>
      <c r="AJ676" t="s">
        <v>152</v>
      </c>
      <c r="AK676" t="s">
        <v>153</v>
      </c>
      <c r="AL676" t="s">
        <v>154</v>
      </c>
      <c r="AM676" t="s">
        <v>119</v>
      </c>
      <c r="AN676" t="s">
        <v>112</v>
      </c>
      <c r="AO676" t="s">
        <v>121</v>
      </c>
      <c r="AP676" t="s">
        <v>122</v>
      </c>
      <c r="AQ676" t="s">
        <v>122</v>
      </c>
      <c r="AR676" t="s">
        <v>124</v>
      </c>
      <c r="AS676" t="s">
        <v>125</v>
      </c>
      <c r="AT676">
        <v>2</v>
      </c>
      <c r="AU676" t="s">
        <v>126</v>
      </c>
      <c r="AV676" t="s">
        <v>155</v>
      </c>
      <c r="AW676" t="s">
        <v>156</v>
      </c>
      <c r="AY676" t="s">
        <v>129</v>
      </c>
      <c r="AZ676">
        <v>44181.120000000003</v>
      </c>
      <c r="BC676">
        <v>104.88720000000001</v>
      </c>
      <c r="BD676" t="s">
        <v>112</v>
      </c>
      <c r="BE676" t="s">
        <v>112</v>
      </c>
      <c r="BF676" t="s">
        <v>157</v>
      </c>
      <c r="BG676" t="s">
        <v>133</v>
      </c>
      <c r="BH676" t="s">
        <v>167</v>
      </c>
      <c r="BI676" t="s">
        <v>112</v>
      </c>
      <c r="BJ676" t="s">
        <v>112</v>
      </c>
      <c r="BK676" t="s">
        <v>112</v>
      </c>
      <c r="BL676" t="s">
        <v>169</v>
      </c>
      <c r="BM676" t="s">
        <v>159</v>
      </c>
      <c r="BN676" t="s">
        <v>160</v>
      </c>
      <c r="BO676" t="s">
        <v>161</v>
      </c>
      <c r="BQ676" t="s">
        <v>162</v>
      </c>
      <c r="BR676" s="45">
        <f>ISNUMBER(SEARCH($BR$1,Таблица1[[#This Row],[31_1 Описание и характеристика товара]]))*1</f>
        <v>1</v>
      </c>
      <c r="BT676" t="s">
        <v>150</v>
      </c>
      <c r="BU676">
        <v>33</v>
      </c>
      <c r="BV676">
        <v>0</v>
      </c>
      <c r="BW676">
        <v>0</v>
      </c>
      <c r="BY676">
        <v>0</v>
      </c>
      <c r="CA676" t="s">
        <v>106</v>
      </c>
      <c r="CB676" t="s">
        <v>142</v>
      </c>
      <c r="CC676" t="s">
        <v>112</v>
      </c>
      <c r="CD676" t="s">
        <v>112</v>
      </c>
      <c r="CE676" t="s">
        <v>121</v>
      </c>
      <c r="CF676">
        <v>16844.62</v>
      </c>
      <c r="CG676" t="s">
        <v>144</v>
      </c>
      <c r="CH676">
        <v>4000000</v>
      </c>
      <c r="CI676">
        <v>16772.62</v>
      </c>
      <c r="CJ676">
        <v>0</v>
      </c>
      <c r="CK676" t="s">
        <v>112</v>
      </c>
      <c r="CL676" t="s">
        <v>112</v>
      </c>
      <c r="CM676">
        <v>44181.120000000003</v>
      </c>
      <c r="CO676">
        <v>0</v>
      </c>
      <c r="CP676">
        <v>1</v>
      </c>
      <c r="CQ676">
        <v>5067218.1100000003</v>
      </c>
      <c r="CR676">
        <v>51746.38</v>
      </c>
      <c r="CS676" t="s">
        <v>145</v>
      </c>
      <c r="CT676">
        <v>51827.395799999991</v>
      </c>
      <c r="CU676">
        <v>3.09</v>
      </c>
      <c r="CV676">
        <v>45</v>
      </c>
      <c r="CX676" t="s">
        <v>1140</v>
      </c>
      <c r="CY676">
        <v>370</v>
      </c>
    </row>
    <row r="677" spans="1:103" x14ac:dyDescent="0.25">
      <c r="A677" t="s">
        <v>106</v>
      </c>
      <c r="B677" s="38">
        <v>44703</v>
      </c>
      <c r="C677" s="43">
        <f>IF(YEAR(Таблица1[[#This Row],[Дата]])=2023,MONTH(Таблица1[[#This Row],[Дата]]),0)</f>
        <v>0</v>
      </c>
      <c r="D677" t="s">
        <v>1951</v>
      </c>
      <c r="E677" t="s">
        <v>108</v>
      </c>
      <c r="F677" t="s">
        <v>1952</v>
      </c>
      <c r="G677" t="s">
        <v>110</v>
      </c>
      <c r="H677" t="s">
        <v>111</v>
      </c>
      <c r="I677" t="s">
        <v>112</v>
      </c>
      <c r="J677" t="s">
        <v>112</v>
      </c>
      <c r="K677" t="s">
        <v>112</v>
      </c>
      <c r="L677" t="s">
        <v>150</v>
      </c>
      <c r="M677" t="s">
        <v>151</v>
      </c>
      <c r="N677" t="s">
        <v>112</v>
      </c>
      <c r="O677" t="s">
        <v>112</v>
      </c>
      <c r="P677">
        <v>1</v>
      </c>
      <c r="R677">
        <v>1</v>
      </c>
      <c r="S677">
        <v>33</v>
      </c>
      <c r="T677" t="s">
        <v>112</v>
      </c>
      <c r="U677" t="s">
        <v>152</v>
      </c>
      <c r="V677" t="s">
        <v>153</v>
      </c>
      <c r="W677" t="s">
        <v>154</v>
      </c>
      <c r="X677" t="s">
        <v>119</v>
      </c>
      <c r="Y677" t="s">
        <v>112</v>
      </c>
      <c r="Z677" t="s">
        <v>112</v>
      </c>
      <c r="AA677" t="s">
        <v>152</v>
      </c>
      <c r="AB677" t="s">
        <v>153</v>
      </c>
      <c r="AC677" t="s">
        <v>154</v>
      </c>
      <c r="AD677" t="s">
        <v>119</v>
      </c>
      <c r="AE677" t="s">
        <v>112</v>
      </c>
      <c r="AF677" t="s">
        <v>121</v>
      </c>
      <c r="AG677" t="s">
        <v>122</v>
      </c>
      <c r="AH677">
        <v>5067218.1100000003</v>
      </c>
      <c r="AI677" t="s">
        <v>112</v>
      </c>
      <c r="AJ677" t="s">
        <v>152</v>
      </c>
      <c r="AK677" t="s">
        <v>153</v>
      </c>
      <c r="AL677" t="s">
        <v>154</v>
      </c>
      <c r="AM677" t="s">
        <v>119</v>
      </c>
      <c r="AN677" t="s">
        <v>112</v>
      </c>
      <c r="AO677" t="s">
        <v>121</v>
      </c>
      <c r="AP677" t="s">
        <v>122</v>
      </c>
      <c r="AQ677" t="s">
        <v>122</v>
      </c>
      <c r="AR677" t="s">
        <v>124</v>
      </c>
      <c r="AS677" t="s">
        <v>125</v>
      </c>
      <c r="AT677">
        <v>2</v>
      </c>
      <c r="AU677" t="s">
        <v>126</v>
      </c>
      <c r="AV677" t="s">
        <v>155</v>
      </c>
      <c r="AW677" t="s">
        <v>156</v>
      </c>
      <c r="AY677" t="s">
        <v>129</v>
      </c>
      <c r="AZ677">
        <v>44181.120000000003</v>
      </c>
      <c r="BC677">
        <v>104.88720000000001</v>
      </c>
      <c r="BD677" t="s">
        <v>112</v>
      </c>
      <c r="BE677" t="s">
        <v>112</v>
      </c>
      <c r="BF677" t="s">
        <v>157</v>
      </c>
      <c r="BG677" t="s">
        <v>133</v>
      </c>
      <c r="BH677" t="s">
        <v>167</v>
      </c>
      <c r="BI677" t="s">
        <v>112</v>
      </c>
      <c r="BJ677" t="s">
        <v>112</v>
      </c>
      <c r="BK677" t="s">
        <v>112</v>
      </c>
      <c r="BL677" t="s">
        <v>169</v>
      </c>
      <c r="BM677" t="s">
        <v>159</v>
      </c>
      <c r="BN677" t="s">
        <v>160</v>
      </c>
      <c r="BO677" t="s">
        <v>161</v>
      </c>
      <c r="BQ677" t="s">
        <v>162</v>
      </c>
      <c r="BR677" s="45">
        <f>ISNUMBER(SEARCH($BR$1,Таблица1[[#This Row],[31_1 Описание и характеристика товара]]))*1</f>
        <v>1</v>
      </c>
      <c r="BT677" t="s">
        <v>150</v>
      </c>
      <c r="BU677">
        <v>33</v>
      </c>
      <c r="BV677">
        <v>0</v>
      </c>
      <c r="BW677">
        <v>0</v>
      </c>
      <c r="BY677">
        <v>0</v>
      </c>
      <c r="CA677" t="s">
        <v>106</v>
      </c>
      <c r="CB677" t="s">
        <v>142</v>
      </c>
      <c r="CC677" t="s">
        <v>112</v>
      </c>
      <c r="CD677" t="s">
        <v>112</v>
      </c>
      <c r="CE677" t="s">
        <v>121</v>
      </c>
      <c r="CF677">
        <v>16844.62</v>
      </c>
      <c r="CG677" t="s">
        <v>144</v>
      </c>
      <c r="CH677">
        <v>4000000</v>
      </c>
      <c r="CI677">
        <v>16772.62</v>
      </c>
      <c r="CJ677">
        <v>0</v>
      </c>
      <c r="CK677" t="s">
        <v>112</v>
      </c>
      <c r="CL677" t="s">
        <v>112</v>
      </c>
      <c r="CM677">
        <v>44181.120000000003</v>
      </c>
      <c r="CO677">
        <v>0</v>
      </c>
      <c r="CP677">
        <v>1</v>
      </c>
      <c r="CQ677">
        <v>5067218.1100000003</v>
      </c>
      <c r="CR677">
        <v>51746.38</v>
      </c>
      <c r="CS677" t="s">
        <v>145</v>
      </c>
      <c r="CT677">
        <v>51827.395799999991</v>
      </c>
      <c r="CU677">
        <v>3.09</v>
      </c>
      <c r="CV677">
        <v>45</v>
      </c>
      <c r="CX677" t="s">
        <v>1140</v>
      </c>
      <c r="CY677">
        <v>370</v>
      </c>
    </row>
    <row r="678" spans="1:103" x14ac:dyDescent="0.25">
      <c r="A678" t="s">
        <v>106</v>
      </c>
      <c r="B678" s="38">
        <v>45096</v>
      </c>
      <c r="C678" s="43">
        <f>IF(YEAR(Таблица1[[#This Row],[Дата]])=2023,MONTH(Таблица1[[#This Row],[Дата]]),0)</f>
        <v>6</v>
      </c>
      <c r="D678" t="s">
        <v>1914</v>
      </c>
      <c r="E678" t="s">
        <v>108</v>
      </c>
      <c r="F678" t="s">
        <v>1915</v>
      </c>
      <c r="G678" t="s">
        <v>110</v>
      </c>
      <c r="H678" t="s">
        <v>111</v>
      </c>
      <c r="I678" t="s">
        <v>112</v>
      </c>
      <c r="J678" t="s">
        <v>112</v>
      </c>
      <c r="K678" t="s">
        <v>112</v>
      </c>
      <c r="L678" t="s">
        <v>150</v>
      </c>
      <c r="M678" t="s">
        <v>151</v>
      </c>
      <c r="N678" t="s">
        <v>112</v>
      </c>
      <c r="O678" t="s">
        <v>112</v>
      </c>
      <c r="P678">
        <v>1</v>
      </c>
      <c r="R678">
        <v>1</v>
      </c>
      <c r="S678">
        <v>33</v>
      </c>
      <c r="T678" t="s">
        <v>112</v>
      </c>
      <c r="U678" t="s">
        <v>152</v>
      </c>
      <c r="V678" t="s">
        <v>153</v>
      </c>
      <c r="W678" t="s">
        <v>154</v>
      </c>
      <c r="X678" t="s">
        <v>119</v>
      </c>
      <c r="Y678" t="s">
        <v>112</v>
      </c>
      <c r="Z678" t="s">
        <v>112</v>
      </c>
      <c r="AA678" t="s">
        <v>152</v>
      </c>
      <c r="AB678" t="s">
        <v>153</v>
      </c>
      <c r="AC678" t="s">
        <v>154</v>
      </c>
      <c r="AD678" t="s">
        <v>119</v>
      </c>
      <c r="AE678" t="s">
        <v>112</v>
      </c>
      <c r="AF678" t="s">
        <v>121</v>
      </c>
      <c r="AG678" t="s">
        <v>122</v>
      </c>
      <c r="AH678">
        <v>5144388.87</v>
      </c>
      <c r="AI678" t="s">
        <v>112</v>
      </c>
      <c r="AJ678" t="s">
        <v>152</v>
      </c>
      <c r="AK678" t="s">
        <v>153</v>
      </c>
      <c r="AL678" t="s">
        <v>154</v>
      </c>
      <c r="AM678" t="s">
        <v>119</v>
      </c>
      <c r="AN678" t="s">
        <v>112</v>
      </c>
      <c r="AO678" t="s">
        <v>121</v>
      </c>
      <c r="AP678" t="s">
        <v>122</v>
      </c>
      <c r="AQ678" t="s">
        <v>122</v>
      </c>
      <c r="AR678" t="s">
        <v>124</v>
      </c>
      <c r="AS678" t="s">
        <v>125</v>
      </c>
      <c r="AT678">
        <v>2</v>
      </c>
      <c r="AU678" t="s">
        <v>126</v>
      </c>
      <c r="AV678" t="s">
        <v>155</v>
      </c>
      <c r="AW678" t="s">
        <v>156</v>
      </c>
      <c r="AY678" t="s">
        <v>129</v>
      </c>
      <c r="AZ678">
        <v>44916.87</v>
      </c>
      <c r="BC678">
        <v>104.88720000000001</v>
      </c>
      <c r="BD678" t="s">
        <v>112</v>
      </c>
      <c r="BE678" t="s">
        <v>112</v>
      </c>
      <c r="BF678" t="s">
        <v>157</v>
      </c>
      <c r="BG678" t="s">
        <v>133</v>
      </c>
      <c r="BH678" t="s">
        <v>167</v>
      </c>
      <c r="BI678" t="s">
        <v>112</v>
      </c>
      <c r="BJ678" t="s">
        <v>112</v>
      </c>
      <c r="BK678" t="s">
        <v>112</v>
      </c>
      <c r="BL678" t="s">
        <v>169</v>
      </c>
      <c r="BM678" t="s">
        <v>159</v>
      </c>
      <c r="BN678" t="s">
        <v>160</v>
      </c>
      <c r="BO678" t="s">
        <v>161</v>
      </c>
      <c r="BQ678" t="s">
        <v>205</v>
      </c>
      <c r="BR678" s="45">
        <f>ISNUMBER(SEARCH($BR$1,Таблица1[[#This Row],[31_1 Описание и характеристика товара]]))*1</f>
        <v>1</v>
      </c>
      <c r="BT678" t="s">
        <v>150</v>
      </c>
      <c r="BU678">
        <v>33</v>
      </c>
      <c r="BV678">
        <v>0</v>
      </c>
      <c r="BW678">
        <v>0</v>
      </c>
      <c r="BY678">
        <v>0</v>
      </c>
      <c r="CA678" t="s">
        <v>106</v>
      </c>
      <c r="CB678" t="s">
        <v>142</v>
      </c>
      <c r="CC678" t="s">
        <v>112</v>
      </c>
      <c r="CD678" t="s">
        <v>112</v>
      </c>
      <c r="CE678" t="s">
        <v>121</v>
      </c>
      <c r="CF678">
        <v>16233.17</v>
      </c>
      <c r="CG678" t="s">
        <v>144</v>
      </c>
      <c r="CH678">
        <v>4000000</v>
      </c>
      <c r="CI678">
        <v>16107.17</v>
      </c>
      <c r="CJ678">
        <v>0</v>
      </c>
      <c r="CK678" t="s">
        <v>112</v>
      </c>
      <c r="CL678" t="s">
        <v>112</v>
      </c>
      <c r="CM678">
        <v>44916.87</v>
      </c>
      <c r="CO678">
        <v>0</v>
      </c>
      <c r="CP678">
        <v>1</v>
      </c>
      <c r="CQ678">
        <v>5144388.87</v>
      </c>
      <c r="CR678">
        <v>52534.45</v>
      </c>
      <c r="CS678" t="s">
        <v>145</v>
      </c>
      <c r="CT678">
        <v>52509.374199999998</v>
      </c>
      <c r="CU678">
        <v>3.26</v>
      </c>
      <c r="CV678">
        <v>45</v>
      </c>
      <c r="CX678" t="s">
        <v>233</v>
      </c>
      <c r="CY678">
        <v>321</v>
      </c>
    </row>
    <row r="679" spans="1:103" x14ac:dyDescent="0.25">
      <c r="A679" t="s">
        <v>106</v>
      </c>
      <c r="B679" s="38">
        <v>45228</v>
      </c>
      <c r="C679" s="43">
        <f>IF(YEAR(Таблица1[[#This Row],[Дата]])=2023,MONTH(Таблица1[[#This Row],[Дата]]),0)</f>
        <v>10</v>
      </c>
      <c r="D679" t="s">
        <v>1976</v>
      </c>
      <c r="E679" t="s">
        <v>108</v>
      </c>
      <c r="F679" t="s">
        <v>1977</v>
      </c>
      <c r="G679" t="s">
        <v>110</v>
      </c>
      <c r="H679" t="s">
        <v>111</v>
      </c>
      <c r="I679" t="s">
        <v>112</v>
      </c>
      <c r="J679" t="s">
        <v>112</v>
      </c>
      <c r="K679" t="s">
        <v>112</v>
      </c>
      <c r="L679" t="s">
        <v>150</v>
      </c>
      <c r="M679" t="s">
        <v>151</v>
      </c>
      <c r="N679" t="s">
        <v>112</v>
      </c>
      <c r="O679" t="s">
        <v>112</v>
      </c>
      <c r="P679">
        <v>1</v>
      </c>
      <c r="R679">
        <v>1</v>
      </c>
      <c r="S679">
        <v>33</v>
      </c>
      <c r="T679" t="s">
        <v>112</v>
      </c>
      <c r="U679" t="s">
        <v>152</v>
      </c>
      <c r="V679" t="s">
        <v>153</v>
      </c>
      <c r="W679" t="s">
        <v>154</v>
      </c>
      <c r="X679" t="s">
        <v>119</v>
      </c>
      <c r="Y679" t="s">
        <v>112</v>
      </c>
      <c r="Z679" t="s">
        <v>112</v>
      </c>
      <c r="AA679" t="s">
        <v>152</v>
      </c>
      <c r="AB679" t="s">
        <v>153</v>
      </c>
      <c r="AC679" t="s">
        <v>154</v>
      </c>
      <c r="AD679" t="s">
        <v>119</v>
      </c>
      <c r="AE679" t="s">
        <v>112</v>
      </c>
      <c r="AF679" t="s">
        <v>121</v>
      </c>
      <c r="AG679" t="s">
        <v>122</v>
      </c>
      <c r="AH679">
        <v>4358474.32</v>
      </c>
      <c r="AI679" t="s">
        <v>112</v>
      </c>
      <c r="AJ679" t="s">
        <v>152</v>
      </c>
      <c r="AK679" t="s">
        <v>153</v>
      </c>
      <c r="AL679" t="s">
        <v>154</v>
      </c>
      <c r="AM679" t="s">
        <v>119</v>
      </c>
      <c r="AN679" t="s">
        <v>112</v>
      </c>
      <c r="AO679" t="s">
        <v>121</v>
      </c>
      <c r="AP679" t="s">
        <v>122</v>
      </c>
      <c r="AQ679" t="s">
        <v>122</v>
      </c>
      <c r="AR679" t="s">
        <v>124</v>
      </c>
      <c r="AS679" t="s">
        <v>125</v>
      </c>
      <c r="AT679">
        <v>2</v>
      </c>
      <c r="AU679" t="s">
        <v>126</v>
      </c>
      <c r="AV679" t="s">
        <v>155</v>
      </c>
      <c r="AW679" t="s">
        <v>156</v>
      </c>
      <c r="AY679" t="s">
        <v>129</v>
      </c>
      <c r="AZ679">
        <v>37423.919999999998</v>
      </c>
      <c r="BC679">
        <v>104.88720000000001</v>
      </c>
      <c r="BD679" t="s">
        <v>112</v>
      </c>
      <c r="BE679" t="s">
        <v>112</v>
      </c>
      <c r="BF679" t="s">
        <v>157</v>
      </c>
      <c r="BG679" t="s">
        <v>133</v>
      </c>
      <c r="BH679" t="s">
        <v>167</v>
      </c>
      <c r="BI679" t="s">
        <v>112</v>
      </c>
      <c r="BJ679" t="s">
        <v>112</v>
      </c>
      <c r="BK679" t="s">
        <v>112</v>
      </c>
      <c r="BL679" t="s">
        <v>169</v>
      </c>
      <c r="BM679" t="s">
        <v>159</v>
      </c>
      <c r="BN679" t="s">
        <v>160</v>
      </c>
      <c r="BO679" t="s">
        <v>161</v>
      </c>
      <c r="BQ679" t="s">
        <v>213</v>
      </c>
      <c r="BR679" s="45">
        <f>ISNUMBER(SEARCH($BR$1,Таблица1[[#This Row],[31_1 Описание и характеристика товара]]))*1</f>
        <v>1</v>
      </c>
      <c r="BT679" t="s">
        <v>150</v>
      </c>
      <c r="BU679">
        <v>33</v>
      </c>
      <c r="BV679">
        <v>0</v>
      </c>
      <c r="BW679">
        <v>0</v>
      </c>
      <c r="BY679">
        <v>0</v>
      </c>
      <c r="CA679" t="s">
        <v>106</v>
      </c>
      <c r="CB679" t="s">
        <v>142</v>
      </c>
      <c r="CC679" t="s">
        <v>112</v>
      </c>
      <c r="CD679" t="s">
        <v>112</v>
      </c>
      <c r="CE679" t="s">
        <v>121</v>
      </c>
      <c r="CF679">
        <v>15773.8</v>
      </c>
      <c r="CG679" t="s">
        <v>144</v>
      </c>
      <c r="CH679">
        <v>4000000</v>
      </c>
      <c r="CI679">
        <v>15514.6</v>
      </c>
      <c r="CJ679">
        <v>0</v>
      </c>
      <c r="CK679" t="s">
        <v>112</v>
      </c>
      <c r="CL679" t="s">
        <v>112</v>
      </c>
      <c r="CM679">
        <v>37423.919999999998</v>
      </c>
      <c r="CO679">
        <v>0</v>
      </c>
      <c r="CP679">
        <v>1</v>
      </c>
      <c r="CQ679">
        <v>4358474.32</v>
      </c>
      <c r="CR679">
        <v>44508.7</v>
      </c>
      <c r="CS679" t="s">
        <v>145</v>
      </c>
      <c r="CT679">
        <v>44526.902000000002</v>
      </c>
      <c r="CU679">
        <v>2.87</v>
      </c>
      <c r="CV679">
        <v>45</v>
      </c>
      <c r="CX679" t="s">
        <v>206</v>
      </c>
      <c r="CY679">
        <v>299</v>
      </c>
    </row>
    <row r="680" spans="1:103" x14ac:dyDescent="0.25">
      <c r="A680" t="s">
        <v>106</v>
      </c>
      <c r="B680" s="38">
        <v>45053</v>
      </c>
      <c r="C680" s="43">
        <f>IF(YEAR(Таблица1[[#This Row],[Дата]])=2023,MONTH(Таблица1[[#This Row],[Дата]]),0)</f>
        <v>5</v>
      </c>
      <c r="D680" t="s">
        <v>1976</v>
      </c>
      <c r="E680" t="s">
        <v>108</v>
      </c>
      <c r="F680" t="s">
        <v>1977</v>
      </c>
      <c r="G680" t="s">
        <v>110</v>
      </c>
      <c r="H680" t="s">
        <v>111</v>
      </c>
      <c r="I680" t="s">
        <v>112</v>
      </c>
      <c r="J680" t="s">
        <v>112</v>
      </c>
      <c r="K680" t="s">
        <v>112</v>
      </c>
      <c r="L680" t="s">
        <v>150</v>
      </c>
      <c r="M680" t="s">
        <v>151</v>
      </c>
      <c r="N680" t="s">
        <v>112</v>
      </c>
      <c r="O680" t="s">
        <v>112</v>
      </c>
      <c r="P680">
        <v>1</v>
      </c>
      <c r="R680">
        <v>1</v>
      </c>
      <c r="S680">
        <v>33</v>
      </c>
      <c r="T680" t="s">
        <v>112</v>
      </c>
      <c r="U680" t="s">
        <v>152</v>
      </c>
      <c r="V680" t="s">
        <v>153</v>
      </c>
      <c r="W680" t="s">
        <v>154</v>
      </c>
      <c r="X680" t="s">
        <v>119</v>
      </c>
      <c r="Y680" t="s">
        <v>112</v>
      </c>
      <c r="Z680" t="s">
        <v>112</v>
      </c>
      <c r="AA680" t="s">
        <v>152</v>
      </c>
      <c r="AB680" t="s">
        <v>153</v>
      </c>
      <c r="AC680" t="s">
        <v>154</v>
      </c>
      <c r="AD680" t="s">
        <v>119</v>
      </c>
      <c r="AE680" t="s">
        <v>112</v>
      </c>
      <c r="AF680" t="s">
        <v>121</v>
      </c>
      <c r="AG680" t="s">
        <v>122</v>
      </c>
      <c r="AH680">
        <v>4358474.32</v>
      </c>
      <c r="AI680" t="s">
        <v>112</v>
      </c>
      <c r="AJ680" t="s">
        <v>152</v>
      </c>
      <c r="AK680" t="s">
        <v>153</v>
      </c>
      <c r="AL680" t="s">
        <v>154</v>
      </c>
      <c r="AM680" t="s">
        <v>119</v>
      </c>
      <c r="AN680" t="s">
        <v>112</v>
      </c>
      <c r="AO680" t="s">
        <v>121</v>
      </c>
      <c r="AP680" t="s">
        <v>122</v>
      </c>
      <c r="AQ680" t="s">
        <v>122</v>
      </c>
      <c r="AR680" t="s">
        <v>124</v>
      </c>
      <c r="AS680" t="s">
        <v>125</v>
      </c>
      <c r="AT680">
        <v>2</v>
      </c>
      <c r="AU680" t="s">
        <v>126</v>
      </c>
      <c r="AV680" t="s">
        <v>155</v>
      </c>
      <c r="AW680" t="s">
        <v>156</v>
      </c>
      <c r="AY680" t="s">
        <v>129</v>
      </c>
      <c r="AZ680">
        <v>37423.919999999998</v>
      </c>
      <c r="BC680">
        <v>104.88720000000001</v>
      </c>
      <c r="BD680" t="s">
        <v>112</v>
      </c>
      <c r="BE680" t="s">
        <v>112</v>
      </c>
      <c r="BF680" t="s">
        <v>157</v>
      </c>
      <c r="BG680" t="s">
        <v>133</v>
      </c>
      <c r="BH680" t="s">
        <v>167</v>
      </c>
      <c r="BI680" t="s">
        <v>112</v>
      </c>
      <c r="BJ680" t="s">
        <v>112</v>
      </c>
      <c r="BK680" t="s">
        <v>112</v>
      </c>
      <c r="BL680" t="s">
        <v>169</v>
      </c>
      <c r="BM680" t="s">
        <v>159</v>
      </c>
      <c r="BN680" t="s">
        <v>160</v>
      </c>
      <c r="BO680" t="s">
        <v>161</v>
      </c>
      <c r="BQ680" t="s">
        <v>213</v>
      </c>
      <c r="BR680" s="45">
        <f>ISNUMBER(SEARCH($BR$1,Таблица1[[#This Row],[31_1 Описание и характеристика товара]]))*1</f>
        <v>1</v>
      </c>
      <c r="BT680" t="s">
        <v>150</v>
      </c>
      <c r="BU680">
        <v>33</v>
      </c>
      <c r="BV680">
        <v>0</v>
      </c>
      <c r="BW680">
        <v>0</v>
      </c>
      <c r="BY680">
        <v>0</v>
      </c>
      <c r="CA680" t="s">
        <v>106</v>
      </c>
      <c r="CB680" t="s">
        <v>142</v>
      </c>
      <c r="CC680" t="s">
        <v>112</v>
      </c>
      <c r="CD680" t="s">
        <v>112</v>
      </c>
      <c r="CE680" t="s">
        <v>121</v>
      </c>
      <c r="CF680">
        <v>15773.8</v>
      </c>
      <c r="CG680" t="s">
        <v>144</v>
      </c>
      <c r="CH680">
        <v>4000000</v>
      </c>
      <c r="CI680">
        <v>15514.6</v>
      </c>
      <c r="CJ680">
        <v>0</v>
      </c>
      <c r="CK680" t="s">
        <v>112</v>
      </c>
      <c r="CL680" t="s">
        <v>112</v>
      </c>
      <c r="CM680">
        <v>37423.919999999998</v>
      </c>
      <c r="CO680">
        <v>0</v>
      </c>
      <c r="CP680">
        <v>1</v>
      </c>
      <c r="CQ680">
        <v>4358474.32</v>
      </c>
      <c r="CR680">
        <v>44508.7</v>
      </c>
      <c r="CS680" t="s">
        <v>145</v>
      </c>
      <c r="CT680">
        <v>44526.902000000002</v>
      </c>
      <c r="CU680">
        <v>2.87</v>
      </c>
      <c r="CV680">
        <v>45</v>
      </c>
      <c r="CX680" t="s">
        <v>206</v>
      </c>
      <c r="CY680">
        <v>299</v>
      </c>
    </row>
    <row r="681" spans="1:103" x14ac:dyDescent="0.25">
      <c r="A681" t="s">
        <v>106</v>
      </c>
      <c r="B681" s="38">
        <v>44942</v>
      </c>
      <c r="C681" s="43">
        <f>IF(YEAR(Таблица1[[#This Row],[Дата]])=2023,MONTH(Таблица1[[#This Row],[Дата]]),0)</f>
        <v>1</v>
      </c>
      <c r="D681" t="s">
        <v>1447</v>
      </c>
      <c r="E681" t="s">
        <v>108</v>
      </c>
      <c r="F681" t="s">
        <v>1448</v>
      </c>
      <c r="G681" t="s">
        <v>110</v>
      </c>
      <c r="H681" t="s">
        <v>111</v>
      </c>
      <c r="I681" t="s">
        <v>112</v>
      </c>
      <c r="J681" t="s">
        <v>112</v>
      </c>
      <c r="K681" t="s">
        <v>112</v>
      </c>
      <c r="L681" t="s">
        <v>150</v>
      </c>
      <c r="M681" t="s">
        <v>1439</v>
      </c>
      <c r="N681" t="s">
        <v>112</v>
      </c>
      <c r="O681" t="s">
        <v>112</v>
      </c>
      <c r="P681">
        <v>1</v>
      </c>
      <c r="Q681">
        <v>0</v>
      </c>
      <c r="R681">
        <v>1</v>
      </c>
      <c r="S681">
        <v>33</v>
      </c>
      <c r="T681" t="s">
        <v>166</v>
      </c>
      <c r="U681" t="s">
        <v>152</v>
      </c>
      <c r="V681" t="s">
        <v>153</v>
      </c>
      <c r="W681" t="s">
        <v>154</v>
      </c>
      <c r="X681" t="s">
        <v>119</v>
      </c>
      <c r="Y681" t="s">
        <v>112</v>
      </c>
      <c r="Z681" t="s">
        <v>166</v>
      </c>
      <c r="AA681" t="s">
        <v>152</v>
      </c>
      <c r="AB681" t="s">
        <v>153</v>
      </c>
      <c r="AC681" t="s">
        <v>154</v>
      </c>
      <c r="AD681" t="s">
        <v>119</v>
      </c>
      <c r="AE681" t="s">
        <v>112</v>
      </c>
      <c r="AF681" t="s">
        <v>121</v>
      </c>
      <c r="AG681" t="s">
        <v>122</v>
      </c>
      <c r="AH681">
        <v>4677221.45</v>
      </c>
      <c r="AI681" t="s">
        <v>166</v>
      </c>
      <c r="AJ681" t="s">
        <v>152</v>
      </c>
      <c r="AK681" t="s">
        <v>153</v>
      </c>
      <c r="AL681" t="s">
        <v>154</v>
      </c>
      <c r="AM681" t="s">
        <v>119</v>
      </c>
      <c r="AN681" t="s">
        <v>112</v>
      </c>
      <c r="AO681" t="s">
        <v>121</v>
      </c>
      <c r="AP681" t="s">
        <v>122</v>
      </c>
      <c r="AQ681" t="s">
        <v>122</v>
      </c>
      <c r="AR681" t="s">
        <v>124</v>
      </c>
      <c r="AS681" t="s">
        <v>125</v>
      </c>
      <c r="AT681">
        <v>2</v>
      </c>
      <c r="AU681" t="s">
        <v>126</v>
      </c>
      <c r="AV681" t="s">
        <v>155</v>
      </c>
      <c r="AW681" t="s">
        <v>156</v>
      </c>
      <c r="AX681">
        <v>1</v>
      </c>
      <c r="AY681" t="s">
        <v>129</v>
      </c>
      <c r="AZ681">
        <v>42448.68</v>
      </c>
      <c r="BA681">
        <v>4262505</v>
      </c>
      <c r="BB681">
        <v>51121.03</v>
      </c>
      <c r="BC681">
        <v>100.41549999999999</v>
      </c>
      <c r="BD681" t="s">
        <v>130</v>
      </c>
      <c r="BE681" t="s">
        <v>112</v>
      </c>
      <c r="BF681" t="s">
        <v>157</v>
      </c>
      <c r="BG681" t="s">
        <v>133</v>
      </c>
      <c r="BH681" t="s">
        <v>134</v>
      </c>
      <c r="BI681" t="s">
        <v>112</v>
      </c>
      <c r="BJ681" t="s">
        <v>112</v>
      </c>
      <c r="BK681" t="s">
        <v>112</v>
      </c>
      <c r="BL681" t="s">
        <v>169</v>
      </c>
      <c r="BM681" t="s">
        <v>159</v>
      </c>
      <c r="BN681" t="s">
        <v>722</v>
      </c>
      <c r="BO681" t="s">
        <v>161</v>
      </c>
      <c r="BP681">
        <v>1</v>
      </c>
      <c r="BQ681" t="s">
        <v>1449</v>
      </c>
      <c r="BR681" s="45">
        <f>ISNUMBER(SEARCH($BR$1,Таблица1[[#This Row],[31_1 Описание и характеристика товара]]))*1</f>
        <v>1</v>
      </c>
      <c r="BT681" t="s">
        <v>150</v>
      </c>
      <c r="BU681">
        <v>33</v>
      </c>
      <c r="BV681">
        <v>0</v>
      </c>
      <c r="BW681">
        <v>0</v>
      </c>
      <c r="BY681">
        <v>0</v>
      </c>
      <c r="CA681" t="s">
        <v>106</v>
      </c>
      <c r="CB681" t="s">
        <v>142</v>
      </c>
      <c r="CC681" t="s">
        <v>112</v>
      </c>
      <c r="CD681" t="s">
        <v>112</v>
      </c>
      <c r="CE681" t="s">
        <v>121</v>
      </c>
      <c r="CF681">
        <v>16728.98</v>
      </c>
      <c r="CG681" t="s">
        <v>144</v>
      </c>
      <c r="CH681">
        <v>4000000</v>
      </c>
      <c r="CI681">
        <v>16692.98</v>
      </c>
      <c r="CJ681">
        <v>0</v>
      </c>
      <c r="CK681" t="s">
        <v>112</v>
      </c>
      <c r="CL681" t="s">
        <v>112</v>
      </c>
      <c r="CM681">
        <v>42448.68</v>
      </c>
      <c r="CN681">
        <v>4262505</v>
      </c>
      <c r="CO681">
        <v>0</v>
      </c>
      <c r="CP681">
        <v>1</v>
      </c>
      <c r="CQ681">
        <v>4677221.45</v>
      </c>
      <c r="CR681">
        <v>51121.03</v>
      </c>
      <c r="CS681" t="s">
        <v>145</v>
      </c>
      <c r="CT681">
        <v>51080.518799999998</v>
      </c>
      <c r="CU681">
        <v>3.06</v>
      </c>
      <c r="CV681">
        <v>45</v>
      </c>
      <c r="CW681" t="s">
        <v>171</v>
      </c>
      <c r="CX681" t="s">
        <v>350</v>
      </c>
      <c r="CY681">
        <v>144</v>
      </c>
    </row>
    <row r="682" spans="1:103" x14ac:dyDescent="0.25">
      <c r="A682" t="s">
        <v>106</v>
      </c>
      <c r="B682" s="38">
        <v>44928</v>
      </c>
      <c r="C682" s="43">
        <f>IF(YEAR(Таблица1[[#This Row],[Дата]])=2023,MONTH(Таблица1[[#This Row],[Дата]]),0)</f>
        <v>1</v>
      </c>
      <c r="D682" t="s">
        <v>1158</v>
      </c>
      <c r="E682" t="s">
        <v>108</v>
      </c>
      <c r="F682" t="s">
        <v>1159</v>
      </c>
      <c r="G682" t="s">
        <v>110</v>
      </c>
      <c r="H682" t="s">
        <v>111</v>
      </c>
      <c r="I682" t="s">
        <v>112</v>
      </c>
      <c r="J682" t="s">
        <v>112</v>
      </c>
      <c r="K682" t="s">
        <v>112</v>
      </c>
      <c r="L682" t="s">
        <v>150</v>
      </c>
      <c r="M682" t="s">
        <v>1143</v>
      </c>
      <c r="N682" t="s">
        <v>112</v>
      </c>
      <c r="O682" t="s">
        <v>112</v>
      </c>
      <c r="P682">
        <v>1</v>
      </c>
      <c r="Q682">
        <v>0</v>
      </c>
      <c r="R682">
        <v>1</v>
      </c>
      <c r="S682">
        <v>33</v>
      </c>
      <c r="T682" t="s">
        <v>166</v>
      </c>
      <c r="U682" t="s">
        <v>152</v>
      </c>
      <c r="V682" t="s">
        <v>153</v>
      </c>
      <c r="W682" t="s">
        <v>154</v>
      </c>
      <c r="X682" t="s">
        <v>119</v>
      </c>
      <c r="Y682" t="s">
        <v>112</v>
      </c>
      <c r="Z682" t="s">
        <v>166</v>
      </c>
      <c r="AA682" t="s">
        <v>152</v>
      </c>
      <c r="AB682" t="s">
        <v>153</v>
      </c>
      <c r="AC682" t="s">
        <v>154</v>
      </c>
      <c r="AD682" t="s">
        <v>119</v>
      </c>
      <c r="AE682" t="s">
        <v>112</v>
      </c>
      <c r="AF682" t="s">
        <v>121</v>
      </c>
      <c r="AG682" t="s">
        <v>122</v>
      </c>
      <c r="AH682">
        <v>3566133.88</v>
      </c>
      <c r="AI682" t="s">
        <v>166</v>
      </c>
      <c r="AJ682" t="s">
        <v>152</v>
      </c>
      <c r="AK682" t="s">
        <v>153</v>
      </c>
      <c r="AL682" t="s">
        <v>154</v>
      </c>
      <c r="AM682" t="s">
        <v>119</v>
      </c>
      <c r="AN682" t="s">
        <v>112</v>
      </c>
      <c r="AO682" t="s">
        <v>121</v>
      </c>
      <c r="AP682" t="s">
        <v>122</v>
      </c>
      <c r="AQ682" t="s">
        <v>122</v>
      </c>
      <c r="AR682" t="s">
        <v>124</v>
      </c>
      <c r="AS682" t="s">
        <v>125</v>
      </c>
      <c r="AT682">
        <v>2</v>
      </c>
      <c r="AU682" t="s">
        <v>126</v>
      </c>
      <c r="AV682" t="s">
        <v>155</v>
      </c>
      <c r="AW682" t="s">
        <v>156</v>
      </c>
      <c r="AX682">
        <v>1</v>
      </c>
      <c r="AY682" t="s">
        <v>129</v>
      </c>
      <c r="AZ682">
        <v>38248.400000000001</v>
      </c>
      <c r="BA682">
        <v>3218595</v>
      </c>
      <c r="BB682">
        <v>46498.879999999997</v>
      </c>
      <c r="BC682">
        <v>84.149799999999999</v>
      </c>
      <c r="BD682" t="s">
        <v>130</v>
      </c>
      <c r="BE682" t="s">
        <v>112</v>
      </c>
      <c r="BF682" t="s">
        <v>157</v>
      </c>
      <c r="BG682" t="s">
        <v>133</v>
      </c>
      <c r="BH682" t="s">
        <v>134</v>
      </c>
      <c r="BI682" t="s">
        <v>112</v>
      </c>
      <c r="BJ682" t="s">
        <v>112</v>
      </c>
      <c r="BK682" t="s">
        <v>112</v>
      </c>
      <c r="BL682" t="s">
        <v>169</v>
      </c>
      <c r="BM682" t="s">
        <v>159</v>
      </c>
      <c r="BN682" t="s">
        <v>722</v>
      </c>
      <c r="BO682" t="s">
        <v>161</v>
      </c>
      <c r="BP682">
        <v>1</v>
      </c>
      <c r="BQ682" t="s">
        <v>162</v>
      </c>
      <c r="BR682" s="45">
        <f>ISNUMBER(SEARCH($BR$1,Таблица1[[#This Row],[31_1 Описание и характеристика товара]]))*1</f>
        <v>1</v>
      </c>
      <c r="BT682" t="s">
        <v>150</v>
      </c>
      <c r="BU682">
        <v>33</v>
      </c>
      <c r="BV682">
        <v>0</v>
      </c>
      <c r="BW682">
        <v>0</v>
      </c>
      <c r="BY682">
        <v>0</v>
      </c>
      <c r="CA682" t="s">
        <v>106</v>
      </c>
      <c r="CB682" t="s">
        <v>142</v>
      </c>
      <c r="CC682" t="s">
        <v>112</v>
      </c>
      <c r="CD682" t="s">
        <v>112</v>
      </c>
      <c r="CE682" t="s">
        <v>121</v>
      </c>
      <c r="CF682">
        <v>17078.64</v>
      </c>
      <c r="CG682" t="s">
        <v>144</v>
      </c>
      <c r="CH682">
        <v>4000000</v>
      </c>
      <c r="CI682">
        <v>17042.64</v>
      </c>
      <c r="CJ682">
        <v>0</v>
      </c>
      <c r="CK682" t="s">
        <v>112</v>
      </c>
      <c r="CL682" t="s">
        <v>112</v>
      </c>
      <c r="CM682">
        <v>38248.400000000001</v>
      </c>
      <c r="CN682">
        <v>3218595</v>
      </c>
      <c r="CO682">
        <v>0</v>
      </c>
      <c r="CP682">
        <v>1</v>
      </c>
      <c r="CQ682">
        <v>3566133.88</v>
      </c>
      <c r="CR682">
        <v>46498.879999999997</v>
      </c>
      <c r="CS682" t="s">
        <v>145</v>
      </c>
      <c r="CT682">
        <v>46499.138976000002</v>
      </c>
      <c r="CU682">
        <v>2.7284000000000002</v>
      </c>
      <c r="CV682">
        <v>45</v>
      </c>
      <c r="CW682" t="s">
        <v>171</v>
      </c>
      <c r="CX682" t="s">
        <v>372</v>
      </c>
      <c r="CY682">
        <v>270</v>
      </c>
    </row>
    <row r="683" spans="1:103" x14ac:dyDescent="0.25">
      <c r="A683" t="s">
        <v>106</v>
      </c>
      <c r="B683" s="38">
        <v>44933</v>
      </c>
      <c r="C683" s="43">
        <f>IF(YEAR(Таблица1[[#This Row],[Дата]])=2023,MONTH(Таблица1[[#This Row],[Дата]]),0)</f>
        <v>1</v>
      </c>
      <c r="D683" t="s">
        <v>1160</v>
      </c>
      <c r="E683" t="s">
        <v>108</v>
      </c>
      <c r="F683" t="s">
        <v>1161</v>
      </c>
      <c r="G683" t="s">
        <v>110</v>
      </c>
      <c r="H683" t="s">
        <v>111</v>
      </c>
      <c r="I683" t="s">
        <v>112</v>
      </c>
      <c r="J683" t="s">
        <v>112</v>
      </c>
      <c r="K683" t="s">
        <v>112</v>
      </c>
      <c r="L683" t="s">
        <v>150</v>
      </c>
      <c r="M683" t="s">
        <v>1143</v>
      </c>
      <c r="N683" t="s">
        <v>112</v>
      </c>
      <c r="O683" t="s">
        <v>112</v>
      </c>
      <c r="P683">
        <v>1</v>
      </c>
      <c r="Q683">
        <v>0</v>
      </c>
      <c r="R683">
        <v>1</v>
      </c>
      <c r="S683">
        <v>33</v>
      </c>
      <c r="T683" t="s">
        <v>166</v>
      </c>
      <c r="U683" t="s">
        <v>152</v>
      </c>
      <c r="V683" t="s">
        <v>153</v>
      </c>
      <c r="W683" t="s">
        <v>154</v>
      </c>
      <c r="X683" t="s">
        <v>119</v>
      </c>
      <c r="Y683" t="s">
        <v>112</v>
      </c>
      <c r="Z683" t="s">
        <v>166</v>
      </c>
      <c r="AA683" t="s">
        <v>152</v>
      </c>
      <c r="AB683" t="s">
        <v>153</v>
      </c>
      <c r="AC683" t="s">
        <v>154</v>
      </c>
      <c r="AD683" t="s">
        <v>119</v>
      </c>
      <c r="AE683" t="s">
        <v>112</v>
      </c>
      <c r="AF683" t="s">
        <v>121</v>
      </c>
      <c r="AG683" t="s">
        <v>122</v>
      </c>
      <c r="AH683">
        <v>3998206.92</v>
      </c>
      <c r="AI683" t="s">
        <v>166</v>
      </c>
      <c r="AJ683" t="s">
        <v>152</v>
      </c>
      <c r="AK683" t="s">
        <v>153</v>
      </c>
      <c r="AL683" t="s">
        <v>154</v>
      </c>
      <c r="AM683" t="s">
        <v>119</v>
      </c>
      <c r="AN683" t="s">
        <v>112</v>
      </c>
      <c r="AO683" t="s">
        <v>121</v>
      </c>
      <c r="AP683" t="s">
        <v>122</v>
      </c>
      <c r="AQ683" t="s">
        <v>122</v>
      </c>
      <c r="AR683" t="s">
        <v>124</v>
      </c>
      <c r="AS683" t="s">
        <v>125</v>
      </c>
      <c r="AT683">
        <v>2</v>
      </c>
      <c r="AU683" t="s">
        <v>126</v>
      </c>
      <c r="AV683" t="s">
        <v>155</v>
      </c>
      <c r="AW683" t="s">
        <v>156</v>
      </c>
      <c r="AX683">
        <v>1</v>
      </c>
      <c r="AY683" t="s">
        <v>129</v>
      </c>
      <c r="AZ683">
        <v>42862.97</v>
      </c>
      <c r="BA683">
        <v>3606910</v>
      </c>
      <c r="BB683">
        <v>52132.69</v>
      </c>
      <c r="BC683">
        <v>84.149799999999999</v>
      </c>
      <c r="BD683" t="s">
        <v>130</v>
      </c>
      <c r="BE683" t="s">
        <v>112</v>
      </c>
      <c r="BF683" t="s">
        <v>157</v>
      </c>
      <c r="BG683" t="s">
        <v>133</v>
      </c>
      <c r="BH683" t="s">
        <v>167</v>
      </c>
      <c r="BI683" t="s">
        <v>168</v>
      </c>
      <c r="BJ683" t="s">
        <v>112</v>
      </c>
      <c r="BK683" t="s">
        <v>112</v>
      </c>
      <c r="BL683" t="s">
        <v>169</v>
      </c>
      <c r="BM683" t="s">
        <v>159</v>
      </c>
      <c r="BN683" t="s">
        <v>726</v>
      </c>
      <c r="BO683" t="s">
        <v>161</v>
      </c>
      <c r="BP683">
        <v>1</v>
      </c>
      <c r="BQ683" t="s">
        <v>232</v>
      </c>
      <c r="BR683" s="45">
        <f>ISNUMBER(SEARCH($BR$1,Таблица1[[#This Row],[31_1 Описание и характеристика товара]]))*1</f>
        <v>1</v>
      </c>
      <c r="BT683" t="s">
        <v>150</v>
      </c>
      <c r="BU683">
        <v>33</v>
      </c>
      <c r="BV683">
        <v>0</v>
      </c>
      <c r="BW683">
        <v>0</v>
      </c>
      <c r="BY683">
        <v>0</v>
      </c>
      <c r="CA683" t="s">
        <v>106</v>
      </c>
      <c r="CB683" t="s">
        <v>142</v>
      </c>
      <c r="CC683" t="s">
        <v>112</v>
      </c>
      <c r="CD683" t="s">
        <v>112</v>
      </c>
      <c r="CE683" t="s">
        <v>121</v>
      </c>
      <c r="CF683">
        <v>16952.8</v>
      </c>
      <c r="CG683" t="s">
        <v>144</v>
      </c>
      <c r="CH683">
        <v>4000000</v>
      </c>
      <c r="CI683">
        <v>16952.8</v>
      </c>
      <c r="CJ683">
        <v>0</v>
      </c>
      <c r="CK683" t="s">
        <v>112</v>
      </c>
      <c r="CL683" t="s">
        <v>112</v>
      </c>
      <c r="CM683">
        <v>42862.97</v>
      </c>
      <c r="CN683">
        <v>3606910</v>
      </c>
      <c r="CO683">
        <v>0</v>
      </c>
      <c r="CP683">
        <v>1</v>
      </c>
      <c r="CQ683">
        <v>3998206.92</v>
      </c>
      <c r="CR683">
        <v>52132.69</v>
      </c>
      <c r="CS683" t="s">
        <v>145</v>
      </c>
      <c r="CT683">
        <v>52133.25056</v>
      </c>
      <c r="CU683">
        <v>3.0752000000000002</v>
      </c>
      <c r="CV683">
        <v>45</v>
      </c>
      <c r="CW683" t="s">
        <v>171</v>
      </c>
      <c r="CX683" t="s">
        <v>172</v>
      </c>
      <c r="CY683">
        <v>174</v>
      </c>
    </row>
    <row r="684" spans="1:103" x14ac:dyDescent="0.25">
      <c r="A684" t="s">
        <v>106</v>
      </c>
      <c r="B684" s="38">
        <v>45227</v>
      </c>
      <c r="C684" s="43">
        <f>IF(YEAR(Таблица1[[#This Row],[Дата]])=2023,MONTH(Таблица1[[#This Row],[Дата]]),0)</f>
        <v>10</v>
      </c>
      <c r="D684" t="s">
        <v>1034</v>
      </c>
      <c r="E684" t="s">
        <v>108</v>
      </c>
      <c r="F684" t="s">
        <v>1035</v>
      </c>
      <c r="G684" t="s">
        <v>110</v>
      </c>
      <c r="H684" t="s">
        <v>111</v>
      </c>
      <c r="I684" t="s">
        <v>112</v>
      </c>
      <c r="J684" t="s">
        <v>112</v>
      </c>
      <c r="K684" t="s">
        <v>112</v>
      </c>
      <c r="L684" t="s">
        <v>150</v>
      </c>
      <c r="M684" t="s">
        <v>1036</v>
      </c>
      <c r="N684" t="s">
        <v>112</v>
      </c>
      <c r="O684" t="s">
        <v>112</v>
      </c>
      <c r="P684">
        <v>1</v>
      </c>
      <c r="Q684">
        <v>0</v>
      </c>
      <c r="R684">
        <v>1</v>
      </c>
      <c r="S684">
        <v>33</v>
      </c>
      <c r="T684" t="s">
        <v>166</v>
      </c>
      <c r="U684" t="s">
        <v>152</v>
      </c>
      <c r="V684" t="s">
        <v>153</v>
      </c>
      <c r="W684" t="s">
        <v>154</v>
      </c>
      <c r="X684" t="s">
        <v>119</v>
      </c>
      <c r="Y684" t="s">
        <v>112</v>
      </c>
      <c r="Z684" t="s">
        <v>166</v>
      </c>
      <c r="AA684" t="s">
        <v>152</v>
      </c>
      <c r="AB684" t="s">
        <v>153</v>
      </c>
      <c r="AC684" t="s">
        <v>154</v>
      </c>
      <c r="AD684" t="s">
        <v>119</v>
      </c>
      <c r="AE684" t="s">
        <v>112</v>
      </c>
      <c r="AF684" t="s">
        <v>121</v>
      </c>
      <c r="AG684" t="s">
        <v>122</v>
      </c>
      <c r="AH684">
        <v>4322452.5599999996</v>
      </c>
      <c r="AI684" t="s">
        <v>166</v>
      </c>
      <c r="AJ684" t="s">
        <v>152</v>
      </c>
      <c r="AK684" t="s">
        <v>153</v>
      </c>
      <c r="AL684" t="s">
        <v>154</v>
      </c>
      <c r="AM684" t="s">
        <v>119</v>
      </c>
      <c r="AN684" t="s">
        <v>112</v>
      </c>
      <c r="AO684" t="s">
        <v>121</v>
      </c>
      <c r="AP684" t="s">
        <v>122</v>
      </c>
      <c r="AQ684" t="s">
        <v>122</v>
      </c>
      <c r="AR684" t="s">
        <v>124</v>
      </c>
      <c r="AS684" t="s">
        <v>125</v>
      </c>
      <c r="AT684">
        <v>2</v>
      </c>
      <c r="AU684" t="s">
        <v>126</v>
      </c>
      <c r="AV684" t="s">
        <v>155</v>
      </c>
      <c r="AW684" t="s">
        <v>156</v>
      </c>
      <c r="AX684">
        <v>1</v>
      </c>
      <c r="AY684" t="s">
        <v>129</v>
      </c>
      <c r="AZ684">
        <v>44122.28</v>
      </c>
      <c r="BA684">
        <v>3934547</v>
      </c>
      <c r="BB684">
        <v>52877.85</v>
      </c>
      <c r="BC684">
        <v>89.173699999999997</v>
      </c>
      <c r="BD684" t="s">
        <v>130</v>
      </c>
      <c r="BE684" t="s">
        <v>112</v>
      </c>
      <c r="BF684" t="s">
        <v>157</v>
      </c>
      <c r="BG684" t="s">
        <v>133</v>
      </c>
      <c r="BH684" t="s">
        <v>167</v>
      </c>
      <c r="BI684" t="s">
        <v>168</v>
      </c>
      <c r="BJ684" t="s">
        <v>112</v>
      </c>
      <c r="BK684" t="s">
        <v>112</v>
      </c>
      <c r="BL684" t="s">
        <v>169</v>
      </c>
      <c r="BM684" t="s">
        <v>159</v>
      </c>
      <c r="BN684" t="s">
        <v>726</v>
      </c>
      <c r="BO684" t="s">
        <v>161</v>
      </c>
      <c r="BP684">
        <v>1</v>
      </c>
      <c r="BQ684" t="s">
        <v>162</v>
      </c>
      <c r="BR684" s="45">
        <f>ISNUMBER(SEARCH($BR$1,Таблица1[[#This Row],[31_1 Описание и характеристика товара]]))*1</f>
        <v>1</v>
      </c>
      <c r="BT684" t="s">
        <v>150</v>
      </c>
      <c r="BU684">
        <v>33</v>
      </c>
      <c r="BV684">
        <v>0</v>
      </c>
      <c r="BW684">
        <v>0</v>
      </c>
      <c r="BY684">
        <v>0</v>
      </c>
      <c r="CA684" t="s">
        <v>106</v>
      </c>
      <c r="CB684" t="s">
        <v>142</v>
      </c>
      <c r="CC684" t="s">
        <v>112</v>
      </c>
      <c r="CD684" t="s">
        <v>112</v>
      </c>
      <c r="CE684" t="s">
        <v>121</v>
      </c>
      <c r="CF684">
        <v>16923.439999999999</v>
      </c>
      <c r="CG684" t="s">
        <v>144</v>
      </c>
      <c r="CH684">
        <v>4000000</v>
      </c>
      <c r="CI684">
        <v>16833.439999999999</v>
      </c>
      <c r="CJ684">
        <v>0</v>
      </c>
      <c r="CK684" t="s">
        <v>112</v>
      </c>
      <c r="CL684" t="s">
        <v>112</v>
      </c>
      <c r="CM684">
        <v>44122.28</v>
      </c>
      <c r="CN684">
        <v>3934547</v>
      </c>
      <c r="CO684">
        <v>0</v>
      </c>
      <c r="CP684">
        <v>1</v>
      </c>
      <c r="CQ684">
        <v>4322452.5599999996</v>
      </c>
      <c r="CR684">
        <v>52877.85</v>
      </c>
      <c r="CS684" t="s">
        <v>145</v>
      </c>
      <c r="CT684">
        <v>52877.201727999993</v>
      </c>
      <c r="CU684">
        <v>3.1412</v>
      </c>
      <c r="CV684">
        <v>45</v>
      </c>
      <c r="CW684" t="s">
        <v>171</v>
      </c>
      <c r="CX684" t="s">
        <v>350</v>
      </c>
      <c r="CY684">
        <v>32</v>
      </c>
    </row>
    <row r="685" spans="1:103" x14ac:dyDescent="0.25">
      <c r="A685" t="s">
        <v>106</v>
      </c>
      <c r="B685" s="38">
        <v>44618</v>
      </c>
      <c r="C685" s="43">
        <f>IF(YEAR(Таблица1[[#This Row],[Дата]])=2023,MONTH(Таблица1[[#This Row],[Дата]]),0)</f>
        <v>0</v>
      </c>
      <c r="D685" t="s">
        <v>1545</v>
      </c>
      <c r="E685" t="s">
        <v>108</v>
      </c>
      <c r="F685" t="s">
        <v>1546</v>
      </c>
      <c r="G685" t="s">
        <v>110</v>
      </c>
      <c r="H685" t="s">
        <v>111</v>
      </c>
      <c r="I685" t="s">
        <v>112</v>
      </c>
      <c r="J685" t="s">
        <v>112</v>
      </c>
      <c r="K685" t="s">
        <v>112</v>
      </c>
      <c r="L685" t="s">
        <v>150</v>
      </c>
      <c r="M685" t="s">
        <v>151</v>
      </c>
      <c r="N685" t="s">
        <v>112</v>
      </c>
      <c r="O685" t="s">
        <v>112</v>
      </c>
      <c r="P685">
        <v>1</v>
      </c>
      <c r="R685">
        <v>1</v>
      </c>
      <c r="S685">
        <v>33</v>
      </c>
      <c r="T685" t="s">
        <v>112</v>
      </c>
      <c r="U685" t="s">
        <v>152</v>
      </c>
      <c r="V685" t="s">
        <v>153</v>
      </c>
      <c r="W685" t="s">
        <v>154</v>
      </c>
      <c r="X685" t="s">
        <v>119</v>
      </c>
      <c r="Y685" t="s">
        <v>112</v>
      </c>
      <c r="Z685" t="s">
        <v>112</v>
      </c>
      <c r="AA685" t="s">
        <v>152</v>
      </c>
      <c r="AB685" t="s">
        <v>153</v>
      </c>
      <c r="AC685" t="s">
        <v>154</v>
      </c>
      <c r="AD685" t="s">
        <v>119</v>
      </c>
      <c r="AE685" t="s">
        <v>112</v>
      </c>
      <c r="AF685" t="s">
        <v>121</v>
      </c>
      <c r="AG685" t="s">
        <v>122</v>
      </c>
      <c r="AH685">
        <v>4014852.94</v>
      </c>
      <c r="AI685" t="s">
        <v>112</v>
      </c>
      <c r="AJ685" t="s">
        <v>152</v>
      </c>
      <c r="AK685" t="s">
        <v>153</v>
      </c>
      <c r="AL685" t="s">
        <v>154</v>
      </c>
      <c r="AM685" t="s">
        <v>119</v>
      </c>
      <c r="AN685" t="s">
        <v>112</v>
      </c>
      <c r="AO685" t="s">
        <v>121</v>
      </c>
      <c r="AP685" t="s">
        <v>122</v>
      </c>
      <c r="AQ685" t="s">
        <v>122</v>
      </c>
      <c r="AR685" t="s">
        <v>124</v>
      </c>
      <c r="AS685" t="s">
        <v>125</v>
      </c>
      <c r="AT685">
        <v>2</v>
      </c>
      <c r="AU685" t="s">
        <v>126</v>
      </c>
      <c r="AV685" t="s">
        <v>155</v>
      </c>
      <c r="AW685" t="s">
        <v>156</v>
      </c>
      <c r="AY685" t="s">
        <v>129</v>
      </c>
      <c r="AZ685">
        <v>36808.199999999997</v>
      </c>
      <c r="BC685">
        <v>98.407600000000002</v>
      </c>
      <c r="BD685" t="s">
        <v>112</v>
      </c>
      <c r="BE685" t="s">
        <v>112</v>
      </c>
      <c r="BF685" t="s">
        <v>157</v>
      </c>
      <c r="BG685" t="s">
        <v>133</v>
      </c>
      <c r="BH685" t="s">
        <v>134</v>
      </c>
      <c r="BI685" t="s">
        <v>112</v>
      </c>
      <c r="BJ685" t="s">
        <v>112</v>
      </c>
      <c r="BK685" t="s">
        <v>112</v>
      </c>
      <c r="BL685" t="s">
        <v>158</v>
      </c>
      <c r="BM685" t="s">
        <v>159</v>
      </c>
      <c r="BN685" t="s">
        <v>212</v>
      </c>
      <c r="BO685" t="s">
        <v>161</v>
      </c>
      <c r="BQ685" t="s">
        <v>213</v>
      </c>
      <c r="BR685" s="45">
        <f>ISNUMBER(SEARCH($BR$1,Таблица1[[#This Row],[31_1 Описание и характеристика товара]]))*1</f>
        <v>1</v>
      </c>
      <c r="BT685" t="s">
        <v>150</v>
      </c>
      <c r="BU685">
        <v>33</v>
      </c>
      <c r="BV685">
        <v>0</v>
      </c>
      <c r="BW685">
        <v>0</v>
      </c>
      <c r="BY685">
        <v>0</v>
      </c>
      <c r="CA685" t="s">
        <v>106</v>
      </c>
      <c r="CB685" t="s">
        <v>142</v>
      </c>
      <c r="CC685" t="s">
        <v>112</v>
      </c>
      <c r="CD685" t="s">
        <v>112</v>
      </c>
      <c r="CE685" t="s">
        <v>121</v>
      </c>
      <c r="CF685">
        <v>13008.6</v>
      </c>
      <c r="CG685" t="s">
        <v>144</v>
      </c>
      <c r="CH685">
        <v>4000000</v>
      </c>
      <c r="CI685">
        <v>12295.8</v>
      </c>
      <c r="CJ685">
        <v>0</v>
      </c>
      <c r="CK685" t="s">
        <v>112</v>
      </c>
      <c r="CL685" t="s">
        <v>112</v>
      </c>
      <c r="CM685">
        <v>36808.199999999997</v>
      </c>
      <c r="CO685">
        <v>0</v>
      </c>
      <c r="CP685">
        <v>1</v>
      </c>
      <c r="CQ685">
        <v>4014852.94</v>
      </c>
      <c r="CR685">
        <v>43674.55</v>
      </c>
      <c r="CS685" t="s">
        <v>145</v>
      </c>
      <c r="CT685">
        <v>43650.09</v>
      </c>
      <c r="CU685">
        <v>3.55</v>
      </c>
      <c r="CV685">
        <v>45</v>
      </c>
      <c r="CX685" t="s">
        <v>206</v>
      </c>
      <c r="CY685">
        <v>34</v>
      </c>
    </row>
    <row r="686" spans="1:103" x14ac:dyDescent="0.25">
      <c r="A686" t="s">
        <v>106</v>
      </c>
      <c r="B686" s="38">
        <v>44697</v>
      </c>
      <c r="C686" s="43">
        <f>IF(YEAR(Таблица1[[#This Row],[Дата]])=2023,MONTH(Таблица1[[#This Row],[Дата]]),0)</f>
        <v>0</v>
      </c>
      <c r="D686" t="s">
        <v>1547</v>
      </c>
      <c r="E686" t="s">
        <v>108</v>
      </c>
      <c r="F686" t="s">
        <v>1548</v>
      </c>
      <c r="G686" t="s">
        <v>110</v>
      </c>
      <c r="H686" t="s">
        <v>111</v>
      </c>
      <c r="I686" t="s">
        <v>112</v>
      </c>
      <c r="J686" t="s">
        <v>112</v>
      </c>
      <c r="K686" t="s">
        <v>112</v>
      </c>
      <c r="L686" t="s">
        <v>150</v>
      </c>
      <c r="M686" t="s">
        <v>151</v>
      </c>
      <c r="N686" t="s">
        <v>112</v>
      </c>
      <c r="O686" t="s">
        <v>112</v>
      </c>
      <c r="P686">
        <v>1</v>
      </c>
      <c r="R686">
        <v>1</v>
      </c>
      <c r="S686">
        <v>33</v>
      </c>
      <c r="T686" t="s">
        <v>112</v>
      </c>
      <c r="U686" t="s">
        <v>152</v>
      </c>
      <c r="V686" t="s">
        <v>153</v>
      </c>
      <c r="W686" t="s">
        <v>154</v>
      </c>
      <c r="X686" t="s">
        <v>119</v>
      </c>
      <c r="Y686" t="s">
        <v>112</v>
      </c>
      <c r="Z686" t="s">
        <v>112</v>
      </c>
      <c r="AA686" t="s">
        <v>152</v>
      </c>
      <c r="AB686" t="s">
        <v>153</v>
      </c>
      <c r="AC686" t="s">
        <v>154</v>
      </c>
      <c r="AD686" t="s">
        <v>119</v>
      </c>
      <c r="AE686" t="s">
        <v>112</v>
      </c>
      <c r="AF686" t="s">
        <v>121</v>
      </c>
      <c r="AG686" t="s">
        <v>122</v>
      </c>
      <c r="AH686">
        <v>4421516.4400000004</v>
      </c>
      <c r="AI686" t="s">
        <v>112</v>
      </c>
      <c r="AJ686" t="s">
        <v>152</v>
      </c>
      <c r="AK686" t="s">
        <v>153</v>
      </c>
      <c r="AL686" t="s">
        <v>154</v>
      </c>
      <c r="AM686" t="s">
        <v>119</v>
      </c>
      <c r="AN686" t="s">
        <v>112</v>
      </c>
      <c r="AO686" t="s">
        <v>121</v>
      </c>
      <c r="AP686" t="s">
        <v>122</v>
      </c>
      <c r="AQ686" t="s">
        <v>122</v>
      </c>
      <c r="AR686" t="s">
        <v>124</v>
      </c>
      <c r="AS686" t="s">
        <v>125</v>
      </c>
      <c r="AT686">
        <v>2</v>
      </c>
      <c r="AU686" t="s">
        <v>126</v>
      </c>
      <c r="AV686" t="s">
        <v>155</v>
      </c>
      <c r="AW686" t="s">
        <v>156</v>
      </c>
      <c r="AY686" t="s">
        <v>129</v>
      </c>
      <c r="AZ686">
        <v>40940.639999999999</v>
      </c>
      <c r="BC686">
        <v>98.407600000000002</v>
      </c>
      <c r="BD686" t="s">
        <v>112</v>
      </c>
      <c r="BE686" t="s">
        <v>112</v>
      </c>
      <c r="BF686" t="s">
        <v>157</v>
      </c>
      <c r="BG686" t="s">
        <v>133</v>
      </c>
      <c r="BH686" t="s">
        <v>134</v>
      </c>
      <c r="BI686" t="s">
        <v>112</v>
      </c>
      <c r="BJ686" t="s">
        <v>112</v>
      </c>
      <c r="BK686" t="s">
        <v>112</v>
      </c>
      <c r="BL686" t="s">
        <v>158</v>
      </c>
      <c r="BM686" t="s">
        <v>159</v>
      </c>
      <c r="BN686" t="s">
        <v>212</v>
      </c>
      <c r="BO686" t="s">
        <v>161</v>
      </c>
      <c r="BQ686" t="s">
        <v>232</v>
      </c>
      <c r="BR686" s="45">
        <f>ISNUMBER(SEARCH($BR$1,Таблица1[[#This Row],[31_1 Описание и характеристика товара]]))*1</f>
        <v>1</v>
      </c>
      <c r="BT686" t="s">
        <v>150</v>
      </c>
      <c r="BU686">
        <v>33</v>
      </c>
      <c r="BV686">
        <v>0</v>
      </c>
      <c r="BW686">
        <v>0</v>
      </c>
      <c r="BY686">
        <v>0</v>
      </c>
      <c r="CA686" t="s">
        <v>106</v>
      </c>
      <c r="CB686" t="s">
        <v>142</v>
      </c>
      <c r="CC686" t="s">
        <v>112</v>
      </c>
      <c r="CD686" t="s">
        <v>112</v>
      </c>
      <c r="CE686" t="s">
        <v>121</v>
      </c>
      <c r="CF686">
        <v>15731.1</v>
      </c>
      <c r="CG686" t="s">
        <v>144</v>
      </c>
      <c r="CH686">
        <v>4000000</v>
      </c>
      <c r="CI686">
        <v>15515.1</v>
      </c>
      <c r="CJ686">
        <v>0</v>
      </c>
      <c r="CK686" t="s">
        <v>112</v>
      </c>
      <c r="CL686" t="s">
        <v>112</v>
      </c>
      <c r="CM686">
        <v>40940.639999999999</v>
      </c>
      <c r="CO686">
        <v>0</v>
      </c>
      <c r="CP686">
        <v>1</v>
      </c>
      <c r="CQ686">
        <v>4421516.4400000004</v>
      </c>
      <c r="CR686">
        <v>48098.34</v>
      </c>
      <c r="CS686" t="s">
        <v>145</v>
      </c>
      <c r="CT686">
        <v>48096.810000000005</v>
      </c>
      <c r="CU686">
        <v>3.1</v>
      </c>
      <c r="CV686">
        <v>45</v>
      </c>
      <c r="CX686" t="s">
        <v>233</v>
      </c>
      <c r="CY686">
        <v>557</v>
      </c>
    </row>
    <row r="687" spans="1:103" x14ac:dyDescent="0.25">
      <c r="A687" t="s">
        <v>106</v>
      </c>
      <c r="B687" s="38">
        <v>45091</v>
      </c>
      <c r="C687" s="43">
        <f>IF(YEAR(Таблица1[[#This Row],[Дата]])=2023,MONTH(Таблица1[[#This Row],[Дата]]),0)</f>
        <v>6</v>
      </c>
      <c r="D687" t="s">
        <v>1556</v>
      </c>
      <c r="E687" t="s">
        <v>108</v>
      </c>
      <c r="F687" t="s">
        <v>1557</v>
      </c>
      <c r="G687" t="s">
        <v>110</v>
      </c>
      <c r="H687" t="s">
        <v>111</v>
      </c>
      <c r="I687" t="s">
        <v>112</v>
      </c>
      <c r="J687" t="s">
        <v>112</v>
      </c>
      <c r="K687" t="s">
        <v>112</v>
      </c>
      <c r="L687" t="s">
        <v>150</v>
      </c>
      <c r="M687" t="s">
        <v>151</v>
      </c>
      <c r="N687" t="s">
        <v>112</v>
      </c>
      <c r="O687" t="s">
        <v>112</v>
      </c>
      <c r="P687">
        <v>1</v>
      </c>
      <c r="R687">
        <v>1</v>
      </c>
      <c r="S687">
        <v>33</v>
      </c>
      <c r="T687" t="s">
        <v>112</v>
      </c>
      <c r="U687" t="s">
        <v>152</v>
      </c>
      <c r="V687" t="s">
        <v>153</v>
      </c>
      <c r="W687" t="s">
        <v>154</v>
      </c>
      <c r="X687" t="s">
        <v>119</v>
      </c>
      <c r="Y687" t="s">
        <v>112</v>
      </c>
      <c r="Z687" t="s">
        <v>112</v>
      </c>
      <c r="AA687" t="s">
        <v>152</v>
      </c>
      <c r="AB687" t="s">
        <v>153</v>
      </c>
      <c r="AC687" t="s">
        <v>154</v>
      </c>
      <c r="AD687" t="s">
        <v>119</v>
      </c>
      <c r="AE687" t="s">
        <v>112</v>
      </c>
      <c r="AF687" t="s">
        <v>121</v>
      </c>
      <c r="AG687" t="s">
        <v>122</v>
      </c>
      <c r="AH687">
        <v>4499715.0599999996</v>
      </c>
      <c r="AI687" t="s">
        <v>112</v>
      </c>
      <c r="AJ687" t="s">
        <v>152</v>
      </c>
      <c r="AK687" t="s">
        <v>153</v>
      </c>
      <c r="AL687" t="s">
        <v>154</v>
      </c>
      <c r="AM687" t="s">
        <v>119</v>
      </c>
      <c r="AN687" t="s">
        <v>112</v>
      </c>
      <c r="AO687" t="s">
        <v>121</v>
      </c>
      <c r="AP687" t="s">
        <v>122</v>
      </c>
      <c r="AQ687" t="s">
        <v>122</v>
      </c>
      <c r="AR687" t="s">
        <v>124</v>
      </c>
      <c r="AS687" t="s">
        <v>125</v>
      </c>
      <c r="AT687">
        <v>2</v>
      </c>
      <c r="AU687" t="s">
        <v>126</v>
      </c>
      <c r="AV687" t="s">
        <v>155</v>
      </c>
      <c r="AW687" t="s">
        <v>156</v>
      </c>
      <c r="AY687" t="s">
        <v>129</v>
      </c>
      <c r="AZ687">
        <v>41205.279999999999</v>
      </c>
      <c r="BC687">
        <v>98.407600000000002</v>
      </c>
      <c r="BD687" t="s">
        <v>112</v>
      </c>
      <c r="BE687" t="s">
        <v>112</v>
      </c>
      <c r="BF687" t="s">
        <v>157</v>
      </c>
      <c r="BG687" t="s">
        <v>133</v>
      </c>
      <c r="BH687" t="s">
        <v>134</v>
      </c>
      <c r="BI687" t="s">
        <v>112</v>
      </c>
      <c r="BJ687" t="s">
        <v>112</v>
      </c>
      <c r="BK687" t="s">
        <v>112</v>
      </c>
      <c r="BL687" t="s">
        <v>158</v>
      </c>
      <c r="BM687" t="s">
        <v>159</v>
      </c>
      <c r="BN687" t="s">
        <v>212</v>
      </c>
      <c r="BO687" t="s">
        <v>161</v>
      </c>
      <c r="BQ687" t="s">
        <v>232</v>
      </c>
      <c r="BR687" s="45">
        <f>ISNUMBER(SEARCH($BR$1,Таблица1[[#This Row],[31_1 Описание и характеристика товара]]))*1</f>
        <v>1</v>
      </c>
      <c r="BT687" t="s">
        <v>150</v>
      </c>
      <c r="BU687">
        <v>33</v>
      </c>
      <c r="BV687">
        <v>0</v>
      </c>
      <c r="BW687">
        <v>0</v>
      </c>
      <c r="BY687">
        <v>0</v>
      </c>
      <c r="CA687" t="s">
        <v>106</v>
      </c>
      <c r="CB687" t="s">
        <v>142</v>
      </c>
      <c r="CC687" t="s">
        <v>112</v>
      </c>
      <c r="CD687" t="s">
        <v>112</v>
      </c>
      <c r="CE687" t="s">
        <v>121</v>
      </c>
      <c r="CF687">
        <v>15598.88</v>
      </c>
      <c r="CG687" t="s">
        <v>144</v>
      </c>
      <c r="CH687">
        <v>4000000</v>
      </c>
      <c r="CI687">
        <v>15346.88</v>
      </c>
      <c r="CJ687">
        <v>0</v>
      </c>
      <c r="CK687" t="s">
        <v>112</v>
      </c>
      <c r="CL687" t="s">
        <v>112</v>
      </c>
      <c r="CM687">
        <v>41205.279999999999</v>
      </c>
      <c r="CO687">
        <v>0</v>
      </c>
      <c r="CP687">
        <v>1</v>
      </c>
      <c r="CQ687">
        <v>4499715.0599999996</v>
      </c>
      <c r="CR687">
        <v>48949</v>
      </c>
      <c r="CS687" t="s">
        <v>145</v>
      </c>
      <c r="CT687">
        <v>48956.547199999994</v>
      </c>
      <c r="CU687">
        <v>3.19</v>
      </c>
      <c r="CV687">
        <v>45</v>
      </c>
      <c r="CX687" t="s">
        <v>1140</v>
      </c>
      <c r="CY687">
        <v>284</v>
      </c>
    </row>
    <row r="688" spans="1:103" x14ac:dyDescent="0.25">
      <c r="A688" t="s">
        <v>106</v>
      </c>
      <c r="B688" s="38">
        <v>45162</v>
      </c>
      <c r="C688" s="43">
        <f>IF(YEAR(Таблица1[[#This Row],[Дата]])=2023,MONTH(Таблица1[[#This Row],[Дата]]),0)</f>
        <v>8</v>
      </c>
      <c r="D688" t="s">
        <v>2104</v>
      </c>
      <c r="E688" t="s">
        <v>108</v>
      </c>
      <c r="F688" t="s">
        <v>2105</v>
      </c>
      <c r="G688" t="s">
        <v>110</v>
      </c>
      <c r="H688" t="s">
        <v>111</v>
      </c>
      <c r="I688" t="s">
        <v>112</v>
      </c>
      <c r="J688" t="s">
        <v>112</v>
      </c>
      <c r="K688" t="s">
        <v>112</v>
      </c>
      <c r="L688" t="s">
        <v>150</v>
      </c>
      <c r="M688" t="s">
        <v>151</v>
      </c>
      <c r="N688" t="s">
        <v>112</v>
      </c>
      <c r="O688" t="s">
        <v>112</v>
      </c>
      <c r="P688">
        <v>1</v>
      </c>
      <c r="R688">
        <v>1</v>
      </c>
      <c r="S688">
        <v>33</v>
      </c>
      <c r="T688" t="s">
        <v>112</v>
      </c>
      <c r="U688" t="s">
        <v>152</v>
      </c>
      <c r="V688" t="s">
        <v>153</v>
      </c>
      <c r="W688" t="s">
        <v>154</v>
      </c>
      <c r="X688" t="s">
        <v>119</v>
      </c>
      <c r="Y688" t="s">
        <v>112</v>
      </c>
      <c r="Z688" t="s">
        <v>112</v>
      </c>
      <c r="AA688" t="s">
        <v>152</v>
      </c>
      <c r="AB688" t="s">
        <v>153</v>
      </c>
      <c r="AC688" t="s">
        <v>154</v>
      </c>
      <c r="AD688" t="s">
        <v>119</v>
      </c>
      <c r="AE688" t="s">
        <v>112</v>
      </c>
      <c r="AF688" t="s">
        <v>121</v>
      </c>
      <c r="AG688" t="s">
        <v>122</v>
      </c>
      <c r="AH688">
        <v>4901139.3</v>
      </c>
      <c r="AI688" t="s">
        <v>112</v>
      </c>
      <c r="AJ688" t="s">
        <v>152</v>
      </c>
      <c r="AK688" t="s">
        <v>153</v>
      </c>
      <c r="AL688" t="s">
        <v>154</v>
      </c>
      <c r="AM688" t="s">
        <v>119</v>
      </c>
      <c r="AN688" t="s">
        <v>112</v>
      </c>
      <c r="AO688" t="s">
        <v>121</v>
      </c>
      <c r="AP688" t="s">
        <v>122</v>
      </c>
      <c r="AQ688" t="s">
        <v>122</v>
      </c>
      <c r="AR688" t="s">
        <v>124</v>
      </c>
      <c r="AS688" t="s">
        <v>125</v>
      </c>
      <c r="AT688">
        <v>2</v>
      </c>
      <c r="AU688" t="s">
        <v>126</v>
      </c>
      <c r="AV688" t="s">
        <v>155</v>
      </c>
      <c r="AW688" t="s">
        <v>156</v>
      </c>
      <c r="AY688" t="s">
        <v>129</v>
      </c>
      <c r="AZ688">
        <v>41101.26</v>
      </c>
      <c r="BC688">
        <v>107.0322</v>
      </c>
      <c r="BD688" t="s">
        <v>112</v>
      </c>
      <c r="BE688" t="s">
        <v>112</v>
      </c>
      <c r="BF688" t="s">
        <v>157</v>
      </c>
      <c r="BG688" t="s">
        <v>133</v>
      </c>
      <c r="BH688" t="s">
        <v>134</v>
      </c>
      <c r="BI688" t="s">
        <v>112</v>
      </c>
      <c r="BJ688" t="s">
        <v>112</v>
      </c>
      <c r="BK688" t="s">
        <v>112</v>
      </c>
      <c r="BL688" t="s">
        <v>158</v>
      </c>
      <c r="BM688" t="s">
        <v>159</v>
      </c>
      <c r="BN688" t="s">
        <v>212</v>
      </c>
      <c r="BO688" t="s">
        <v>161</v>
      </c>
      <c r="BQ688" t="s">
        <v>205</v>
      </c>
      <c r="BR688" s="45">
        <f>ISNUMBER(SEARCH($BR$1,Таблица1[[#This Row],[31_1 Описание и характеристика товара]]))*1</f>
        <v>1</v>
      </c>
      <c r="BT688" t="s">
        <v>150</v>
      </c>
      <c r="BU688">
        <v>33</v>
      </c>
      <c r="BV688">
        <v>0</v>
      </c>
      <c r="BW688">
        <v>0</v>
      </c>
      <c r="BY688">
        <v>0</v>
      </c>
      <c r="CA688" t="s">
        <v>106</v>
      </c>
      <c r="CB688" t="s">
        <v>142</v>
      </c>
      <c r="CC688" t="s">
        <v>112</v>
      </c>
      <c r="CD688" t="s">
        <v>112</v>
      </c>
      <c r="CE688" t="s">
        <v>121</v>
      </c>
      <c r="CF688">
        <v>16275.91</v>
      </c>
      <c r="CG688" t="s">
        <v>144</v>
      </c>
      <c r="CH688">
        <v>4000000</v>
      </c>
      <c r="CI688">
        <v>16175.11</v>
      </c>
      <c r="CJ688">
        <v>0</v>
      </c>
      <c r="CK688" t="s">
        <v>112</v>
      </c>
      <c r="CL688" t="s">
        <v>112</v>
      </c>
      <c r="CM688">
        <v>41101.26</v>
      </c>
      <c r="CO688">
        <v>0</v>
      </c>
      <c r="CP688">
        <v>1</v>
      </c>
      <c r="CQ688">
        <v>4901139.3</v>
      </c>
      <c r="CR688">
        <v>48353.88</v>
      </c>
      <c r="CS688" t="s">
        <v>145</v>
      </c>
      <c r="CT688">
        <v>48363.578900000008</v>
      </c>
      <c r="CU688">
        <v>2.99</v>
      </c>
      <c r="CV688">
        <v>45</v>
      </c>
      <c r="CX688" t="s">
        <v>729</v>
      </c>
      <c r="CY688">
        <v>205</v>
      </c>
    </row>
    <row r="689" spans="1:103" x14ac:dyDescent="0.25">
      <c r="A689" t="s">
        <v>106</v>
      </c>
      <c r="B689" s="38">
        <v>45091</v>
      </c>
      <c r="C689" s="43">
        <f>IF(YEAR(Таблица1[[#This Row],[Дата]])=2023,MONTH(Таблица1[[#This Row],[Дата]]),0)</f>
        <v>6</v>
      </c>
      <c r="D689" t="s">
        <v>2104</v>
      </c>
      <c r="E689" t="s">
        <v>108</v>
      </c>
      <c r="F689" t="s">
        <v>2105</v>
      </c>
      <c r="G689" t="s">
        <v>110</v>
      </c>
      <c r="H689" t="s">
        <v>111</v>
      </c>
      <c r="I689" t="s">
        <v>112</v>
      </c>
      <c r="J689" t="s">
        <v>112</v>
      </c>
      <c r="K689" t="s">
        <v>112</v>
      </c>
      <c r="L689" t="s">
        <v>150</v>
      </c>
      <c r="M689" t="s">
        <v>151</v>
      </c>
      <c r="N689" t="s">
        <v>112</v>
      </c>
      <c r="O689" t="s">
        <v>112</v>
      </c>
      <c r="P689">
        <v>1</v>
      </c>
      <c r="R689">
        <v>1</v>
      </c>
      <c r="S689">
        <v>33</v>
      </c>
      <c r="T689" t="s">
        <v>112</v>
      </c>
      <c r="U689" t="s">
        <v>152</v>
      </c>
      <c r="V689" t="s">
        <v>153</v>
      </c>
      <c r="W689" t="s">
        <v>154</v>
      </c>
      <c r="X689" t="s">
        <v>119</v>
      </c>
      <c r="Y689" t="s">
        <v>112</v>
      </c>
      <c r="Z689" t="s">
        <v>112</v>
      </c>
      <c r="AA689" t="s">
        <v>152</v>
      </c>
      <c r="AB689" t="s">
        <v>153</v>
      </c>
      <c r="AC689" t="s">
        <v>154</v>
      </c>
      <c r="AD689" t="s">
        <v>119</v>
      </c>
      <c r="AE689" t="s">
        <v>112</v>
      </c>
      <c r="AF689" t="s">
        <v>121</v>
      </c>
      <c r="AG689" t="s">
        <v>122</v>
      </c>
      <c r="AH689">
        <v>4901139.3</v>
      </c>
      <c r="AI689" t="s">
        <v>112</v>
      </c>
      <c r="AJ689" t="s">
        <v>152</v>
      </c>
      <c r="AK689" t="s">
        <v>153</v>
      </c>
      <c r="AL689" t="s">
        <v>154</v>
      </c>
      <c r="AM689" t="s">
        <v>119</v>
      </c>
      <c r="AN689" t="s">
        <v>112</v>
      </c>
      <c r="AO689" t="s">
        <v>121</v>
      </c>
      <c r="AP689" t="s">
        <v>122</v>
      </c>
      <c r="AQ689" t="s">
        <v>122</v>
      </c>
      <c r="AR689" t="s">
        <v>124</v>
      </c>
      <c r="AS689" t="s">
        <v>125</v>
      </c>
      <c r="AT689">
        <v>2</v>
      </c>
      <c r="AU689" t="s">
        <v>126</v>
      </c>
      <c r="AV689" t="s">
        <v>155</v>
      </c>
      <c r="AW689" t="s">
        <v>156</v>
      </c>
      <c r="AY689" t="s">
        <v>129</v>
      </c>
      <c r="AZ689">
        <v>41101.26</v>
      </c>
      <c r="BC689">
        <v>107.0322</v>
      </c>
      <c r="BD689" t="s">
        <v>112</v>
      </c>
      <c r="BE689" t="s">
        <v>112</v>
      </c>
      <c r="BF689" t="s">
        <v>157</v>
      </c>
      <c r="BG689" t="s">
        <v>133</v>
      </c>
      <c r="BH689" t="s">
        <v>134</v>
      </c>
      <c r="BI689" t="s">
        <v>112</v>
      </c>
      <c r="BJ689" t="s">
        <v>112</v>
      </c>
      <c r="BK689" t="s">
        <v>112</v>
      </c>
      <c r="BL689" t="s">
        <v>158</v>
      </c>
      <c r="BM689" t="s">
        <v>159</v>
      </c>
      <c r="BN689" t="s">
        <v>212</v>
      </c>
      <c r="BO689" t="s">
        <v>161</v>
      </c>
      <c r="BQ689" t="s">
        <v>205</v>
      </c>
      <c r="BR689" s="45">
        <f>ISNUMBER(SEARCH($BR$1,Таблица1[[#This Row],[31_1 Описание и характеристика товара]]))*1</f>
        <v>1</v>
      </c>
      <c r="BT689" t="s">
        <v>150</v>
      </c>
      <c r="BU689">
        <v>33</v>
      </c>
      <c r="BV689">
        <v>0</v>
      </c>
      <c r="BW689">
        <v>0</v>
      </c>
      <c r="BY689">
        <v>0</v>
      </c>
      <c r="CA689" t="s">
        <v>106</v>
      </c>
      <c r="CB689" t="s">
        <v>142</v>
      </c>
      <c r="CC689" t="s">
        <v>112</v>
      </c>
      <c r="CD689" t="s">
        <v>112</v>
      </c>
      <c r="CE689" t="s">
        <v>121</v>
      </c>
      <c r="CF689">
        <v>16275.91</v>
      </c>
      <c r="CG689" t="s">
        <v>144</v>
      </c>
      <c r="CH689">
        <v>4000000</v>
      </c>
      <c r="CI689">
        <v>16175.11</v>
      </c>
      <c r="CJ689">
        <v>0</v>
      </c>
      <c r="CK689" t="s">
        <v>112</v>
      </c>
      <c r="CL689" t="s">
        <v>112</v>
      </c>
      <c r="CM689">
        <v>41101.26</v>
      </c>
      <c r="CO689">
        <v>0</v>
      </c>
      <c r="CP689">
        <v>1</v>
      </c>
      <c r="CQ689">
        <v>4901139.3</v>
      </c>
      <c r="CR689">
        <v>48353.88</v>
      </c>
      <c r="CS689" t="s">
        <v>145</v>
      </c>
      <c r="CT689">
        <v>48363.578900000008</v>
      </c>
      <c r="CU689">
        <v>2.99</v>
      </c>
      <c r="CV689">
        <v>45</v>
      </c>
      <c r="CX689" t="s">
        <v>729</v>
      </c>
      <c r="CY689">
        <v>205</v>
      </c>
    </row>
    <row r="690" spans="1:103" x14ac:dyDescent="0.25">
      <c r="A690" t="s">
        <v>106</v>
      </c>
      <c r="B690" s="38">
        <v>45176</v>
      </c>
      <c r="C690" s="43">
        <f>IF(YEAR(Таблица1[[#This Row],[Дата]])=2023,MONTH(Таблица1[[#This Row],[Дата]]),0)</f>
        <v>9</v>
      </c>
      <c r="D690" t="s">
        <v>2075</v>
      </c>
      <c r="E690" t="s">
        <v>108</v>
      </c>
      <c r="F690" t="s">
        <v>2076</v>
      </c>
      <c r="G690" t="s">
        <v>110</v>
      </c>
      <c r="H690" t="s">
        <v>111</v>
      </c>
      <c r="I690" t="s">
        <v>112</v>
      </c>
      <c r="J690" t="s">
        <v>112</v>
      </c>
      <c r="K690" t="s">
        <v>112</v>
      </c>
      <c r="L690" t="s">
        <v>150</v>
      </c>
      <c r="M690" t="s">
        <v>151</v>
      </c>
      <c r="N690" t="s">
        <v>112</v>
      </c>
      <c r="O690" t="s">
        <v>112</v>
      </c>
      <c r="P690">
        <v>1</v>
      </c>
      <c r="R690">
        <v>1</v>
      </c>
      <c r="S690">
        <v>33</v>
      </c>
      <c r="T690" t="s">
        <v>112</v>
      </c>
      <c r="U690" t="s">
        <v>152</v>
      </c>
      <c r="V690" t="s">
        <v>153</v>
      </c>
      <c r="W690" t="s">
        <v>154</v>
      </c>
      <c r="X690" t="s">
        <v>119</v>
      </c>
      <c r="Y690" t="s">
        <v>112</v>
      </c>
      <c r="Z690" t="s">
        <v>112</v>
      </c>
      <c r="AA690" t="s">
        <v>152</v>
      </c>
      <c r="AB690" t="s">
        <v>153</v>
      </c>
      <c r="AC690" t="s">
        <v>154</v>
      </c>
      <c r="AD690" t="s">
        <v>119</v>
      </c>
      <c r="AE690" t="s">
        <v>112</v>
      </c>
      <c r="AF690" t="s">
        <v>121</v>
      </c>
      <c r="AG690" t="s">
        <v>122</v>
      </c>
      <c r="AH690">
        <v>5167117.53</v>
      </c>
      <c r="AI690" t="s">
        <v>112</v>
      </c>
      <c r="AJ690" t="s">
        <v>152</v>
      </c>
      <c r="AK690" t="s">
        <v>153</v>
      </c>
      <c r="AL690" t="s">
        <v>154</v>
      </c>
      <c r="AM690" t="s">
        <v>119</v>
      </c>
      <c r="AN690" t="s">
        <v>112</v>
      </c>
      <c r="AO690" t="s">
        <v>121</v>
      </c>
      <c r="AP690" t="s">
        <v>122</v>
      </c>
      <c r="AQ690" t="s">
        <v>122</v>
      </c>
      <c r="AR690" t="s">
        <v>124</v>
      </c>
      <c r="AS690" t="s">
        <v>125</v>
      </c>
      <c r="AT690">
        <v>2</v>
      </c>
      <c r="AU690" t="s">
        <v>126</v>
      </c>
      <c r="AV690" t="s">
        <v>155</v>
      </c>
      <c r="AW690" t="s">
        <v>156</v>
      </c>
      <c r="AY690" t="s">
        <v>129</v>
      </c>
      <c r="AZ690">
        <v>43586.29</v>
      </c>
      <c r="BC690">
        <v>107.0322</v>
      </c>
      <c r="BD690" t="s">
        <v>112</v>
      </c>
      <c r="BE690" t="s">
        <v>112</v>
      </c>
      <c r="BF690" t="s">
        <v>157</v>
      </c>
      <c r="BG690" t="s">
        <v>133</v>
      </c>
      <c r="BH690" t="s">
        <v>134</v>
      </c>
      <c r="BI690" t="s">
        <v>112</v>
      </c>
      <c r="BJ690" t="s">
        <v>112</v>
      </c>
      <c r="BK690" t="s">
        <v>112</v>
      </c>
      <c r="BL690" t="s">
        <v>158</v>
      </c>
      <c r="BM690" t="s">
        <v>159</v>
      </c>
      <c r="BN690" t="s">
        <v>212</v>
      </c>
      <c r="BO690" t="s">
        <v>161</v>
      </c>
      <c r="BQ690" t="s">
        <v>162</v>
      </c>
      <c r="BR690" s="45">
        <f>ISNUMBER(SEARCH($BR$1,Таблица1[[#This Row],[31_1 Описание и характеристика товара]]))*1</f>
        <v>1</v>
      </c>
      <c r="BT690" t="s">
        <v>150</v>
      </c>
      <c r="BU690">
        <v>33</v>
      </c>
      <c r="BV690">
        <v>0</v>
      </c>
      <c r="BW690">
        <v>0</v>
      </c>
      <c r="BY690">
        <v>0</v>
      </c>
      <c r="CA690" t="s">
        <v>106</v>
      </c>
      <c r="CB690" t="s">
        <v>142</v>
      </c>
      <c r="CC690" t="s">
        <v>112</v>
      </c>
      <c r="CD690" t="s">
        <v>112</v>
      </c>
      <c r="CE690" t="s">
        <v>121</v>
      </c>
      <c r="CF690">
        <v>16098.98</v>
      </c>
      <c r="CG690" t="s">
        <v>144</v>
      </c>
      <c r="CH690">
        <v>4000000</v>
      </c>
      <c r="CI690">
        <v>15930.98</v>
      </c>
      <c r="CJ690">
        <v>0</v>
      </c>
      <c r="CK690" t="s">
        <v>112</v>
      </c>
      <c r="CL690" t="s">
        <v>112</v>
      </c>
      <c r="CM690">
        <v>43586.29</v>
      </c>
      <c r="CO690">
        <v>0</v>
      </c>
      <c r="CP690">
        <v>1</v>
      </c>
      <c r="CQ690">
        <v>5167117.53</v>
      </c>
      <c r="CR690">
        <v>50977.98</v>
      </c>
      <c r="CS690" t="s">
        <v>145</v>
      </c>
      <c r="CT690">
        <v>50979.135999999999</v>
      </c>
      <c r="CU690">
        <v>3.2</v>
      </c>
      <c r="CV690">
        <v>45</v>
      </c>
      <c r="CX690" t="s">
        <v>1140</v>
      </c>
      <c r="CY690">
        <v>579</v>
      </c>
    </row>
    <row r="691" spans="1:103" x14ac:dyDescent="0.25">
      <c r="A691" t="s">
        <v>106</v>
      </c>
      <c r="B691" s="38">
        <v>44977</v>
      </c>
      <c r="C691" s="43">
        <f>IF(YEAR(Таблица1[[#This Row],[Дата]])=2023,MONTH(Таблица1[[#This Row],[Дата]]),0)</f>
        <v>2</v>
      </c>
      <c r="D691" t="s">
        <v>2075</v>
      </c>
      <c r="E691" t="s">
        <v>108</v>
      </c>
      <c r="F691" t="s">
        <v>2076</v>
      </c>
      <c r="G691" t="s">
        <v>110</v>
      </c>
      <c r="H691" t="s">
        <v>111</v>
      </c>
      <c r="I691" t="s">
        <v>112</v>
      </c>
      <c r="J691" t="s">
        <v>112</v>
      </c>
      <c r="K691" t="s">
        <v>112</v>
      </c>
      <c r="L691" t="s">
        <v>150</v>
      </c>
      <c r="M691" t="s">
        <v>151</v>
      </c>
      <c r="N691" t="s">
        <v>112</v>
      </c>
      <c r="O691" t="s">
        <v>112</v>
      </c>
      <c r="P691">
        <v>1</v>
      </c>
      <c r="R691">
        <v>1</v>
      </c>
      <c r="S691">
        <v>33</v>
      </c>
      <c r="T691" t="s">
        <v>112</v>
      </c>
      <c r="U691" t="s">
        <v>152</v>
      </c>
      <c r="V691" t="s">
        <v>153</v>
      </c>
      <c r="W691" t="s">
        <v>154</v>
      </c>
      <c r="X691" t="s">
        <v>119</v>
      </c>
      <c r="Y691" t="s">
        <v>112</v>
      </c>
      <c r="Z691" t="s">
        <v>112</v>
      </c>
      <c r="AA691" t="s">
        <v>152</v>
      </c>
      <c r="AB691" t="s">
        <v>153</v>
      </c>
      <c r="AC691" t="s">
        <v>154</v>
      </c>
      <c r="AD691" t="s">
        <v>119</v>
      </c>
      <c r="AE691" t="s">
        <v>112</v>
      </c>
      <c r="AF691" t="s">
        <v>121</v>
      </c>
      <c r="AG691" t="s">
        <v>122</v>
      </c>
      <c r="AH691">
        <v>5167117.53</v>
      </c>
      <c r="AI691" t="s">
        <v>112</v>
      </c>
      <c r="AJ691" t="s">
        <v>152</v>
      </c>
      <c r="AK691" t="s">
        <v>153</v>
      </c>
      <c r="AL691" t="s">
        <v>154</v>
      </c>
      <c r="AM691" t="s">
        <v>119</v>
      </c>
      <c r="AN691" t="s">
        <v>112</v>
      </c>
      <c r="AO691" t="s">
        <v>121</v>
      </c>
      <c r="AP691" t="s">
        <v>122</v>
      </c>
      <c r="AQ691" t="s">
        <v>122</v>
      </c>
      <c r="AR691" t="s">
        <v>124</v>
      </c>
      <c r="AS691" t="s">
        <v>125</v>
      </c>
      <c r="AT691">
        <v>2</v>
      </c>
      <c r="AU691" t="s">
        <v>126</v>
      </c>
      <c r="AV691" t="s">
        <v>155</v>
      </c>
      <c r="AW691" t="s">
        <v>156</v>
      </c>
      <c r="AY691" t="s">
        <v>129</v>
      </c>
      <c r="AZ691">
        <v>43586.29</v>
      </c>
      <c r="BC691">
        <v>107.0322</v>
      </c>
      <c r="BD691" t="s">
        <v>112</v>
      </c>
      <c r="BE691" t="s">
        <v>112</v>
      </c>
      <c r="BF691" t="s">
        <v>157</v>
      </c>
      <c r="BG691" t="s">
        <v>133</v>
      </c>
      <c r="BH691" t="s">
        <v>134</v>
      </c>
      <c r="BI691" t="s">
        <v>112</v>
      </c>
      <c r="BJ691" t="s">
        <v>112</v>
      </c>
      <c r="BK691" t="s">
        <v>112</v>
      </c>
      <c r="BL691" t="s">
        <v>158</v>
      </c>
      <c r="BM691" t="s">
        <v>159</v>
      </c>
      <c r="BN691" t="s">
        <v>212</v>
      </c>
      <c r="BO691" t="s">
        <v>161</v>
      </c>
      <c r="BQ691" t="s">
        <v>162</v>
      </c>
      <c r="BR691" s="45">
        <f>ISNUMBER(SEARCH($BR$1,Таблица1[[#This Row],[31_1 Описание и характеристика товара]]))*1</f>
        <v>1</v>
      </c>
      <c r="BT691" t="s">
        <v>150</v>
      </c>
      <c r="BU691">
        <v>33</v>
      </c>
      <c r="BV691">
        <v>0</v>
      </c>
      <c r="BW691">
        <v>0</v>
      </c>
      <c r="BY691">
        <v>0</v>
      </c>
      <c r="CA691" t="s">
        <v>106</v>
      </c>
      <c r="CB691" t="s">
        <v>142</v>
      </c>
      <c r="CC691" t="s">
        <v>112</v>
      </c>
      <c r="CD691" t="s">
        <v>112</v>
      </c>
      <c r="CE691" t="s">
        <v>121</v>
      </c>
      <c r="CF691">
        <v>16098.98</v>
      </c>
      <c r="CG691" t="s">
        <v>144</v>
      </c>
      <c r="CH691">
        <v>4000000</v>
      </c>
      <c r="CI691">
        <v>15930.98</v>
      </c>
      <c r="CJ691">
        <v>0</v>
      </c>
      <c r="CK691" t="s">
        <v>112</v>
      </c>
      <c r="CL691" t="s">
        <v>112</v>
      </c>
      <c r="CM691">
        <v>43586.29</v>
      </c>
      <c r="CO691">
        <v>0</v>
      </c>
      <c r="CP691">
        <v>1</v>
      </c>
      <c r="CQ691">
        <v>5167117.53</v>
      </c>
      <c r="CR691">
        <v>50977.98</v>
      </c>
      <c r="CS691" t="s">
        <v>145</v>
      </c>
      <c r="CT691">
        <v>50979.135999999999</v>
      </c>
      <c r="CU691">
        <v>3.2</v>
      </c>
      <c r="CV691">
        <v>45</v>
      </c>
      <c r="CX691" t="s">
        <v>1140</v>
      </c>
      <c r="CY691">
        <v>579</v>
      </c>
    </row>
    <row r="692" spans="1:103" x14ac:dyDescent="0.25">
      <c r="A692" t="s">
        <v>106</v>
      </c>
      <c r="B692" s="38">
        <v>45022</v>
      </c>
      <c r="C692" s="43">
        <f>IF(YEAR(Таблица1[[#This Row],[Дата]])=2023,MONTH(Таблица1[[#This Row],[Дата]]),0)</f>
        <v>4</v>
      </c>
      <c r="D692" t="s">
        <v>1700</v>
      </c>
      <c r="E692" t="s">
        <v>108</v>
      </c>
      <c r="F692" t="s">
        <v>1701</v>
      </c>
      <c r="G692" t="s">
        <v>110</v>
      </c>
      <c r="H692" t="s">
        <v>111</v>
      </c>
      <c r="I692" t="s">
        <v>112</v>
      </c>
      <c r="J692" t="s">
        <v>112</v>
      </c>
      <c r="K692" t="s">
        <v>112</v>
      </c>
      <c r="L692" t="s">
        <v>150</v>
      </c>
      <c r="M692" t="s">
        <v>151</v>
      </c>
      <c r="N692" t="s">
        <v>112</v>
      </c>
      <c r="O692" t="s">
        <v>112</v>
      </c>
      <c r="R692">
        <v>1</v>
      </c>
      <c r="S692">
        <v>33</v>
      </c>
      <c r="T692" t="s">
        <v>166</v>
      </c>
      <c r="U692" t="s">
        <v>152</v>
      </c>
      <c r="V692" t="s">
        <v>153</v>
      </c>
      <c r="W692" t="s">
        <v>154</v>
      </c>
      <c r="X692" t="s">
        <v>119</v>
      </c>
      <c r="Y692" t="s">
        <v>112</v>
      </c>
      <c r="Z692" t="s">
        <v>166</v>
      </c>
      <c r="AA692" t="s">
        <v>152</v>
      </c>
      <c r="AB692" t="s">
        <v>153</v>
      </c>
      <c r="AC692" t="s">
        <v>154</v>
      </c>
      <c r="AD692" t="s">
        <v>119</v>
      </c>
      <c r="AE692" t="s">
        <v>112</v>
      </c>
      <c r="AF692" t="s">
        <v>121</v>
      </c>
      <c r="AG692" t="s">
        <v>122</v>
      </c>
      <c r="AH692">
        <v>5459463.04</v>
      </c>
      <c r="AI692" t="s">
        <v>166</v>
      </c>
      <c r="AJ692" t="s">
        <v>152</v>
      </c>
      <c r="AK692" t="s">
        <v>153</v>
      </c>
      <c r="AL692" t="s">
        <v>154</v>
      </c>
      <c r="AM692" t="s">
        <v>119</v>
      </c>
      <c r="AN692" t="s">
        <v>112</v>
      </c>
      <c r="AO692" t="s">
        <v>121</v>
      </c>
      <c r="AP692" t="s">
        <v>122</v>
      </c>
      <c r="AQ692" t="s">
        <v>112</v>
      </c>
      <c r="AR692" t="s">
        <v>124</v>
      </c>
      <c r="AS692" t="s">
        <v>125</v>
      </c>
      <c r="AU692" t="s">
        <v>126</v>
      </c>
      <c r="AV692" t="s">
        <v>155</v>
      </c>
      <c r="AW692" t="s">
        <v>156</v>
      </c>
      <c r="AY692" t="s">
        <v>129</v>
      </c>
      <c r="AZ692">
        <v>46945.67</v>
      </c>
      <c r="BC692">
        <v>106.8897</v>
      </c>
      <c r="BD692" t="s">
        <v>112</v>
      </c>
      <c r="BE692" t="s">
        <v>112</v>
      </c>
      <c r="BF692" t="s">
        <v>112</v>
      </c>
      <c r="BG692" t="s">
        <v>133</v>
      </c>
      <c r="BH692" t="s">
        <v>167</v>
      </c>
      <c r="BI692" t="s">
        <v>112</v>
      </c>
      <c r="BJ692" t="s">
        <v>112</v>
      </c>
      <c r="BK692" t="s">
        <v>112</v>
      </c>
      <c r="BL692" t="s">
        <v>112</v>
      </c>
      <c r="BM692" t="s">
        <v>112</v>
      </c>
      <c r="BN692" t="s">
        <v>112</v>
      </c>
      <c r="BO692" t="s">
        <v>161</v>
      </c>
      <c r="BQ692" t="s">
        <v>232</v>
      </c>
      <c r="BR692" s="45">
        <f>ISNUMBER(SEARCH($BR$1,Таблица1[[#This Row],[31_1 Описание и характеристика товара]]))*1</f>
        <v>1</v>
      </c>
      <c r="BT692" t="s">
        <v>150</v>
      </c>
      <c r="BU692">
        <v>33</v>
      </c>
      <c r="BV692">
        <v>0</v>
      </c>
      <c r="BW692">
        <v>0</v>
      </c>
      <c r="CA692" t="s">
        <v>106</v>
      </c>
      <c r="CB692" t="s">
        <v>142</v>
      </c>
      <c r="CC692" t="s">
        <v>112</v>
      </c>
      <c r="CD692" t="s">
        <v>112</v>
      </c>
      <c r="CE692" t="s">
        <v>112</v>
      </c>
      <c r="CF692">
        <v>16630.64</v>
      </c>
      <c r="CG692" t="s">
        <v>144</v>
      </c>
      <c r="CH692">
        <v>4000000</v>
      </c>
      <c r="CI692">
        <v>16540.64</v>
      </c>
      <c r="CJ692">
        <v>0</v>
      </c>
      <c r="CK692" t="s">
        <v>112</v>
      </c>
      <c r="CL692" t="s">
        <v>112</v>
      </c>
      <c r="CM692">
        <v>46945.67</v>
      </c>
      <c r="CO692">
        <v>0</v>
      </c>
      <c r="CP692">
        <v>1</v>
      </c>
      <c r="CQ692">
        <v>5459463.04</v>
      </c>
      <c r="CR692">
        <v>56052.04</v>
      </c>
      <c r="CS692" t="s">
        <v>145</v>
      </c>
      <c r="CT692">
        <v>56072.7696</v>
      </c>
      <c r="CU692">
        <v>3.39</v>
      </c>
      <c r="CY692">
        <v>319</v>
      </c>
    </row>
    <row r="693" spans="1:103" x14ac:dyDescent="0.25">
      <c r="A693" t="s">
        <v>106</v>
      </c>
      <c r="B693" s="38">
        <v>45017</v>
      </c>
      <c r="C693" s="43">
        <f>IF(YEAR(Таблица1[[#This Row],[Дата]])=2023,MONTH(Таблица1[[#This Row],[Дата]]),0)</f>
        <v>4</v>
      </c>
      <c r="D693" t="s">
        <v>1696</v>
      </c>
      <c r="E693" t="s">
        <v>108</v>
      </c>
      <c r="F693" t="s">
        <v>1697</v>
      </c>
      <c r="G693" t="s">
        <v>110</v>
      </c>
      <c r="H693" t="s">
        <v>111</v>
      </c>
      <c r="I693" t="s">
        <v>112</v>
      </c>
      <c r="J693" t="s">
        <v>112</v>
      </c>
      <c r="K693" t="s">
        <v>112</v>
      </c>
      <c r="L693" t="s">
        <v>150</v>
      </c>
      <c r="M693" t="s">
        <v>151</v>
      </c>
      <c r="N693" t="s">
        <v>112</v>
      </c>
      <c r="O693" t="s">
        <v>112</v>
      </c>
      <c r="R693">
        <v>1</v>
      </c>
      <c r="S693">
        <v>33</v>
      </c>
      <c r="T693" t="s">
        <v>166</v>
      </c>
      <c r="U693" t="s">
        <v>152</v>
      </c>
      <c r="V693" t="s">
        <v>153</v>
      </c>
      <c r="W693" t="s">
        <v>154</v>
      </c>
      <c r="X693" t="s">
        <v>119</v>
      </c>
      <c r="Y693" t="s">
        <v>112</v>
      </c>
      <c r="Z693" t="s">
        <v>166</v>
      </c>
      <c r="AA693" t="s">
        <v>152</v>
      </c>
      <c r="AB693" t="s">
        <v>153</v>
      </c>
      <c r="AC693" t="s">
        <v>154</v>
      </c>
      <c r="AD693" t="s">
        <v>119</v>
      </c>
      <c r="AE693" t="s">
        <v>112</v>
      </c>
      <c r="AF693" t="s">
        <v>121</v>
      </c>
      <c r="AG693" t="s">
        <v>122</v>
      </c>
      <c r="AH693">
        <v>4895313.0999999996</v>
      </c>
      <c r="AI693" t="s">
        <v>166</v>
      </c>
      <c r="AJ693" t="s">
        <v>152</v>
      </c>
      <c r="AK693" t="s">
        <v>153</v>
      </c>
      <c r="AL693" t="s">
        <v>154</v>
      </c>
      <c r="AM693" t="s">
        <v>119</v>
      </c>
      <c r="AN693" t="s">
        <v>112</v>
      </c>
      <c r="AO693" t="s">
        <v>121</v>
      </c>
      <c r="AP693" t="s">
        <v>122</v>
      </c>
      <c r="AQ693" t="s">
        <v>112</v>
      </c>
      <c r="AR693" t="s">
        <v>124</v>
      </c>
      <c r="AS693" t="s">
        <v>125</v>
      </c>
      <c r="AU693" t="s">
        <v>126</v>
      </c>
      <c r="AV693" t="s">
        <v>155</v>
      </c>
      <c r="AW693" t="s">
        <v>156</v>
      </c>
      <c r="AY693" t="s">
        <v>129</v>
      </c>
      <c r="AZ693">
        <v>41667.800000000003</v>
      </c>
      <c r="BC693">
        <v>106.8897</v>
      </c>
      <c r="BD693" t="s">
        <v>112</v>
      </c>
      <c r="BE693" t="s">
        <v>112</v>
      </c>
      <c r="BF693" t="s">
        <v>112</v>
      </c>
      <c r="BG693" t="s">
        <v>133</v>
      </c>
      <c r="BH693" t="s">
        <v>134</v>
      </c>
      <c r="BI693" t="s">
        <v>112</v>
      </c>
      <c r="BJ693" t="s">
        <v>112</v>
      </c>
      <c r="BK693" t="s">
        <v>112</v>
      </c>
      <c r="BL693" t="s">
        <v>112</v>
      </c>
      <c r="BM693" t="s">
        <v>112</v>
      </c>
      <c r="BN693" t="s">
        <v>112</v>
      </c>
      <c r="BO693" t="s">
        <v>161</v>
      </c>
      <c r="BQ693" t="s">
        <v>205</v>
      </c>
      <c r="BR693" s="45">
        <f>ISNUMBER(SEARCH($BR$1,Таблица1[[#This Row],[31_1 Описание и характеристика товара]]))*1</f>
        <v>1</v>
      </c>
      <c r="BT693" t="s">
        <v>150</v>
      </c>
      <c r="BU693">
        <v>33</v>
      </c>
      <c r="BV693">
        <v>0</v>
      </c>
      <c r="BW693">
        <v>0</v>
      </c>
      <c r="CA693" t="s">
        <v>106</v>
      </c>
      <c r="CB693" t="s">
        <v>142</v>
      </c>
      <c r="CC693" t="s">
        <v>112</v>
      </c>
      <c r="CD693" t="s">
        <v>112</v>
      </c>
      <c r="CE693" t="s">
        <v>112</v>
      </c>
      <c r="CF693">
        <v>16280.04</v>
      </c>
      <c r="CG693" t="s">
        <v>144</v>
      </c>
      <c r="CH693">
        <v>4000000</v>
      </c>
      <c r="CI693">
        <v>16172.04</v>
      </c>
      <c r="CJ693">
        <v>0</v>
      </c>
      <c r="CK693" t="s">
        <v>112</v>
      </c>
      <c r="CL693" t="s">
        <v>112</v>
      </c>
      <c r="CM693">
        <v>41667.800000000003</v>
      </c>
      <c r="CO693">
        <v>0</v>
      </c>
      <c r="CP693">
        <v>1</v>
      </c>
      <c r="CQ693">
        <v>4895313.0999999996</v>
      </c>
      <c r="CR693">
        <v>50259.94</v>
      </c>
      <c r="CS693" t="s">
        <v>145</v>
      </c>
      <c r="CT693">
        <v>50295.044399999999</v>
      </c>
      <c r="CU693">
        <v>3.11</v>
      </c>
      <c r="CY693">
        <v>118</v>
      </c>
    </row>
    <row r="694" spans="1:103" x14ac:dyDescent="0.25">
      <c r="A694" t="s">
        <v>106</v>
      </c>
      <c r="B694" s="38">
        <v>44929</v>
      </c>
      <c r="C694" s="43">
        <f>IF(YEAR(Таблица1[[#This Row],[Дата]])=2023,MONTH(Таблица1[[#This Row],[Дата]]),0)</f>
        <v>1</v>
      </c>
      <c r="D694" t="s">
        <v>1694</v>
      </c>
      <c r="E694" t="s">
        <v>108</v>
      </c>
      <c r="F694" t="s">
        <v>1695</v>
      </c>
      <c r="G694" t="s">
        <v>110</v>
      </c>
      <c r="H694" t="s">
        <v>111</v>
      </c>
      <c r="I694" t="s">
        <v>112</v>
      </c>
      <c r="J694" t="s">
        <v>112</v>
      </c>
      <c r="K694" t="s">
        <v>112</v>
      </c>
      <c r="L694" t="s">
        <v>150</v>
      </c>
      <c r="M694" t="s">
        <v>151</v>
      </c>
      <c r="N694" t="s">
        <v>112</v>
      </c>
      <c r="O694" t="s">
        <v>112</v>
      </c>
      <c r="R694">
        <v>1</v>
      </c>
      <c r="S694">
        <v>33</v>
      </c>
      <c r="T694" t="s">
        <v>166</v>
      </c>
      <c r="U694" t="s">
        <v>152</v>
      </c>
      <c r="V694" t="s">
        <v>153</v>
      </c>
      <c r="W694" t="s">
        <v>154</v>
      </c>
      <c r="X694" t="s">
        <v>119</v>
      </c>
      <c r="Y694" t="s">
        <v>112</v>
      </c>
      <c r="Z694" t="s">
        <v>166</v>
      </c>
      <c r="AA694" t="s">
        <v>152</v>
      </c>
      <c r="AB694" t="s">
        <v>153</v>
      </c>
      <c r="AC694" t="s">
        <v>154</v>
      </c>
      <c r="AD694" t="s">
        <v>119</v>
      </c>
      <c r="AE694" t="s">
        <v>112</v>
      </c>
      <c r="AF694" t="s">
        <v>121</v>
      </c>
      <c r="AG694" t="s">
        <v>122</v>
      </c>
      <c r="AH694">
        <v>4708854.71</v>
      </c>
      <c r="AI694" t="s">
        <v>166</v>
      </c>
      <c r="AJ694" t="s">
        <v>152</v>
      </c>
      <c r="AK694" t="s">
        <v>153</v>
      </c>
      <c r="AL694" t="s">
        <v>154</v>
      </c>
      <c r="AM694" t="s">
        <v>119</v>
      </c>
      <c r="AN694" t="s">
        <v>112</v>
      </c>
      <c r="AO694" t="s">
        <v>121</v>
      </c>
      <c r="AP694" t="s">
        <v>122</v>
      </c>
      <c r="AQ694" t="s">
        <v>112</v>
      </c>
      <c r="AR694" t="s">
        <v>124</v>
      </c>
      <c r="AS694" t="s">
        <v>125</v>
      </c>
      <c r="AU694" t="s">
        <v>126</v>
      </c>
      <c r="AV694" t="s">
        <v>155</v>
      </c>
      <c r="AW694" t="s">
        <v>156</v>
      </c>
      <c r="AY694" t="s">
        <v>129</v>
      </c>
      <c r="AZ694">
        <v>39923.4</v>
      </c>
      <c r="BC694">
        <v>106.8897</v>
      </c>
      <c r="BD694" t="s">
        <v>112</v>
      </c>
      <c r="BE694" t="s">
        <v>112</v>
      </c>
      <c r="BF694" t="s">
        <v>112</v>
      </c>
      <c r="BG694" t="s">
        <v>133</v>
      </c>
      <c r="BH694" t="s">
        <v>134</v>
      </c>
      <c r="BI694" t="s">
        <v>112</v>
      </c>
      <c r="BJ694" t="s">
        <v>112</v>
      </c>
      <c r="BK694" t="s">
        <v>112</v>
      </c>
      <c r="BL694" t="s">
        <v>112</v>
      </c>
      <c r="BM694" t="s">
        <v>112</v>
      </c>
      <c r="BN694" t="s">
        <v>112</v>
      </c>
      <c r="BO694" t="s">
        <v>161</v>
      </c>
      <c r="BQ694" t="s">
        <v>162</v>
      </c>
      <c r="BR694" s="45">
        <f>ISNUMBER(SEARCH($BR$1,Таблица1[[#This Row],[31_1 Описание и характеристика товара]]))*1</f>
        <v>1</v>
      </c>
      <c r="BT694" t="s">
        <v>150</v>
      </c>
      <c r="BU694">
        <v>33</v>
      </c>
      <c r="BV694">
        <v>0</v>
      </c>
      <c r="BW694">
        <v>0</v>
      </c>
      <c r="CA694" t="s">
        <v>106</v>
      </c>
      <c r="CB694" t="s">
        <v>142</v>
      </c>
      <c r="CC694" t="s">
        <v>112</v>
      </c>
      <c r="CD694" t="s">
        <v>112</v>
      </c>
      <c r="CE694" t="s">
        <v>112</v>
      </c>
      <c r="CF694">
        <v>16345.85</v>
      </c>
      <c r="CG694" t="s">
        <v>144</v>
      </c>
      <c r="CH694">
        <v>4000000</v>
      </c>
      <c r="CI694">
        <v>16249.85</v>
      </c>
      <c r="CJ694">
        <v>0</v>
      </c>
      <c r="CK694" t="s">
        <v>112</v>
      </c>
      <c r="CL694" t="s">
        <v>112</v>
      </c>
      <c r="CM694">
        <v>39923.4</v>
      </c>
      <c r="CO694">
        <v>0</v>
      </c>
      <c r="CP694">
        <v>1</v>
      </c>
      <c r="CQ694">
        <v>4708854.71</v>
      </c>
      <c r="CR694">
        <v>48345.58</v>
      </c>
      <c r="CS694" t="s">
        <v>145</v>
      </c>
      <c r="CT694">
        <v>48424.553</v>
      </c>
      <c r="CU694">
        <v>2.98</v>
      </c>
      <c r="CY694">
        <v>319</v>
      </c>
    </row>
    <row r="695" spans="1:103" x14ac:dyDescent="0.25">
      <c r="A695" t="s">
        <v>106</v>
      </c>
      <c r="B695" s="38">
        <v>45251</v>
      </c>
      <c r="C695" s="43">
        <f>IF(YEAR(Таблица1[[#This Row],[Дата]])=2023,MONTH(Таблица1[[#This Row],[Дата]]),0)</f>
        <v>11</v>
      </c>
      <c r="D695" t="s">
        <v>1692</v>
      </c>
      <c r="E695" t="s">
        <v>108</v>
      </c>
      <c r="F695" t="s">
        <v>1693</v>
      </c>
      <c r="G695" t="s">
        <v>110</v>
      </c>
      <c r="H695" t="s">
        <v>111</v>
      </c>
      <c r="I695" t="s">
        <v>112</v>
      </c>
      <c r="J695" t="s">
        <v>112</v>
      </c>
      <c r="K695" t="s">
        <v>112</v>
      </c>
      <c r="L695" t="s">
        <v>150</v>
      </c>
      <c r="M695" t="s">
        <v>151</v>
      </c>
      <c r="N695" t="s">
        <v>112</v>
      </c>
      <c r="O695" t="s">
        <v>112</v>
      </c>
      <c r="R695">
        <v>1</v>
      </c>
      <c r="S695">
        <v>33</v>
      </c>
      <c r="T695" t="s">
        <v>166</v>
      </c>
      <c r="U695" t="s">
        <v>152</v>
      </c>
      <c r="V695" t="s">
        <v>153</v>
      </c>
      <c r="W695" t="s">
        <v>154</v>
      </c>
      <c r="X695" t="s">
        <v>119</v>
      </c>
      <c r="Y695" t="s">
        <v>112</v>
      </c>
      <c r="Z695" t="s">
        <v>166</v>
      </c>
      <c r="AA695" t="s">
        <v>152</v>
      </c>
      <c r="AB695" t="s">
        <v>153</v>
      </c>
      <c r="AC695" t="s">
        <v>154</v>
      </c>
      <c r="AD695" t="s">
        <v>119</v>
      </c>
      <c r="AE695" t="s">
        <v>112</v>
      </c>
      <c r="AF695" t="s">
        <v>121</v>
      </c>
      <c r="AG695" t="s">
        <v>122</v>
      </c>
      <c r="AH695">
        <v>4909069.8099999996</v>
      </c>
      <c r="AI695" t="s">
        <v>166</v>
      </c>
      <c r="AJ695" t="s">
        <v>152</v>
      </c>
      <c r="AK695" t="s">
        <v>153</v>
      </c>
      <c r="AL695" t="s">
        <v>154</v>
      </c>
      <c r="AM695" t="s">
        <v>119</v>
      </c>
      <c r="AN695" t="s">
        <v>112</v>
      </c>
      <c r="AO695" t="s">
        <v>121</v>
      </c>
      <c r="AP695" t="s">
        <v>122</v>
      </c>
      <c r="AQ695" t="s">
        <v>112</v>
      </c>
      <c r="AR695" t="s">
        <v>124</v>
      </c>
      <c r="AS695" t="s">
        <v>125</v>
      </c>
      <c r="AU695" t="s">
        <v>126</v>
      </c>
      <c r="AV695" t="s">
        <v>155</v>
      </c>
      <c r="AW695" t="s">
        <v>156</v>
      </c>
      <c r="AY695" t="s">
        <v>129</v>
      </c>
      <c r="AZ695">
        <v>41796.5</v>
      </c>
      <c r="BC695">
        <v>106.8897</v>
      </c>
      <c r="BD695" t="s">
        <v>112</v>
      </c>
      <c r="BE695" t="s">
        <v>112</v>
      </c>
      <c r="BF695" t="s">
        <v>112</v>
      </c>
      <c r="BG695" t="s">
        <v>133</v>
      </c>
      <c r="BH695" t="s">
        <v>134</v>
      </c>
      <c r="BI695" t="s">
        <v>112</v>
      </c>
      <c r="BJ695" t="s">
        <v>112</v>
      </c>
      <c r="BK695" t="s">
        <v>112</v>
      </c>
      <c r="BL695" t="s">
        <v>112</v>
      </c>
      <c r="BM695" t="s">
        <v>112</v>
      </c>
      <c r="BN695" t="s">
        <v>112</v>
      </c>
      <c r="BO695" t="s">
        <v>161</v>
      </c>
      <c r="BQ695" t="s">
        <v>162</v>
      </c>
      <c r="BR695" s="45">
        <f>ISNUMBER(SEARCH($BR$1,Таблица1[[#This Row],[31_1 Описание и характеристика товара]]))*1</f>
        <v>1</v>
      </c>
      <c r="BT695" t="s">
        <v>150</v>
      </c>
      <c r="BU695">
        <v>33</v>
      </c>
      <c r="BV695">
        <v>0</v>
      </c>
      <c r="BW695">
        <v>0</v>
      </c>
      <c r="CA695" t="s">
        <v>106</v>
      </c>
      <c r="CB695" t="s">
        <v>142</v>
      </c>
      <c r="CC695" t="s">
        <v>112</v>
      </c>
      <c r="CD695" t="s">
        <v>112</v>
      </c>
      <c r="CE695" t="s">
        <v>112</v>
      </c>
      <c r="CF695">
        <v>16461.11</v>
      </c>
      <c r="CG695" t="s">
        <v>144</v>
      </c>
      <c r="CH695">
        <v>4000000</v>
      </c>
      <c r="CI695">
        <v>16356.11</v>
      </c>
      <c r="CJ695">
        <v>0</v>
      </c>
      <c r="CK695" t="s">
        <v>112</v>
      </c>
      <c r="CL695" t="s">
        <v>112</v>
      </c>
      <c r="CM695">
        <v>41796.5</v>
      </c>
      <c r="CO695">
        <v>0</v>
      </c>
      <c r="CP695">
        <v>1</v>
      </c>
      <c r="CQ695">
        <v>4909069.8099999996</v>
      </c>
      <c r="CR695">
        <v>50401.18</v>
      </c>
      <c r="CS695" t="s">
        <v>145</v>
      </c>
      <c r="CT695">
        <v>50376.818800000001</v>
      </c>
      <c r="CU695">
        <v>3.08</v>
      </c>
      <c r="CY695">
        <v>303</v>
      </c>
    </row>
    <row r="696" spans="1:103" x14ac:dyDescent="0.25">
      <c r="A696" t="s">
        <v>106</v>
      </c>
      <c r="B696" s="38">
        <v>45287</v>
      </c>
      <c r="C696" s="43">
        <f>IF(YEAR(Таблица1[[#This Row],[Дата]])=2023,MONTH(Таблица1[[#This Row],[Дата]]),0)</f>
        <v>12</v>
      </c>
      <c r="D696" t="s">
        <v>1690</v>
      </c>
      <c r="E696" t="s">
        <v>108</v>
      </c>
      <c r="F696" t="s">
        <v>1691</v>
      </c>
      <c r="G696" t="s">
        <v>110</v>
      </c>
      <c r="H696" t="s">
        <v>111</v>
      </c>
      <c r="I696" t="s">
        <v>112</v>
      </c>
      <c r="J696" t="s">
        <v>112</v>
      </c>
      <c r="K696" t="s">
        <v>112</v>
      </c>
      <c r="L696" t="s">
        <v>150</v>
      </c>
      <c r="M696" t="s">
        <v>151</v>
      </c>
      <c r="N696" t="s">
        <v>112</v>
      </c>
      <c r="O696" t="s">
        <v>112</v>
      </c>
      <c r="R696">
        <v>1</v>
      </c>
      <c r="S696">
        <v>33</v>
      </c>
      <c r="T696" t="s">
        <v>166</v>
      </c>
      <c r="U696" t="s">
        <v>152</v>
      </c>
      <c r="V696" t="s">
        <v>153</v>
      </c>
      <c r="W696" t="s">
        <v>154</v>
      </c>
      <c r="X696" t="s">
        <v>119</v>
      </c>
      <c r="Y696" t="s">
        <v>112</v>
      </c>
      <c r="Z696" t="s">
        <v>166</v>
      </c>
      <c r="AA696" t="s">
        <v>152</v>
      </c>
      <c r="AB696" t="s">
        <v>153</v>
      </c>
      <c r="AC696" t="s">
        <v>154</v>
      </c>
      <c r="AD696" t="s">
        <v>119</v>
      </c>
      <c r="AE696" t="s">
        <v>112</v>
      </c>
      <c r="AF696" t="s">
        <v>121</v>
      </c>
      <c r="AG696" t="s">
        <v>122</v>
      </c>
      <c r="AH696">
        <v>4966826.59</v>
      </c>
      <c r="AI696" t="s">
        <v>166</v>
      </c>
      <c r="AJ696" t="s">
        <v>152</v>
      </c>
      <c r="AK696" t="s">
        <v>153</v>
      </c>
      <c r="AL696" t="s">
        <v>154</v>
      </c>
      <c r="AM696" t="s">
        <v>119</v>
      </c>
      <c r="AN696" t="s">
        <v>112</v>
      </c>
      <c r="AO696" t="s">
        <v>121</v>
      </c>
      <c r="AP696" t="s">
        <v>122</v>
      </c>
      <c r="AQ696" t="s">
        <v>112</v>
      </c>
      <c r="AR696" t="s">
        <v>124</v>
      </c>
      <c r="AS696" t="s">
        <v>125</v>
      </c>
      <c r="AU696" t="s">
        <v>126</v>
      </c>
      <c r="AV696" t="s">
        <v>155</v>
      </c>
      <c r="AW696" t="s">
        <v>156</v>
      </c>
      <c r="AY696" t="s">
        <v>129</v>
      </c>
      <c r="AZ696">
        <v>42336.84</v>
      </c>
      <c r="BC696">
        <v>106.8897</v>
      </c>
      <c r="BD696" t="s">
        <v>112</v>
      </c>
      <c r="BE696" t="s">
        <v>112</v>
      </c>
      <c r="BF696" t="s">
        <v>112</v>
      </c>
      <c r="BG696" t="s">
        <v>133</v>
      </c>
      <c r="BH696" t="s">
        <v>134</v>
      </c>
      <c r="BI696" t="s">
        <v>112</v>
      </c>
      <c r="BJ696" t="s">
        <v>112</v>
      </c>
      <c r="BK696" t="s">
        <v>112</v>
      </c>
      <c r="BL696" t="s">
        <v>112</v>
      </c>
      <c r="BM696" t="s">
        <v>112</v>
      </c>
      <c r="BN696" t="s">
        <v>112</v>
      </c>
      <c r="BO696" t="s">
        <v>161</v>
      </c>
      <c r="BQ696" t="s">
        <v>162</v>
      </c>
      <c r="BR696" s="45">
        <f>ISNUMBER(SEARCH($BR$1,Таблица1[[#This Row],[31_1 Описание и характеристика товара]]))*1</f>
        <v>1</v>
      </c>
      <c r="BT696" t="s">
        <v>150</v>
      </c>
      <c r="BU696">
        <v>33</v>
      </c>
      <c r="BV696">
        <v>0</v>
      </c>
      <c r="BW696">
        <v>0</v>
      </c>
      <c r="CA696" t="s">
        <v>106</v>
      </c>
      <c r="CB696" t="s">
        <v>142</v>
      </c>
      <c r="CC696" t="s">
        <v>112</v>
      </c>
      <c r="CD696" t="s">
        <v>112</v>
      </c>
      <c r="CE696" t="s">
        <v>112</v>
      </c>
      <c r="CF696">
        <v>16657.63</v>
      </c>
      <c r="CG696" t="s">
        <v>144</v>
      </c>
      <c r="CH696">
        <v>4000000</v>
      </c>
      <c r="CI696">
        <v>16547.23</v>
      </c>
      <c r="CJ696">
        <v>0</v>
      </c>
      <c r="CK696" t="s">
        <v>112</v>
      </c>
      <c r="CL696" t="s">
        <v>112</v>
      </c>
      <c r="CM696">
        <v>42336.84</v>
      </c>
      <c r="CO696">
        <v>0</v>
      </c>
      <c r="CP696">
        <v>1</v>
      </c>
      <c r="CQ696">
        <v>4966826.59</v>
      </c>
      <c r="CR696">
        <v>50994.17</v>
      </c>
      <c r="CS696" t="s">
        <v>145</v>
      </c>
      <c r="CT696">
        <v>50965.468399999998</v>
      </c>
      <c r="CU696">
        <v>3.08</v>
      </c>
      <c r="CY696">
        <v>302</v>
      </c>
    </row>
    <row r="697" spans="1:103" x14ac:dyDescent="0.25">
      <c r="A697" t="s">
        <v>106</v>
      </c>
      <c r="B697" s="38">
        <v>44937</v>
      </c>
      <c r="C697" s="43">
        <f>IF(YEAR(Таблица1[[#This Row],[Дата]])=2023,MONTH(Таблица1[[#This Row],[Дата]]),0)</f>
        <v>1</v>
      </c>
      <c r="D697" t="s">
        <v>1688</v>
      </c>
      <c r="E697" t="s">
        <v>108</v>
      </c>
      <c r="F697" t="s">
        <v>1689</v>
      </c>
      <c r="G697" t="s">
        <v>110</v>
      </c>
      <c r="H697" t="s">
        <v>111</v>
      </c>
      <c r="I697" t="s">
        <v>112</v>
      </c>
      <c r="J697" t="s">
        <v>112</v>
      </c>
      <c r="K697" t="s">
        <v>112</v>
      </c>
      <c r="L697" t="s">
        <v>150</v>
      </c>
      <c r="M697" t="s">
        <v>151</v>
      </c>
      <c r="N697" t="s">
        <v>112</v>
      </c>
      <c r="O697" t="s">
        <v>112</v>
      </c>
      <c r="R697">
        <v>1</v>
      </c>
      <c r="S697">
        <v>33</v>
      </c>
      <c r="T697" t="s">
        <v>166</v>
      </c>
      <c r="U697" t="s">
        <v>152</v>
      </c>
      <c r="V697" t="s">
        <v>153</v>
      </c>
      <c r="W697" t="s">
        <v>154</v>
      </c>
      <c r="X697" t="s">
        <v>119</v>
      </c>
      <c r="Y697" t="s">
        <v>112</v>
      </c>
      <c r="Z697" t="s">
        <v>166</v>
      </c>
      <c r="AA697" t="s">
        <v>152</v>
      </c>
      <c r="AB697" t="s">
        <v>153</v>
      </c>
      <c r="AC697" t="s">
        <v>154</v>
      </c>
      <c r="AD697" t="s">
        <v>119</v>
      </c>
      <c r="AE697" t="s">
        <v>112</v>
      </c>
      <c r="AF697" t="s">
        <v>121</v>
      </c>
      <c r="AG697" t="s">
        <v>122</v>
      </c>
      <c r="AH697">
        <v>4706170.71</v>
      </c>
      <c r="AI697" t="s">
        <v>166</v>
      </c>
      <c r="AJ697" t="s">
        <v>152</v>
      </c>
      <c r="AK697" t="s">
        <v>153</v>
      </c>
      <c r="AL697" t="s">
        <v>154</v>
      </c>
      <c r="AM697" t="s">
        <v>119</v>
      </c>
      <c r="AN697" t="s">
        <v>112</v>
      </c>
      <c r="AO697" t="s">
        <v>121</v>
      </c>
      <c r="AP697" t="s">
        <v>122</v>
      </c>
      <c r="AQ697" t="s">
        <v>112</v>
      </c>
      <c r="AR697" t="s">
        <v>124</v>
      </c>
      <c r="AS697" t="s">
        <v>125</v>
      </c>
      <c r="AU697" t="s">
        <v>126</v>
      </c>
      <c r="AV697" t="s">
        <v>155</v>
      </c>
      <c r="AW697" t="s">
        <v>156</v>
      </c>
      <c r="AY697" t="s">
        <v>129</v>
      </c>
      <c r="AZ697">
        <v>39898.29</v>
      </c>
      <c r="BC697">
        <v>106.8897</v>
      </c>
      <c r="BD697" t="s">
        <v>112</v>
      </c>
      <c r="BE697" t="s">
        <v>112</v>
      </c>
      <c r="BF697" t="s">
        <v>112</v>
      </c>
      <c r="BG697" t="s">
        <v>133</v>
      </c>
      <c r="BH697" t="s">
        <v>134</v>
      </c>
      <c r="BI697" t="s">
        <v>112</v>
      </c>
      <c r="BJ697" t="s">
        <v>112</v>
      </c>
      <c r="BK697" t="s">
        <v>112</v>
      </c>
      <c r="BL697" t="s">
        <v>112</v>
      </c>
      <c r="BM697" t="s">
        <v>112</v>
      </c>
      <c r="BN697" t="s">
        <v>112</v>
      </c>
      <c r="BO697" t="s">
        <v>161</v>
      </c>
      <c r="BQ697" t="s">
        <v>205</v>
      </c>
      <c r="BR697" s="45">
        <f>ISNUMBER(SEARCH($BR$1,Таблица1[[#This Row],[31_1 Описание и характеристика товара]]))*1</f>
        <v>1</v>
      </c>
      <c r="BT697" t="s">
        <v>150</v>
      </c>
      <c r="BU697">
        <v>33</v>
      </c>
      <c r="BV697">
        <v>0</v>
      </c>
      <c r="BW697">
        <v>0</v>
      </c>
      <c r="CA697" t="s">
        <v>106</v>
      </c>
      <c r="CB697" t="s">
        <v>142</v>
      </c>
      <c r="CC697" t="s">
        <v>112</v>
      </c>
      <c r="CD697" t="s">
        <v>112</v>
      </c>
      <c r="CE697" t="s">
        <v>112</v>
      </c>
      <c r="CF697">
        <v>16261.36</v>
      </c>
      <c r="CG697" t="s">
        <v>144</v>
      </c>
      <c r="CH697">
        <v>4000000</v>
      </c>
      <c r="CI697">
        <v>16153.36</v>
      </c>
      <c r="CJ697">
        <v>0</v>
      </c>
      <c r="CK697" t="s">
        <v>112</v>
      </c>
      <c r="CL697" t="s">
        <v>112</v>
      </c>
      <c r="CM697">
        <v>39898.29</v>
      </c>
      <c r="CO697">
        <v>0</v>
      </c>
      <c r="CP697">
        <v>1</v>
      </c>
      <c r="CQ697">
        <v>4706170.71</v>
      </c>
      <c r="CR697">
        <v>48318.02</v>
      </c>
      <c r="CS697" t="s">
        <v>145</v>
      </c>
      <c r="CT697">
        <v>48298.546400000007</v>
      </c>
      <c r="CU697">
        <v>2.99</v>
      </c>
      <c r="CY697">
        <v>159</v>
      </c>
    </row>
    <row r="698" spans="1:103" x14ac:dyDescent="0.25">
      <c r="A698" t="s">
        <v>106</v>
      </c>
      <c r="B698" s="38">
        <v>45004</v>
      </c>
      <c r="C698" s="43">
        <f>IF(YEAR(Таблица1[[#This Row],[Дата]])=2023,MONTH(Таблица1[[#This Row],[Дата]]),0)</f>
        <v>3</v>
      </c>
      <c r="D698" t="s">
        <v>1686</v>
      </c>
      <c r="E698" t="s">
        <v>108</v>
      </c>
      <c r="F698" t="s">
        <v>1687</v>
      </c>
      <c r="G698" t="s">
        <v>110</v>
      </c>
      <c r="H698" t="s">
        <v>111</v>
      </c>
      <c r="I698" t="s">
        <v>112</v>
      </c>
      <c r="J698" t="s">
        <v>112</v>
      </c>
      <c r="K698" t="s">
        <v>112</v>
      </c>
      <c r="L698" t="s">
        <v>150</v>
      </c>
      <c r="M698" t="s">
        <v>151</v>
      </c>
      <c r="N698" t="s">
        <v>112</v>
      </c>
      <c r="O698" t="s">
        <v>112</v>
      </c>
      <c r="R698">
        <v>1</v>
      </c>
      <c r="S698">
        <v>33</v>
      </c>
      <c r="T698" t="s">
        <v>166</v>
      </c>
      <c r="U698" t="s">
        <v>152</v>
      </c>
      <c r="V698" t="s">
        <v>153</v>
      </c>
      <c r="W698" t="s">
        <v>154</v>
      </c>
      <c r="X698" t="s">
        <v>119</v>
      </c>
      <c r="Y698" t="s">
        <v>112</v>
      </c>
      <c r="Z698" t="s">
        <v>166</v>
      </c>
      <c r="AA698" t="s">
        <v>152</v>
      </c>
      <c r="AB698" t="s">
        <v>153</v>
      </c>
      <c r="AC698" t="s">
        <v>154</v>
      </c>
      <c r="AD698" t="s">
        <v>119</v>
      </c>
      <c r="AE698" t="s">
        <v>112</v>
      </c>
      <c r="AF698" t="s">
        <v>121</v>
      </c>
      <c r="AG698" t="s">
        <v>122</v>
      </c>
      <c r="AH698">
        <v>5290244.9000000004</v>
      </c>
      <c r="AI698" t="s">
        <v>166</v>
      </c>
      <c r="AJ698" t="s">
        <v>152</v>
      </c>
      <c r="AK698" t="s">
        <v>153</v>
      </c>
      <c r="AL698" t="s">
        <v>154</v>
      </c>
      <c r="AM698" t="s">
        <v>119</v>
      </c>
      <c r="AN698" t="s">
        <v>112</v>
      </c>
      <c r="AO698" t="s">
        <v>121</v>
      </c>
      <c r="AP698" t="s">
        <v>122</v>
      </c>
      <c r="AQ698" t="s">
        <v>112</v>
      </c>
      <c r="AR698" t="s">
        <v>124</v>
      </c>
      <c r="AS698" t="s">
        <v>125</v>
      </c>
      <c r="AU698" t="s">
        <v>126</v>
      </c>
      <c r="AV698" t="s">
        <v>155</v>
      </c>
      <c r="AW698" t="s">
        <v>156</v>
      </c>
      <c r="AY698" t="s">
        <v>129</v>
      </c>
      <c r="AZ698">
        <v>44842.559999999998</v>
      </c>
      <c r="BC698">
        <v>106.8897</v>
      </c>
      <c r="BD698" t="s">
        <v>112</v>
      </c>
      <c r="BE698" t="s">
        <v>112</v>
      </c>
      <c r="BF698" t="s">
        <v>112</v>
      </c>
      <c r="BG698" t="s">
        <v>133</v>
      </c>
      <c r="BH698" t="s">
        <v>134</v>
      </c>
      <c r="BI698" t="s">
        <v>112</v>
      </c>
      <c r="BJ698" t="s">
        <v>112</v>
      </c>
      <c r="BK698" t="s">
        <v>112</v>
      </c>
      <c r="BL698" t="s">
        <v>112</v>
      </c>
      <c r="BM698" t="s">
        <v>112</v>
      </c>
      <c r="BN698" t="s">
        <v>112</v>
      </c>
      <c r="BO698" t="s">
        <v>161</v>
      </c>
      <c r="BQ698" t="s">
        <v>205</v>
      </c>
      <c r="BR698" s="45">
        <f>ISNUMBER(SEARCH($BR$1,Таблица1[[#This Row],[31_1 Описание и характеристика товара]]))*1</f>
        <v>1</v>
      </c>
      <c r="BT698" t="s">
        <v>150</v>
      </c>
      <c r="BU698">
        <v>33</v>
      </c>
      <c r="BV698">
        <v>0</v>
      </c>
      <c r="BW698">
        <v>0</v>
      </c>
      <c r="CA698" t="s">
        <v>106</v>
      </c>
      <c r="CB698" t="s">
        <v>142</v>
      </c>
      <c r="CC698" t="s">
        <v>112</v>
      </c>
      <c r="CD698" t="s">
        <v>112</v>
      </c>
      <c r="CE698" t="s">
        <v>112</v>
      </c>
      <c r="CF698">
        <v>16563.830000000002</v>
      </c>
      <c r="CG698" t="s">
        <v>144</v>
      </c>
      <c r="CH698">
        <v>4000000</v>
      </c>
      <c r="CI698">
        <v>16527.830000000002</v>
      </c>
      <c r="CJ698">
        <v>0</v>
      </c>
      <c r="CK698" t="s">
        <v>112</v>
      </c>
      <c r="CL698" t="s">
        <v>112</v>
      </c>
      <c r="CM698">
        <v>44842.559999999998</v>
      </c>
      <c r="CO698">
        <v>0</v>
      </c>
      <c r="CP698">
        <v>1</v>
      </c>
      <c r="CQ698">
        <v>5290244.9000000004</v>
      </c>
      <c r="CR698">
        <v>54314.69</v>
      </c>
      <c r="CS698" t="s">
        <v>145</v>
      </c>
      <c r="CT698">
        <v>54376.560700000009</v>
      </c>
      <c r="CU698">
        <v>3.29</v>
      </c>
      <c r="CY698">
        <v>157</v>
      </c>
    </row>
    <row r="699" spans="1:103" x14ac:dyDescent="0.25">
      <c r="A699" t="s">
        <v>106</v>
      </c>
      <c r="B699" s="38">
        <v>45080</v>
      </c>
      <c r="C699" s="43">
        <f>IF(YEAR(Таблица1[[#This Row],[Дата]])=2023,MONTH(Таблица1[[#This Row],[Дата]]),0)</f>
        <v>6</v>
      </c>
      <c r="D699" t="s">
        <v>1684</v>
      </c>
      <c r="E699" t="s">
        <v>108</v>
      </c>
      <c r="F699" t="s">
        <v>1685</v>
      </c>
      <c r="G699" t="s">
        <v>110</v>
      </c>
      <c r="H699" t="s">
        <v>111</v>
      </c>
      <c r="I699" t="s">
        <v>112</v>
      </c>
      <c r="J699" t="s">
        <v>112</v>
      </c>
      <c r="K699" t="s">
        <v>112</v>
      </c>
      <c r="L699" t="s">
        <v>150</v>
      </c>
      <c r="M699" t="s">
        <v>151</v>
      </c>
      <c r="N699" t="s">
        <v>112</v>
      </c>
      <c r="O699" t="s">
        <v>112</v>
      </c>
      <c r="R699">
        <v>1</v>
      </c>
      <c r="S699">
        <v>33</v>
      </c>
      <c r="T699" t="s">
        <v>166</v>
      </c>
      <c r="U699" t="s">
        <v>152</v>
      </c>
      <c r="V699" t="s">
        <v>153</v>
      </c>
      <c r="W699" t="s">
        <v>154</v>
      </c>
      <c r="X699" t="s">
        <v>119</v>
      </c>
      <c r="Y699" t="s">
        <v>112</v>
      </c>
      <c r="Z699" t="s">
        <v>166</v>
      </c>
      <c r="AA699" t="s">
        <v>152</v>
      </c>
      <c r="AB699" t="s">
        <v>153</v>
      </c>
      <c r="AC699" t="s">
        <v>154</v>
      </c>
      <c r="AD699" t="s">
        <v>119</v>
      </c>
      <c r="AE699" t="s">
        <v>112</v>
      </c>
      <c r="AF699" t="s">
        <v>121</v>
      </c>
      <c r="AG699" t="s">
        <v>122</v>
      </c>
      <c r="AH699">
        <v>4916738.07</v>
      </c>
      <c r="AI699" t="s">
        <v>166</v>
      </c>
      <c r="AJ699" t="s">
        <v>152</v>
      </c>
      <c r="AK699" t="s">
        <v>153</v>
      </c>
      <c r="AL699" t="s">
        <v>154</v>
      </c>
      <c r="AM699" t="s">
        <v>119</v>
      </c>
      <c r="AN699" t="s">
        <v>112</v>
      </c>
      <c r="AO699" t="s">
        <v>121</v>
      </c>
      <c r="AP699" t="s">
        <v>122</v>
      </c>
      <c r="AQ699" t="s">
        <v>112</v>
      </c>
      <c r="AR699" t="s">
        <v>124</v>
      </c>
      <c r="AS699" t="s">
        <v>125</v>
      </c>
      <c r="AU699" t="s">
        <v>126</v>
      </c>
      <c r="AV699" t="s">
        <v>155</v>
      </c>
      <c r="AW699" t="s">
        <v>156</v>
      </c>
      <c r="AY699" t="s">
        <v>129</v>
      </c>
      <c r="AZ699">
        <v>41868.239999999998</v>
      </c>
      <c r="BC699">
        <v>106.8897</v>
      </c>
      <c r="BD699" t="s">
        <v>112</v>
      </c>
      <c r="BE699" t="s">
        <v>112</v>
      </c>
      <c r="BF699" t="s">
        <v>112</v>
      </c>
      <c r="BG699" t="s">
        <v>133</v>
      </c>
      <c r="BH699" t="s">
        <v>134</v>
      </c>
      <c r="BI699" t="s">
        <v>112</v>
      </c>
      <c r="BJ699" t="s">
        <v>112</v>
      </c>
      <c r="BK699" t="s">
        <v>112</v>
      </c>
      <c r="BL699" t="s">
        <v>112</v>
      </c>
      <c r="BM699" t="s">
        <v>112</v>
      </c>
      <c r="BN699" t="s">
        <v>112</v>
      </c>
      <c r="BO699" t="s">
        <v>161</v>
      </c>
      <c r="BQ699" t="s">
        <v>162</v>
      </c>
      <c r="BR699" s="45">
        <f>ISNUMBER(SEARCH($BR$1,Таблица1[[#This Row],[31_1 Описание и характеристика товара]]))*1</f>
        <v>1</v>
      </c>
      <c r="BT699" t="s">
        <v>150</v>
      </c>
      <c r="BU699">
        <v>33</v>
      </c>
      <c r="BV699">
        <v>0</v>
      </c>
      <c r="BW699">
        <v>0</v>
      </c>
      <c r="CA699" t="s">
        <v>106</v>
      </c>
      <c r="CB699" t="s">
        <v>142</v>
      </c>
      <c r="CC699" t="s">
        <v>112</v>
      </c>
      <c r="CD699" t="s">
        <v>112</v>
      </c>
      <c r="CE699" t="s">
        <v>112</v>
      </c>
      <c r="CF699">
        <v>16259.56</v>
      </c>
      <c r="CG699" t="s">
        <v>144</v>
      </c>
      <c r="CH699">
        <v>4000000</v>
      </c>
      <c r="CI699">
        <v>16158.76</v>
      </c>
      <c r="CJ699">
        <v>0</v>
      </c>
      <c r="CK699" t="s">
        <v>112</v>
      </c>
      <c r="CL699" t="s">
        <v>112</v>
      </c>
      <c r="CM699">
        <v>41868.239999999998</v>
      </c>
      <c r="CO699">
        <v>0</v>
      </c>
      <c r="CP699">
        <v>1</v>
      </c>
      <c r="CQ699">
        <v>4916738.07</v>
      </c>
      <c r="CR699">
        <v>50479.91</v>
      </c>
      <c r="CS699" t="s">
        <v>145</v>
      </c>
      <c r="CT699">
        <v>50415.331200000001</v>
      </c>
      <c r="CU699">
        <v>3.12</v>
      </c>
      <c r="CY699">
        <v>178</v>
      </c>
    </row>
    <row r="700" spans="1:103" x14ac:dyDescent="0.25">
      <c r="A700" t="s">
        <v>106</v>
      </c>
      <c r="B700" s="38">
        <v>44942</v>
      </c>
      <c r="C700" s="43">
        <f>IF(YEAR(Таблица1[[#This Row],[Дата]])=2023,MONTH(Таблица1[[#This Row],[Дата]]),0)</f>
        <v>1</v>
      </c>
      <c r="D700" t="s">
        <v>1437</v>
      </c>
      <c r="E700" t="s">
        <v>108</v>
      </c>
      <c r="F700" t="s">
        <v>1438</v>
      </c>
      <c r="G700" t="s">
        <v>110</v>
      </c>
      <c r="H700" t="s">
        <v>111</v>
      </c>
      <c r="I700" t="s">
        <v>112</v>
      </c>
      <c r="J700" t="s">
        <v>112</v>
      </c>
      <c r="K700" t="s">
        <v>112</v>
      </c>
      <c r="L700" t="s">
        <v>150</v>
      </c>
      <c r="M700" t="s">
        <v>1439</v>
      </c>
      <c r="N700" t="s">
        <v>112</v>
      </c>
      <c r="O700" t="s">
        <v>112</v>
      </c>
      <c r="P700">
        <v>1</v>
      </c>
      <c r="Q700">
        <v>0</v>
      </c>
      <c r="R700">
        <v>1</v>
      </c>
      <c r="S700">
        <v>33</v>
      </c>
      <c r="T700" t="s">
        <v>166</v>
      </c>
      <c r="U700" t="s">
        <v>152</v>
      </c>
      <c r="V700" t="s">
        <v>153</v>
      </c>
      <c r="W700" t="s">
        <v>154</v>
      </c>
      <c r="X700" t="s">
        <v>119</v>
      </c>
      <c r="Y700" t="s">
        <v>112</v>
      </c>
      <c r="Z700" t="s">
        <v>166</v>
      </c>
      <c r="AA700" t="s">
        <v>152</v>
      </c>
      <c r="AB700" t="s">
        <v>153</v>
      </c>
      <c r="AC700" t="s">
        <v>154</v>
      </c>
      <c r="AD700" t="s">
        <v>119</v>
      </c>
      <c r="AE700" t="s">
        <v>112</v>
      </c>
      <c r="AF700" t="s">
        <v>121</v>
      </c>
      <c r="AG700" t="s">
        <v>122</v>
      </c>
      <c r="AH700">
        <v>4715293.12</v>
      </c>
      <c r="AI700" t="s">
        <v>166</v>
      </c>
      <c r="AJ700" t="s">
        <v>152</v>
      </c>
      <c r="AK700" t="s">
        <v>153</v>
      </c>
      <c r="AL700" t="s">
        <v>154</v>
      </c>
      <c r="AM700" t="s">
        <v>119</v>
      </c>
      <c r="AN700" t="s">
        <v>112</v>
      </c>
      <c r="AO700" t="s">
        <v>121</v>
      </c>
      <c r="AP700" t="s">
        <v>122</v>
      </c>
      <c r="AQ700" t="s">
        <v>122</v>
      </c>
      <c r="AR700" t="s">
        <v>124</v>
      </c>
      <c r="AS700" t="s">
        <v>125</v>
      </c>
      <c r="AT700">
        <v>2</v>
      </c>
      <c r="AU700" t="s">
        <v>126</v>
      </c>
      <c r="AV700" t="s">
        <v>155</v>
      </c>
      <c r="AW700" t="s">
        <v>156</v>
      </c>
      <c r="AX700">
        <v>1</v>
      </c>
      <c r="AY700" t="s">
        <v>129</v>
      </c>
      <c r="AZ700">
        <v>42588.480000000003</v>
      </c>
      <c r="BA700">
        <v>4251135</v>
      </c>
      <c r="BB700">
        <v>51427.65</v>
      </c>
      <c r="BC700">
        <v>99.818899999999999</v>
      </c>
      <c r="BD700" t="s">
        <v>130</v>
      </c>
      <c r="BE700" t="s">
        <v>112</v>
      </c>
      <c r="BF700" t="s">
        <v>157</v>
      </c>
      <c r="BG700" t="s">
        <v>133</v>
      </c>
      <c r="BH700" t="s">
        <v>134</v>
      </c>
      <c r="BI700" t="s">
        <v>112</v>
      </c>
      <c r="BJ700" t="s">
        <v>112</v>
      </c>
      <c r="BK700" t="s">
        <v>112</v>
      </c>
      <c r="BL700" t="s">
        <v>169</v>
      </c>
      <c r="BM700" t="s">
        <v>159</v>
      </c>
      <c r="BN700" t="s">
        <v>722</v>
      </c>
      <c r="BO700" t="s">
        <v>161</v>
      </c>
      <c r="BP700">
        <v>1</v>
      </c>
      <c r="BQ700" t="s">
        <v>528</v>
      </c>
      <c r="BR700" s="45">
        <f>ISNUMBER(SEARCH($BR$1,Таблица1[[#This Row],[31_1 Описание и характеристика товара]]))*1</f>
        <v>1</v>
      </c>
      <c r="BT700" t="s">
        <v>150</v>
      </c>
      <c r="BU700">
        <v>33</v>
      </c>
      <c r="BV700">
        <v>0</v>
      </c>
      <c r="BW700">
        <v>0</v>
      </c>
      <c r="BY700">
        <v>0</v>
      </c>
      <c r="CA700" t="s">
        <v>106</v>
      </c>
      <c r="CB700" t="s">
        <v>142</v>
      </c>
      <c r="CC700" t="s">
        <v>112</v>
      </c>
      <c r="CD700" t="s">
        <v>112</v>
      </c>
      <c r="CE700" t="s">
        <v>121</v>
      </c>
      <c r="CF700">
        <v>17040.38</v>
      </c>
      <c r="CG700" t="s">
        <v>144</v>
      </c>
      <c r="CH700">
        <v>4000000</v>
      </c>
      <c r="CI700">
        <v>17040.38</v>
      </c>
      <c r="CJ700">
        <v>0</v>
      </c>
      <c r="CK700" t="s">
        <v>112</v>
      </c>
      <c r="CL700" t="s">
        <v>112</v>
      </c>
      <c r="CM700">
        <v>42588.480000000003</v>
      </c>
      <c r="CN700">
        <v>4251135</v>
      </c>
      <c r="CO700">
        <v>0</v>
      </c>
      <c r="CP700">
        <v>1</v>
      </c>
      <c r="CQ700">
        <v>4715293.12</v>
      </c>
      <c r="CR700">
        <v>51427.65</v>
      </c>
      <c r="CS700" t="s">
        <v>145</v>
      </c>
      <c r="CT700">
        <v>51461.947600000007</v>
      </c>
      <c r="CU700">
        <v>3.02</v>
      </c>
      <c r="CV700">
        <v>45</v>
      </c>
      <c r="CW700" t="s">
        <v>171</v>
      </c>
      <c r="CX700" t="s">
        <v>172</v>
      </c>
      <c r="CY700">
        <v>551</v>
      </c>
    </row>
    <row r="701" spans="1:103" x14ac:dyDescent="0.25">
      <c r="A701" t="s">
        <v>106</v>
      </c>
      <c r="B701" s="38">
        <v>45185</v>
      </c>
      <c r="C701" s="43">
        <f>IF(YEAR(Таблица1[[#This Row],[Дата]])=2023,MONTH(Таблица1[[#This Row],[Дата]]),0)</f>
        <v>9</v>
      </c>
      <c r="D701" t="s">
        <v>1440</v>
      </c>
      <c r="E701" t="s">
        <v>108</v>
      </c>
      <c r="F701" t="s">
        <v>1441</v>
      </c>
      <c r="G701" t="s">
        <v>110</v>
      </c>
      <c r="H701" t="s">
        <v>111</v>
      </c>
      <c r="I701" t="s">
        <v>112</v>
      </c>
      <c r="J701" t="s">
        <v>112</v>
      </c>
      <c r="K701" t="s">
        <v>112</v>
      </c>
      <c r="L701" t="s">
        <v>150</v>
      </c>
      <c r="M701" t="s">
        <v>1439</v>
      </c>
      <c r="N701" t="s">
        <v>112</v>
      </c>
      <c r="O701" t="s">
        <v>112</v>
      </c>
      <c r="P701">
        <v>1</v>
      </c>
      <c r="Q701">
        <v>0</v>
      </c>
      <c r="R701">
        <v>1</v>
      </c>
      <c r="S701">
        <v>33</v>
      </c>
      <c r="T701" t="s">
        <v>166</v>
      </c>
      <c r="U701" t="s">
        <v>152</v>
      </c>
      <c r="V701" t="s">
        <v>153</v>
      </c>
      <c r="W701" t="s">
        <v>154</v>
      </c>
      <c r="X701" t="s">
        <v>119</v>
      </c>
      <c r="Y701" t="s">
        <v>112</v>
      </c>
      <c r="Z701" t="s">
        <v>166</v>
      </c>
      <c r="AA701" t="s">
        <v>152</v>
      </c>
      <c r="AB701" t="s">
        <v>153</v>
      </c>
      <c r="AC701" t="s">
        <v>154</v>
      </c>
      <c r="AD701" t="s">
        <v>119</v>
      </c>
      <c r="AE701" t="s">
        <v>112</v>
      </c>
      <c r="AF701" t="s">
        <v>121</v>
      </c>
      <c r="AG701" t="s">
        <v>122</v>
      </c>
      <c r="AH701">
        <v>4651069.63</v>
      </c>
      <c r="AI701" t="s">
        <v>166</v>
      </c>
      <c r="AJ701" t="s">
        <v>152</v>
      </c>
      <c r="AK701" t="s">
        <v>153</v>
      </c>
      <c r="AL701" t="s">
        <v>154</v>
      </c>
      <c r="AM701" t="s">
        <v>119</v>
      </c>
      <c r="AN701" t="s">
        <v>112</v>
      </c>
      <c r="AO701" t="s">
        <v>121</v>
      </c>
      <c r="AP701" t="s">
        <v>122</v>
      </c>
      <c r="AQ701" t="s">
        <v>122</v>
      </c>
      <c r="AR701" t="s">
        <v>124</v>
      </c>
      <c r="AS701" t="s">
        <v>125</v>
      </c>
      <c r="AT701">
        <v>2</v>
      </c>
      <c r="AU701" t="s">
        <v>126</v>
      </c>
      <c r="AV701" t="s">
        <v>155</v>
      </c>
      <c r="AW701" t="s">
        <v>156</v>
      </c>
      <c r="AX701">
        <v>1</v>
      </c>
      <c r="AY701" t="s">
        <v>129</v>
      </c>
      <c r="AZ701">
        <v>42465.08</v>
      </c>
      <c r="BA701">
        <v>4238818</v>
      </c>
      <c r="BB701">
        <v>50727.19</v>
      </c>
      <c r="BC701">
        <v>99.818899999999999</v>
      </c>
      <c r="BD701" t="s">
        <v>130</v>
      </c>
      <c r="BE701" t="s">
        <v>112</v>
      </c>
      <c r="BF701" t="s">
        <v>157</v>
      </c>
      <c r="BG701" t="s">
        <v>133</v>
      </c>
      <c r="BH701" t="s">
        <v>167</v>
      </c>
      <c r="BI701" t="s">
        <v>168</v>
      </c>
      <c r="BJ701" t="s">
        <v>112</v>
      </c>
      <c r="BK701" t="s">
        <v>112</v>
      </c>
      <c r="BL701" t="s">
        <v>169</v>
      </c>
      <c r="BM701" t="s">
        <v>159</v>
      </c>
      <c r="BN701" t="s">
        <v>726</v>
      </c>
      <c r="BO701" t="s">
        <v>161</v>
      </c>
      <c r="BP701">
        <v>1</v>
      </c>
      <c r="BQ701" t="s">
        <v>1442</v>
      </c>
      <c r="BR701" s="45">
        <f>ISNUMBER(SEARCH($BR$1,Таблица1[[#This Row],[31_1 Описание и характеристика товара]]))*1</f>
        <v>1</v>
      </c>
      <c r="BT701" t="s">
        <v>150</v>
      </c>
      <c r="BU701">
        <v>33</v>
      </c>
      <c r="BV701">
        <v>0</v>
      </c>
      <c r="BW701">
        <v>0</v>
      </c>
      <c r="BY701">
        <v>0</v>
      </c>
      <c r="CA701" t="s">
        <v>106</v>
      </c>
      <c r="CB701" t="s">
        <v>142</v>
      </c>
      <c r="CC701" t="s">
        <v>112</v>
      </c>
      <c r="CD701" t="s">
        <v>112</v>
      </c>
      <c r="CE701" t="s">
        <v>121</v>
      </c>
      <c r="CF701">
        <v>16412.18</v>
      </c>
      <c r="CG701" t="s">
        <v>144</v>
      </c>
      <c r="CH701">
        <v>4000000</v>
      </c>
      <c r="CI701">
        <v>16340.18</v>
      </c>
      <c r="CJ701">
        <v>0</v>
      </c>
      <c r="CK701" t="s">
        <v>112</v>
      </c>
      <c r="CL701" t="s">
        <v>112</v>
      </c>
      <c r="CM701">
        <v>42465.08</v>
      </c>
      <c r="CN701">
        <v>4238818</v>
      </c>
      <c r="CO701">
        <v>0</v>
      </c>
      <c r="CP701">
        <v>1</v>
      </c>
      <c r="CQ701">
        <v>4651069.63</v>
      </c>
      <c r="CR701">
        <v>50727.19</v>
      </c>
      <c r="CS701" t="s">
        <v>145</v>
      </c>
      <c r="CT701">
        <v>50654.558000000005</v>
      </c>
      <c r="CU701">
        <v>3.1</v>
      </c>
      <c r="CV701">
        <v>45</v>
      </c>
      <c r="CW701" t="s">
        <v>171</v>
      </c>
      <c r="CX701" t="s">
        <v>372</v>
      </c>
      <c r="CY701">
        <v>77</v>
      </c>
    </row>
    <row r="702" spans="1:103" x14ac:dyDescent="0.25">
      <c r="A702" t="s">
        <v>106</v>
      </c>
      <c r="B702" s="38">
        <v>45252</v>
      </c>
      <c r="C702" s="43">
        <f>IF(YEAR(Таблица1[[#This Row],[Дата]])=2023,MONTH(Таблица1[[#This Row],[Дата]]),0)</f>
        <v>11</v>
      </c>
      <c r="D702" t="s">
        <v>1445</v>
      </c>
      <c r="E702" t="s">
        <v>108</v>
      </c>
      <c r="F702" t="s">
        <v>1446</v>
      </c>
      <c r="G702" t="s">
        <v>110</v>
      </c>
      <c r="H702" t="s">
        <v>111</v>
      </c>
      <c r="I702" t="s">
        <v>112</v>
      </c>
      <c r="J702" t="s">
        <v>112</v>
      </c>
      <c r="K702" t="s">
        <v>112</v>
      </c>
      <c r="L702" t="s">
        <v>150</v>
      </c>
      <c r="M702" t="s">
        <v>1439</v>
      </c>
      <c r="N702" t="s">
        <v>112</v>
      </c>
      <c r="O702" t="s">
        <v>112</v>
      </c>
      <c r="P702">
        <v>1</v>
      </c>
      <c r="Q702">
        <v>0</v>
      </c>
      <c r="R702">
        <v>1</v>
      </c>
      <c r="S702">
        <v>33</v>
      </c>
      <c r="T702" t="s">
        <v>166</v>
      </c>
      <c r="U702" t="s">
        <v>152</v>
      </c>
      <c r="V702" t="s">
        <v>153</v>
      </c>
      <c r="W702" t="s">
        <v>154</v>
      </c>
      <c r="X702" t="s">
        <v>119</v>
      </c>
      <c r="Y702" t="s">
        <v>112</v>
      </c>
      <c r="Z702" t="s">
        <v>166</v>
      </c>
      <c r="AA702" t="s">
        <v>152</v>
      </c>
      <c r="AB702" t="s">
        <v>153</v>
      </c>
      <c r="AC702" t="s">
        <v>154</v>
      </c>
      <c r="AD702" t="s">
        <v>119</v>
      </c>
      <c r="AE702" t="s">
        <v>112</v>
      </c>
      <c r="AF702" t="s">
        <v>121</v>
      </c>
      <c r="AG702" t="s">
        <v>122</v>
      </c>
      <c r="AH702">
        <v>4597716.43</v>
      </c>
      <c r="AI702" t="s">
        <v>166</v>
      </c>
      <c r="AJ702" t="s">
        <v>152</v>
      </c>
      <c r="AK702" t="s">
        <v>153</v>
      </c>
      <c r="AL702" t="s">
        <v>154</v>
      </c>
      <c r="AM702" t="s">
        <v>119</v>
      </c>
      <c r="AN702" t="s">
        <v>112</v>
      </c>
      <c r="AO702" t="s">
        <v>121</v>
      </c>
      <c r="AP702" t="s">
        <v>122</v>
      </c>
      <c r="AQ702" t="s">
        <v>122</v>
      </c>
      <c r="AR702" t="s">
        <v>124</v>
      </c>
      <c r="AS702" t="s">
        <v>125</v>
      </c>
      <c r="AT702">
        <v>2</v>
      </c>
      <c r="AU702" t="s">
        <v>126</v>
      </c>
      <c r="AV702" t="s">
        <v>155</v>
      </c>
      <c r="AW702" t="s">
        <v>156</v>
      </c>
      <c r="AX702">
        <v>1</v>
      </c>
      <c r="AY702" t="s">
        <v>129</v>
      </c>
      <c r="AZ702">
        <v>41930.58</v>
      </c>
      <c r="BA702">
        <v>4185464</v>
      </c>
      <c r="BB702">
        <v>50145.29</v>
      </c>
      <c r="BC702">
        <v>99.818899999999999</v>
      </c>
      <c r="BD702" t="s">
        <v>130</v>
      </c>
      <c r="BE702" t="s">
        <v>112</v>
      </c>
      <c r="BF702" t="s">
        <v>157</v>
      </c>
      <c r="BG702" t="s">
        <v>133</v>
      </c>
      <c r="BH702" t="s">
        <v>134</v>
      </c>
      <c r="BI702" t="s">
        <v>112</v>
      </c>
      <c r="BJ702" t="s">
        <v>112</v>
      </c>
      <c r="BK702" t="s">
        <v>112</v>
      </c>
      <c r="BL702" t="s">
        <v>169</v>
      </c>
      <c r="BM702" t="s">
        <v>159</v>
      </c>
      <c r="BN702" t="s">
        <v>722</v>
      </c>
      <c r="BO702" t="s">
        <v>161</v>
      </c>
      <c r="BP702">
        <v>1</v>
      </c>
      <c r="BQ702" t="s">
        <v>1281</v>
      </c>
      <c r="BR702" s="45">
        <f>ISNUMBER(SEARCH($BR$1,Таблица1[[#This Row],[31_1 Описание и характеристика товара]]))*1</f>
        <v>1</v>
      </c>
      <c r="BT702" t="s">
        <v>150</v>
      </c>
      <c r="BU702">
        <v>33</v>
      </c>
      <c r="BV702">
        <v>0</v>
      </c>
      <c r="BW702">
        <v>0</v>
      </c>
      <c r="BY702">
        <v>0</v>
      </c>
      <c r="CA702" t="s">
        <v>106</v>
      </c>
      <c r="CB702" t="s">
        <v>142</v>
      </c>
      <c r="CC702" t="s">
        <v>112</v>
      </c>
      <c r="CD702" t="s">
        <v>112</v>
      </c>
      <c r="CE702" t="s">
        <v>121</v>
      </c>
      <c r="CF702">
        <v>15731.14</v>
      </c>
      <c r="CG702" t="s">
        <v>144</v>
      </c>
      <c r="CH702">
        <v>4000000</v>
      </c>
      <c r="CI702">
        <v>15569.14</v>
      </c>
      <c r="CJ702">
        <v>0</v>
      </c>
      <c r="CK702" t="s">
        <v>112</v>
      </c>
      <c r="CL702" t="s">
        <v>112</v>
      </c>
      <c r="CM702">
        <v>41930.58</v>
      </c>
      <c r="CN702">
        <v>4185464</v>
      </c>
      <c r="CO702">
        <v>0</v>
      </c>
      <c r="CP702">
        <v>1</v>
      </c>
      <c r="CQ702">
        <v>4597716.43</v>
      </c>
      <c r="CR702">
        <v>50145.29</v>
      </c>
      <c r="CS702" t="s">
        <v>145</v>
      </c>
      <c r="CT702">
        <v>50132.630799999999</v>
      </c>
      <c r="CU702">
        <v>3.22</v>
      </c>
      <c r="CV702">
        <v>45</v>
      </c>
      <c r="CW702" t="s">
        <v>171</v>
      </c>
      <c r="CX702" t="s">
        <v>463</v>
      </c>
      <c r="CY702">
        <v>80</v>
      </c>
    </row>
    <row r="703" spans="1:103" x14ac:dyDescent="0.25">
      <c r="A703" t="s">
        <v>106</v>
      </c>
      <c r="B703" s="38">
        <v>45029</v>
      </c>
      <c r="C703" s="43">
        <f>IF(YEAR(Таблица1[[#This Row],[Дата]])=2023,MONTH(Таблица1[[#This Row],[Дата]]),0)</f>
        <v>4</v>
      </c>
      <c r="D703" t="s">
        <v>1443</v>
      </c>
      <c r="E703" t="s">
        <v>108</v>
      </c>
      <c r="F703" t="s">
        <v>1444</v>
      </c>
      <c r="G703" t="s">
        <v>110</v>
      </c>
      <c r="H703" t="s">
        <v>111</v>
      </c>
      <c r="I703" t="s">
        <v>112</v>
      </c>
      <c r="J703" t="s">
        <v>112</v>
      </c>
      <c r="K703" t="s">
        <v>112</v>
      </c>
      <c r="L703" t="s">
        <v>150</v>
      </c>
      <c r="M703" t="s">
        <v>1439</v>
      </c>
      <c r="N703" t="s">
        <v>112</v>
      </c>
      <c r="O703" t="s">
        <v>112</v>
      </c>
      <c r="P703">
        <v>1</v>
      </c>
      <c r="Q703">
        <v>0</v>
      </c>
      <c r="R703">
        <v>1</v>
      </c>
      <c r="S703">
        <v>33</v>
      </c>
      <c r="T703" t="s">
        <v>166</v>
      </c>
      <c r="U703" t="s">
        <v>152</v>
      </c>
      <c r="V703" t="s">
        <v>153</v>
      </c>
      <c r="W703" t="s">
        <v>154</v>
      </c>
      <c r="X703" t="s">
        <v>119</v>
      </c>
      <c r="Y703" t="s">
        <v>112</v>
      </c>
      <c r="Z703" t="s">
        <v>166</v>
      </c>
      <c r="AA703" t="s">
        <v>152</v>
      </c>
      <c r="AB703" t="s">
        <v>153</v>
      </c>
      <c r="AC703" t="s">
        <v>154</v>
      </c>
      <c r="AD703" t="s">
        <v>119</v>
      </c>
      <c r="AE703" t="s">
        <v>112</v>
      </c>
      <c r="AF703" t="s">
        <v>121</v>
      </c>
      <c r="AG703" t="s">
        <v>122</v>
      </c>
      <c r="AH703">
        <v>4953496.95</v>
      </c>
      <c r="AI703" t="s">
        <v>166</v>
      </c>
      <c r="AJ703" t="s">
        <v>152</v>
      </c>
      <c r="AK703" t="s">
        <v>153</v>
      </c>
      <c r="AL703" t="s">
        <v>154</v>
      </c>
      <c r="AM703" t="s">
        <v>119</v>
      </c>
      <c r="AN703" t="s">
        <v>112</v>
      </c>
      <c r="AO703" t="s">
        <v>121</v>
      </c>
      <c r="AP703" t="s">
        <v>122</v>
      </c>
      <c r="AQ703" t="s">
        <v>122</v>
      </c>
      <c r="AR703" t="s">
        <v>124</v>
      </c>
      <c r="AS703" t="s">
        <v>125</v>
      </c>
      <c r="AT703">
        <v>2</v>
      </c>
      <c r="AU703" t="s">
        <v>126</v>
      </c>
      <c r="AV703" t="s">
        <v>155</v>
      </c>
      <c r="AW703" t="s">
        <v>156</v>
      </c>
      <c r="AX703">
        <v>1</v>
      </c>
      <c r="AY703" t="s">
        <v>129</v>
      </c>
      <c r="AZ703">
        <v>44974.84</v>
      </c>
      <c r="BA703">
        <v>4489339</v>
      </c>
      <c r="BB703">
        <v>54025.63</v>
      </c>
      <c r="BC703">
        <v>99.818899999999999</v>
      </c>
      <c r="BD703" t="s">
        <v>130</v>
      </c>
      <c r="BE703" t="s">
        <v>112</v>
      </c>
      <c r="BF703" t="s">
        <v>157</v>
      </c>
      <c r="BG703" t="s">
        <v>133</v>
      </c>
      <c r="BH703" t="s">
        <v>167</v>
      </c>
      <c r="BI703" t="s">
        <v>168</v>
      </c>
      <c r="BJ703" t="s">
        <v>112</v>
      </c>
      <c r="BK703" t="s">
        <v>112</v>
      </c>
      <c r="BL703" t="s">
        <v>169</v>
      </c>
      <c r="BM703" t="s">
        <v>159</v>
      </c>
      <c r="BN703" t="s">
        <v>726</v>
      </c>
      <c r="BO703" t="s">
        <v>161</v>
      </c>
      <c r="BP703">
        <v>1</v>
      </c>
      <c r="BQ703" t="s">
        <v>232</v>
      </c>
      <c r="BR703" s="45">
        <f>ISNUMBER(SEARCH($BR$1,Таблица1[[#This Row],[31_1 Описание и характеристика товара]]))*1</f>
        <v>1</v>
      </c>
      <c r="BT703" t="s">
        <v>150</v>
      </c>
      <c r="BU703">
        <v>33</v>
      </c>
      <c r="BV703">
        <v>0</v>
      </c>
      <c r="BW703">
        <v>0</v>
      </c>
      <c r="BY703">
        <v>0</v>
      </c>
      <c r="CA703" t="s">
        <v>106</v>
      </c>
      <c r="CB703" t="s">
        <v>142</v>
      </c>
      <c r="CC703" t="s">
        <v>112</v>
      </c>
      <c r="CD703" t="s">
        <v>112</v>
      </c>
      <c r="CE703" t="s">
        <v>121</v>
      </c>
      <c r="CF703">
        <v>16850.04</v>
      </c>
      <c r="CG703" t="s">
        <v>144</v>
      </c>
      <c r="CH703">
        <v>4000000</v>
      </c>
      <c r="CI703">
        <v>16814.04</v>
      </c>
      <c r="CJ703">
        <v>0</v>
      </c>
      <c r="CK703" t="s">
        <v>112</v>
      </c>
      <c r="CL703" t="s">
        <v>112</v>
      </c>
      <c r="CM703">
        <v>44974.84</v>
      </c>
      <c r="CN703">
        <v>4489339</v>
      </c>
      <c r="CO703">
        <v>0</v>
      </c>
      <c r="CP703">
        <v>1</v>
      </c>
      <c r="CQ703">
        <v>4953496.95</v>
      </c>
      <c r="CR703">
        <v>54025.63</v>
      </c>
      <c r="CS703" t="s">
        <v>145</v>
      </c>
      <c r="CT703">
        <v>53973.068400000004</v>
      </c>
      <c r="CU703">
        <v>3.21</v>
      </c>
      <c r="CV703">
        <v>45</v>
      </c>
      <c r="CW703" t="s">
        <v>171</v>
      </c>
      <c r="CX703" t="s">
        <v>172</v>
      </c>
      <c r="CY703">
        <v>174</v>
      </c>
    </row>
    <row r="704" spans="1:103" x14ac:dyDescent="0.25">
      <c r="A704" t="s">
        <v>106</v>
      </c>
      <c r="B704" s="38">
        <v>45017</v>
      </c>
      <c r="C704" s="43">
        <f>IF(YEAR(Таблица1[[#This Row],[Дата]])=2023,MONTH(Таблица1[[#This Row],[Дата]]),0)</f>
        <v>4</v>
      </c>
      <c r="D704" t="s">
        <v>1146</v>
      </c>
      <c r="E704" t="s">
        <v>108</v>
      </c>
      <c r="F704" t="s">
        <v>1147</v>
      </c>
      <c r="G704" t="s">
        <v>110</v>
      </c>
      <c r="H704" t="s">
        <v>111</v>
      </c>
      <c r="I704" t="s">
        <v>112</v>
      </c>
      <c r="J704" t="s">
        <v>112</v>
      </c>
      <c r="K704" t="s">
        <v>112</v>
      </c>
      <c r="L704" t="s">
        <v>150</v>
      </c>
      <c r="M704" t="s">
        <v>1143</v>
      </c>
      <c r="N704" t="s">
        <v>112</v>
      </c>
      <c r="O704" t="s">
        <v>112</v>
      </c>
      <c r="P704">
        <v>1</v>
      </c>
      <c r="Q704">
        <v>0</v>
      </c>
      <c r="R704">
        <v>1</v>
      </c>
      <c r="S704">
        <v>33</v>
      </c>
      <c r="T704" t="s">
        <v>166</v>
      </c>
      <c r="U704" t="s">
        <v>152</v>
      </c>
      <c r="V704" t="s">
        <v>153</v>
      </c>
      <c r="W704" t="s">
        <v>154</v>
      </c>
      <c r="X704" t="s">
        <v>119</v>
      </c>
      <c r="Y704" t="s">
        <v>112</v>
      </c>
      <c r="Z704" t="s">
        <v>166</v>
      </c>
      <c r="AA704" t="s">
        <v>152</v>
      </c>
      <c r="AB704" t="s">
        <v>153</v>
      </c>
      <c r="AC704" t="s">
        <v>154</v>
      </c>
      <c r="AD704" t="s">
        <v>119</v>
      </c>
      <c r="AE704" t="s">
        <v>112</v>
      </c>
      <c r="AF704" t="s">
        <v>121</v>
      </c>
      <c r="AG704" t="s">
        <v>122</v>
      </c>
      <c r="AH704">
        <v>3989298.17</v>
      </c>
      <c r="AI704" t="s">
        <v>166</v>
      </c>
      <c r="AJ704" t="s">
        <v>152</v>
      </c>
      <c r="AK704" t="s">
        <v>153</v>
      </c>
      <c r="AL704" t="s">
        <v>154</v>
      </c>
      <c r="AM704" t="s">
        <v>119</v>
      </c>
      <c r="AN704" t="s">
        <v>112</v>
      </c>
      <c r="AO704" t="s">
        <v>121</v>
      </c>
      <c r="AP704" t="s">
        <v>122</v>
      </c>
      <c r="AQ704" t="s">
        <v>122</v>
      </c>
      <c r="AR704" t="s">
        <v>124</v>
      </c>
      <c r="AS704" t="s">
        <v>125</v>
      </c>
      <c r="AT704">
        <v>2</v>
      </c>
      <c r="AU704" t="s">
        <v>126</v>
      </c>
      <c r="AV704" t="s">
        <v>155</v>
      </c>
      <c r="AW704" t="s">
        <v>156</v>
      </c>
      <c r="AX704">
        <v>1</v>
      </c>
      <c r="AY704" t="s">
        <v>129</v>
      </c>
      <c r="AZ704">
        <v>42134.16</v>
      </c>
      <c r="BA704">
        <v>3577498</v>
      </c>
      <c r="BB704">
        <v>51929.99</v>
      </c>
      <c r="BC704">
        <v>84.907300000000006</v>
      </c>
      <c r="BD704" t="s">
        <v>130</v>
      </c>
      <c r="BE704" t="s">
        <v>112</v>
      </c>
      <c r="BF704" t="s">
        <v>157</v>
      </c>
      <c r="BG704" t="s">
        <v>133</v>
      </c>
      <c r="BH704" t="s">
        <v>134</v>
      </c>
      <c r="BI704" t="s">
        <v>112</v>
      </c>
      <c r="BJ704" t="s">
        <v>112</v>
      </c>
      <c r="BK704" t="s">
        <v>112</v>
      </c>
      <c r="BL704" t="s">
        <v>169</v>
      </c>
      <c r="BM704" t="s">
        <v>159</v>
      </c>
      <c r="BN704" t="s">
        <v>722</v>
      </c>
      <c r="BO704" t="s">
        <v>161</v>
      </c>
      <c r="BP704">
        <v>1</v>
      </c>
      <c r="BQ704" t="s">
        <v>232</v>
      </c>
      <c r="BR704" s="45">
        <f>ISNUMBER(SEARCH($BR$1,Таблица1[[#This Row],[31_1 Описание и характеристика товара]]))*1</f>
        <v>1</v>
      </c>
      <c r="BT704" t="s">
        <v>150</v>
      </c>
      <c r="BU704">
        <v>33</v>
      </c>
      <c r="BV704">
        <v>0</v>
      </c>
      <c r="BW704">
        <v>0</v>
      </c>
      <c r="BY704">
        <v>0</v>
      </c>
      <c r="CA704" t="s">
        <v>106</v>
      </c>
      <c r="CB704" t="s">
        <v>142</v>
      </c>
      <c r="CC704" t="s">
        <v>112</v>
      </c>
      <c r="CD704" t="s">
        <v>112</v>
      </c>
      <c r="CE704" t="s">
        <v>121</v>
      </c>
      <c r="CF704">
        <v>17058.71</v>
      </c>
      <c r="CG704" t="s">
        <v>144</v>
      </c>
      <c r="CH704">
        <v>4000000</v>
      </c>
      <c r="CI704">
        <v>17022.71</v>
      </c>
      <c r="CJ704">
        <v>0</v>
      </c>
      <c r="CK704" t="s">
        <v>112</v>
      </c>
      <c r="CL704" t="s">
        <v>112</v>
      </c>
      <c r="CM704">
        <v>42134.16</v>
      </c>
      <c r="CN704">
        <v>3577498</v>
      </c>
      <c r="CO704">
        <v>0</v>
      </c>
      <c r="CP704">
        <v>1</v>
      </c>
      <c r="CQ704">
        <v>3989298.17</v>
      </c>
      <c r="CR704">
        <v>51929.99</v>
      </c>
      <c r="CS704" t="s">
        <v>145</v>
      </c>
      <c r="CT704">
        <v>51929.479125999998</v>
      </c>
      <c r="CU704">
        <v>3.0506000000000002</v>
      </c>
      <c r="CV704">
        <v>45</v>
      </c>
      <c r="CW704" t="s">
        <v>171</v>
      </c>
      <c r="CX704" t="s">
        <v>463</v>
      </c>
      <c r="CY704">
        <v>116</v>
      </c>
    </row>
    <row r="705" spans="1:103" x14ac:dyDescent="0.25">
      <c r="A705" t="s">
        <v>106</v>
      </c>
      <c r="B705" s="38">
        <v>45132</v>
      </c>
      <c r="C705" s="43">
        <f>IF(YEAR(Таблица1[[#This Row],[Дата]])=2023,MONTH(Таблица1[[#This Row],[Дата]]),0)</f>
        <v>7</v>
      </c>
      <c r="D705" t="s">
        <v>1154</v>
      </c>
      <c r="E705" t="s">
        <v>108</v>
      </c>
      <c r="F705" t="s">
        <v>1155</v>
      </c>
      <c r="G705" t="s">
        <v>110</v>
      </c>
      <c r="H705" t="s">
        <v>111</v>
      </c>
      <c r="I705" t="s">
        <v>112</v>
      </c>
      <c r="J705" t="s">
        <v>112</v>
      </c>
      <c r="K705" t="s">
        <v>112</v>
      </c>
      <c r="L705" t="s">
        <v>150</v>
      </c>
      <c r="M705" t="s">
        <v>1143</v>
      </c>
      <c r="N705" t="s">
        <v>112</v>
      </c>
      <c r="O705" t="s">
        <v>112</v>
      </c>
      <c r="P705">
        <v>1</v>
      </c>
      <c r="Q705">
        <v>0</v>
      </c>
      <c r="R705">
        <v>1</v>
      </c>
      <c r="S705">
        <v>33</v>
      </c>
      <c r="T705" t="s">
        <v>166</v>
      </c>
      <c r="U705" t="s">
        <v>152</v>
      </c>
      <c r="V705" t="s">
        <v>153</v>
      </c>
      <c r="W705" t="s">
        <v>154</v>
      </c>
      <c r="X705" t="s">
        <v>119</v>
      </c>
      <c r="Y705" t="s">
        <v>112</v>
      </c>
      <c r="Z705" t="s">
        <v>166</v>
      </c>
      <c r="AA705" t="s">
        <v>152</v>
      </c>
      <c r="AB705" t="s">
        <v>153</v>
      </c>
      <c r="AC705" t="s">
        <v>154</v>
      </c>
      <c r="AD705" t="s">
        <v>119</v>
      </c>
      <c r="AE705" t="s">
        <v>112</v>
      </c>
      <c r="AF705" t="s">
        <v>121</v>
      </c>
      <c r="AG705" t="s">
        <v>122</v>
      </c>
      <c r="AH705">
        <v>4455914.7300000004</v>
      </c>
      <c r="AI705" t="s">
        <v>166</v>
      </c>
      <c r="AJ705" t="s">
        <v>152</v>
      </c>
      <c r="AK705" t="s">
        <v>153</v>
      </c>
      <c r="AL705" t="s">
        <v>154</v>
      </c>
      <c r="AM705" t="s">
        <v>119</v>
      </c>
      <c r="AN705" t="s">
        <v>112</v>
      </c>
      <c r="AO705" t="s">
        <v>121</v>
      </c>
      <c r="AP705" t="s">
        <v>122</v>
      </c>
      <c r="AQ705" t="s">
        <v>122</v>
      </c>
      <c r="AR705" t="s">
        <v>124</v>
      </c>
      <c r="AS705" t="s">
        <v>125</v>
      </c>
      <c r="AT705">
        <v>2</v>
      </c>
      <c r="AU705" t="s">
        <v>126</v>
      </c>
      <c r="AV705" t="s">
        <v>155</v>
      </c>
      <c r="AW705" t="s">
        <v>156</v>
      </c>
      <c r="AX705">
        <v>1</v>
      </c>
      <c r="AY705" t="s">
        <v>129</v>
      </c>
      <c r="AZ705">
        <v>47829.760000000002</v>
      </c>
      <c r="BA705">
        <v>4061096</v>
      </c>
      <c r="BB705">
        <v>58004.09</v>
      </c>
      <c r="BC705">
        <v>84.907300000000006</v>
      </c>
      <c r="BD705" t="s">
        <v>130</v>
      </c>
      <c r="BE705" t="s">
        <v>112</v>
      </c>
      <c r="BF705" t="s">
        <v>157</v>
      </c>
      <c r="BG705" t="s">
        <v>133</v>
      </c>
      <c r="BH705" t="s">
        <v>134</v>
      </c>
      <c r="BI705" t="s">
        <v>112</v>
      </c>
      <c r="BJ705" t="s">
        <v>112</v>
      </c>
      <c r="BK705" t="s">
        <v>112</v>
      </c>
      <c r="BL705" t="s">
        <v>169</v>
      </c>
      <c r="BM705" t="s">
        <v>159</v>
      </c>
      <c r="BN705" t="s">
        <v>722</v>
      </c>
      <c r="BO705" t="s">
        <v>161</v>
      </c>
      <c r="BP705">
        <v>1</v>
      </c>
      <c r="BQ705" t="s">
        <v>232</v>
      </c>
      <c r="BR705" s="45">
        <f>ISNUMBER(SEARCH($BR$1,Таблица1[[#This Row],[31_1 Описание и характеристика товара]]))*1</f>
        <v>1</v>
      </c>
      <c r="BT705" t="s">
        <v>150</v>
      </c>
      <c r="BU705">
        <v>33</v>
      </c>
      <c r="BV705">
        <v>0</v>
      </c>
      <c r="BW705">
        <v>0</v>
      </c>
      <c r="BY705">
        <v>0</v>
      </c>
      <c r="CA705" t="s">
        <v>106</v>
      </c>
      <c r="CB705" t="s">
        <v>142</v>
      </c>
      <c r="CC705" t="s">
        <v>112</v>
      </c>
      <c r="CD705" t="s">
        <v>112</v>
      </c>
      <c r="CE705" t="s">
        <v>121</v>
      </c>
      <c r="CF705">
        <v>16964.53</v>
      </c>
      <c r="CG705" t="s">
        <v>144</v>
      </c>
      <c r="CH705">
        <v>4000000</v>
      </c>
      <c r="CI705">
        <v>16964.53</v>
      </c>
      <c r="CJ705">
        <v>0</v>
      </c>
      <c r="CK705" t="s">
        <v>112</v>
      </c>
      <c r="CL705" t="s">
        <v>112</v>
      </c>
      <c r="CM705">
        <v>47829.760000000002</v>
      </c>
      <c r="CN705">
        <v>4061096</v>
      </c>
      <c r="CO705">
        <v>0</v>
      </c>
      <c r="CP705">
        <v>1</v>
      </c>
      <c r="CQ705">
        <v>4455914.7300000004</v>
      </c>
      <c r="CR705">
        <v>58004.09</v>
      </c>
      <c r="CS705" t="s">
        <v>145</v>
      </c>
      <c r="CT705">
        <v>58003.424522999994</v>
      </c>
      <c r="CU705">
        <v>3.4190999999999998</v>
      </c>
      <c r="CV705">
        <v>45</v>
      </c>
      <c r="CW705" t="s">
        <v>171</v>
      </c>
      <c r="CX705" t="s">
        <v>172</v>
      </c>
      <c r="CY705">
        <v>116</v>
      </c>
    </row>
    <row r="706" spans="1:103" x14ac:dyDescent="0.25">
      <c r="A706" t="s">
        <v>106</v>
      </c>
      <c r="B706" s="38">
        <v>45288</v>
      </c>
      <c r="C706" s="43">
        <f>IF(YEAR(Таблица1[[#This Row],[Дата]])=2023,MONTH(Таблица1[[#This Row],[Дата]]),0)</f>
        <v>12</v>
      </c>
      <c r="D706" t="s">
        <v>1148</v>
      </c>
      <c r="E706" t="s">
        <v>108</v>
      </c>
      <c r="F706" t="s">
        <v>1149</v>
      </c>
      <c r="G706" t="s">
        <v>110</v>
      </c>
      <c r="H706" t="s">
        <v>111</v>
      </c>
      <c r="I706" t="s">
        <v>112</v>
      </c>
      <c r="J706" t="s">
        <v>112</v>
      </c>
      <c r="K706" t="s">
        <v>112</v>
      </c>
      <c r="L706" t="s">
        <v>150</v>
      </c>
      <c r="M706" t="s">
        <v>1143</v>
      </c>
      <c r="N706" t="s">
        <v>112</v>
      </c>
      <c r="O706" t="s">
        <v>112</v>
      </c>
      <c r="P706">
        <v>1</v>
      </c>
      <c r="Q706">
        <v>0</v>
      </c>
      <c r="R706">
        <v>1</v>
      </c>
      <c r="S706">
        <v>33</v>
      </c>
      <c r="T706" t="s">
        <v>166</v>
      </c>
      <c r="U706" t="s">
        <v>152</v>
      </c>
      <c r="V706" t="s">
        <v>153</v>
      </c>
      <c r="W706" t="s">
        <v>154</v>
      </c>
      <c r="X706" t="s">
        <v>119</v>
      </c>
      <c r="Y706" t="s">
        <v>112</v>
      </c>
      <c r="Z706" t="s">
        <v>166</v>
      </c>
      <c r="AA706" t="s">
        <v>152</v>
      </c>
      <c r="AB706" t="s">
        <v>153</v>
      </c>
      <c r="AC706" t="s">
        <v>154</v>
      </c>
      <c r="AD706" t="s">
        <v>119</v>
      </c>
      <c r="AE706" t="s">
        <v>112</v>
      </c>
      <c r="AF706" t="s">
        <v>121</v>
      </c>
      <c r="AG706" t="s">
        <v>122</v>
      </c>
      <c r="AH706">
        <v>3923093.4</v>
      </c>
      <c r="AI706" t="s">
        <v>166</v>
      </c>
      <c r="AJ706" t="s">
        <v>152</v>
      </c>
      <c r="AK706" t="s">
        <v>153</v>
      </c>
      <c r="AL706" t="s">
        <v>154</v>
      </c>
      <c r="AM706" t="s">
        <v>119</v>
      </c>
      <c r="AN706" t="s">
        <v>112</v>
      </c>
      <c r="AO706" t="s">
        <v>121</v>
      </c>
      <c r="AP706" t="s">
        <v>122</v>
      </c>
      <c r="AQ706" t="s">
        <v>122</v>
      </c>
      <c r="AR706" t="s">
        <v>124</v>
      </c>
      <c r="AS706" t="s">
        <v>125</v>
      </c>
      <c r="AT706">
        <v>2</v>
      </c>
      <c r="AU706" t="s">
        <v>126</v>
      </c>
      <c r="AV706" t="s">
        <v>155</v>
      </c>
      <c r="AW706" t="s">
        <v>156</v>
      </c>
      <c r="AX706">
        <v>1</v>
      </c>
      <c r="AY706" t="s">
        <v>129</v>
      </c>
      <c r="AZ706">
        <v>42074.43</v>
      </c>
      <c r="BA706">
        <v>3572426</v>
      </c>
      <c r="BB706">
        <v>51068.18</v>
      </c>
      <c r="BC706">
        <v>84.907300000000006</v>
      </c>
      <c r="BD706" t="s">
        <v>130</v>
      </c>
      <c r="BE706" t="s">
        <v>112</v>
      </c>
      <c r="BF706" t="s">
        <v>157</v>
      </c>
      <c r="BG706" t="s">
        <v>133</v>
      </c>
      <c r="BH706" t="s">
        <v>134</v>
      </c>
      <c r="BI706" t="s">
        <v>112</v>
      </c>
      <c r="BJ706" t="s">
        <v>112</v>
      </c>
      <c r="BK706" t="s">
        <v>112</v>
      </c>
      <c r="BL706" t="s">
        <v>169</v>
      </c>
      <c r="BM706" t="s">
        <v>159</v>
      </c>
      <c r="BN706" t="s">
        <v>722</v>
      </c>
      <c r="BO706" t="s">
        <v>161</v>
      </c>
      <c r="BP706">
        <v>1</v>
      </c>
      <c r="BQ706" t="s">
        <v>232</v>
      </c>
      <c r="BR706" s="45">
        <f>ISNUMBER(SEARCH($BR$1,Таблица1[[#This Row],[31_1 Описание и характеристика товара]]))*1</f>
        <v>1</v>
      </c>
      <c r="BT706" t="s">
        <v>150</v>
      </c>
      <c r="BU706">
        <v>33</v>
      </c>
      <c r="BV706">
        <v>0</v>
      </c>
      <c r="BW706">
        <v>0</v>
      </c>
      <c r="BY706">
        <v>0</v>
      </c>
      <c r="CA706" t="s">
        <v>106</v>
      </c>
      <c r="CB706" t="s">
        <v>142</v>
      </c>
      <c r="CC706" t="s">
        <v>112</v>
      </c>
      <c r="CD706" t="s">
        <v>112</v>
      </c>
      <c r="CE706" t="s">
        <v>121</v>
      </c>
      <c r="CF706">
        <v>17248.72</v>
      </c>
      <c r="CG706" t="s">
        <v>144</v>
      </c>
      <c r="CH706">
        <v>4000000</v>
      </c>
      <c r="CI706">
        <v>17248.72</v>
      </c>
      <c r="CJ706">
        <v>0</v>
      </c>
      <c r="CK706" t="s">
        <v>112</v>
      </c>
      <c r="CL706" t="s">
        <v>112</v>
      </c>
      <c r="CM706">
        <v>42074.43</v>
      </c>
      <c r="CN706">
        <v>3572426</v>
      </c>
      <c r="CO706">
        <v>0</v>
      </c>
      <c r="CP706">
        <v>1</v>
      </c>
      <c r="CQ706">
        <v>3923093.4</v>
      </c>
      <c r="CR706">
        <v>51068.18</v>
      </c>
      <c r="CS706" t="s">
        <v>145</v>
      </c>
      <c r="CT706">
        <v>51068.285304000005</v>
      </c>
      <c r="CU706">
        <v>2.9607000000000001</v>
      </c>
      <c r="CV706">
        <v>45</v>
      </c>
      <c r="CW706" t="s">
        <v>171</v>
      </c>
      <c r="CX706" t="s">
        <v>372</v>
      </c>
      <c r="CY706">
        <v>326</v>
      </c>
    </row>
    <row r="707" spans="1:103" x14ac:dyDescent="0.25">
      <c r="A707" t="s">
        <v>106</v>
      </c>
      <c r="B707" s="38">
        <v>44957</v>
      </c>
      <c r="C707" s="43">
        <f>IF(YEAR(Таблица1[[#This Row],[Дата]])=2023,MONTH(Таблица1[[#This Row],[Дата]]),0)</f>
        <v>1</v>
      </c>
      <c r="D707" t="s">
        <v>1150</v>
      </c>
      <c r="E707" t="s">
        <v>108</v>
      </c>
      <c r="F707" t="s">
        <v>1151</v>
      </c>
      <c r="G707" t="s">
        <v>110</v>
      </c>
      <c r="H707" t="s">
        <v>111</v>
      </c>
      <c r="I707" t="s">
        <v>112</v>
      </c>
      <c r="J707" t="s">
        <v>112</v>
      </c>
      <c r="K707" t="s">
        <v>112</v>
      </c>
      <c r="L707" t="s">
        <v>150</v>
      </c>
      <c r="M707" t="s">
        <v>1143</v>
      </c>
      <c r="N707" t="s">
        <v>112</v>
      </c>
      <c r="O707" t="s">
        <v>112</v>
      </c>
      <c r="P707">
        <v>1</v>
      </c>
      <c r="Q707">
        <v>0</v>
      </c>
      <c r="R707">
        <v>1</v>
      </c>
      <c r="S707">
        <v>33</v>
      </c>
      <c r="T707" t="s">
        <v>166</v>
      </c>
      <c r="U707" t="s">
        <v>152</v>
      </c>
      <c r="V707" t="s">
        <v>153</v>
      </c>
      <c r="W707" t="s">
        <v>154</v>
      </c>
      <c r="X707" t="s">
        <v>119</v>
      </c>
      <c r="Y707" t="s">
        <v>112</v>
      </c>
      <c r="Z707" t="s">
        <v>166</v>
      </c>
      <c r="AA707" t="s">
        <v>152</v>
      </c>
      <c r="AB707" t="s">
        <v>153</v>
      </c>
      <c r="AC707" t="s">
        <v>154</v>
      </c>
      <c r="AD707" t="s">
        <v>119</v>
      </c>
      <c r="AE707" t="s">
        <v>112</v>
      </c>
      <c r="AF707" t="s">
        <v>121</v>
      </c>
      <c r="AG707" t="s">
        <v>122</v>
      </c>
      <c r="AH707">
        <v>4323667.37</v>
      </c>
      <c r="AI707" t="s">
        <v>166</v>
      </c>
      <c r="AJ707" t="s">
        <v>152</v>
      </c>
      <c r="AK707" t="s">
        <v>153</v>
      </c>
      <c r="AL707" t="s">
        <v>154</v>
      </c>
      <c r="AM707" t="s">
        <v>119</v>
      </c>
      <c r="AN707" t="s">
        <v>112</v>
      </c>
      <c r="AO707" t="s">
        <v>121</v>
      </c>
      <c r="AP707" t="s">
        <v>122</v>
      </c>
      <c r="AQ707" t="s">
        <v>122</v>
      </c>
      <c r="AR707" t="s">
        <v>124</v>
      </c>
      <c r="AS707" t="s">
        <v>125</v>
      </c>
      <c r="AT707">
        <v>2</v>
      </c>
      <c r="AU707" t="s">
        <v>126</v>
      </c>
      <c r="AV707" t="s">
        <v>155</v>
      </c>
      <c r="AW707" t="s">
        <v>156</v>
      </c>
      <c r="AX707">
        <v>1</v>
      </c>
      <c r="AY707" t="s">
        <v>129</v>
      </c>
      <c r="AZ707">
        <v>46572.21</v>
      </c>
      <c r="BA707">
        <v>3954321</v>
      </c>
      <c r="BB707">
        <v>56282.58</v>
      </c>
      <c r="BC707">
        <v>84.907300000000006</v>
      </c>
      <c r="BD707" t="s">
        <v>130</v>
      </c>
      <c r="BE707" t="s">
        <v>112</v>
      </c>
      <c r="BF707" t="s">
        <v>157</v>
      </c>
      <c r="BG707" t="s">
        <v>133</v>
      </c>
      <c r="BH707" t="s">
        <v>134</v>
      </c>
      <c r="BI707" t="s">
        <v>112</v>
      </c>
      <c r="BJ707" t="s">
        <v>112</v>
      </c>
      <c r="BK707" t="s">
        <v>112</v>
      </c>
      <c r="BL707" t="s">
        <v>169</v>
      </c>
      <c r="BM707" t="s">
        <v>159</v>
      </c>
      <c r="BN707" t="s">
        <v>726</v>
      </c>
      <c r="BO707" t="s">
        <v>161</v>
      </c>
      <c r="BP707">
        <v>1</v>
      </c>
      <c r="BQ707" t="s">
        <v>232</v>
      </c>
      <c r="BR707" s="45">
        <f>ISNUMBER(SEARCH($BR$1,Таблица1[[#This Row],[31_1 Описание и характеристика товара]]))*1</f>
        <v>1</v>
      </c>
      <c r="BT707" t="s">
        <v>150</v>
      </c>
      <c r="BU707">
        <v>33</v>
      </c>
      <c r="BV707">
        <v>0</v>
      </c>
      <c r="BW707">
        <v>0</v>
      </c>
      <c r="BY707">
        <v>0</v>
      </c>
      <c r="CA707" t="s">
        <v>106</v>
      </c>
      <c r="CB707" t="s">
        <v>142</v>
      </c>
      <c r="CC707" t="s">
        <v>112</v>
      </c>
      <c r="CD707" t="s">
        <v>112</v>
      </c>
      <c r="CE707" t="s">
        <v>121</v>
      </c>
      <c r="CF707">
        <v>16835.990000000002</v>
      </c>
      <c r="CG707" t="s">
        <v>144</v>
      </c>
      <c r="CH707">
        <v>4000000</v>
      </c>
      <c r="CI707">
        <v>16835.990000000002</v>
      </c>
      <c r="CJ707">
        <v>0</v>
      </c>
      <c r="CK707" t="s">
        <v>112</v>
      </c>
      <c r="CL707" t="s">
        <v>112</v>
      </c>
      <c r="CM707">
        <v>46572.21</v>
      </c>
      <c r="CN707">
        <v>3954321</v>
      </c>
      <c r="CO707">
        <v>0</v>
      </c>
      <c r="CP707">
        <v>1</v>
      </c>
      <c r="CQ707">
        <v>4323667.37</v>
      </c>
      <c r="CR707">
        <v>56282.58</v>
      </c>
      <c r="CS707" t="s">
        <v>145</v>
      </c>
      <c r="CT707">
        <v>56282.714570000004</v>
      </c>
      <c r="CU707">
        <v>3.343</v>
      </c>
      <c r="CV707">
        <v>45</v>
      </c>
      <c r="CW707" t="s">
        <v>171</v>
      </c>
      <c r="CX707" t="s">
        <v>372</v>
      </c>
      <c r="CY707">
        <v>564</v>
      </c>
    </row>
    <row r="708" spans="1:103" x14ac:dyDescent="0.25">
      <c r="A708" t="s">
        <v>106</v>
      </c>
      <c r="B708" s="38">
        <v>45109</v>
      </c>
      <c r="C708" s="43">
        <f>IF(YEAR(Таблица1[[#This Row],[Дата]])=2023,MONTH(Таблица1[[#This Row],[Дата]]),0)</f>
        <v>7</v>
      </c>
      <c r="D708" t="s">
        <v>1144</v>
      </c>
      <c r="E708" t="s">
        <v>108</v>
      </c>
      <c r="F708" t="s">
        <v>1145</v>
      </c>
      <c r="G708" t="s">
        <v>110</v>
      </c>
      <c r="H708" t="s">
        <v>111</v>
      </c>
      <c r="I708" t="s">
        <v>112</v>
      </c>
      <c r="J708" t="s">
        <v>112</v>
      </c>
      <c r="K708" t="s">
        <v>112</v>
      </c>
      <c r="L708" t="s">
        <v>150</v>
      </c>
      <c r="M708" t="s">
        <v>1143</v>
      </c>
      <c r="N708" t="s">
        <v>112</v>
      </c>
      <c r="O708" t="s">
        <v>112</v>
      </c>
      <c r="P708">
        <v>1</v>
      </c>
      <c r="Q708">
        <v>0</v>
      </c>
      <c r="R708">
        <v>1</v>
      </c>
      <c r="S708">
        <v>33</v>
      </c>
      <c r="T708" t="s">
        <v>166</v>
      </c>
      <c r="U708" t="s">
        <v>152</v>
      </c>
      <c r="V708" t="s">
        <v>153</v>
      </c>
      <c r="W708" t="s">
        <v>154</v>
      </c>
      <c r="X708" t="s">
        <v>119</v>
      </c>
      <c r="Y708" t="s">
        <v>112</v>
      </c>
      <c r="Z708" t="s">
        <v>166</v>
      </c>
      <c r="AA708" t="s">
        <v>152</v>
      </c>
      <c r="AB708" t="s">
        <v>153</v>
      </c>
      <c r="AC708" t="s">
        <v>154</v>
      </c>
      <c r="AD708" t="s">
        <v>119</v>
      </c>
      <c r="AE708" t="s">
        <v>112</v>
      </c>
      <c r="AF708" t="s">
        <v>121</v>
      </c>
      <c r="AG708" t="s">
        <v>122</v>
      </c>
      <c r="AH708">
        <v>3823654.22</v>
      </c>
      <c r="AI708" t="s">
        <v>166</v>
      </c>
      <c r="AJ708" t="s">
        <v>152</v>
      </c>
      <c r="AK708" t="s">
        <v>153</v>
      </c>
      <c r="AL708" t="s">
        <v>154</v>
      </c>
      <c r="AM708" t="s">
        <v>119</v>
      </c>
      <c r="AN708" t="s">
        <v>112</v>
      </c>
      <c r="AO708" t="s">
        <v>121</v>
      </c>
      <c r="AP708" t="s">
        <v>122</v>
      </c>
      <c r="AQ708" t="s">
        <v>122</v>
      </c>
      <c r="AR708" t="s">
        <v>124</v>
      </c>
      <c r="AS708" t="s">
        <v>125</v>
      </c>
      <c r="AT708">
        <v>2</v>
      </c>
      <c r="AU708" t="s">
        <v>126</v>
      </c>
      <c r="AV708" t="s">
        <v>155</v>
      </c>
      <c r="AW708" t="s">
        <v>156</v>
      </c>
      <c r="AX708">
        <v>1</v>
      </c>
      <c r="AY708" t="s">
        <v>129</v>
      </c>
      <c r="AZ708">
        <v>40183.279999999999</v>
      </c>
      <c r="BA708">
        <v>3411854</v>
      </c>
      <c r="BB708">
        <v>49773.75</v>
      </c>
      <c r="BC708">
        <v>84.907300000000006</v>
      </c>
      <c r="BD708" t="s">
        <v>130</v>
      </c>
      <c r="BE708" t="s">
        <v>112</v>
      </c>
      <c r="BF708" t="s">
        <v>157</v>
      </c>
      <c r="BG708" t="s">
        <v>133</v>
      </c>
      <c r="BH708" t="s">
        <v>167</v>
      </c>
      <c r="BI708" t="s">
        <v>168</v>
      </c>
      <c r="BJ708" t="s">
        <v>112</v>
      </c>
      <c r="BK708" t="s">
        <v>112</v>
      </c>
      <c r="BL708" t="s">
        <v>169</v>
      </c>
      <c r="BM708" t="s">
        <v>159</v>
      </c>
      <c r="BN708" t="s">
        <v>726</v>
      </c>
      <c r="BO708" t="s">
        <v>161</v>
      </c>
      <c r="BP708">
        <v>1</v>
      </c>
      <c r="BQ708" t="s">
        <v>232</v>
      </c>
      <c r="BR708" s="45">
        <f>ISNUMBER(SEARCH($BR$1,Таблица1[[#This Row],[31_1 Описание и характеристика товара]]))*1</f>
        <v>1</v>
      </c>
      <c r="BT708" t="s">
        <v>150</v>
      </c>
      <c r="BU708">
        <v>33</v>
      </c>
      <c r="BV708">
        <v>0</v>
      </c>
      <c r="BW708">
        <v>0</v>
      </c>
      <c r="BY708">
        <v>0</v>
      </c>
      <c r="CA708" t="s">
        <v>106</v>
      </c>
      <c r="CB708" t="s">
        <v>142</v>
      </c>
      <c r="CC708" t="s">
        <v>112</v>
      </c>
      <c r="CD708" t="s">
        <v>112</v>
      </c>
      <c r="CE708" t="s">
        <v>121</v>
      </c>
      <c r="CF708">
        <v>16938.439999999999</v>
      </c>
      <c r="CG708" t="s">
        <v>144</v>
      </c>
      <c r="CH708">
        <v>4000000</v>
      </c>
      <c r="CI708">
        <v>16920.439999999999</v>
      </c>
      <c r="CJ708">
        <v>0</v>
      </c>
      <c r="CK708" t="s">
        <v>112</v>
      </c>
      <c r="CL708" t="s">
        <v>112</v>
      </c>
      <c r="CM708">
        <v>40183.279999999999</v>
      </c>
      <c r="CN708">
        <v>3411854</v>
      </c>
      <c r="CO708">
        <v>0</v>
      </c>
      <c r="CP708">
        <v>1</v>
      </c>
      <c r="CQ708">
        <v>3823654.22</v>
      </c>
      <c r="CR708">
        <v>49773.75</v>
      </c>
      <c r="CS708" t="s">
        <v>145</v>
      </c>
      <c r="CT708">
        <v>49773.166303999998</v>
      </c>
      <c r="CU708">
        <v>2.9416000000000002</v>
      </c>
      <c r="CV708">
        <v>45</v>
      </c>
      <c r="CW708" t="s">
        <v>171</v>
      </c>
      <c r="CX708" t="s">
        <v>172</v>
      </c>
      <c r="CY708">
        <v>121</v>
      </c>
    </row>
    <row r="709" spans="1:103" x14ac:dyDescent="0.25">
      <c r="A709" t="s">
        <v>106</v>
      </c>
      <c r="B709" s="38">
        <v>45195</v>
      </c>
      <c r="C709" s="43">
        <f>IF(YEAR(Таблица1[[#This Row],[Дата]])=2023,MONTH(Таблица1[[#This Row],[Дата]]),0)</f>
        <v>9</v>
      </c>
      <c r="D709" t="s">
        <v>1156</v>
      </c>
      <c r="E709" t="s">
        <v>108</v>
      </c>
      <c r="F709" t="s">
        <v>1157</v>
      </c>
      <c r="G709" t="s">
        <v>110</v>
      </c>
      <c r="H709" t="s">
        <v>111</v>
      </c>
      <c r="I709" t="s">
        <v>112</v>
      </c>
      <c r="J709" t="s">
        <v>112</v>
      </c>
      <c r="K709" t="s">
        <v>112</v>
      </c>
      <c r="L709" t="s">
        <v>150</v>
      </c>
      <c r="M709" t="s">
        <v>1143</v>
      </c>
      <c r="N709" t="s">
        <v>112</v>
      </c>
      <c r="O709" t="s">
        <v>112</v>
      </c>
      <c r="P709">
        <v>1</v>
      </c>
      <c r="Q709">
        <v>0</v>
      </c>
      <c r="R709">
        <v>1</v>
      </c>
      <c r="S709">
        <v>33</v>
      </c>
      <c r="T709" t="s">
        <v>166</v>
      </c>
      <c r="U709" t="s">
        <v>152</v>
      </c>
      <c r="V709" t="s">
        <v>153</v>
      </c>
      <c r="W709" t="s">
        <v>154</v>
      </c>
      <c r="X709" t="s">
        <v>119</v>
      </c>
      <c r="Y709" t="s">
        <v>112</v>
      </c>
      <c r="Z709" t="s">
        <v>166</v>
      </c>
      <c r="AA709" t="s">
        <v>152</v>
      </c>
      <c r="AB709" t="s">
        <v>153</v>
      </c>
      <c r="AC709" t="s">
        <v>154</v>
      </c>
      <c r="AD709" t="s">
        <v>119</v>
      </c>
      <c r="AE709" t="s">
        <v>112</v>
      </c>
      <c r="AF709" t="s">
        <v>121</v>
      </c>
      <c r="AG709" t="s">
        <v>122</v>
      </c>
      <c r="AH709">
        <v>4127119.7</v>
      </c>
      <c r="AI709" t="s">
        <v>166</v>
      </c>
      <c r="AJ709" t="s">
        <v>152</v>
      </c>
      <c r="AK709" t="s">
        <v>153</v>
      </c>
      <c r="AL709" t="s">
        <v>154</v>
      </c>
      <c r="AM709" t="s">
        <v>119</v>
      </c>
      <c r="AN709" t="s">
        <v>112</v>
      </c>
      <c r="AO709" t="s">
        <v>121</v>
      </c>
      <c r="AP709" t="s">
        <v>122</v>
      </c>
      <c r="AQ709" t="s">
        <v>122</v>
      </c>
      <c r="AR709" t="s">
        <v>124</v>
      </c>
      <c r="AS709" t="s">
        <v>125</v>
      </c>
      <c r="AT709">
        <v>2</v>
      </c>
      <c r="AU709" t="s">
        <v>126</v>
      </c>
      <c r="AV709" t="s">
        <v>155</v>
      </c>
      <c r="AW709" t="s">
        <v>156</v>
      </c>
      <c r="AX709">
        <v>1</v>
      </c>
      <c r="AY709" t="s">
        <v>129</v>
      </c>
      <c r="AZ709">
        <v>43557.36</v>
      </c>
      <c r="BA709">
        <v>3698338</v>
      </c>
      <c r="BB709">
        <v>53724.06</v>
      </c>
      <c r="BC709">
        <v>84.907300000000006</v>
      </c>
      <c r="BD709" t="s">
        <v>130</v>
      </c>
      <c r="BE709" t="s">
        <v>112</v>
      </c>
      <c r="BF709" t="s">
        <v>157</v>
      </c>
      <c r="BG709" t="s">
        <v>133</v>
      </c>
      <c r="BH709" t="s">
        <v>167</v>
      </c>
      <c r="BI709" t="s">
        <v>168</v>
      </c>
      <c r="BJ709" t="s">
        <v>112</v>
      </c>
      <c r="BK709" t="s">
        <v>112</v>
      </c>
      <c r="BL709" t="s">
        <v>169</v>
      </c>
      <c r="BM709" t="s">
        <v>159</v>
      </c>
      <c r="BN709" t="s">
        <v>726</v>
      </c>
      <c r="BO709" t="s">
        <v>161</v>
      </c>
      <c r="BP709">
        <v>1</v>
      </c>
      <c r="BQ709" t="s">
        <v>162</v>
      </c>
      <c r="BR709" s="45">
        <f>ISNUMBER(SEARCH($BR$1,Таблица1[[#This Row],[31_1 Описание и характеристика товара]]))*1</f>
        <v>1</v>
      </c>
      <c r="BT709" t="s">
        <v>150</v>
      </c>
      <c r="BU709">
        <v>33</v>
      </c>
      <c r="BV709">
        <v>0</v>
      </c>
      <c r="BW709">
        <v>0</v>
      </c>
      <c r="BY709">
        <v>0</v>
      </c>
      <c r="CA709" t="s">
        <v>106</v>
      </c>
      <c r="CB709" t="s">
        <v>142</v>
      </c>
      <c r="CC709" t="s">
        <v>112</v>
      </c>
      <c r="CD709" t="s">
        <v>112</v>
      </c>
      <c r="CE709" t="s">
        <v>121</v>
      </c>
      <c r="CF709">
        <v>15985.42</v>
      </c>
      <c r="CG709" t="s">
        <v>144</v>
      </c>
      <c r="CH709">
        <v>4000000</v>
      </c>
      <c r="CI709">
        <v>15819.82</v>
      </c>
      <c r="CJ709">
        <v>0</v>
      </c>
      <c r="CK709" t="s">
        <v>112</v>
      </c>
      <c r="CL709" t="s">
        <v>112</v>
      </c>
      <c r="CM709">
        <v>43557.36</v>
      </c>
      <c r="CN709">
        <v>3698338</v>
      </c>
      <c r="CO709">
        <v>0</v>
      </c>
      <c r="CP709">
        <v>1</v>
      </c>
      <c r="CQ709">
        <v>4127119.7</v>
      </c>
      <c r="CR709">
        <v>53724.06</v>
      </c>
      <c r="CS709" t="s">
        <v>145</v>
      </c>
      <c r="CT709">
        <v>53724.108719999997</v>
      </c>
      <c r="CU709">
        <v>3.3959999999999999</v>
      </c>
      <c r="CV709">
        <v>45</v>
      </c>
      <c r="CW709" t="s">
        <v>171</v>
      </c>
      <c r="CX709" t="s">
        <v>372</v>
      </c>
      <c r="CY709">
        <v>325</v>
      </c>
    </row>
    <row r="710" spans="1:103" x14ac:dyDescent="0.25">
      <c r="A710" t="s">
        <v>106</v>
      </c>
      <c r="B710" s="38">
        <v>45032</v>
      </c>
      <c r="C710" s="43">
        <f>IF(YEAR(Таблица1[[#This Row],[Дата]])=2023,MONTH(Таблица1[[#This Row],[Дата]]),0)</f>
        <v>4</v>
      </c>
      <c r="D710" t="s">
        <v>1141</v>
      </c>
      <c r="E710" t="s">
        <v>108</v>
      </c>
      <c r="F710" t="s">
        <v>1142</v>
      </c>
      <c r="G710" t="s">
        <v>110</v>
      </c>
      <c r="H710" t="s">
        <v>111</v>
      </c>
      <c r="I710" t="s">
        <v>112</v>
      </c>
      <c r="J710" t="s">
        <v>112</v>
      </c>
      <c r="K710" t="s">
        <v>112</v>
      </c>
      <c r="L710" t="s">
        <v>150</v>
      </c>
      <c r="M710" t="s">
        <v>1143</v>
      </c>
      <c r="N710" t="s">
        <v>112</v>
      </c>
      <c r="O710" t="s">
        <v>112</v>
      </c>
      <c r="P710">
        <v>1</v>
      </c>
      <c r="Q710">
        <v>0</v>
      </c>
      <c r="R710">
        <v>1</v>
      </c>
      <c r="S710">
        <v>33</v>
      </c>
      <c r="T710" t="s">
        <v>166</v>
      </c>
      <c r="U710" t="s">
        <v>152</v>
      </c>
      <c r="V710" t="s">
        <v>153</v>
      </c>
      <c r="W710" t="s">
        <v>154</v>
      </c>
      <c r="X710" t="s">
        <v>119</v>
      </c>
      <c r="Y710" t="s">
        <v>112</v>
      </c>
      <c r="Z710" t="s">
        <v>166</v>
      </c>
      <c r="AA710" t="s">
        <v>152</v>
      </c>
      <c r="AB710" t="s">
        <v>153</v>
      </c>
      <c r="AC710" t="s">
        <v>154</v>
      </c>
      <c r="AD710" t="s">
        <v>119</v>
      </c>
      <c r="AE710" t="s">
        <v>112</v>
      </c>
      <c r="AF710" t="s">
        <v>121</v>
      </c>
      <c r="AG710" t="s">
        <v>122</v>
      </c>
      <c r="AH710">
        <v>4000353.1</v>
      </c>
      <c r="AI710" t="s">
        <v>166</v>
      </c>
      <c r="AJ710" t="s">
        <v>152</v>
      </c>
      <c r="AK710" t="s">
        <v>153</v>
      </c>
      <c r="AL710" t="s">
        <v>154</v>
      </c>
      <c r="AM710" t="s">
        <v>119</v>
      </c>
      <c r="AN710" t="s">
        <v>112</v>
      </c>
      <c r="AO710" t="s">
        <v>121</v>
      </c>
      <c r="AP710" t="s">
        <v>122</v>
      </c>
      <c r="AQ710" t="s">
        <v>122</v>
      </c>
      <c r="AR710" t="s">
        <v>124</v>
      </c>
      <c r="AS710" t="s">
        <v>125</v>
      </c>
      <c r="AT710">
        <v>2</v>
      </c>
      <c r="AU710" t="s">
        <v>126</v>
      </c>
      <c r="AV710" t="s">
        <v>155</v>
      </c>
      <c r="AW710" t="s">
        <v>156</v>
      </c>
      <c r="AX710">
        <v>1</v>
      </c>
      <c r="AY710" t="s">
        <v>129</v>
      </c>
      <c r="AZ710">
        <v>42264.36</v>
      </c>
      <c r="BA710">
        <v>3588553</v>
      </c>
      <c r="BB710">
        <v>52073.9</v>
      </c>
      <c r="BC710">
        <v>84.907300000000006</v>
      </c>
      <c r="BD710" t="s">
        <v>130</v>
      </c>
      <c r="BE710" t="s">
        <v>112</v>
      </c>
      <c r="BF710" t="s">
        <v>157</v>
      </c>
      <c r="BG710" t="s">
        <v>133</v>
      </c>
      <c r="BH710" t="s">
        <v>167</v>
      </c>
      <c r="BI710" t="s">
        <v>168</v>
      </c>
      <c r="BJ710" t="s">
        <v>112</v>
      </c>
      <c r="BK710" t="s">
        <v>112</v>
      </c>
      <c r="BL710" t="s">
        <v>169</v>
      </c>
      <c r="BM710" t="s">
        <v>159</v>
      </c>
      <c r="BN710" t="s">
        <v>726</v>
      </c>
      <c r="BO710" t="s">
        <v>161</v>
      </c>
      <c r="BP710">
        <v>1</v>
      </c>
      <c r="BQ710" t="s">
        <v>205</v>
      </c>
      <c r="BR710" s="45">
        <f>ISNUMBER(SEARCH($BR$1,Таблица1[[#This Row],[31_1 Описание и характеристика товара]]))*1</f>
        <v>1</v>
      </c>
      <c r="BT710" t="s">
        <v>150</v>
      </c>
      <c r="BU710">
        <v>33</v>
      </c>
      <c r="BV710">
        <v>0</v>
      </c>
      <c r="BW710">
        <v>0</v>
      </c>
      <c r="BY710">
        <v>0</v>
      </c>
      <c r="CA710" t="s">
        <v>106</v>
      </c>
      <c r="CB710" t="s">
        <v>142</v>
      </c>
      <c r="CC710" t="s">
        <v>112</v>
      </c>
      <c r="CD710" t="s">
        <v>112</v>
      </c>
      <c r="CE710" t="s">
        <v>121</v>
      </c>
      <c r="CF710">
        <v>17431.97</v>
      </c>
      <c r="CG710" t="s">
        <v>144</v>
      </c>
      <c r="CH710">
        <v>4000000</v>
      </c>
      <c r="CI710">
        <v>17431.97</v>
      </c>
      <c r="CJ710">
        <v>0</v>
      </c>
      <c r="CK710" t="s">
        <v>112</v>
      </c>
      <c r="CL710" t="s">
        <v>112</v>
      </c>
      <c r="CM710">
        <v>42264.36</v>
      </c>
      <c r="CN710">
        <v>3588553</v>
      </c>
      <c r="CO710">
        <v>0</v>
      </c>
      <c r="CP710">
        <v>1</v>
      </c>
      <c r="CQ710">
        <v>4000353.1</v>
      </c>
      <c r="CR710">
        <v>52073.9</v>
      </c>
      <c r="CS710" t="s">
        <v>145</v>
      </c>
      <c r="CT710">
        <v>52074.523980999998</v>
      </c>
      <c r="CU710">
        <v>2.9872999999999998</v>
      </c>
      <c r="CV710">
        <v>45</v>
      </c>
      <c r="CW710" t="s">
        <v>171</v>
      </c>
      <c r="CX710" t="s">
        <v>172</v>
      </c>
      <c r="CY710">
        <v>310</v>
      </c>
    </row>
    <row r="711" spans="1:103" x14ac:dyDescent="0.25">
      <c r="A711" t="s">
        <v>106</v>
      </c>
      <c r="B711" s="38">
        <v>45277</v>
      </c>
      <c r="C711" s="43">
        <f>IF(YEAR(Таблица1[[#This Row],[Дата]])=2023,MONTH(Таблица1[[#This Row],[Дата]]),0)</f>
        <v>12</v>
      </c>
      <c r="D711" t="s">
        <v>887</v>
      </c>
      <c r="E711" t="s">
        <v>108</v>
      </c>
      <c r="F711" t="s">
        <v>888</v>
      </c>
      <c r="G711" t="s">
        <v>110</v>
      </c>
      <c r="H711" t="s">
        <v>111</v>
      </c>
      <c r="I711" t="s">
        <v>112</v>
      </c>
      <c r="J711" t="s">
        <v>112</v>
      </c>
      <c r="K711" t="s">
        <v>112</v>
      </c>
      <c r="L711" t="s">
        <v>150</v>
      </c>
      <c r="M711" t="s">
        <v>151</v>
      </c>
      <c r="N711" t="s">
        <v>112</v>
      </c>
      <c r="O711" t="s">
        <v>112</v>
      </c>
      <c r="P711">
        <v>1</v>
      </c>
      <c r="Q711">
        <v>0</v>
      </c>
      <c r="R711">
        <v>1</v>
      </c>
      <c r="S711">
        <v>33</v>
      </c>
      <c r="T711" t="s">
        <v>166</v>
      </c>
      <c r="U711" t="s">
        <v>152</v>
      </c>
      <c r="V711" t="s">
        <v>153</v>
      </c>
      <c r="W711" t="s">
        <v>154</v>
      </c>
      <c r="X711" t="s">
        <v>119</v>
      </c>
      <c r="Y711" t="s">
        <v>112</v>
      </c>
      <c r="Z711" t="s">
        <v>166</v>
      </c>
      <c r="AA711" t="s">
        <v>152</v>
      </c>
      <c r="AB711" t="s">
        <v>153</v>
      </c>
      <c r="AC711" t="s">
        <v>154</v>
      </c>
      <c r="AD711" t="s">
        <v>119</v>
      </c>
      <c r="AE711" t="s">
        <v>112</v>
      </c>
      <c r="AF711" t="s">
        <v>121</v>
      </c>
      <c r="AG711" t="s">
        <v>122</v>
      </c>
      <c r="AH711">
        <v>3352341.02</v>
      </c>
      <c r="AI711" t="s">
        <v>166</v>
      </c>
      <c r="AJ711" t="s">
        <v>152</v>
      </c>
      <c r="AK711" t="s">
        <v>153</v>
      </c>
      <c r="AL711" t="s">
        <v>154</v>
      </c>
      <c r="AM711" t="s">
        <v>119</v>
      </c>
      <c r="AN711" t="s">
        <v>112</v>
      </c>
      <c r="AO711" t="s">
        <v>121</v>
      </c>
      <c r="AP711" t="s">
        <v>122</v>
      </c>
      <c r="AQ711" t="s">
        <v>122</v>
      </c>
      <c r="AR711" t="s">
        <v>124</v>
      </c>
      <c r="AS711" t="s">
        <v>125</v>
      </c>
      <c r="AT711">
        <v>2</v>
      </c>
      <c r="AU711" t="s">
        <v>126</v>
      </c>
      <c r="AV711" t="s">
        <v>155</v>
      </c>
      <c r="AW711" t="s">
        <v>156</v>
      </c>
      <c r="AX711">
        <v>1</v>
      </c>
      <c r="AY711" t="s">
        <v>129</v>
      </c>
      <c r="AZ711">
        <v>37482.519999999997</v>
      </c>
      <c r="BA711">
        <v>3003744</v>
      </c>
      <c r="BB711">
        <v>44166.239999999998</v>
      </c>
      <c r="BC711">
        <v>80.137200000000007</v>
      </c>
      <c r="BD711" t="s">
        <v>130</v>
      </c>
      <c r="BE711" t="s">
        <v>112</v>
      </c>
      <c r="BF711" t="s">
        <v>157</v>
      </c>
      <c r="BG711" t="s">
        <v>133</v>
      </c>
      <c r="BH711" t="s">
        <v>134</v>
      </c>
      <c r="BI711" t="s">
        <v>112</v>
      </c>
      <c r="BJ711" t="s">
        <v>112</v>
      </c>
      <c r="BK711" t="s">
        <v>112</v>
      </c>
      <c r="BL711" t="s">
        <v>169</v>
      </c>
      <c r="BM711" t="s">
        <v>159</v>
      </c>
      <c r="BN711" t="s">
        <v>212</v>
      </c>
      <c r="BO711" t="s">
        <v>161</v>
      </c>
      <c r="BP711">
        <v>1</v>
      </c>
      <c r="BQ711" t="s">
        <v>232</v>
      </c>
      <c r="BR711" s="45">
        <f>ISNUMBER(SEARCH($BR$1,Таблица1[[#This Row],[31_1 Описание и характеристика товара]]))*1</f>
        <v>1</v>
      </c>
      <c r="BT711" t="s">
        <v>150</v>
      </c>
      <c r="BU711">
        <v>33</v>
      </c>
      <c r="BV711">
        <v>0</v>
      </c>
      <c r="BW711">
        <v>0</v>
      </c>
      <c r="BY711">
        <v>0</v>
      </c>
      <c r="CA711" t="s">
        <v>106</v>
      </c>
      <c r="CB711" t="s">
        <v>142</v>
      </c>
      <c r="CC711" t="s">
        <v>112</v>
      </c>
      <c r="CD711" t="s">
        <v>112</v>
      </c>
      <c r="CE711" t="s">
        <v>121</v>
      </c>
      <c r="CF711">
        <v>15941.42</v>
      </c>
      <c r="CG711" t="s">
        <v>144</v>
      </c>
      <c r="CH711">
        <v>4000000</v>
      </c>
      <c r="CI711">
        <v>15768.62</v>
      </c>
      <c r="CJ711">
        <v>0</v>
      </c>
      <c r="CK711" t="s">
        <v>112</v>
      </c>
      <c r="CL711" t="s">
        <v>112</v>
      </c>
      <c r="CM711">
        <v>37482.519999999997</v>
      </c>
      <c r="CN711">
        <v>3003744</v>
      </c>
      <c r="CO711">
        <v>0</v>
      </c>
      <c r="CP711">
        <v>1</v>
      </c>
      <c r="CQ711">
        <v>3352341.02</v>
      </c>
      <c r="CR711">
        <v>44166.239999999998</v>
      </c>
      <c r="CS711" t="s">
        <v>145</v>
      </c>
      <c r="CT711">
        <v>44166.327757999999</v>
      </c>
      <c r="CU711">
        <v>2.8008999999999999</v>
      </c>
      <c r="CV711">
        <v>45</v>
      </c>
      <c r="CW711" t="s">
        <v>171</v>
      </c>
      <c r="CX711" t="s">
        <v>372</v>
      </c>
      <c r="CY711">
        <v>326</v>
      </c>
    </row>
    <row r="712" spans="1:103" x14ac:dyDescent="0.25">
      <c r="A712" t="s">
        <v>106</v>
      </c>
      <c r="B712" s="38">
        <v>45209</v>
      </c>
      <c r="C712" s="43">
        <f>IF(YEAR(Таблица1[[#This Row],[Дата]])=2023,MONTH(Таблица1[[#This Row],[Дата]]),0)</f>
        <v>10</v>
      </c>
      <c r="D712" t="s">
        <v>876</v>
      </c>
      <c r="E712" t="s">
        <v>108</v>
      </c>
      <c r="F712" t="s">
        <v>877</v>
      </c>
      <c r="G712" t="s">
        <v>110</v>
      </c>
      <c r="H712" t="s">
        <v>111</v>
      </c>
      <c r="I712" t="s">
        <v>112</v>
      </c>
      <c r="J712" t="s">
        <v>112</v>
      </c>
      <c r="K712" t="s">
        <v>112</v>
      </c>
      <c r="L712" t="s">
        <v>150</v>
      </c>
      <c r="M712" t="s">
        <v>151</v>
      </c>
      <c r="N712" t="s">
        <v>112</v>
      </c>
      <c r="O712" t="s">
        <v>112</v>
      </c>
      <c r="P712">
        <v>1</v>
      </c>
      <c r="Q712">
        <v>0</v>
      </c>
      <c r="R712">
        <v>1</v>
      </c>
      <c r="S712">
        <v>33</v>
      </c>
      <c r="T712" t="s">
        <v>166</v>
      </c>
      <c r="U712" t="s">
        <v>152</v>
      </c>
      <c r="V712" t="s">
        <v>153</v>
      </c>
      <c r="W712" t="s">
        <v>154</v>
      </c>
      <c r="X712" t="s">
        <v>119</v>
      </c>
      <c r="Y712" t="s">
        <v>112</v>
      </c>
      <c r="Z712" t="s">
        <v>166</v>
      </c>
      <c r="AA712" t="s">
        <v>152</v>
      </c>
      <c r="AB712" t="s">
        <v>153</v>
      </c>
      <c r="AC712" t="s">
        <v>154</v>
      </c>
      <c r="AD712" t="s">
        <v>119</v>
      </c>
      <c r="AE712" t="s">
        <v>112</v>
      </c>
      <c r="AF712" t="s">
        <v>121</v>
      </c>
      <c r="AG712" t="s">
        <v>122</v>
      </c>
      <c r="AH712">
        <v>3738015.72</v>
      </c>
      <c r="AI712" t="s">
        <v>166</v>
      </c>
      <c r="AJ712" t="s">
        <v>152</v>
      </c>
      <c r="AK712" t="s">
        <v>153</v>
      </c>
      <c r="AL712" t="s">
        <v>154</v>
      </c>
      <c r="AM712" t="s">
        <v>119</v>
      </c>
      <c r="AN712" t="s">
        <v>112</v>
      </c>
      <c r="AO712" t="s">
        <v>121</v>
      </c>
      <c r="AP712" t="s">
        <v>122</v>
      </c>
      <c r="AQ712" t="s">
        <v>122</v>
      </c>
      <c r="AR712" t="s">
        <v>124</v>
      </c>
      <c r="AS712" t="s">
        <v>125</v>
      </c>
      <c r="AT712">
        <v>2</v>
      </c>
      <c r="AU712" t="s">
        <v>126</v>
      </c>
      <c r="AV712" t="s">
        <v>155</v>
      </c>
      <c r="AW712" t="s">
        <v>156</v>
      </c>
      <c r="AX712">
        <v>1</v>
      </c>
      <c r="AY712" t="s">
        <v>129</v>
      </c>
      <c r="AZ712">
        <v>41795.199999999997</v>
      </c>
      <c r="BA712">
        <v>3349350</v>
      </c>
      <c r="BB712">
        <v>49247.4</v>
      </c>
      <c r="BC712">
        <v>80.137200000000007</v>
      </c>
      <c r="BD712" t="s">
        <v>130</v>
      </c>
      <c r="BE712" t="s">
        <v>112</v>
      </c>
      <c r="BF712" t="s">
        <v>157</v>
      </c>
      <c r="BG712" t="s">
        <v>133</v>
      </c>
      <c r="BH712" t="s">
        <v>134</v>
      </c>
      <c r="BI712" t="s">
        <v>112</v>
      </c>
      <c r="BJ712" t="s">
        <v>112</v>
      </c>
      <c r="BK712" t="s">
        <v>112</v>
      </c>
      <c r="BL712" t="s">
        <v>169</v>
      </c>
      <c r="BM712" t="s">
        <v>159</v>
      </c>
      <c r="BN712" t="s">
        <v>212</v>
      </c>
      <c r="BO712" t="s">
        <v>161</v>
      </c>
      <c r="BP712">
        <v>1</v>
      </c>
      <c r="BQ712" t="s">
        <v>878</v>
      </c>
      <c r="BR712" s="45">
        <f>ISNUMBER(SEARCH($BR$1,Таблица1[[#This Row],[31_1 Описание и характеристика товара]]))*1</f>
        <v>1</v>
      </c>
      <c r="BT712" t="s">
        <v>150</v>
      </c>
      <c r="BU712">
        <v>33</v>
      </c>
      <c r="BV712">
        <v>0</v>
      </c>
      <c r="BW712">
        <v>0</v>
      </c>
      <c r="BY712">
        <v>0</v>
      </c>
      <c r="CA712" t="s">
        <v>106</v>
      </c>
      <c r="CB712" t="s">
        <v>142</v>
      </c>
      <c r="CC712" t="s">
        <v>112</v>
      </c>
      <c r="CD712" t="s">
        <v>112</v>
      </c>
      <c r="CE712" t="s">
        <v>121</v>
      </c>
      <c r="CF712">
        <v>16760.349999999999</v>
      </c>
      <c r="CG712" t="s">
        <v>144</v>
      </c>
      <c r="CH712">
        <v>4000000</v>
      </c>
      <c r="CI712">
        <v>16760.349999999999</v>
      </c>
      <c r="CJ712">
        <v>0</v>
      </c>
      <c r="CK712" t="s">
        <v>112</v>
      </c>
      <c r="CL712" t="s">
        <v>112</v>
      </c>
      <c r="CM712">
        <v>41795.199999999997</v>
      </c>
      <c r="CN712">
        <v>3349350</v>
      </c>
      <c r="CO712">
        <v>0</v>
      </c>
      <c r="CP712">
        <v>1</v>
      </c>
      <c r="CQ712">
        <v>3738015.72</v>
      </c>
      <c r="CR712">
        <v>49247.4</v>
      </c>
      <c r="CS712" t="s">
        <v>145</v>
      </c>
      <c r="CT712">
        <v>49246.936404999993</v>
      </c>
      <c r="CU712">
        <v>2.9382999999999999</v>
      </c>
      <c r="CV712">
        <v>45</v>
      </c>
      <c r="CW712" t="s">
        <v>171</v>
      </c>
      <c r="CX712" t="s">
        <v>369</v>
      </c>
      <c r="CY712">
        <v>326</v>
      </c>
    </row>
    <row r="713" spans="1:103" x14ac:dyDescent="0.25">
      <c r="A713" t="s">
        <v>106</v>
      </c>
      <c r="B713" s="38">
        <v>45219</v>
      </c>
      <c r="C713" s="43">
        <f>IF(YEAR(Таблица1[[#This Row],[Дата]])=2023,MONTH(Таблица1[[#This Row],[Дата]]),0)</f>
        <v>10</v>
      </c>
      <c r="D713" t="s">
        <v>879</v>
      </c>
      <c r="E713" t="s">
        <v>108</v>
      </c>
      <c r="F713" t="s">
        <v>880</v>
      </c>
      <c r="G713" t="s">
        <v>110</v>
      </c>
      <c r="H713" t="s">
        <v>111</v>
      </c>
      <c r="I713" t="s">
        <v>112</v>
      </c>
      <c r="J713" t="s">
        <v>112</v>
      </c>
      <c r="K713" t="s">
        <v>112</v>
      </c>
      <c r="L713" t="s">
        <v>150</v>
      </c>
      <c r="M713" t="s">
        <v>151</v>
      </c>
      <c r="N713" t="s">
        <v>112</v>
      </c>
      <c r="O713" t="s">
        <v>112</v>
      </c>
      <c r="P713">
        <v>1</v>
      </c>
      <c r="Q713">
        <v>0</v>
      </c>
      <c r="R713">
        <v>1</v>
      </c>
      <c r="S713">
        <v>33</v>
      </c>
      <c r="T713" t="s">
        <v>166</v>
      </c>
      <c r="U713" t="s">
        <v>152</v>
      </c>
      <c r="V713" t="s">
        <v>153</v>
      </c>
      <c r="W713" t="s">
        <v>154</v>
      </c>
      <c r="X713" t="s">
        <v>119</v>
      </c>
      <c r="Y713" t="s">
        <v>112</v>
      </c>
      <c r="Z713" t="s">
        <v>166</v>
      </c>
      <c r="AA713" t="s">
        <v>152</v>
      </c>
      <c r="AB713" t="s">
        <v>153</v>
      </c>
      <c r="AC713" t="s">
        <v>154</v>
      </c>
      <c r="AD713" t="s">
        <v>119</v>
      </c>
      <c r="AE713" t="s">
        <v>112</v>
      </c>
      <c r="AF713" t="s">
        <v>121</v>
      </c>
      <c r="AG713" t="s">
        <v>122</v>
      </c>
      <c r="AH713">
        <v>3758931.53</v>
      </c>
      <c r="AI713" t="s">
        <v>166</v>
      </c>
      <c r="AJ713" t="s">
        <v>152</v>
      </c>
      <c r="AK713" t="s">
        <v>153</v>
      </c>
      <c r="AL713" t="s">
        <v>154</v>
      </c>
      <c r="AM713" t="s">
        <v>119</v>
      </c>
      <c r="AN713" t="s">
        <v>112</v>
      </c>
      <c r="AO713" t="s">
        <v>121</v>
      </c>
      <c r="AP713" t="s">
        <v>122</v>
      </c>
      <c r="AQ713" t="s">
        <v>122</v>
      </c>
      <c r="AR713" t="s">
        <v>124</v>
      </c>
      <c r="AS713" t="s">
        <v>125</v>
      </c>
      <c r="AT713">
        <v>2</v>
      </c>
      <c r="AU713" t="s">
        <v>126</v>
      </c>
      <c r="AV713" t="s">
        <v>155</v>
      </c>
      <c r="AW713" t="s">
        <v>156</v>
      </c>
      <c r="AX713">
        <v>1</v>
      </c>
      <c r="AY713" t="s">
        <v>129</v>
      </c>
      <c r="AZ713">
        <v>42556.2</v>
      </c>
      <c r="BA713">
        <v>3410335</v>
      </c>
      <c r="BB713">
        <v>49522.96</v>
      </c>
      <c r="BC713">
        <v>80.137200000000007</v>
      </c>
      <c r="BD713" t="s">
        <v>130</v>
      </c>
      <c r="BE713" t="s">
        <v>112</v>
      </c>
      <c r="BF713" t="s">
        <v>157</v>
      </c>
      <c r="BG713" t="s">
        <v>133</v>
      </c>
      <c r="BH713" t="s">
        <v>134</v>
      </c>
      <c r="BI713" t="s">
        <v>112</v>
      </c>
      <c r="BJ713" t="s">
        <v>112</v>
      </c>
      <c r="BK713" t="s">
        <v>112</v>
      </c>
      <c r="BL713" t="s">
        <v>169</v>
      </c>
      <c r="BM713" t="s">
        <v>159</v>
      </c>
      <c r="BN713" t="s">
        <v>212</v>
      </c>
      <c r="BO713" t="s">
        <v>161</v>
      </c>
      <c r="BP713">
        <v>1</v>
      </c>
      <c r="BQ713" t="s">
        <v>205</v>
      </c>
      <c r="BR713" s="45">
        <f>ISNUMBER(SEARCH($BR$1,Таблица1[[#This Row],[31_1 Описание и характеристика товара]]))*1</f>
        <v>1</v>
      </c>
      <c r="BT713" t="s">
        <v>150</v>
      </c>
      <c r="BU713">
        <v>33</v>
      </c>
      <c r="BV713">
        <v>0</v>
      </c>
      <c r="BW713">
        <v>0</v>
      </c>
      <c r="BY713">
        <v>0</v>
      </c>
      <c r="CA713" t="s">
        <v>106</v>
      </c>
      <c r="CB713" t="s">
        <v>142</v>
      </c>
      <c r="CC713" t="s">
        <v>112</v>
      </c>
      <c r="CD713" t="s">
        <v>112</v>
      </c>
      <c r="CE713" t="s">
        <v>121</v>
      </c>
      <c r="CF713">
        <v>16322.7</v>
      </c>
      <c r="CG713" t="s">
        <v>144</v>
      </c>
      <c r="CH713">
        <v>4000000</v>
      </c>
      <c r="CI713">
        <v>16236.3</v>
      </c>
      <c r="CJ713">
        <v>0</v>
      </c>
      <c r="CK713" t="s">
        <v>112</v>
      </c>
      <c r="CL713" t="s">
        <v>112</v>
      </c>
      <c r="CM713">
        <v>42556.2</v>
      </c>
      <c r="CN713">
        <v>3410335</v>
      </c>
      <c r="CO713">
        <v>0</v>
      </c>
      <c r="CP713">
        <v>1</v>
      </c>
      <c r="CQ713">
        <v>3758931.53</v>
      </c>
      <c r="CR713">
        <v>49522.96</v>
      </c>
      <c r="CS713" t="s">
        <v>145</v>
      </c>
      <c r="CT713">
        <v>49522.338629999998</v>
      </c>
      <c r="CU713">
        <v>3.0501</v>
      </c>
      <c r="CV713">
        <v>45</v>
      </c>
      <c r="CW713" t="s">
        <v>171</v>
      </c>
      <c r="CX713" t="s">
        <v>463</v>
      </c>
      <c r="CY713">
        <v>551</v>
      </c>
    </row>
    <row r="714" spans="1:103" x14ac:dyDescent="0.25">
      <c r="A714" t="s">
        <v>106</v>
      </c>
      <c r="B714" s="38">
        <v>44806</v>
      </c>
      <c r="C714" s="43">
        <f>IF(YEAR(Таблица1[[#This Row],[Дата]])=2023,MONTH(Таблица1[[#This Row],[Дата]]),0)</f>
        <v>0</v>
      </c>
      <c r="D714" t="s">
        <v>540</v>
      </c>
      <c r="E714" t="s">
        <v>108</v>
      </c>
      <c r="F714" t="s">
        <v>541</v>
      </c>
      <c r="G714" t="s">
        <v>110</v>
      </c>
      <c r="H714" t="s">
        <v>111</v>
      </c>
      <c r="I714" t="s">
        <v>112</v>
      </c>
      <c r="J714" t="s">
        <v>112</v>
      </c>
      <c r="K714" t="s">
        <v>112</v>
      </c>
      <c r="L714" t="s">
        <v>150</v>
      </c>
      <c r="M714" t="s">
        <v>151</v>
      </c>
      <c r="N714" t="s">
        <v>112</v>
      </c>
      <c r="O714" t="s">
        <v>112</v>
      </c>
      <c r="P714">
        <v>1</v>
      </c>
      <c r="Q714">
        <v>0</v>
      </c>
      <c r="R714">
        <v>1</v>
      </c>
      <c r="S714">
        <v>33</v>
      </c>
      <c r="T714" t="s">
        <v>166</v>
      </c>
      <c r="U714" t="s">
        <v>152</v>
      </c>
      <c r="V714" t="s">
        <v>153</v>
      </c>
      <c r="W714" t="s">
        <v>154</v>
      </c>
      <c r="X714" t="s">
        <v>119</v>
      </c>
      <c r="Y714" t="s">
        <v>112</v>
      </c>
      <c r="Z714" t="s">
        <v>166</v>
      </c>
      <c r="AA714" t="s">
        <v>152</v>
      </c>
      <c r="AB714" t="s">
        <v>153</v>
      </c>
      <c r="AC714" t="s">
        <v>154</v>
      </c>
      <c r="AD714" t="s">
        <v>119</v>
      </c>
      <c r="AE714" t="s">
        <v>112</v>
      </c>
      <c r="AF714" t="s">
        <v>121</v>
      </c>
      <c r="AG714" t="s">
        <v>122</v>
      </c>
      <c r="AH714">
        <v>3693695.34</v>
      </c>
      <c r="AI714" t="s">
        <v>166</v>
      </c>
      <c r="AJ714" t="s">
        <v>152</v>
      </c>
      <c r="AK714" t="s">
        <v>153</v>
      </c>
      <c r="AL714" t="s">
        <v>154</v>
      </c>
      <c r="AM714" t="s">
        <v>119</v>
      </c>
      <c r="AN714" t="s">
        <v>112</v>
      </c>
      <c r="AO714" t="s">
        <v>121</v>
      </c>
      <c r="AP714" t="s">
        <v>122</v>
      </c>
      <c r="AQ714" t="s">
        <v>122</v>
      </c>
      <c r="AR714" t="s">
        <v>124</v>
      </c>
      <c r="AS714" t="s">
        <v>125</v>
      </c>
      <c r="AT714">
        <v>2</v>
      </c>
      <c r="AU714" t="s">
        <v>126</v>
      </c>
      <c r="AV714" t="s">
        <v>155</v>
      </c>
      <c r="AW714" t="s">
        <v>156</v>
      </c>
      <c r="AX714">
        <v>1</v>
      </c>
      <c r="AY714" t="s">
        <v>129</v>
      </c>
      <c r="AZ714">
        <v>42310.2</v>
      </c>
      <c r="BA714">
        <v>3313832</v>
      </c>
      <c r="BB714">
        <v>50671.519999999997</v>
      </c>
      <c r="BC714">
        <v>78.322299999999998</v>
      </c>
      <c r="BD714" t="s">
        <v>130</v>
      </c>
      <c r="BE714" t="s">
        <v>112</v>
      </c>
      <c r="BF714" t="s">
        <v>157</v>
      </c>
      <c r="BG714" t="s">
        <v>133</v>
      </c>
      <c r="BH714" t="s">
        <v>134</v>
      </c>
      <c r="BI714" t="s">
        <v>112</v>
      </c>
      <c r="BJ714" t="s">
        <v>112</v>
      </c>
      <c r="BK714" t="s">
        <v>112</v>
      </c>
      <c r="BL714" t="s">
        <v>169</v>
      </c>
      <c r="BM714" t="s">
        <v>159</v>
      </c>
      <c r="BN714" t="s">
        <v>212</v>
      </c>
      <c r="BO714" t="s">
        <v>161</v>
      </c>
      <c r="BP714">
        <v>1</v>
      </c>
      <c r="BQ714" t="s">
        <v>205</v>
      </c>
      <c r="BR714" s="45">
        <f>ISNUMBER(SEARCH($BR$1,Таблица1[[#This Row],[31_1 Описание и характеристика товара]]))*1</f>
        <v>1</v>
      </c>
      <c r="BT714" t="s">
        <v>150</v>
      </c>
      <c r="BU714">
        <v>33</v>
      </c>
      <c r="BV714">
        <v>0</v>
      </c>
      <c r="BW714">
        <v>0</v>
      </c>
      <c r="BY714">
        <v>0</v>
      </c>
      <c r="CA714" t="s">
        <v>106</v>
      </c>
      <c r="CB714" t="s">
        <v>142</v>
      </c>
      <c r="CC714" t="s">
        <v>112</v>
      </c>
      <c r="CD714" t="s">
        <v>112</v>
      </c>
      <c r="CE714" t="s">
        <v>121</v>
      </c>
      <c r="CF714">
        <v>16692.66</v>
      </c>
      <c r="CG714" t="s">
        <v>144</v>
      </c>
      <c r="CH714">
        <v>4000000</v>
      </c>
      <c r="CI714">
        <v>16566.66</v>
      </c>
      <c r="CJ714">
        <v>0</v>
      </c>
      <c r="CK714" t="s">
        <v>112</v>
      </c>
      <c r="CL714" t="s">
        <v>112</v>
      </c>
      <c r="CM714">
        <v>42310.2</v>
      </c>
      <c r="CN714">
        <v>3313832</v>
      </c>
      <c r="CO714">
        <v>0</v>
      </c>
      <c r="CP714">
        <v>1</v>
      </c>
      <c r="CQ714">
        <v>3693695.34</v>
      </c>
      <c r="CR714">
        <v>50671.519999999997</v>
      </c>
      <c r="CS714" t="s">
        <v>145</v>
      </c>
      <c r="CT714">
        <v>50670.786276000006</v>
      </c>
      <c r="CU714">
        <v>3.0586000000000002</v>
      </c>
      <c r="CV714">
        <v>45</v>
      </c>
      <c r="CW714" t="s">
        <v>171</v>
      </c>
      <c r="CX714" t="s">
        <v>463</v>
      </c>
      <c r="CY714">
        <v>24</v>
      </c>
    </row>
    <row r="715" spans="1:103" x14ac:dyDescent="0.25">
      <c r="A715" t="s">
        <v>106</v>
      </c>
      <c r="B715" s="38">
        <v>44760</v>
      </c>
      <c r="C715" s="43">
        <f>IF(YEAR(Таблица1[[#This Row],[Дата]])=2023,MONTH(Таблица1[[#This Row],[Дата]]),0)</f>
        <v>0</v>
      </c>
      <c r="D715" t="s">
        <v>542</v>
      </c>
      <c r="E715" t="s">
        <v>108</v>
      </c>
      <c r="F715" t="s">
        <v>543</v>
      </c>
      <c r="G715" t="s">
        <v>110</v>
      </c>
      <c r="H715" t="s">
        <v>111</v>
      </c>
      <c r="I715" t="s">
        <v>112</v>
      </c>
      <c r="J715" t="s">
        <v>112</v>
      </c>
      <c r="K715" t="s">
        <v>112</v>
      </c>
      <c r="L715" t="s">
        <v>150</v>
      </c>
      <c r="M715" t="s">
        <v>151</v>
      </c>
      <c r="N715" t="s">
        <v>112</v>
      </c>
      <c r="O715" t="s">
        <v>112</v>
      </c>
      <c r="P715">
        <v>1</v>
      </c>
      <c r="Q715">
        <v>0</v>
      </c>
      <c r="R715">
        <v>1</v>
      </c>
      <c r="S715">
        <v>35</v>
      </c>
      <c r="T715" t="s">
        <v>166</v>
      </c>
      <c r="U715" t="s">
        <v>152</v>
      </c>
      <c r="V715" t="s">
        <v>153</v>
      </c>
      <c r="W715" t="s">
        <v>154</v>
      </c>
      <c r="X715" t="s">
        <v>119</v>
      </c>
      <c r="Y715" t="s">
        <v>112</v>
      </c>
      <c r="Z715" t="s">
        <v>166</v>
      </c>
      <c r="AA715" t="s">
        <v>152</v>
      </c>
      <c r="AB715" t="s">
        <v>153</v>
      </c>
      <c r="AC715" t="s">
        <v>154</v>
      </c>
      <c r="AD715" t="s">
        <v>119</v>
      </c>
      <c r="AE715" t="s">
        <v>112</v>
      </c>
      <c r="AF715" t="s">
        <v>121</v>
      </c>
      <c r="AG715" t="s">
        <v>122</v>
      </c>
      <c r="AH715">
        <v>4164609.73</v>
      </c>
      <c r="AI715" t="s">
        <v>166</v>
      </c>
      <c r="AJ715" t="s">
        <v>152</v>
      </c>
      <c r="AK715" t="s">
        <v>153</v>
      </c>
      <c r="AL715" t="s">
        <v>154</v>
      </c>
      <c r="AM715" t="s">
        <v>119</v>
      </c>
      <c r="AN715" t="s">
        <v>112</v>
      </c>
      <c r="AO715" t="s">
        <v>121</v>
      </c>
      <c r="AP715" t="s">
        <v>122</v>
      </c>
      <c r="AQ715" t="s">
        <v>122</v>
      </c>
      <c r="AR715" t="s">
        <v>124</v>
      </c>
      <c r="AS715" t="s">
        <v>125</v>
      </c>
      <c r="AT715">
        <v>2</v>
      </c>
      <c r="AU715" t="s">
        <v>126</v>
      </c>
      <c r="AV715" t="s">
        <v>155</v>
      </c>
      <c r="AW715" t="s">
        <v>156</v>
      </c>
      <c r="AX715">
        <v>1</v>
      </c>
      <c r="AY715" t="s">
        <v>129</v>
      </c>
      <c r="AZ715">
        <v>48822.720000000001</v>
      </c>
      <c r="BA715">
        <v>3823908</v>
      </c>
      <c r="BB715">
        <v>57131.7</v>
      </c>
      <c r="BC715">
        <v>78.322299999999998</v>
      </c>
      <c r="BD715" t="s">
        <v>130</v>
      </c>
      <c r="BE715" t="s">
        <v>112</v>
      </c>
      <c r="BF715" t="s">
        <v>157</v>
      </c>
      <c r="BG715" t="s">
        <v>133</v>
      </c>
      <c r="BH715" t="s">
        <v>134</v>
      </c>
      <c r="BI715" t="s">
        <v>112</v>
      </c>
      <c r="BJ715" t="s">
        <v>112</v>
      </c>
      <c r="BK715" t="s">
        <v>112</v>
      </c>
      <c r="BL715" t="s">
        <v>169</v>
      </c>
      <c r="BM715" t="s">
        <v>159</v>
      </c>
      <c r="BN715" t="s">
        <v>212</v>
      </c>
      <c r="BO715" t="s">
        <v>161</v>
      </c>
      <c r="BP715">
        <v>1</v>
      </c>
      <c r="BQ715" t="s">
        <v>493</v>
      </c>
      <c r="BR715" s="45">
        <f>ISNUMBER(SEARCH($BR$1,Таблица1[[#This Row],[31_1 Описание и характеристика товара]]))*1</f>
        <v>1</v>
      </c>
      <c r="BT715" t="s">
        <v>150</v>
      </c>
      <c r="BU715">
        <v>35</v>
      </c>
      <c r="BV715">
        <v>0</v>
      </c>
      <c r="BW715">
        <v>0</v>
      </c>
      <c r="BY715">
        <v>0</v>
      </c>
      <c r="CA715" t="s">
        <v>106</v>
      </c>
      <c r="CB715" t="s">
        <v>142</v>
      </c>
      <c r="CC715" t="s">
        <v>112</v>
      </c>
      <c r="CD715" t="s">
        <v>112</v>
      </c>
      <c r="CE715" t="s">
        <v>121</v>
      </c>
      <c r="CF715">
        <v>16613.84</v>
      </c>
      <c r="CG715" t="s">
        <v>144</v>
      </c>
      <c r="CH715">
        <v>4000000</v>
      </c>
      <c r="CI715">
        <v>16531.04</v>
      </c>
      <c r="CJ715">
        <v>0</v>
      </c>
      <c r="CK715" t="s">
        <v>112</v>
      </c>
      <c r="CL715" t="s">
        <v>112</v>
      </c>
      <c r="CM715">
        <v>48822.720000000001</v>
      </c>
      <c r="CN715">
        <v>3823908</v>
      </c>
      <c r="CO715">
        <v>0</v>
      </c>
      <c r="CP715">
        <v>1</v>
      </c>
      <c r="CQ715">
        <v>4164609.73</v>
      </c>
      <c r="CR715">
        <v>57131.7</v>
      </c>
      <c r="CS715" t="s">
        <v>145</v>
      </c>
      <c r="CT715">
        <v>57131.274239999999</v>
      </c>
      <c r="CU715">
        <v>3.456</v>
      </c>
      <c r="CV715">
        <v>45</v>
      </c>
      <c r="CW715" t="s">
        <v>171</v>
      </c>
      <c r="CX715" t="s">
        <v>372</v>
      </c>
      <c r="CY715">
        <v>560</v>
      </c>
    </row>
    <row r="716" spans="1:103" x14ac:dyDescent="0.25">
      <c r="A716" t="s">
        <v>106</v>
      </c>
      <c r="B716" s="38">
        <v>45225</v>
      </c>
      <c r="C716" s="43">
        <f>IF(YEAR(Таблица1[[#This Row],[Дата]])=2023,MONTH(Таблица1[[#This Row],[Дата]]),0)</f>
        <v>10</v>
      </c>
      <c r="D716" t="s">
        <v>200</v>
      </c>
      <c r="E716" t="s">
        <v>108</v>
      </c>
      <c r="F716" t="s">
        <v>201</v>
      </c>
      <c r="G716" t="s">
        <v>110</v>
      </c>
      <c r="H716" t="s">
        <v>111</v>
      </c>
      <c r="I716" t="s">
        <v>112</v>
      </c>
      <c r="J716" t="s">
        <v>112</v>
      </c>
      <c r="K716" t="s">
        <v>112</v>
      </c>
      <c r="L716" t="s">
        <v>175</v>
      </c>
      <c r="M716" t="s">
        <v>176</v>
      </c>
      <c r="N716" t="s">
        <v>112</v>
      </c>
      <c r="O716" t="s">
        <v>112</v>
      </c>
      <c r="P716">
        <v>1</v>
      </c>
      <c r="Q716">
        <v>0</v>
      </c>
      <c r="R716">
        <v>1</v>
      </c>
      <c r="S716">
        <v>33</v>
      </c>
      <c r="T716" t="s">
        <v>166</v>
      </c>
      <c r="U716" t="s">
        <v>152</v>
      </c>
      <c r="V716" t="s">
        <v>153</v>
      </c>
      <c r="W716" t="s">
        <v>177</v>
      </c>
      <c r="X716" t="s">
        <v>119</v>
      </c>
      <c r="Y716" t="s">
        <v>112</v>
      </c>
      <c r="Z716" t="s">
        <v>166</v>
      </c>
      <c r="AA716" t="s">
        <v>152</v>
      </c>
      <c r="AB716" t="s">
        <v>153</v>
      </c>
      <c r="AC716" t="s">
        <v>177</v>
      </c>
      <c r="AD716" t="s">
        <v>119</v>
      </c>
      <c r="AE716" t="s">
        <v>112</v>
      </c>
      <c r="AF716" t="s">
        <v>121</v>
      </c>
      <c r="AG716" t="s">
        <v>122</v>
      </c>
      <c r="AH716">
        <v>3375628.6</v>
      </c>
      <c r="AI716" t="s">
        <v>166</v>
      </c>
      <c r="AJ716" t="s">
        <v>152</v>
      </c>
      <c r="AK716" t="s">
        <v>153</v>
      </c>
      <c r="AL716" t="s">
        <v>177</v>
      </c>
      <c r="AM716" t="s">
        <v>119</v>
      </c>
      <c r="AN716" t="s">
        <v>112</v>
      </c>
      <c r="AO716" t="s">
        <v>121</v>
      </c>
      <c r="AP716" t="s">
        <v>122</v>
      </c>
      <c r="AQ716" t="s">
        <v>122</v>
      </c>
      <c r="AR716" t="s">
        <v>124</v>
      </c>
      <c r="AS716" t="s">
        <v>125</v>
      </c>
      <c r="AT716">
        <v>2</v>
      </c>
      <c r="AU716" t="s">
        <v>106</v>
      </c>
      <c r="AV716" t="s">
        <v>155</v>
      </c>
      <c r="AW716" t="s">
        <v>156</v>
      </c>
      <c r="AX716">
        <v>1</v>
      </c>
      <c r="AY716" t="s">
        <v>129</v>
      </c>
      <c r="AZ716">
        <v>42043.97</v>
      </c>
      <c r="BA716">
        <v>3156598</v>
      </c>
      <c r="BB716">
        <v>48017.34</v>
      </c>
      <c r="BC716">
        <v>75.078500000000005</v>
      </c>
      <c r="BD716" t="s">
        <v>130</v>
      </c>
      <c r="BE716" t="s">
        <v>112</v>
      </c>
      <c r="BF716" t="s">
        <v>157</v>
      </c>
      <c r="BG716" t="s">
        <v>133</v>
      </c>
      <c r="BH716" t="s">
        <v>134</v>
      </c>
      <c r="BI716" t="s">
        <v>112</v>
      </c>
      <c r="BJ716" t="s">
        <v>178</v>
      </c>
      <c r="BK716" t="s">
        <v>112</v>
      </c>
      <c r="BL716" t="s">
        <v>125</v>
      </c>
      <c r="BM716" t="s">
        <v>179</v>
      </c>
      <c r="BN716" t="s">
        <v>180</v>
      </c>
      <c r="BO716" t="s">
        <v>181</v>
      </c>
      <c r="BP716">
        <v>1</v>
      </c>
      <c r="BQ716" t="s">
        <v>202</v>
      </c>
      <c r="BR716" s="45">
        <f>ISNUMBER(SEARCH($BR$1,Таблица1[[#This Row],[31_1 Описание и характеристика товара]]))*1</f>
        <v>1</v>
      </c>
      <c r="BT716" t="s">
        <v>150</v>
      </c>
      <c r="BU716">
        <v>33</v>
      </c>
      <c r="BV716">
        <v>1</v>
      </c>
      <c r="BW716">
        <v>0</v>
      </c>
      <c r="BY716">
        <v>0</v>
      </c>
      <c r="CA716" t="s">
        <v>106</v>
      </c>
      <c r="CB716" t="s">
        <v>142</v>
      </c>
      <c r="CC716" t="s">
        <v>112</v>
      </c>
      <c r="CD716" t="s">
        <v>112</v>
      </c>
      <c r="CE716" t="s">
        <v>121</v>
      </c>
      <c r="CF716">
        <v>16118.34</v>
      </c>
      <c r="CG716" t="s">
        <v>144</v>
      </c>
      <c r="CH716">
        <v>4000000</v>
      </c>
      <c r="CI716">
        <v>15923.94</v>
      </c>
      <c r="CJ716">
        <v>0</v>
      </c>
      <c r="CK716" t="s">
        <v>112</v>
      </c>
      <c r="CL716" t="s">
        <v>112</v>
      </c>
      <c r="CM716">
        <v>42043.97</v>
      </c>
      <c r="CN716">
        <v>3156598</v>
      </c>
      <c r="CO716">
        <v>0</v>
      </c>
      <c r="CP716">
        <v>1</v>
      </c>
      <c r="CQ716">
        <v>3375628.6</v>
      </c>
      <c r="CR716">
        <v>48017.34</v>
      </c>
      <c r="CS716" t="s">
        <v>145</v>
      </c>
      <c r="CT716">
        <v>48017.048676000006</v>
      </c>
      <c r="CU716">
        <v>3.0154000000000001</v>
      </c>
      <c r="CV716">
        <v>941</v>
      </c>
      <c r="CW716" t="s">
        <v>183</v>
      </c>
      <c r="CX716" t="s">
        <v>190</v>
      </c>
      <c r="CY716">
        <v>147</v>
      </c>
    </row>
    <row r="717" spans="1:103" x14ac:dyDescent="0.25">
      <c r="A717" t="s">
        <v>106</v>
      </c>
      <c r="B717" s="38">
        <v>45031</v>
      </c>
      <c r="C717" s="43">
        <f>IF(YEAR(Таблица1[[#This Row],[Дата]])=2023,MONTH(Таблица1[[#This Row],[Дата]]),0)</f>
        <v>4</v>
      </c>
      <c r="D717" t="s">
        <v>197</v>
      </c>
      <c r="E717" t="s">
        <v>108</v>
      </c>
      <c r="F717" t="s">
        <v>198</v>
      </c>
      <c r="G717" t="s">
        <v>110</v>
      </c>
      <c r="H717" t="s">
        <v>111</v>
      </c>
      <c r="I717" t="s">
        <v>112</v>
      </c>
      <c r="J717" t="s">
        <v>112</v>
      </c>
      <c r="K717" t="s">
        <v>112</v>
      </c>
      <c r="L717" t="s">
        <v>175</v>
      </c>
      <c r="M717" t="s">
        <v>176</v>
      </c>
      <c r="N717" t="s">
        <v>112</v>
      </c>
      <c r="O717" t="s">
        <v>112</v>
      </c>
      <c r="P717">
        <v>1</v>
      </c>
      <c r="Q717">
        <v>0</v>
      </c>
      <c r="R717">
        <v>1</v>
      </c>
      <c r="S717">
        <v>33</v>
      </c>
      <c r="T717" t="s">
        <v>166</v>
      </c>
      <c r="U717" t="s">
        <v>152</v>
      </c>
      <c r="V717" t="s">
        <v>153</v>
      </c>
      <c r="W717" t="s">
        <v>177</v>
      </c>
      <c r="X717" t="s">
        <v>119</v>
      </c>
      <c r="Y717" t="s">
        <v>112</v>
      </c>
      <c r="Z717" t="s">
        <v>166</v>
      </c>
      <c r="AA717" t="s">
        <v>152</v>
      </c>
      <c r="AB717" t="s">
        <v>153</v>
      </c>
      <c r="AC717" t="s">
        <v>177</v>
      </c>
      <c r="AD717" t="s">
        <v>119</v>
      </c>
      <c r="AE717" t="s">
        <v>112</v>
      </c>
      <c r="AF717" t="s">
        <v>121</v>
      </c>
      <c r="AG717" t="s">
        <v>122</v>
      </c>
      <c r="AH717">
        <v>3955549.54</v>
      </c>
      <c r="AI717" t="s">
        <v>166</v>
      </c>
      <c r="AJ717" t="s">
        <v>152</v>
      </c>
      <c r="AK717" t="s">
        <v>153</v>
      </c>
      <c r="AL717" t="s">
        <v>177</v>
      </c>
      <c r="AM717" t="s">
        <v>119</v>
      </c>
      <c r="AN717" t="s">
        <v>112</v>
      </c>
      <c r="AO717" t="s">
        <v>121</v>
      </c>
      <c r="AP717" t="s">
        <v>122</v>
      </c>
      <c r="AQ717" t="s">
        <v>122</v>
      </c>
      <c r="AR717" t="s">
        <v>124</v>
      </c>
      <c r="AS717" t="s">
        <v>125</v>
      </c>
      <c r="AT717">
        <v>2</v>
      </c>
      <c r="AU717" t="s">
        <v>106</v>
      </c>
      <c r="AV717" t="s">
        <v>155</v>
      </c>
      <c r="AW717" t="s">
        <v>156</v>
      </c>
      <c r="AX717">
        <v>1</v>
      </c>
      <c r="AY717" t="s">
        <v>129</v>
      </c>
      <c r="AZ717">
        <v>49316.68</v>
      </c>
      <c r="BA717">
        <v>3702622</v>
      </c>
      <c r="BB717">
        <v>56266.55</v>
      </c>
      <c r="BC717">
        <v>75.078500000000005</v>
      </c>
      <c r="BD717" t="s">
        <v>130</v>
      </c>
      <c r="BE717" t="s">
        <v>112</v>
      </c>
      <c r="BF717" t="s">
        <v>157</v>
      </c>
      <c r="BG717" t="s">
        <v>133</v>
      </c>
      <c r="BH717" t="s">
        <v>134</v>
      </c>
      <c r="BI717" t="s">
        <v>112</v>
      </c>
      <c r="BJ717" t="s">
        <v>178</v>
      </c>
      <c r="BK717" t="s">
        <v>112</v>
      </c>
      <c r="BL717" t="s">
        <v>125</v>
      </c>
      <c r="BM717" t="s">
        <v>179</v>
      </c>
      <c r="BN717" t="s">
        <v>180</v>
      </c>
      <c r="BO717" t="s">
        <v>181</v>
      </c>
      <c r="BP717">
        <v>1</v>
      </c>
      <c r="BQ717" t="s">
        <v>199</v>
      </c>
      <c r="BR717" s="45">
        <f>ISNUMBER(SEARCH($BR$1,Таблица1[[#This Row],[31_1 Описание и характеристика товара]]))*1</f>
        <v>1</v>
      </c>
      <c r="BT717" t="s">
        <v>150</v>
      </c>
      <c r="BU717">
        <v>33</v>
      </c>
      <c r="BV717">
        <v>1</v>
      </c>
      <c r="BW717">
        <v>0</v>
      </c>
      <c r="BY717">
        <v>0</v>
      </c>
      <c r="CA717" t="s">
        <v>106</v>
      </c>
      <c r="CB717" t="s">
        <v>142</v>
      </c>
      <c r="CC717" t="s">
        <v>112</v>
      </c>
      <c r="CD717" t="s">
        <v>112</v>
      </c>
      <c r="CE717" t="s">
        <v>121</v>
      </c>
      <c r="CF717">
        <v>16960.04</v>
      </c>
      <c r="CG717" t="s">
        <v>144</v>
      </c>
      <c r="CH717">
        <v>4000000</v>
      </c>
      <c r="CI717">
        <v>16906.04</v>
      </c>
      <c r="CJ717">
        <v>0</v>
      </c>
      <c r="CK717" t="s">
        <v>112</v>
      </c>
      <c r="CL717" t="s">
        <v>112</v>
      </c>
      <c r="CM717">
        <v>49316.68</v>
      </c>
      <c r="CN717">
        <v>3702622</v>
      </c>
      <c r="CO717">
        <v>0</v>
      </c>
      <c r="CP717">
        <v>1</v>
      </c>
      <c r="CQ717">
        <v>3955549.54</v>
      </c>
      <c r="CR717">
        <v>56266.55</v>
      </c>
      <c r="CS717" t="s">
        <v>145</v>
      </c>
      <c r="CT717">
        <v>56266.682328000003</v>
      </c>
      <c r="CU717">
        <v>3.3281999999999998</v>
      </c>
      <c r="CV717">
        <v>941</v>
      </c>
      <c r="CW717" t="s">
        <v>183</v>
      </c>
      <c r="CX717" t="s">
        <v>147</v>
      </c>
      <c r="CY717">
        <v>189</v>
      </c>
    </row>
    <row r="718" spans="1:103" x14ac:dyDescent="0.25">
      <c r="A718" t="s">
        <v>106</v>
      </c>
      <c r="B718" s="38">
        <v>44935</v>
      </c>
      <c r="C718" s="43">
        <f>IF(YEAR(Таблица1[[#This Row],[Дата]])=2023,MONTH(Таблица1[[#This Row],[Дата]]),0)</f>
        <v>1</v>
      </c>
      <c r="D718" t="s">
        <v>1734</v>
      </c>
      <c r="E718" t="s">
        <v>108</v>
      </c>
      <c r="F718" t="s">
        <v>1735</v>
      </c>
      <c r="G718" t="s">
        <v>110</v>
      </c>
      <c r="H718" t="s">
        <v>111</v>
      </c>
      <c r="I718" t="s">
        <v>112</v>
      </c>
      <c r="J718" t="s">
        <v>112</v>
      </c>
      <c r="K718" t="s">
        <v>112</v>
      </c>
      <c r="L718" t="s">
        <v>150</v>
      </c>
      <c r="M718" t="s">
        <v>151</v>
      </c>
      <c r="N718" t="s">
        <v>112</v>
      </c>
      <c r="O718" t="s">
        <v>112</v>
      </c>
      <c r="P718">
        <v>1</v>
      </c>
      <c r="R718">
        <v>1</v>
      </c>
      <c r="S718">
        <v>33</v>
      </c>
      <c r="T718" t="s">
        <v>112</v>
      </c>
      <c r="U718" t="s">
        <v>152</v>
      </c>
      <c r="V718" t="s">
        <v>153</v>
      </c>
      <c r="W718" t="s">
        <v>154</v>
      </c>
      <c r="X718" t="s">
        <v>119</v>
      </c>
      <c r="Y718" t="s">
        <v>112</v>
      </c>
      <c r="Z718" t="s">
        <v>112</v>
      </c>
      <c r="AA718" t="s">
        <v>152</v>
      </c>
      <c r="AB718" t="s">
        <v>153</v>
      </c>
      <c r="AC718" t="s">
        <v>154</v>
      </c>
      <c r="AD718" t="s">
        <v>119</v>
      </c>
      <c r="AE718" t="s">
        <v>112</v>
      </c>
      <c r="AF718" t="s">
        <v>121</v>
      </c>
      <c r="AG718" t="s">
        <v>122</v>
      </c>
      <c r="AH718">
        <v>4613073.9000000004</v>
      </c>
      <c r="AI718" t="s">
        <v>112</v>
      </c>
      <c r="AJ718" t="s">
        <v>152</v>
      </c>
      <c r="AK718" t="s">
        <v>153</v>
      </c>
      <c r="AL718" t="s">
        <v>154</v>
      </c>
      <c r="AM718" t="s">
        <v>119</v>
      </c>
      <c r="AN718" t="s">
        <v>112</v>
      </c>
      <c r="AO718" t="s">
        <v>121</v>
      </c>
      <c r="AP718" t="s">
        <v>122</v>
      </c>
      <c r="AQ718" t="s">
        <v>122</v>
      </c>
      <c r="AR718" t="s">
        <v>124</v>
      </c>
      <c r="AS718" t="s">
        <v>125</v>
      </c>
      <c r="AT718">
        <v>2</v>
      </c>
      <c r="AU718" t="s">
        <v>126</v>
      </c>
      <c r="AV718" t="s">
        <v>155</v>
      </c>
      <c r="AW718" t="s">
        <v>156</v>
      </c>
      <c r="AY718" t="s">
        <v>129</v>
      </c>
      <c r="AZ718">
        <v>42171.64</v>
      </c>
      <c r="BC718">
        <v>98.440299999999993</v>
      </c>
      <c r="BD718" t="s">
        <v>112</v>
      </c>
      <c r="BE718" t="s">
        <v>112</v>
      </c>
      <c r="BF718" t="s">
        <v>157</v>
      </c>
      <c r="BG718" t="s">
        <v>133</v>
      </c>
      <c r="BH718" t="s">
        <v>134</v>
      </c>
      <c r="BI718" t="s">
        <v>112</v>
      </c>
      <c r="BJ718" t="s">
        <v>112</v>
      </c>
      <c r="BK718" t="s">
        <v>112</v>
      </c>
      <c r="BL718" t="s">
        <v>158</v>
      </c>
      <c r="BM718" t="s">
        <v>159</v>
      </c>
      <c r="BN718" t="s">
        <v>212</v>
      </c>
      <c r="BO718" t="s">
        <v>161</v>
      </c>
      <c r="BQ718" t="s">
        <v>232</v>
      </c>
      <c r="BR718" s="45">
        <f>ISNUMBER(SEARCH($BR$1,Таблица1[[#This Row],[31_1 Описание и характеристика товара]]))*1</f>
        <v>1</v>
      </c>
      <c r="BT718" t="s">
        <v>150</v>
      </c>
      <c r="BU718">
        <v>33</v>
      </c>
      <c r="BV718">
        <v>0</v>
      </c>
      <c r="BW718">
        <v>0</v>
      </c>
      <c r="BY718">
        <v>0</v>
      </c>
      <c r="CA718" t="s">
        <v>106</v>
      </c>
      <c r="CB718" t="s">
        <v>142</v>
      </c>
      <c r="CC718" t="s">
        <v>112</v>
      </c>
      <c r="CD718" t="s">
        <v>112</v>
      </c>
      <c r="CE718" t="s">
        <v>121</v>
      </c>
      <c r="CF718">
        <v>16268.65</v>
      </c>
      <c r="CG718" t="s">
        <v>144</v>
      </c>
      <c r="CH718">
        <v>4000000</v>
      </c>
      <c r="CI718">
        <v>16103.05</v>
      </c>
      <c r="CJ718">
        <v>0</v>
      </c>
      <c r="CK718" t="s">
        <v>112</v>
      </c>
      <c r="CL718" t="s">
        <v>112</v>
      </c>
      <c r="CM718">
        <v>42171.64</v>
      </c>
      <c r="CO718">
        <v>0</v>
      </c>
      <c r="CP718">
        <v>1</v>
      </c>
      <c r="CQ718">
        <v>4613073.9000000004</v>
      </c>
      <c r="CR718">
        <v>50034.8</v>
      </c>
      <c r="CS718" t="s">
        <v>145</v>
      </c>
      <c r="CT718">
        <v>50080.485499999995</v>
      </c>
      <c r="CU718">
        <v>3.11</v>
      </c>
      <c r="CV718">
        <v>45</v>
      </c>
      <c r="CX718" t="s">
        <v>1140</v>
      </c>
      <c r="CY718">
        <v>124</v>
      </c>
    </row>
    <row r="719" spans="1:103" x14ac:dyDescent="0.25">
      <c r="A719" t="s">
        <v>106</v>
      </c>
      <c r="B719" s="38">
        <v>45008</v>
      </c>
      <c r="C719" s="43">
        <f>IF(YEAR(Таблица1[[#This Row],[Дата]])=2023,MONTH(Таблица1[[#This Row],[Дата]]),0)</f>
        <v>3</v>
      </c>
      <c r="D719" t="s">
        <v>2089</v>
      </c>
      <c r="E719" t="s">
        <v>108</v>
      </c>
      <c r="F719" t="s">
        <v>2090</v>
      </c>
      <c r="G719" t="s">
        <v>110</v>
      </c>
      <c r="H719" t="s">
        <v>111</v>
      </c>
      <c r="I719" t="s">
        <v>112</v>
      </c>
      <c r="J719" t="s">
        <v>112</v>
      </c>
      <c r="K719" t="s">
        <v>112</v>
      </c>
      <c r="L719" t="s">
        <v>150</v>
      </c>
      <c r="M719" t="s">
        <v>151</v>
      </c>
      <c r="N719" t="s">
        <v>112</v>
      </c>
      <c r="O719" t="s">
        <v>112</v>
      </c>
      <c r="P719">
        <v>1</v>
      </c>
      <c r="R719">
        <v>1</v>
      </c>
      <c r="S719">
        <v>33</v>
      </c>
      <c r="T719" t="s">
        <v>112</v>
      </c>
      <c r="U719" t="s">
        <v>152</v>
      </c>
      <c r="V719" t="s">
        <v>153</v>
      </c>
      <c r="W719" t="s">
        <v>154</v>
      </c>
      <c r="X719" t="s">
        <v>119</v>
      </c>
      <c r="Y719" t="s">
        <v>112</v>
      </c>
      <c r="Z719" t="s">
        <v>112</v>
      </c>
      <c r="AA719" t="s">
        <v>152</v>
      </c>
      <c r="AB719" t="s">
        <v>153</v>
      </c>
      <c r="AC719" t="s">
        <v>154</v>
      </c>
      <c r="AD719" t="s">
        <v>119</v>
      </c>
      <c r="AE719" t="s">
        <v>112</v>
      </c>
      <c r="AF719" t="s">
        <v>121</v>
      </c>
      <c r="AG719" t="s">
        <v>122</v>
      </c>
      <c r="AH719">
        <v>5565796.3899999997</v>
      </c>
      <c r="AI719" t="s">
        <v>112</v>
      </c>
      <c r="AJ719" t="s">
        <v>152</v>
      </c>
      <c r="AK719" t="s">
        <v>153</v>
      </c>
      <c r="AL719" t="s">
        <v>154</v>
      </c>
      <c r="AM719" t="s">
        <v>119</v>
      </c>
      <c r="AN719" t="s">
        <v>112</v>
      </c>
      <c r="AO719" t="s">
        <v>121</v>
      </c>
      <c r="AP719" t="s">
        <v>122</v>
      </c>
      <c r="AQ719" t="s">
        <v>122</v>
      </c>
      <c r="AR719" t="s">
        <v>124</v>
      </c>
      <c r="AS719" t="s">
        <v>125</v>
      </c>
      <c r="AT719">
        <v>2</v>
      </c>
      <c r="AU719" t="s">
        <v>126</v>
      </c>
      <c r="AV719" t="s">
        <v>155</v>
      </c>
      <c r="AW719" t="s">
        <v>156</v>
      </c>
      <c r="AY719" t="s">
        <v>129</v>
      </c>
      <c r="AZ719">
        <v>47982.559999999998</v>
      </c>
      <c r="BC719">
        <v>106.01</v>
      </c>
      <c r="BD719" t="s">
        <v>112</v>
      </c>
      <c r="BE719" t="s">
        <v>112</v>
      </c>
      <c r="BF719" t="s">
        <v>157</v>
      </c>
      <c r="BG719" t="s">
        <v>133</v>
      </c>
      <c r="BH719" t="s">
        <v>167</v>
      </c>
      <c r="BI719" t="s">
        <v>112</v>
      </c>
      <c r="BJ719" t="s">
        <v>112</v>
      </c>
      <c r="BK719" t="s">
        <v>112</v>
      </c>
      <c r="BL719" t="s">
        <v>158</v>
      </c>
      <c r="BM719" t="s">
        <v>159</v>
      </c>
      <c r="BN719" t="s">
        <v>160</v>
      </c>
      <c r="BO719" t="s">
        <v>161</v>
      </c>
      <c r="BQ719" t="s">
        <v>162</v>
      </c>
      <c r="BR719" s="45">
        <f>ISNUMBER(SEARCH($BR$1,Таблица1[[#This Row],[31_1 Описание и характеристика товара]]))*1</f>
        <v>1</v>
      </c>
      <c r="BT719" t="s">
        <v>150</v>
      </c>
      <c r="BU719">
        <v>33</v>
      </c>
      <c r="BV719">
        <v>0</v>
      </c>
      <c r="BW719">
        <v>0</v>
      </c>
      <c r="BY719">
        <v>0</v>
      </c>
      <c r="CA719" t="s">
        <v>106</v>
      </c>
      <c r="CB719" t="s">
        <v>142</v>
      </c>
      <c r="CC719" t="s">
        <v>112</v>
      </c>
      <c r="CD719" t="s">
        <v>112</v>
      </c>
      <c r="CE719" t="s">
        <v>121</v>
      </c>
      <c r="CF719">
        <v>16966.240000000002</v>
      </c>
      <c r="CG719" t="s">
        <v>144</v>
      </c>
      <c r="CH719">
        <v>4000000</v>
      </c>
      <c r="CI719">
        <v>16966.240000000002</v>
      </c>
      <c r="CJ719">
        <v>0</v>
      </c>
      <c r="CK719" t="s">
        <v>112</v>
      </c>
      <c r="CL719" t="s">
        <v>112</v>
      </c>
      <c r="CM719">
        <v>47982.559999999998</v>
      </c>
      <c r="CO719">
        <v>0</v>
      </c>
      <c r="CP719">
        <v>1</v>
      </c>
      <c r="CQ719">
        <v>5565796.3899999997</v>
      </c>
      <c r="CR719">
        <v>55385.96</v>
      </c>
      <c r="CS719" t="s">
        <v>145</v>
      </c>
      <c r="CT719">
        <v>55309.9424</v>
      </c>
      <c r="CU719">
        <v>3.26</v>
      </c>
      <c r="CV719">
        <v>45</v>
      </c>
      <c r="CX719" t="s">
        <v>1140</v>
      </c>
      <c r="CY719">
        <v>93</v>
      </c>
    </row>
    <row r="720" spans="1:103" x14ac:dyDescent="0.25">
      <c r="A720" t="s">
        <v>106</v>
      </c>
      <c r="B720" s="38">
        <v>45110</v>
      </c>
      <c r="C720" s="43">
        <f>IF(YEAR(Таблица1[[#This Row],[Дата]])=2023,MONTH(Таблица1[[#This Row],[Дата]]),0)</f>
        <v>7</v>
      </c>
      <c r="D720" t="s">
        <v>2089</v>
      </c>
      <c r="E720" t="s">
        <v>108</v>
      </c>
      <c r="F720" t="s">
        <v>2090</v>
      </c>
      <c r="G720" t="s">
        <v>110</v>
      </c>
      <c r="H720" t="s">
        <v>111</v>
      </c>
      <c r="I720" t="s">
        <v>112</v>
      </c>
      <c r="J720" t="s">
        <v>112</v>
      </c>
      <c r="K720" t="s">
        <v>112</v>
      </c>
      <c r="L720" t="s">
        <v>150</v>
      </c>
      <c r="M720" t="s">
        <v>151</v>
      </c>
      <c r="N720" t="s">
        <v>112</v>
      </c>
      <c r="O720" t="s">
        <v>112</v>
      </c>
      <c r="P720">
        <v>1</v>
      </c>
      <c r="R720">
        <v>1</v>
      </c>
      <c r="S720">
        <v>33</v>
      </c>
      <c r="T720" t="s">
        <v>112</v>
      </c>
      <c r="U720" t="s">
        <v>152</v>
      </c>
      <c r="V720" t="s">
        <v>153</v>
      </c>
      <c r="W720" t="s">
        <v>154</v>
      </c>
      <c r="X720" t="s">
        <v>119</v>
      </c>
      <c r="Y720" t="s">
        <v>112</v>
      </c>
      <c r="Z720" t="s">
        <v>112</v>
      </c>
      <c r="AA720" t="s">
        <v>152</v>
      </c>
      <c r="AB720" t="s">
        <v>153</v>
      </c>
      <c r="AC720" t="s">
        <v>154</v>
      </c>
      <c r="AD720" t="s">
        <v>119</v>
      </c>
      <c r="AE720" t="s">
        <v>112</v>
      </c>
      <c r="AF720" t="s">
        <v>121</v>
      </c>
      <c r="AG720" t="s">
        <v>122</v>
      </c>
      <c r="AH720">
        <v>5565796.3899999997</v>
      </c>
      <c r="AI720" t="s">
        <v>112</v>
      </c>
      <c r="AJ720" t="s">
        <v>152</v>
      </c>
      <c r="AK720" t="s">
        <v>153</v>
      </c>
      <c r="AL720" t="s">
        <v>154</v>
      </c>
      <c r="AM720" t="s">
        <v>119</v>
      </c>
      <c r="AN720" t="s">
        <v>112</v>
      </c>
      <c r="AO720" t="s">
        <v>121</v>
      </c>
      <c r="AP720" t="s">
        <v>122</v>
      </c>
      <c r="AQ720" t="s">
        <v>122</v>
      </c>
      <c r="AR720" t="s">
        <v>124</v>
      </c>
      <c r="AS720" t="s">
        <v>125</v>
      </c>
      <c r="AT720">
        <v>2</v>
      </c>
      <c r="AU720" t="s">
        <v>126</v>
      </c>
      <c r="AV720" t="s">
        <v>155</v>
      </c>
      <c r="AW720" t="s">
        <v>156</v>
      </c>
      <c r="AY720" t="s">
        <v>129</v>
      </c>
      <c r="AZ720">
        <v>47982.559999999998</v>
      </c>
      <c r="BC720">
        <v>106.01</v>
      </c>
      <c r="BD720" t="s">
        <v>112</v>
      </c>
      <c r="BE720" t="s">
        <v>112</v>
      </c>
      <c r="BF720" t="s">
        <v>157</v>
      </c>
      <c r="BG720" t="s">
        <v>133</v>
      </c>
      <c r="BH720" t="s">
        <v>167</v>
      </c>
      <c r="BI720" t="s">
        <v>112</v>
      </c>
      <c r="BJ720" t="s">
        <v>112</v>
      </c>
      <c r="BK720" t="s">
        <v>112</v>
      </c>
      <c r="BL720" t="s">
        <v>158</v>
      </c>
      <c r="BM720" t="s">
        <v>159</v>
      </c>
      <c r="BN720" t="s">
        <v>160</v>
      </c>
      <c r="BO720" t="s">
        <v>161</v>
      </c>
      <c r="BQ720" t="s">
        <v>162</v>
      </c>
      <c r="BR720" s="45">
        <f>ISNUMBER(SEARCH($BR$1,Таблица1[[#This Row],[31_1 Описание и характеристика товара]]))*1</f>
        <v>1</v>
      </c>
      <c r="BT720" t="s">
        <v>150</v>
      </c>
      <c r="BU720">
        <v>33</v>
      </c>
      <c r="BV720">
        <v>0</v>
      </c>
      <c r="BW720">
        <v>0</v>
      </c>
      <c r="BY720">
        <v>0</v>
      </c>
      <c r="CA720" t="s">
        <v>106</v>
      </c>
      <c r="CB720" t="s">
        <v>142</v>
      </c>
      <c r="CC720" t="s">
        <v>112</v>
      </c>
      <c r="CD720" t="s">
        <v>112</v>
      </c>
      <c r="CE720" t="s">
        <v>121</v>
      </c>
      <c r="CF720">
        <v>16966.240000000002</v>
      </c>
      <c r="CG720" t="s">
        <v>144</v>
      </c>
      <c r="CH720">
        <v>4000000</v>
      </c>
      <c r="CI720">
        <v>16966.240000000002</v>
      </c>
      <c r="CJ720">
        <v>0</v>
      </c>
      <c r="CK720" t="s">
        <v>112</v>
      </c>
      <c r="CL720" t="s">
        <v>112</v>
      </c>
      <c r="CM720">
        <v>47982.559999999998</v>
      </c>
      <c r="CO720">
        <v>0</v>
      </c>
      <c r="CP720">
        <v>1</v>
      </c>
      <c r="CQ720">
        <v>5565796.3899999997</v>
      </c>
      <c r="CR720">
        <v>55385.96</v>
      </c>
      <c r="CS720" t="s">
        <v>145</v>
      </c>
      <c r="CT720">
        <v>55309.9424</v>
      </c>
      <c r="CU720">
        <v>3.26</v>
      </c>
      <c r="CV720">
        <v>45</v>
      </c>
      <c r="CX720" t="s">
        <v>1140</v>
      </c>
      <c r="CY720">
        <v>93</v>
      </c>
    </row>
    <row r="721" spans="1:103" x14ac:dyDescent="0.25">
      <c r="A721" t="s">
        <v>106</v>
      </c>
      <c r="B721" s="38">
        <v>45019</v>
      </c>
      <c r="C721" s="43">
        <f>IF(YEAR(Таблица1[[#This Row],[Дата]])=2023,MONTH(Таблица1[[#This Row],[Дата]]),0)</f>
        <v>4</v>
      </c>
      <c r="D721" t="s">
        <v>2083</v>
      </c>
      <c r="E721" t="s">
        <v>108</v>
      </c>
      <c r="F721" t="s">
        <v>2084</v>
      </c>
      <c r="G721" t="s">
        <v>110</v>
      </c>
      <c r="H721" t="s">
        <v>111</v>
      </c>
      <c r="I721" t="s">
        <v>112</v>
      </c>
      <c r="J721" t="s">
        <v>112</v>
      </c>
      <c r="K721" t="s">
        <v>112</v>
      </c>
      <c r="L721" t="s">
        <v>150</v>
      </c>
      <c r="M721" t="s">
        <v>151</v>
      </c>
      <c r="N721" t="s">
        <v>112</v>
      </c>
      <c r="O721" t="s">
        <v>112</v>
      </c>
      <c r="P721">
        <v>1</v>
      </c>
      <c r="R721">
        <v>1</v>
      </c>
      <c r="S721">
        <v>33</v>
      </c>
      <c r="T721" t="s">
        <v>112</v>
      </c>
      <c r="U721" t="s">
        <v>152</v>
      </c>
      <c r="V721" t="s">
        <v>153</v>
      </c>
      <c r="W721" t="s">
        <v>154</v>
      </c>
      <c r="X721" t="s">
        <v>119</v>
      </c>
      <c r="Y721" t="s">
        <v>112</v>
      </c>
      <c r="Z721" t="s">
        <v>112</v>
      </c>
      <c r="AA721" t="s">
        <v>152</v>
      </c>
      <c r="AB721" t="s">
        <v>153</v>
      </c>
      <c r="AC721" t="s">
        <v>154</v>
      </c>
      <c r="AD721" t="s">
        <v>119</v>
      </c>
      <c r="AE721" t="s">
        <v>112</v>
      </c>
      <c r="AF721" t="s">
        <v>121</v>
      </c>
      <c r="AG721" t="s">
        <v>122</v>
      </c>
      <c r="AH721">
        <v>4787958.6100000003</v>
      </c>
      <c r="AI721" t="s">
        <v>112</v>
      </c>
      <c r="AJ721" t="s">
        <v>152</v>
      </c>
      <c r="AK721" t="s">
        <v>153</v>
      </c>
      <c r="AL721" t="s">
        <v>154</v>
      </c>
      <c r="AM721" t="s">
        <v>119</v>
      </c>
      <c r="AN721" t="s">
        <v>112</v>
      </c>
      <c r="AO721" t="s">
        <v>121</v>
      </c>
      <c r="AP721" t="s">
        <v>122</v>
      </c>
      <c r="AQ721" t="s">
        <v>122</v>
      </c>
      <c r="AR721" t="s">
        <v>124</v>
      </c>
      <c r="AS721" t="s">
        <v>125</v>
      </c>
      <c r="AT721">
        <v>2</v>
      </c>
      <c r="AU721" t="s">
        <v>126</v>
      </c>
      <c r="AV721" t="s">
        <v>155</v>
      </c>
      <c r="AW721" t="s">
        <v>156</v>
      </c>
      <c r="AY721" t="s">
        <v>129</v>
      </c>
      <c r="AZ721">
        <v>41175.160000000003</v>
      </c>
      <c r="BC721">
        <v>106.01</v>
      </c>
      <c r="BD721" t="s">
        <v>112</v>
      </c>
      <c r="BE721" t="s">
        <v>112</v>
      </c>
      <c r="BF721" t="s">
        <v>157</v>
      </c>
      <c r="BG721" t="s">
        <v>133</v>
      </c>
      <c r="BH721" t="s">
        <v>167</v>
      </c>
      <c r="BI721" t="s">
        <v>112</v>
      </c>
      <c r="BJ721" t="s">
        <v>112</v>
      </c>
      <c r="BK721" t="s">
        <v>112</v>
      </c>
      <c r="BL721" t="s">
        <v>158</v>
      </c>
      <c r="BM721" t="s">
        <v>159</v>
      </c>
      <c r="BN721" t="s">
        <v>160</v>
      </c>
      <c r="BO721" t="s">
        <v>161</v>
      </c>
      <c r="BQ721" t="s">
        <v>232</v>
      </c>
      <c r="BR721" s="45">
        <f>ISNUMBER(SEARCH($BR$1,Таблица1[[#This Row],[31_1 Описание и характеристика товара]]))*1</f>
        <v>1</v>
      </c>
      <c r="BT721" t="s">
        <v>150</v>
      </c>
      <c r="BU721">
        <v>33</v>
      </c>
      <c r="BV721">
        <v>0</v>
      </c>
      <c r="BW721">
        <v>0</v>
      </c>
      <c r="BY721">
        <v>0</v>
      </c>
      <c r="CA721" t="s">
        <v>106</v>
      </c>
      <c r="CB721" t="s">
        <v>142</v>
      </c>
      <c r="CC721" t="s">
        <v>112</v>
      </c>
      <c r="CD721" t="s">
        <v>112</v>
      </c>
      <c r="CE721" t="s">
        <v>121</v>
      </c>
      <c r="CF721">
        <v>15464.69</v>
      </c>
      <c r="CG721" t="s">
        <v>144</v>
      </c>
      <c r="CH721">
        <v>4000000</v>
      </c>
      <c r="CI721">
        <v>15248.69</v>
      </c>
      <c r="CJ721">
        <v>0</v>
      </c>
      <c r="CK721" t="s">
        <v>112</v>
      </c>
      <c r="CL721" t="s">
        <v>112</v>
      </c>
      <c r="CM721">
        <v>41175.160000000003</v>
      </c>
      <c r="CO721">
        <v>0</v>
      </c>
      <c r="CP721">
        <v>1</v>
      </c>
      <c r="CQ721">
        <v>4787958.6100000003</v>
      </c>
      <c r="CR721">
        <v>47645.599999999999</v>
      </c>
      <c r="CS721" t="s">
        <v>145</v>
      </c>
      <c r="CT721">
        <v>47575.912800000006</v>
      </c>
      <c r="CU721">
        <v>3.12</v>
      </c>
      <c r="CV721">
        <v>45</v>
      </c>
      <c r="CX721" t="s">
        <v>233</v>
      </c>
      <c r="CY721">
        <v>595</v>
      </c>
    </row>
    <row r="722" spans="1:103" x14ac:dyDescent="0.25">
      <c r="A722" t="s">
        <v>106</v>
      </c>
      <c r="B722" s="38">
        <v>45166</v>
      </c>
      <c r="C722" s="43">
        <f>IF(YEAR(Таблица1[[#This Row],[Дата]])=2023,MONTH(Таблица1[[#This Row],[Дата]]),0)</f>
        <v>8</v>
      </c>
      <c r="D722" t="s">
        <v>2083</v>
      </c>
      <c r="E722" t="s">
        <v>108</v>
      </c>
      <c r="F722" t="s">
        <v>2084</v>
      </c>
      <c r="G722" t="s">
        <v>110</v>
      </c>
      <c r="H722" t="s">
        <v>111</v>
      </c>
      <c r="I722" t="s">
        <v>112</v>
      </c>
      <c r="J722" t="s">
        <v>112</v>
      </c>
      <c r="K722" t="s">
        <v>112</v>
      </c>
      <c r="L722" t="s">
        <v>150</v>
      </c>
      <c r="M722" t="s">
        <v>151</v>
      </c>
      <c r="N722" t="s">
        <v>112</v>
      </c>
      <c r="O722" t="s">
        <v>112</v>
      </c>
      <c r="P722">
        <v>1</v>
      </c>
      <c r="R722">
        <v>1</v>
      </c>
      <c r="S722">
        <v>33</v>
      </c>
      <c r="T722" t="s">
        <v>112</v>
      </c>
      <c r="U722" t="s">
        <v>152</v>
      </c>
      <c r="V722" t="s">
        <v>153</v>
      </c>
      <c r="W722" t="s">
        <v>154</v>
      </c>
      <c r="X722" t="s">
        <v>119</v>
      </c>
      <c r="Y722" t="s">
        <v>112</v>
      </c>
      <c r="Z722" t="s">
        <v>112</v>
      </c>
      <c r="AA722" t="s">
        <v>152</v>
      </c>
      <c r="AB722" t="s">
        <v>153</v>
      </c>
      <c r="AC722" t="s">
        <v>154</v>
      </c>
      <c r="AD722" t="s">
        <v>119</v>
      </c>
      <c r="AE722" t="s">
        <v>112</v>
      </c>
      <c r="AF722" t="s">
        <v>121</v>
      </c>
      <c r="AG722" t="s">
        <v>122</v>
      </c>
      <c r="AH722">
        <v>4787958.6100000003</v>
      </c>
      <c r="AI722" t="s">
        <v>112</v>
      </c>
      <c r="AJ722" t="s">
        <v>152</v>
      </c>
      <c r="AK722" t="s">
        <v>153</v>
      </c>
      <c r="AL722" t="s">
        <v>154</v>
      </c>
      <c r="AM722" t="s">
        <v>119</v>
      </c>
      <c r="AN722" t="s">
        <v>112</v>
      </c>
      <c r="AO722" t="s">
        <v>121</v>
      </c>
      <c r="AP722" t="s">
        <v>122</v>
      </c>
      <c r="AQ722" t="s">
        <v>122</v>
      </c>
      <c r="AR722" t="s">
        <v>124</v>
      </c>
      <c r="AS722" t="s">
        <v>125</v>
      </c>
      <c r="AT722">
        <v>2</v>
      </c>
      <c r="AU722" t="s">
        <v>126</v>
      </c>
      <c r="AV722" t="s">
        <v>155</v>
      </c>
      <c r="AW722" t="s">
        <v>156</v>
      </c>
      <c r="AY722" t="s">
        <v>129</v>
      </c>
      <c r="AZ722">
        <v>41175.160000000003</v>
      </c>
      <c r="BC722">
        <v>106.01</v>
      </c>
      <c r="BD722" t="s">
        <v>112</v>
      </c>
      <c r="BE722" t="s">
        <v>112</v>
      </c>
      <c r="BF722" t="s">
        <v>157</v>
      </c>
      <c r="BG722" t="s">
        <v>133</v>
      </c>
      <c r="BH722" t="s">
        <v>167</v>
      </c>
      <c r="BI722" t="s">
        <v>112</v>
      </c>
      <c r="BJ722" t="s">
        <v>112</v>
      </c>
      <c r="BK722" t="s">
        <v>112</v>
      </c>
      <c r="BL722" t="s">
        <v>158</v>
      </c>
      <c r="BM722" t="s">
        <v>159</v>
      </c>
      <c r="BN722" t="s">
        <v>160</v>
      </c>
      <c r="BO722" t="s">
        <v>161</v>
      </c>
      <c r="BQ722" t="s">
        <v>232</v>
      </c>
      <c r="BR722" s="45">
        <f>ISNUMBER(SEARCH($BR$1,Таблица1[[#This Row],[31_1 Описание и характеристика товара]]))*1</f>
        <v>1</v>
      </c>
      <c r="BT722" t="s">
        <v>150</v>
      </c>
      <c r="BU722">
        <v>33</v>
      </c>
      <c r="BV722">
        <v>0</v>
      </c>
      <c r="BW722">
        <v>0</v>
      </c>
      <c r="BY722">
        <v>0</v>
      </c>
      <c r="CA722" t="s">
        <v>106</v>
      </c>
      <c r="CB722" t="s">
        <v>142</v>
      </c>
      <c r="CC722" t="s">
        <v>112</v>
      </c>
      <c r="CD722" t="s">
        <v>112</v>
      </c>
      <c r="CE722" t="s">
        <v>121</v>
      </c>
      <c r="CF722">
        <v>15464.69</v>
      </c>
      <c r="CG722" t="s">
        <v>144</v>
      </c>
      <c r="CH722">
        <v>4000000</v>
      </c>
      <c r="CI722">
        <v>15248.69</v>
      </c>
      <c r="CJ722">
        <v>0</v>
      </c>
      <c r="CK722" t="s">
        <v>112</v>
      </c>
      <c r="CL722" t="s">
        <v>112</v>
      </c>
      <c r="CM722">
        <v>41175.160000000003</v>
      </c>
      <c r="CO722">
        <v>0</v>
      </c>
      <c r="CP722">
        <v>1</v>
      </c>
      <c r="CQ722">
        <v>4787958.6100000003</v>
      </c>
      <c r="CR722">
        <v>47645.599999999999</v>
      </c>
      <c r="CS722" t="s">
        <v>145</v>
      </c>
      <c r="CT722">
        <v>47575.912800000006</v>
      </c>
      <c r="CU722">
        <v>3.12</v>
      </c>
      <c r="CV722">
        <v>45</v>
      </c>
      <c r="CX722" t="s">
        <v>233</v>
      </c>
      <c r="CY722">
        <v>595</v>
      </c>
    </row>
    <row r="723" spans="1:103" x14ac:dyDescent="0.25">
      <c r="A723" t="s">
        <v>106</v>
      </c>
      <c r="B723" s="38">
        <v>45214</v>
      </c>
      <c r="C723" s="43">
        <f>IF(YEAR(Таблица1[[#This Row],[Дата]])=2023,MONTH(Таблица1[[#This Row],[Дата]]),0)</f>
        <v>10</v>
      </c>
      <c r="D723" t="s">
        <v>2073</v>
      </c>
      <c r="E723" t="s">
        <v>108</v>
      </c>
      <c r="F723" t="s">
        <v>2074</v>
      </c>
      <c r="G723" t="s">
        <v>110</v>
      </c>
      <c r="H723" t="s">
        <v>111</v>
      </c>
      <c r="I723" t="s">
        <v>112</v>
      </c>
      <c r="J723" t="s">
        <v>112</v>
      </c>
      <c r="K723" t="s">
        <v>112</v>
      </c>
      <c r="L723" t="s">
        <v>150</v>
      </c>
      <c r="M723" t="s">
        <v>151</v>
      </c>
      <c r="N723" t="s">
        <v>112</v>
      </c>
      <c r="O723" t="s">
        <v>112</v>
      </c>
      <c r="P723">
        <v>1</v>
      </c>
      <c r="R723">
        <v>1</v>
      </c>
      <c r="S723">
        <v>33</v>
      </c>
      <c r="T723" t="s">
        <v>112</v>
      </c>
      <c r="U723" t="s">
        <v>152</v>
      </c>
      <c r="V723" t="s">
        <v>153</v>
      </c>
      <c r="W723" t="s">
        <v>154</v>
      </c>
      <c r="X723" t="s">
        <v>119</v>
      </c>
      <c r="Y723" t="s">
        <v>112</v>
      </c>
      <c r="Z723" t="s">
        <v>112</v>
      </c>
      <c r="AA723" t="s">
        <v>152</v>
      </c>
      <c r="AB723" t="s">
        <v>153</v>
      </c>
      <c r="AC723" t="s">
        <v>154</v>
      </c>
      <c r="AD723" t="s">
        <v>119</v>
      </c>
      <c r="AE723" t="s">
        <v>112</v>
      </c>
      <c r="AF723" t="s">
        <v>121</v>
      </c>
      <c r="AG723" t="s">
        <v>122</v>
      </c>
      <c r="AH723">
        <v>5668630.3300000001</v>
      </c>
      <c r="AI723" t="s">
        <v>112</v>
      </c>
      <c r="AJ723" t="s">
        <v>152</v>
      </c>
      <c r="AK723" t="s">
        <v>153</v>
      </c>
      <c r="AL723" t="s">
        <v>154</v>
      </c>
      <c r="AM723" t="s">
        <v>119</v>
      </c>
      <c r="AN723" t="s">
        <v>112</v>
      </c>
      <c r="AO723" t="s">
        <v>121</v>
      </c>
      <c r="AP723" t="s">
        <v>122</v>
      </c>
      <c r="AQ723" t="s">
        <v>122</v>
      </c>
      <c r="AR723" t="s">
        <v>124</v>
      </c>
      <c r="AS723" t="s">
        <v>125</v>
      </c>
      <c r="AT723">
        <v>2</v>
      </c>
      <c r="AU723" t="s">
        <v>126</v>
      </c>
      <c r="AV723" t="s">
        <v>155</v>
      </c>
      <c r="AW723" t="s">
        <v>156</v>
      </c>
      <c r="AY723" t="s">
        <v>129</v>
      </c>
      <c r="AZ723">
        <v>49482.6</v>
      </c>
      <c r="BC723">
        <v>106.01</v>
      </c>
      <c r="BD723" t="s">
        <v>112</v>
      </c>
      <c r="BE723" t="s">
        <v>112</v>
      </c>
      <c r="BF723" t="s">
        <v>157</v>
      </c>
      <c r="BG723" t="s">
        <v>133</v>
      </c>
      <c r="BH723" t="s">
        <v>134</v>
      </c>
      <c r="BI723" t="s">
        <v>112</v>
      </c>
      <c r="BJ723" t="s">
        <v>112</v>
      </c>
      <c r="BK723" t="s">
        <v>112</v>
      </c>
      <c r="BL723" t="s">
        <v>158</v>
      </c>
      <c r="BM723" t="s">
        <v>159</v>
      </c>
      <c r="BN723" t="s">
        <v>212</v>
      </c>
      <c r="BO723" t="s">
        <v>161</v>
      </c>
      <c r="BQ723" t="s">
        <v>466</v>
      </c>
      <c r="BR723" s="45">
        <f>ISNUMBER(SEARCH($BR$1,Таблица1[[#This Row],[31_1 Описание и характеристика товара]]))*1</f>
        <v>1</v>
      </c>
      <c r="BT723" t="s">
        <v>150</v>
      </c>
      <c r="BU723">
        <v>33</v>
      </c>
      <c r="BV723">
        <v>0</v>
      </c>
      <c r="BW723">
        <v>0</v>
      </c>
      <c r="BY723">
        <v>0</v>
      </c>
      <c r="CA723" t="s">
        <v>106</v>
      </c>
      <c r="CB723" t="s">
        <v>142</v>
      </c>
      <c r="CC723" t="s">
        <v>112</v>
      </c>
      <c r="CD723" t="s">
        <v>112</v>
      </c>
      <c r="CE723" t="s">
        <v>121</v>
      </c>
      <c r="CF723">
        <v>15817.92</v>
      </c>
      <c r="CG723" t="s">
        <v>144</v>
      </c>
      <c r="CH723">
        <v>4000000</v>
      </c>
      <c r="CI723">
        <v>15637.92</v>
      </c>
      <c r="CJ723">
        <v>0</v>
      </c>
      <c r="CK723" t="s">
        <v>112</v>
      </c>
      <c r="CL723" t="s">
        <v>112</v>
      </c>
      <c r="CM723">
        <v>49482.6</v>
      </c>
      <c r="CO723">
        <v>0</v>
      </c>
      <c r="CP723">
        <v>1</v>
      </c>
      <c r="CQ723">
        <v>5668630.3300000001</v>
      </c>
      <c r="CR723">
        <v>56409.279999999999</v>
      </c>
      <c r="CS723" t="s">
        <v>145</v>
      </c>
      <c r="CT723">
        <v>56452.891199999998</v>
      </c>
      <c r="CU723">
        <v>3.61</v>
      </c>
      <c r="CV723">
        <v>45</v>
      </c>
      <c r="CX723" t="s">
        <v>729</v>
      </c>
      <c r="CY723">
        <v>595</v>
      </c>
    </row>
    <row r="724" spans="1:103" x14ac:dyDescent="0.25">
      <c r="A724" t="s">
        <v>106</v>
      </c>
      <c r="B724" s="38">
        <v>45266</v>
      </c>
      <c r="C724" s="43">
        <f>IF(YEAR(Таблица1[[#This Row],[Дата]])=2023,MONTH(Таблица1[[#This Row],[Дата]]),0)</f>
        <v>12</v>
      </c>
      <c r="D724" t="s">
        <v>2073</v>
      </c>
      <c r="E724" t="s">
        <v>108</v>
      </c>
      <c r="F724" t="s">
        <v>2074</v>
      </c>
      <c r="G724" t="s">
        <v>110</v>
      </c>
      <c r="H724" t="s">
        <v>111</v>
      </c>
      <c r="I724" t="s">
        <v>112</v>
      </c>
      <c r="J724" t="s">
        <v>112</v>
      </c>
      <c r="K724" t="s">
        <v>112</v>
      </c>
      <c r="L724" t="s">
        <v>150</v>
      </c>
      <c r="M724" t="s">
        <v>151</v>
      </c>
      <c r="N724" t="s">
        <v>112</v>
      </c>
      <c r="O724" t="s">
        <v>112</v>
      </c>
      <c r="P724">
        <v>1</v>
      </c>
      <c r="R724">
        <v>1</v>
      </c>
      <c r="S724">
        <v>33</v>
      </c>
      <c r="T724" t="s">
        <v>112</v>
      </c>
      <c r="U724" t="s">
        <v>152</v>
      </c>
      <c r="V724" t="s">
        <v>153</v>
      </c>
      <c r="W724" t="s">
        <v>154</v>
      </c>
      <c r="X724" t="s">
        <v>119</v>
      </c>
      <c r="Y724" t="s">
        <v>112</v>
      </c>
      <c r="Z724" t="s">
        <v>112</v>
      </c>
      <c r="AA724" t="s">
        <v>152</v>
      </c>
      <c r="AB724" t="s">
        <v>153</v>
      </c>
      <c r="AC724" t="s">
        <v>154</v>
      </c>
      <c r="AD724" t="s">
        <v>119</v>
      </c>
      <c r="AE724" t="s">
        <v>112</v>
      </c>
      <c r="AF724" t="s">
        <v>121</v>
      </c>
      <c r="AG724" t="s">
        <v>122</v>
      </c>
      <c r="AH724">
        <v>5668630.3300000001</v>
      </c>
      <c r="AI724" t="s">
        <v>112</v>
      </c>
      <c r="AJ724" t="s">
        <v>152</v>
      </c>
      <c r="AK724" t="s">
        <v>153</v>
      </c>
      <c r="AL724" t="s">
        <v>154</v>
      </c>
      <c r="AM724" t="s">
        <v>119</v>
      </c>
      <c r="AN724" t="s">
        <v>112</v>
      </c>
      <c r="AO724" t="s">
        <v>121</v>
      </c>
      <c r="AP724" t="s">
        <v>122</v>
      </c>
      <c r="AQ724" t="s">
        <v>122</v>
      </c>
      <c r="AR724" t="s">
        <v>124</v>
      </c>
      <c r="AS724" t="s">
        <v>125</v>
      </c>
      <c r="AT724">
        <v>2</v>
      </c>
      <c r="AU724" t="s">
        <v>126</v>
      </c>
      <c r="AV724" t="s">
        <v>155</v>
      </c>
      <c r="AW724" t="s">
        <v>156</v>
      </c>
      <c r="AY724" t="s">
        <v>129</v>
      </c>
      <c r="AZ724">
        <v>49482.6</v>
      </c>
      <c r="BC724">
        <v>106.01</v>
      </c>
      <c r="BD724" t="s">
        <v>112</v>
      </c>
      <c r="BE724" t="s">
        <v>112</v>
      </c>
      <c r="BF724" t="s">
        <v>157</v>
      </c>
      <c r="BG724" t="s">
        <v>133</v>
      </c>
      <c r="BH724" t="s">
        <v>134</v>
      </c>
      <c r="BI724" t="s">
        <v>112</v>
      </c>
      <c r="BJ724" t="s">
        <v>112</v>
      </c>
      <c r="BK724" t="s">
        <v>112</v>
      </c>
      <c r="BL724" t="s">
        <v>158</v>
      </c>
      <c r="BM724" t="s">
        <v>159</v>
      </c>
      <c r="BN724" t="s">
        <v>212</v>
      </c>
      <c r="BO724" t="s">
        <v>161</v>
      </c>
      <c r="BQ724" t="s">
        <v>466</v>
      </c>
      <c r="BR724" s="45">
        <f>ISNUMBER(SEARCH($BR$1,Таблица1[[#This Row],[31_1 Описание и характеристика товара]]))*1</f>
        <v>1</v>
      </c>
      <c r="BT724" t="s">
        <v>150</v>
      </c>
      <c r="BU724">
        <v>33</v>
      </c>
      <c r="BV724">
        <v>0</v>
      </c>
      <c r="BW724">
        <v>0</v>
      </c>
      <c r="BY724">
        <v>0</v>
      </c>
      <c r="CA724" t="s">
        <v>106</v>
      </c>
      <c r="CB724" t="s">
        <v>142</v>
      </c>
      <c r="CC724" t="s">
        <v>112</v>
      </c>
      <c r="CD724" t="s">
        <v>112</v>
      </c>
      <c r="CE724" t="s">
        <v>121</v>
      </c>
      <c r="CF724">
        <v>15817.92</v>
      </c>
      <c r="CG724" t="s">
        <v>144</v>
      </c>
      <c r="CH724">
        <v>4000000</v>
      </c>
      <c r="CI724">
        <v>15637.92</v>
      </c>
      <c r="CJ724">
        <v>0</v>
      </c>
      <c r="CK724" t="s">
        <v>112</v>
      </c>
      <c r="CL724" t="s">
        <v>112</v>
      </c>
      <c r="CM724">
        <v>49482.6</v>
      </c>
      <c r="CO724">
        <v>0</v>
      </c>
      <c r="CP724">
        <v>1</v>
      </c>
      <c r="CQ724">
        <v>5668630.3300000001</v>
      </c>
      <c r="CR724">
        <v>56409.279999999999</v>
      </c>
      <c r="CS724" t="s">
        <v>145</v>
      </c>
      <c r="CT724">
        <v>56452.891199999998</v>
      </c>
      <c r="CU724">
        <v>3.61</v>
      </c>
      <c r="CV724">
        <v>45</v>
      </c>
      <c r="CX724" t="s">
        <v>729</v>
      </c>
      <c r="CY724">
        <v>595</v>
      </c>
    </row>
    <row r="725" spans="1:103" x14ac:dyDescent="0.25">
      <c r="A725" t="s">
        <v>106</v>
      </c>
      <c r="B725" s="38">
        <v>44965</v>
      </c>
      <c r="C725" s="43">
        <f>IF(YEAR(Таблица1[[#This Row],[Дата]])=2023,MONTH(Таблица1[[#This Row],[Дата]]),0)</f>
        <v>2</v>
      </c>
      <c r="D725" t="s">
        <v>2079</v>
      </c>
      <c r="E725" t="s">
        <v>108</v>
      </c>
      <c r="F725" t="s">
        <v>2080</v>
      </c>
      <c r="G725" t="s">
        <v>110</v>
      </c>
      <c r="H725" t="s">
        <v>111</v>
      </c>
      <c r="I725" t="s">
        <v>112</v>
      </c>
      <c r="J725" t="s">
        <v>112</v>
      </c>
      <c r="K725" t="s">
        <v>112</v>
      </c>
      <c r="L725" t="s">
        <v>150</v>
      </c>
      <c r="M725" t="s">
        <v>151</v>
      </c>
      <c r="N725" t="s">
        <v>112</v>
      </c>
      <c r="O725" t="s">
        <v>112</v>
      </c>
      <c r="P725">
        <v>1</v>
      </c>
      <c r="R725">
        <v>1</v>
      </c>
      <c r="S725">
        <v>33</v>
      </c>
      <c r="T725" t="s">
        <v>112</v>
      </c>
      <c r="U725" t="s">
        <v>152</v>
      </c>
      <c r="V725" t="s">
        <v>153</v>
      </c>
      <c r="W725" t="s">
        <v>154</v>
      </c>
      <c r="X725" t="s">
        <v>119</v>
      </c>
      <c r="Y725" t="s">
        <v>112</v>
      </c>
      <c r="Z725" t="s">
        <v>112</v>
      </c>
      <c r="AA725" t="s">
        <v>152</v>
      </c>
      <c r="AB725" t="s">
        <v>153</v>
      </c>
      <c r="AC725" t="s">
        <v>154</v>
      </c>
      <c r="AD725" t="s">
        <v>119</v>
      </c>
      <c r="AE725" t="s">
        <v>112</v>
      </c>
      <c r="AF725" t="s">
        <v>121</v>
      </c>
      <c r="AG725" t="s">
        <v>122</v>
      </c>
      <c r="AH725">
        <v>5045291.53</v>
      </c>
      <c r="AI725" t="s">
        <v>112</v>
      </c>
      <c r="AJ725" t="s">
        <v>152</v>
      </c>
      <c r="AK725" t="s">
        <v>153</v>
      </c>
      <c r="AL725" t="s">
        <v>154</v>
      </c>
      <c r="AM725" t="s">
        <v>119</v>
      </c>
      <c r="AN725" t="s">
        <v>112</v>
      </c>
      <c r="AO725" t="s">
        <v>121</v>
      </c>
      <c r="AP725" t="s">
        <v>122</v>
      </c>
      <c r="AQ725" t="s">
        <v>122</v>
      </c>
      <c r="AR725" t="s">
        <v>124</v>
      </c>
      <c r="AS725" t="s">
        <v>125</v>
      </c>
      <c r="AT725">
        <v>2</v>
      </c>
      <c r="AU725" t="s">
        <v>126</v>
      </c>
      <c r="AV725" t="s">
        <v>155</v>
      </c>
      <c r="AW725" t="s">
        <v>156</v>
      </c>
      <c r="AY725" t="s">
        <v>129</v>
      </c>
      <c r="AZ725">
        <v>43602.6</v>
      </c>
      <c r="BC725">
        <v>106.01</v>
      </c>
      <c r="BD725" t="s">
        <v>112</v>
      </c>
      <c r="BE725" t="s">
        <v>112</v>
      </c>
      <c r="BF725" t="s">
        <v>157</v>
      </c>
      <c r="BG725" t="s">
        <v>133</v>
      </c>
      <c r="BH725" t="s">
        <v>167</v>
      </c>
      <c r="BI725" t="s">
        <v>112</v>
      </c>
      <c r="BJ725" t="s">
        <v>112</v>
      </c>
      <c r="BK725" t="s">
        <v>112</v>
      </c>
      <c r="BL725" t="s">
        <v>158</v>
      </c>
      <c r="BM725" t="s">
        <v>159</v>
      </c>
      <c r="BN725" t="s">
        <v>160</v>
      </c>
      <c r="BO725" t="s">
        <v>161</v>
      </c>
      <c r="BQ725" t="s">
        <v>466</v>
      </c>
      <c r="BR725" s="45">
        <f>ISNUMBER(SEARCH($BR$1,Таблица1[[#This Row],[31_1 Описание и характеристика товара]]))*1</f>
        <v>1</v>
      </c>
      <c r="BT725" t="s">
        <v>150</v>
      </c>
      <c r="BU725">
        <v>33</v>
      </c>
      <c r="BV725">
        <v>0</v>
      </c>
      <c r="BW725">
        <v>0</v>
      </c>
      <c r="BY725">
        <v>0</v>
      </c>
      <c r="CA725" t="s">
        <v>106</v>
      </c>
      <c r="CB725" t="s">
        <v>142</v>
      </c>
      <c r="CC725" t="s">
        <v>112</v>
      </c>
      <c r="CD725" t="s">
        <v>112</v>
      </c>
      <c r="CE725" t="s">
        <v>121</v>
      </c>
      <c r="CF725">
        <v>17092.62</v>
      </c>
      <c r="CG725" t="s">
        <v>144</v>
      </c>
      <c r="CH725">
        <v>4000000</v>
      </c>
      <c r="CI725">
        <v>17092.62</v>
      </c>
      <c r="CJ725">
        <v>0</v>
      </c>
      <c r="CK725" t="s">
        <v>112</v>
      </c>
      <c r="CL725" t="s">
        <v>112</v>
      </c>
      <c r="CM725">
        <v>43602.6</v>
      </c>
      <c r="CO725">
        <v>0</v>
      </c>
      <c r="CP725">
        <v>1</v>
      </c>
      <c r="CQ725">
        <v>5045291.53</v>
      </c>
      <c r="CR725">
        <v>50206.35</v>
      </c>
      <c r="CS725" t="s">
        <v>145</v>
      </c>
      <c r="CT725">
        <v>50252.302799999998</v>
      </c>
      <c r="CU725">
        <v>2.94</v>
      </c>
      <c r="CV725">
        <v>45</v>
      </c>
      <c r="CX725" t="s">
        <v>729</v>
      </c>
      <c r="CY725">
        <v>342</v>
      </c>
    </row>
    <row r="726" spans="1:103" x14ac:dyDescent="0.25">
      <c r="A726" t="s">
        <v>106</v>
      </c>
      <c r="B726" s="38">
        <v>45288</v>
      </c>
      <c r="C726" s="43">
        <f>IF(YEAR(Таблица1[[#This Row],[Дата]])=2023,MONTH(Таблица1[[#This Row],[Дата]]),0)</f>
        <v>12</v>
      </c>
      <c r="D726" t="s">
        <v>2079</v>
      </c>
      <c r="E726" t="s">
        <v>108</v>
      </c>
      <c r="F726" t="s">
        <v>2080</v>
      </c>
      <c r="G726" t="s">
        <v>110</v>
      </c>
      <c r="H726" t="s">
        <v>111</v>
      </c>
      <c r="I726" t="s">
        <v>112</v>
      </c>
      <c r="J726" t="s">
        <v>112</v>
      </c>
      <c r="K726" t="s">
        <v>112</v>
      </c>
      <c r="L726" t="s">
        <v>150</v>
      </c>
      <c r="M726" t="s">
        <v>151</v>
      </c>
      <c r="N726" t="s">
        <v>112</v>
      </c>
      <c r="O726" t="s">
        <v>112</v>
      </c>
      <c r="P726">
        <v>1</v>
      </c>
      <c r="R726">
        <v>1</v>
      </c>
      <c r="S726">
        <v>33</v>
      </c>
      <c r="T726" t="s">
        <v>112</v>
      </c>
      <c r="U726" t="s">
        <v>152</v>
      </c>
      <c r="V726" t="s">
        <v>153</v>
      </c>
      <c r="W726" t="s">
        <v>154</v>
      </c>
      <c r="X726" t="s">
        <v>119</v>
      </c>
      <c r="Y726" t="s">
        <v>112</v>
      </c>
      <c r="Z726" t="s">
        <v>112</v>
      </c>
      <c r="AA726" t="s">
        <v>152</v>
      </c>
      <c r="AB726" t="s">
        <v>153</v>
      </c>
      <c r="AC726" t="s">
        <v>154</v>
      </c>
      <c r="AD726" t="s">
        <v>119</v>
      </c>
      <c r="AE726" t="s">
        <v>112</v>
      </c>
      <c r="AF726" t="s">
        <v>121</v>
      </c>
      <c r="AG726" t="s">
        <v>122</v>
      </c>
      <c r="AH726">
        <v>5045291.53</v>
      </c>
      <c r="AI726" t="s">
        <v>112</v>
      </c>
      <c r="AJ726" t="s">
        <v>152</v>
      </c>
      <c r="AK726" t="s">
        <v>153</v>
      </c>
      <c r="AL726" t="s">
        <v>154</v>
      </c>
      <c r="AM726" t="s">
        <v>119</v>
      </c>
      <c r="AN726" t="s">
        <v>112</v>
      </c>
      <c r="AO726" t="s">
        <v>121</v>
      </c>
      <c r="AP726" t="s">
        <v>122</v>
      </c>
      <c r="AQ726" t="s">
        <v>122</v>
      </c>
      <c r="AR726" t="s">
        <v>124</v>
      </c>
      <c r="AS726" t="s">
        <v>125</v>
      </c>
      <c r="AT726">
        <v>2</v>
      </c>
      <c r="AU726" t="s">
        <v>126</v>
      </c>
      <c r="AV726" t="s">
        <v>155</v>
      </c>
      <c r="AW726" t="s">
        <v>156</v>
      </c>
      <c r="AY726" t="s">
        <v>129</v>
      </c>
      <c r="AZ726">
        <v>43602.6</v>
      </c>
      <c r="BC726">
        <v>106.01</v>
      </c>
      <c r="BD726" t="s">
        <v>112</v>
      </c>
      <c r="BE726" t="s">
        <v>112</v>
      </c>
      <c r="BF726" t="s">
        <v>157</v>
      </c>
      <c r="BG726" t="s">
        <v>133</v>
      </c>
      <c r="BH726" t="s">
        <v>167</v>
      </c>
      <c r="BI726" t="s">
        <v>112</v>
      </c>
      <c r="BJ726" t="s">
        <v>112</v>
      </c>
      <c r="BK726" t="s">
        <v>112</v>
      </c>
      <c r="BL726" t="s">
        <v>158</v>
      </c>
      <c r="BM726" t="s">
        <v>159</v>
      </c>
      <c r="BN726" t="s">
        <v>160</v>
      </c>
      <c r="BO726" t="s">
        <v>161</v>
      </c>
      <c r="BQ726" t="s">
        <v>466</v>
      </c>
      <c r="BR726" s="45">
        <f>ISNUMBER(SEARCH($BR$1,Таблица1[[#This Row],[31_1 Описание и характеристика товара]]))*1</f>
        <v>1</v>
      </c>
      <c r="BT726" t="s">
        <v>150</v>
      </c>
      <c r="BU726">
        <v>33</v>
      </c>
      <c r="BV726">
        <v>0</v>
      </c>
      <c r="BW726">
        <v>0</v>
      </c>
      <c r="BY726">
        <v>0</v>
      </c>
      <c r="CA726" t="s">
        <v>106</v>
      </c>
      <c r="CB726" t="s">
        <v>142</v>
      </c>
      <c r="CC726" t="s">
        <v>112</v>
      </c>
      <c r="CD726" t="s">
        <v>112</v>
      </c>
      <c r="CE726" t="s">
        <v>121</v>
      </c>
      <c r="CF726">
        <v>17092.62</v>
      </c>
      <c r="CG726" t="s">
        <v>144</v>
      </c>
      <c r="CH726">
        <v>4000000</v>
      </c>
      <c r="CI726">
        <v>17092.62</v>
      </c>
      <c r="CJ726">
        <v>0</v>
      </c>
      <c r="CK726" t="s">
        <v>112</v>
      </c>
      <c r="CL726" t="s">
        <v>112</v>
      </c>
      <c r="CM726">
        <v>43602.6</v>
      </c>
      <c r="CO726">
        <v>0</v>
      </c>
      <c r="CP726">
        <v>1</v>
      </c>
      <c r="CQ726">
        <v>5045291.53</v>
      </c>
      <c r="CR726">
        <v>50206.35</v>
      </c>
      <c r="CS726" t="s">
        <v>145</v>
      </c>
      <c r="CT726">
        <v>50252.302799999998</v>
      </c>
      <c r="CU726">
        <v>2.94</v>
      </c>
      <c r="CV726">
        <v>45</v>
      </c>
      <c r="CX726" t="s">
        <v>729</v>
      </c>
      <c r="CY726">
        <v>342</v>
      </c>
    </row>
    <row r="727" spans="1:103" x14ac:dyDescent="0.25">
      <c r="A727" t="s">
        <v>106</v>
      </c>
      <c r="B727" s="38">
        <v>45264</v>
      </c>
      <c r="C727" s="43">
        <f>IF(YEAR(Таблица1[[#This Row],[Дата]])=2023,MONTH(Таблица1[[#This Row],[Дата]]),0)</f>
        <v>12</v>
      </c>
      <c r="D727" t="s">
        <v>1682</v>
      </c>
      <c r="E727" t="s">
        <v>108</v>
      </c>
      <c r="F727" t="s">
        <v>1683</v>
      </c>
      <c r="G727" t="s">
        <v>110</v>
      </c>
      <c r="H727" t="s">
        <v>111</v>
      </c>
      <c r="I727" t="s">
        <v>112</v>
      </c>
      <c r="J727" t="s">
        <v>112</v>
      </c>
      <c r="K727" t="s">
        <v>112</v>
      </c>
      <c r="L727" t="s">
        <v>150</v>
      </c>
      <c r="M727" t="s">
        <v>151</v>
      </c>
      <c r="N727" t="s">
        <v>112</v>
      </c>
      <c r="O727" t="s">
        <v>112</v>
      </c>
      <c r="R727">
        <v>1</v>
      </c>
      <c r="S727">
        <v>33</v>
      </c>
      <c r="T727" t="s">
        <v>166</v>
      </c>
      <c r="U727" t="s">
        <v>152</v>
      </c>
      <c r="V727" t="s">
        <v>153</v>
      </c>
      <c r="W727" t="s">
        <v>154</v>
      </c>
      <c r="X727" t="s">
        <v>119</v>
      </c>
      <c r="Y727" t="s">
        <v>112</v>
      </c>
      <c r="Z727" t="s">
        <v>166</v>
      </c>
      <c r="AA727" t="s">
        <v>152</v>
      </c>
      <c r="AB727" t="s">
        <v>153</v>
      </c>
      <c r="AC727" t="s">
        <v>154</v>
      </c>
      <c r="AD727" t="s">
        <v>119</v>
      </c>
      <c r="AE727" t="s">
        <v>112</v>
      </c>
      <c r="AF727" t="s">
        <v>121</v>
      </c>
      <c r="AG727" t="s">
        <v>122</v>
      </c>
      <c r="AH727">
        <v>4706591.4800000004</v>
      </c>
      <c r="AI727" t="s">
        <v>166</v>
      </c>
      <c r="AJ727" t="s">
        <v>152</v>
      </c>
      <c r="AK727" t="s">
        <v>153</v>
      </c>
      <c r="AL727" t="s">
        <v>154</v>
      </c>
      <c r="AM727" t="s">
        <v>119</v>
      </c>
      <c r="AN727" t="s">
        <v>112</v>
      </c>
      <c r="AO727" t="s">
        <v>121</v>
      </c>
      <c r="AP727" t="s">
        <v>122</v>
      </c>
      <c r="AQ727" t="s">
        <v>122</v>
      </c>
      <c r="AR727" t="s">
        <v>124</v>
      </c>
      <c r="AS727" t="s">
        <v>125</v>
      </c>
      <c r="AU727" t="s">
        <v>126</v>
      </c>
      <c r="AV727" t="s">
        <v>155</v>
      </c>
      <c r="AW727" t="s">
        <v>156</v>
      </c>
      <c r="AY727" t="s">
        <v>129</v>
      </c>
      <c r="AZ727">
        <v>40509.660000000003</v>
      </c>
      <c r="BC727">
        <v>105.43519999999999</v>
      </c>
      <c r="BD727" t="s">
        <v>112</v>
      </c>
      <c r="BE727" t="s">
        <v>112</v>
      </c>
      <c r="BF727" t="s">
        <v>112</v>
      </c>
      <c r="BG727" t="s">
        <v>133</v>
      </c>
      <c r="BH727" t="s">
        <v>134</v>
      </c>
      <c r="BI727" t="s">
        <v>112</v>
      </c>
      <c r="BJ727" t="s">
        <v>112</v>
      </c>
      <c r="BK727" t="s">
        <v>112</v>
      </c>
      <c r="BL727" t="s">
        <v>112</v>
      </c>
      <c r="BM727" t="s">
        <v>112</v>
      </c>
      <c r="BN727" t="s">
        <v>112</v>
      </c>
      <c r="BO727" t="s">
        <v>161</v>
      </c>
      <c r="BQ727" t="s">
        <v>205</v>
      </c>
      <c r="BR727" s="45">
        <f>ISNUMBER(SEARCH($BR$1,Таблица1[[#This Row],[31_1 Описание и характеристика товара]]))*1</f>
        <v>1</v>
      </c>
      <c r="BT727" t="s">
        <v>150</v>
      </c>
      <c r="BU727">
        <v>33</v>
      </c>
      <c r="BV727">
        <v>0</v>
      </c>
      <c r="BW727">
        <v>0</v>
      </c>
      <c r="CA727" t="s">
        <v>106</v>
      </c>
      <c r="CB727" t="s">
        <v>142</v>
      </c>
      <c r="CC727" t="s">
        <v>112</v>
      </c>
      <c r="CD727" t="s">
        <v>112</v>
      </c>
      <c r="CE727" t="s">
        <v>121</v>
      </c>
      <c r="CF727">
        <v>16595.439999999999</v>
      </c>
      <c r="CG727" t="s">
        <v>144</v>
      </c>
      <c r="CH727">
        <v>4000000</v>
      </c>
      <c r="CI727">
        <v>16487.439999999999</v>
      </c>
      <c r="CJ727">
        <v>0</v>
      </c>
      <c r="CK727" t="s">
        <v>112</v>
      </c>
      <c r="CL727" t="s">
        <v>112</v>
      </c>
      <c r="CM727">
        <v>40509.660000000003</v>
      </c>
      <c r="CO727">
        <v>0</v>
      </c>
      <c r="CP727">
        <v>1</v>
      </c>
      <c r="CQ727">
        <v>4706591.4800000004</v>
      </c>
      <c r="CR727">
        <v>48988.47</v>
      </c>
      <c r="CS727" t="s">
        <v>145</v>
      </c>
      <c r="CT727">
        <v>48967.696799999998</v>
      </c>
      <c r="CU727">
        <v>2.97</v>
      </c>
      <c r="CY727">
        <v>576</v>
      </c>
    </row>
    <row r="728" spans="1:103" x14ac:dyDescent="0.25">
      <c r="A728" t="s">
        <v>106</v>
      </c>
      <c r="B728" s="38">
        <v>45049</v>
      </c>
      <c r="C728" s="43">
        <f>IF(YEAR(Таблица1[[#This Row],[Дата]])=2023,MONTH(Таблица1[[#This Row],[Дата]]),0)</f>
        <v>5</v>
      </c>
      <c r="D728" t="s">
        <v>874</v>
      </c>
      <c r="E728" t="s">
        <v>108</v>
      </c>
      <c r="F728" t="s">
        <v>875</v>
      </c>
      <c r="G728" t="s">
        <v>110</v>
      </c>
      <c r="H728" t="s">
        <v>111</v>
      </c>
      <c r="I728" t="s">
        <v>112</v>
      </c>
      <c r="J728" t="s">
        <v>112</v>
      </c>
      <c r="K728" t="s">
        <v>112</v>
      </c>
      <c r="L728" t="s">
        <v>150</v>
      </c>
      <c r="M728" t="s">
        <v>151</v>
      </c>
      <c r="N728" t="s">
        <v>112</v>
      </c>
      <c r="O728" t="s">
        <v>112</v>
      </c>
      <c r="P728">
        <v>1</v>
      </c>
      <c r="Q728">
        <v>0</v>
      </c>
      <c r="R728">
        <v>1</v>
      </c>
      <c r="S728">
        <v>33</v>
      </c>
      <c r="T728" t="s">
        <v>166</v>
      </c>
      <c r="U728" t="s">
        <v>152</v>
      </c>
      <c r="V728" t="s">
        <v>153</v>
      </c>
      <c r="W728" t="s">
        <v>154</v>
      </c>
      <c r="X728" t="s">
        <v>119</v>
      </c>
      <c r="Y728" t="s">
        <v>112</v>
      </c>
      <c r="Z728" t="s">
        <v>166</v>
      </c>
      <c r="AA728" t="s">
        <v>152</v>
      </c>
      <c r="AB728" t="s">
        <v>153</v>
      </c>
      <c r="AC728" t="s">
        <v>154</v>
      </c>
      <c r="AD728" t="s">
        <v>119</v>
      </c>
      <c r="AE728" t="s">
        <v>112</v>
      </c>
      <c r="AF728" t="s">
        <v>121</v>
      </c>
      <c r="AG728" t="s">
        <v>122</v>
      </c>
      <c r="AH728">
        <v>3766032.11</v>
      </c>
      <c r="AI728" t="s">
        <v>166</v>
      </c>
      <c r="AJ728" t="s">
        <v>152</v>
      </c>
      <c r="AK728" t="s">
        <v>153</v>
      </c>
      <c r="AL728" t="s">
        <v>154</v>
      </c>
      <c r="AM728" t="s">
        <v>119</v>
      </c>
      <c r="AN728" t="s">
        <v>112</v>
      </c>
      <c r="AO728" t="s">
        <v>121</v>
      </c>
      <c r="AP728" t="s">
        <v>122</v>
      </c>
      <c r="AQ728" t="s">
        <v>122</v>
      </c>
      <c r="AR728" t="s">
        <v>124</v>
      </c>
      <c r="AS728" t="s">
        <v>125</v>
      </c>
      <c r="AT728">
        <v>2</v>
      </c>
      <c r="AU728" t="s">
        <v>126</v>
      </c>
      <c r="AV728" t="s">
        <v>155</v>
      </c>
      <c r="AW728" t="s">
        <v>156</v>
      </c>
      <c r="AX728">
        <v>1</v>
      </c>
      <c r="AY728" t="s">
        <v>129</v>
      </c>
      <c r="AZ728">
        <v>41904.199999999997</v>
      </c>
      <c r="BA728">
        <v>3375367</v>
      </c>
      <c r="BB728">
        <v>49909.18</v>
      </c>
      <c r="BC728">
        <v>80.549599999999998</v>
      </c>
      <c r="BD728" t="s">
        <v>130</v>
      </c>
      <c r="BE728" t="s">
        <v>112</v>
      </c>
      <c r="BF728" t="s">
        <v>157</v>
      </c>
      <c r="BG728" t="s">
        <v>133</v>
      </c>
      <c r="BH728" t="s">
        <v>134</v>
      </c>
      <c r="BI728" t="s">
        <v>112</v>
      </c>
      <c r="BJ728" t="s">
        <v>112</v>
      </c>
      <c r="BK728" t="s">
        <v>112</v>
      </c>
      <c r="BL728" t="s">
        <v>169</v>
      </c>
      <c r="BM728" t="s">
        <v>159</v>
      </c>
      <c r="BN728" t="s">
        <v>212</v>
      </c>
      <c r="BO728" t="s">
        <v>161</v>
      </c>
      <c r="BP728">
        <v>1</v>
      </c>
      <c r="BQ728" t="s">
        <v>205</v>
      </c>
      <c r="BR728" s="45">
        <f>ISNUMBER(SEARCH($BR$1,Таблица1[[#This Row],[31_1 Описание и характеристика товара]]))*1</f>
        <v>1</v>
      </c>
      <c r="BT728" t="s">
        <v>150</v>
      </c>
      <c r="BU728">
        <v>33</v>
      </c>
      <c r="BV728">
        <v>0</v>
      </c>
      <c r="BW728">
        <v>0</v>
      </c>
      <c r="BY728">
        <v>0</v>
      </c>
      <c r="CA728" t="s">
        <v>106</v>
      </c>
      <c r="CB728" t="s">
        <v>142</v>
      </c>
      <c r="CC728" t="s">
        <v>112</v>
      </c>
      <c r="CD728" t="s">
        <v>112</v>
      </c>
      <c r="CE728" t="s">
        <v>121</v>
      </c>
      <c r="CF728">
        <v>16705.259999999998</v>
      </c>
      <c r="CG728" t="s">
        <v>144</v>
      </c>
      <c r="CH728">
        <v>4000000</v>
      </c>
      <c r="CI728">
        <v>16705.259999999998</v>
      </c>
      <c r="CJ728">
        <v>0</v>
      </c>
      <c r="CK728" t="s">
        <v>112</v>
      </c>
      <c r="CL728" t="s">
        <v>112</v>
      </c>
      <c r="CM728">
        <v>41904.199999999997</v>
      </c>
      <c r="CN728">
        <v>3375367</v>
      </c>
      <c r="CO728">
        <v>0</v>
      </c>
      <c r="CP728">
        <v>1</v>
      </c>
      <c r="CQ728">
        <v>3766032.11</v>
      </c>
      <c r="CR728">
        <v>49909.18</v>
      </c>
      <c r="CS728" t="s">
        <v>145</v>
      </c>
      <c r="CT728">
        <v>49908.634775999999</v>
      </c>
      <c r="CU728">
        <v>2.9876</v>
      </c>
      <c r="CV728">
        <v>45</v>
      </c>
      <c r="CW728" t="s">
        <v>171</v>
      </c>
      <c r="CX728" t="s">
        <v>369</v>
      </c>
      <c r="CY728">
        <v>248</v>
      </c>
    </row>
    <row r="729" spans="1:103" x14ac:dyDescent="0.25">
      <c r="A729" t="s">
        <v>106</v>
      </c>
      <c r="B729" s="38">
        <v>45031</v>
      </c>
      <c r="C729" s="43">
        <f>IF(YEAR(Таблица1[[#This Row],[Дата]])=2023,MONTH(Таблица1[[#This Row],[Дата]]),0)</f>
        <v>4</v>
      </c>
      <c r="D729" t="s">
        <v>871</v>
      </c>
      <c r="E729" t="s">
        <v>108</v>
      </c>
      <c r="F729" t="s">
        <v>872</v>
      </c>
      <c r="G729" t="s">
        <v>110</v>
      </c>
      <c r="H729" t="s">
        <v>111</v>
      </c>
      <c r="I729" t="s">
        <v>112</v>
      </c>
      <c r="J729" t="s">
        <v>112</v>
      </c>
      <c r="K729" t="s">
        <v>112</v>
      </c>
      <c r="L729" t="s">
        <v>150</v>
      </c>
      <c r="M729" t="s">
        <v>151</v>
      </c>
      <c r="N729" t="s">
        <v>112</v>
      </c>
      <c r="O729" t="s">
        <v>112</v>
      </c>
      <c r="P729">
        <v>1</v>
      </c>
      <c r="Q729">
        <v>0</v>
      </c>
      <c r="R729">
        <v>1</v>
      </c>
      <c r="S729">
        <v>33</v>
      </c>
      <c r="T729" t="s">
        <v>166</v>
      </c>
      <c r="U729" t="s">
        <v>152</v>
      </c>
      <c r="V729" t="s">
        <v>153</v>
      </c>
      <c r="W729" t="s">
        <v>154</v>
      </c>
      <c r="X729" t="s">
        <v>119</v>
      </c>
      <c r="Y729" t="s">
        <v>112</v>
      </c>
      <c r="Z729" t="s">
        <v>166</v>
      </c>
      <c r="AA729" t="s">
        <v>152</v>
      </c>
      <c r="AB729" t="s">
        <v>153</v>
      </c>
      <c r="AC729" t="s">
        <v>154</v>
      </c>
      <c r="AD729" t="s">
        <v>119</v>
      </c>
      <c r="AE729" t="s">
        <v>112</v>
      </c>
      <c r="AF729" t="s">
        <v>121</v>
      </c>
      <c r="AG729" t="s">
        <v>122</v>
      </c>
      <c r="AH729">
        <v>3593134</v>
      </c>
      <c r="AI729" t="s">
        <v>166</v>
      </c>
      <c r="AJ729" t="s">
        <v>152</v>
      </c>
      <c r="AK729" t="s">
        <v>153</v>
      </c>
      <c r="AL729" t="s">
        <v>154</v>
      </c>
      <c r="AM729" t="s">
        <v>119</v>
      </c>
      <c r="AN729" t="s">
        <v>112</v>
      </c>
      <c r="AO729" t="s">
        <v>121</v>
      </c>
      <c r="AP729" t="s">
        <v>122</v>
      </c>
      <c r="AQ729" t="s">
        <v>122</v>
      </c>
      <c r="AR729" t="s">
        <v>124</v>
      </c>
      <c r="AS729" t="s">
        <v>125</v>
      </c>
      <c r="AT729">
        <v>2</v>
      </c>
      <c r="AU729" t="s">
        <v>126</v>
      </c>
      <c r="AV729" t="s">
        <v>155</v>
      </c>
      <c r="AW729" t="s">
        <v>156</v>
      </c>
      <c r="AX729">
        <v>1</v>
      </c>
      <c r="AY729" t="s">
        <v>129</v>
      </c>
      <c r="AZ729">
        <v>40257.72</v>
      </c>
      <c r="BA729">
        <v>3242743</v>
      </c>
      <c r="BB729">
        <v>47617.86</v>
      </c>
      <c r="BC729">
        <v>80.549599999999998</v>
      </c>
      <c r="BD729" t="s">
        <v>130</v>
      </c>
      <c r="BE729" t="s">
        <v>112</v>
      </c>
      <c r="BF729" t="s">
        <v>157</v>
      </c>
      <c r="BG729" t="s">
        <v>133</v>
      </c>
      <c r="BH729" t="s">
        <v>134</v>
      </c>
      <c r="BI729" t="s">
        <v>112</v>
      </c>
      <c r="BJ729" t="s">
        <v>112</v>
      </c>
      <c r="BK729" t="s">
        <v>112</v>
      </c>
      <c r="BL729" t="s">
        <v>169</v>
      </c>
      <c r="BM729" t="s">
        <v>159</v>
      </c>
      <c r="BN729" t="s">
        <v>212</v>
      </c>
      <c r="BO729" t="s">
        <v>161</v>
      </c>
      <c r="BP729">
        <v>1</v>
      </c>
      <c r="BQ729" t="s">
        <v>873</v>
      </c>
      <c r="BR729" s="45">
        <f>ISNUMBER(SEARCH($BR$1,Таблица1[[#This Row],[31_1 Описание и характеристика товара]]))*1</f>
        <v>1</v>
      </c>
      <c r="BT729" t="s">
        <v>150</v>
      </c>
      <c r="BU729">
        <v>33</v>
      </c>
      <c r="BV729">
        <v>0</v>
      </c>
      <c r="BW729">
        <v>0</v>
      </c>
      <c r="BY729">
        <v>0</v>
      </c>
      <c r="CA729" t="s">
        <v>106</v>
      </c>
      <c r="CB729" t="s">
        <v>142</v>
      </c>
      <c r="CC729" t="s">
        <v>112</v>
      </c>
      <c r="CD729" t="s">
        <v>112</v>
      </c>
      <c r="CE729" t="s">
        <v>121</v>
      </c>
      <c r="CF729">
        <v>15893.65</v>
      </c>
      <c r="CG729" t="s">
        <v>144</v>
      </c>
      <c r="CH729">
        <v>4000000</v>
      </c>
      <c r="CI729">
        <v>15710.05</v>
      </c>
      <c r="CJ729">
        <v>0</v>
      </c>
      <c r="CK729" t="s">
        <v>112</v>
      </c>
      <c r="CL729" t="s">
        <v>112</v>
      </c>
      <c r="CM729">
        <v>40257.72</v>
      </c>
      <c r="CN729">
        <v>3242743</v>
      </c>
      <c r="CO729">
        <v>0</v>
      </c>
      <c r="CP729">
        <v>1</v>
      </c>
      <c r="CQ729">
        <v>3593134</v>
      </c>
      <c r="CR729">
        <v>47617.86</v>
      </c>
      <c r="CS729" t="s">
        <v>145</v>
      </c>
      <c r="CT729">
        <v>47617.161549999997</v>
      </c>
      <c r="CU729">
        <v>3.0310000000000001</v>
      </c>
      <c r="CV729">
        <v>45</v>
      </c>
      <c r="CW729" t="s">
        <v>171</v>
      </c>
      <c r="CX729" t="s">
        <v>372</v>
      </c>
      <c r="CY729">
        <v>567</v>
      </c>
    </row>
    <row r="730" spans="1:103" x14ac:dyDescent="0.25">
      <c r="A730" t="s">
        <v>106</v>
      </c>
      <c r="B730" s="38">
        <v>45016</v>
      </c>
      <c r="C730" s="43">
        <f>IF(YEAR(Таблица1[[#This Row],[Дата]])=2023,MONTH(Таблица1[[#This Row],[Дата]]),0)</f>
        <v>3</v>
      </c>
      <c r="D730" t="s">
        <v>869</v>
      </c>
      <c r="E730" t="s">
        <v>108</v>
      </c>
      <c r="F730" t="s">
        <v>870</v>
      </c>
      <c r="G730" t="s">
        <v>110</v>
      </c>
      <c r="H730" t="s">
        <v>111</v>
      </c>
      <c r="I730" t="s">
        <v>112</v>
      </c>
      <c r="J730" t="s">
        <v>112</v>
      </c>
      <c r="K730" t="s">
        <v>112</v>
      </c>
      <c r="L730" t="s">
        <v>150</v>
      </c>
      <c r="M730" t="s">
        <v>151</v>
      </c>
      <c r="N730" t="s">
        <v>112</v>
      </c>
      <c r="O730" t="s">
        <v>112</v>
      </c>
      <c r="P730">
        <v>1</v>
      </c>
      <c r="Q730">
        <v>0</v>
      </c>
      <c r="R730">
        <v>1</v>
      </c>
      <c r="S730">
        <v>33</v>
      </c>
      <c r="T730" t="s">
        <v>166</v>
      </c>
      <c r="U730" t="s">
        <v>152</v>
      </c>
      <c r="V730" t="s">
        <v>153</v>
      </c>
      <c r="W730" t="s">
        <v>154</v>
      </c>
      <c r="X730" t="s">
        <v>119</v>
      </c>
      <c r="Y730" t="s">
        <v>112</v>
      </c>
      <c r="Z730" t="s">
        <v>166</v>
      </c>
      <c r="AA730" t="s">
        <v>152</v>
      </c>
      <c r="AB730" t="s">
        <v>153</v>
      </c>
      <c r="AC730" t="s">
        <v>154</v>
      </c>
      <c r="AD730" t="s">
        <v>119</v>
      </c>
      <c r="AE730" t="s">
        <v>112</v>
      </c>
      <c r="AF730" t="s">
        <v>121</v>
      </c>
      <c r="AG730" t="s">
        <v>122</v>
      </c>
      <c r="AH730">
        <v>3783340.61</v>
      </c>
      <c r="AI730" t="s">
        <v>166</v>
      </c>
      <c r="AJ730" t="s">
        <v>152</v>
      </c>
      <c r="AK730" t="s">
        <v>153</v>
      </c>
      <c r="AL730" t="s">
        <v>154</v>
      </c>
      <c r="AM730" t="s">
        <v>119</v>
      </c>
      <c r="AN730" t="s">
        <v>112</v>
      </c>
      <c r="AO730" t="s">
        <v>121</v>
      </c>
      <c r="AP730" t="s">
        <v>122</v>
      </c>
      <c r="AQ730" t="s">
        <v>122</v>
      </c>
      <c r="AR730" t="s">
        <v>124</v>
      </c>
      <c r="AS730" t="s">
        <v>125</v>
      </c>
      <c r="AT730">
        <v>2</v>
      </c>
      <c r="AU730" t="s">
        <v>126</v>
      </c>
      <c r="AV730" t="s">
        <v>155</v>
      </c>
      <c r="AW730" t="s">
        <v>156</v>
      </c>
      <c r="AX730">
        <v>1</v>
      </c>
      <c r="AY730" t="s">
        <v>129</v>
      </c>
      <c r="AZ730">
        <v>42619.08</v>
      </c>
      <c r="BA730">
        <v>3432950</v>
      </c>
      <c r="BB730">
        <v>50138.559999999998</v>
      </c>
      <c r="BC730">
        <v>80.549599999999998</v>
      </c>
      <c r="BD730" t="s">
        <v>130</v>
      </c>
      <c r="BE730" t="s">
        <v>112</v>
      </c>
      <c r="BF730" t="s">
        <v>157</v>
      </c>
      <c r="BG730" t="s">
        <v>133</v>
      </c>
      <c r="BH730" t="s">
        <v>134</v>
      </c>
      <c r="BI730" t="s">
        <v>112</v>
      </c>
      <c r="BJ730" t="s">
        <v>112</v>
      </c>
      <c r="BK730" t="s">
        <v>112</v>
      </c>
      <c r="BL730" t="s">
        <v>169</v>
      </c>
      <c r="BM730" t="s">
        <v>159</v>
      </c>
      <c r="BN730" t="s">
        <v>212</v>
      </c>
      <c r="BO730" t="s">
        <v>161</v>
      </c>
      <c r="BP730">
        <v>1</v>
      </c>
      <c r="BQ730" t="s">
        <v>232</v>
      </c>
      <c r="BR730" s="45">
        <f>ISNUMBER(SEARCH($BR$1,Таблица1[[#This Row],[31_1 Описание и характеристика товара]]))*1</f>
        <v>1</v>
      </c>
      <c r="BT730" t="s">
        <v>150</v>
      </c>
      <c r="BU730">
        <v>33</v>
      </c>
      <c r="BV730">
        <v>0</v>
      </c>
      <c r="BW730">
        <v>0</v>
      </c>
      <c r="BY730">
        <v>0</v>
      </c>
      <c r="CA730" t="s">
        <v>106</v>
      </c>
      <c r="CB730" t="s">
        <v>142</v>
      </c>
      <c r="CC730" t="s">
        <v>112</v>
      </c>
      <c r="CD730" t="s">
        <v>112</v>
      </c>
      <c r="CE730" t="s">
        <v>121</v>
      </c>
      <c r="CF730">
        <v>16669.22</v>
      </c>
      <c r="CG730" t="s">
        <v>144</v>
      </c>
      <c r="CH730">
        <v>4000000</v>
      </c>
      <c r="CI730">
        <v>16669.22</v>
      </c>
      <c r="CJ730">
        <v>0</v>
      </c>
      <c r="CK730" t="s">
        <v>112</v>
      </c>
      <c r="CL730" t="s">
        <v>112</v>
      </c>
      <c r="CM730">
        <v>42619.08</v>
      </c>
      <c r="CN730">
        <v>3432950</v>
      </c>
      <c r="CO730">
        <v>0</v>
      </c>
      <c r="CP730">
        <v>1</v>
      </c>
      <c r="CQ730">
        <v>3783340.61</v>
      </c>
      <c r="CR730">
        <v>50138.559999999998</v>
      </c>
      <c r="CS730" t="s">
        <v>145</v>
      </c>
      <c r="CT730">
        <v>50139.346837999998</v>
      </c>
      <c r="CU730">
        <v>3.0078999999999998</v>
      </c>
      <c r="CV730">
        <v>45</v>
      </c>
      <c r="CW730" t="s">
        <v>171</v>
      </c>
      <c r="CX730" t="s">
        <v>350</v>
      </c>
      <c r="CY730">
        <v>274</v>
      </c>
    </row>
    <row r="731" spans="1:103" x14ac:dyDescent="0.25">
      <c r="A731" t="s">
        <v>106</v>
      </c>
      <c r="B731" s="38">
        <v>44671</v>
      </c>
      <c r="C731" s="43">
        <f>IF(YEAR(Таблица1[[#This Row],[Дата]])=2023,MONTH(Таблица1[[#This Row],[Дата]]),0)</f>
        <v>0</v>
      </c>
      <c r="D731" t="s">
        <v>537</v>
      </c>
      <c r="E731" t="s">
        <v>108</v>
      </c>
      <c r="F731" t="s">
        <v>538</v>
      </c>
      <c r="G731" t="s">
        <v>110</v>
      </c>
      <c r="H731" t="s">
        <v>111</v>
      </c>
      <c r="I731" t="s">
        <v>112</v>
      </c>
      <c r="J731" t="s">
        <v>112</v>
      </c>
      <c r="K731" t="s">
        <v>112</v>
      </c>
      <c r="L731" t="s">
        <v>150</v>
      </c>
      <c r="M731" t="s">
        <v>151</v>
      </c>
      <c r="N731" t="s">
        <v>112</v>
      </c>
      <c r="O731" t="s">
        <v>112</v>
      </c>
      <c r="P731">
        <v>1</v>
      </c>
      <c r="Q731">
        <v>0</v>
      </c>
      <c r="R731">
        <v>1</v>
      </c>
      <c r="S731">
        <v>33</v>
      </c>
      <c r="T731" t="s">
        <v>166</v>
      </c>
      <c r="U731" t="s">
        <v>152</v>
      </c>
      <c r="V731" t="s">
        <v>153</v>
      </c>
      <c r="W731" t="s">
        <v>154</v>
      </c>
      <c r="X731" t="s">
        <v>119</v>
      </c>
      <c r="Y731" t="s">
        <v>112</v>
      </c>
      <c r="Z731" t="s">
        <v>166</v>
      </c>
      <c r="AA731" t="s">
        <v>152</v>
      </c>
      <c r="AB731" t="s">
        <v>153</v>
      </c>
      <c r="AC731" t="s">
        <v>154</v>
      </c>
      <c r="AD731" t="s">
        <v>119</v>
      </c>
      <c r="AE731" t="s">
        <v>112</v>
      </c>
      <c r="AF731" t="s">
        <v>121</v>
      </c>
      <c r="AG731" t="s">
        <v>122</v>
      </c>
      <c r="AH731">
        <v>3825680.05</v>
      </c>
      <c r="AI731" t="s">
        <v>166</v>
      </c>
      <c r="AJ731" t="s">
        <v>152</v>
      </c>
      <c r="AK731" t="s">
        <v>153</v>
      </c>
      <c r="AL731" t="s">
        <v>154</v>
      </c>
      <c r="AM731" t="s">
        <v>119</v>
      </c>
      <c r="AN731" t="s">
        <v>112</v>
      </c>
      <c r="AO731" t="s">
        <v>121</v>
      </c>
      <c r="AP731" t="s">
        <v>122</v>
      </c>
      <c r="AQ731" t="s">
        <v>122</v>
      </c>
      <c r="AR731" t="s">
        <v>124</v>
      </c>
      <c r="AS731" t="s">
        <v>125</v>
      </c>
      <c r="AT731">
        <v>2</v>
      </c>
      <c r="AU731" t="s">
        <v>126</v>
      </c>
      <c r="AV731" t="s">
        <v>155</v>
      </c>
      <c r="AW731" t="s">
        <v>156</v>
      </c>
      <c r="AX731">
        <v>1</v>
      </c>
      <c r="AY731" t="s">
        <v>129</v>
      </c>
      <c r="AZ731">
        <v>45441.24</v>
      </c>
      <c r="BA731">
        <v>3491450</v>
      </c>
      <c r="BB731">
        <v>53448.98</v>
      </c>
      <c r="BC731">
        <v>76.834400000000002</v>
      </c>
      <c r="BD731" t="s">
        <v>130</v>
      </c>
      <c r="BE731" t="s">
        <v>112</v>
      </c>
      <c r="BF731" t="s">
        <v>157</v>
      </c>
      <c r="BG731" t="s">
        <v>133</v>
      </c>
      <c r="BH731" t="s">
        <v>134</v>
      </c>
      <c r="BI731" t="s">
        <v>112</v>
      </c>
      <c r="BJ731" t="s">
        <v>112</v>
      </c>
      <c r="BK731" t="s">
        <v>112</v>
      </c>
      <c r="BL731" t="s">
        <v>169</v>
      </c>
      <c r="BM731" t="s">
        <v>159</v>
      </c>
      <c r="BN731" t="s">
        <v>212</v>
      </c>
      <c r="BO731" t="s">
        <v>161</v>
      </c>
      <c r="BP731">
        <v>1</v>
      </c>
      <c r="BQ731" t="s">
        <v>539</v>
      </c>
      <c r="BR731" s="45">
        <f>ISNUMBER(SEARCH($BR$1,Таблица1[[#This Row],[31_1 Описание и характеристика товара]]))*1</f>
        <v>1</v>
      </c>
      <c r="BT731" t="s">
        <v>150</v>
      </c>
      <c r="BU731">
        <v>33</v>
      </c>
      <c r="BV731">
        <v>0</v>
      </c>
      <c r="BW731">
        <v>0</v>
      </c>
      <c r="BY731">
        <v>0</v>
      </c>
      <c r="CA731" t="s">
        <v>106</v>
      </c>
      <c r="CB731" t="s">
        <v>142</v>
      </c>
      <c r="CC731" t="s">
        <v>112</v>
      </c>
      <c r="CD731" t="s">
        <v>112</v>
      </c>
      <c r="CE731" t="s">
        <v>121</v>
      </c>
      <c r="CF731">
        <v>17195.21</v>
      </c>
      <c r="CG731" t="s">
        <v>144</v>
      </c>
      <c r="CH731">
        <v>4000000</v>
      </c>
      <c r="CI731">
        <v>17123.21</v>
      </c>
      <c r="CJ731">
        <v>0</v>
      </c>
      <c r="CK731" t="s">
        <v>112</v>
      </c>
      <c r="CL731" t="s">
        <v>112</v>
      </c>
      <c r="CM731">
        <v>45441.24</v>
      </c>
      <c r="CN731">
        <v>3491450</v>
      </c>
      <c r="CO731">
        <v>0</v>
      </c>
      <c r="CP731">
        <v>1</v>
      </c>
      <c r="CQ731">
        <v>3825680.05</v>
      </c>
      <c r="CR731">
        <v>53448.98</v>
      </c>
      <c r="CS731" t="s">
        <v>145</v>
      </c>
      <c r="CT731">
        <v>53448.387693999997</v>
      </c>
      <c r="CU731">
        <v>3.1214</v>
      </c>
      <c r="CV731">
        <v>45</v>
      </c>
      <c r="CW731" t="s">
        <v>171</v>
      </c>
      <c r="CX731" t="s">
        <v>369</v>
      </c>
      <c r="CY731">
        <v>140</v>
      </c>
    </row>
    <row r="732" spans="1:103" x14ac:dyDescent="0.25">
      <c r="A732" t="s">
        <v>106</v>
      </c>
      <c r="B732" s="38">
        <v>44814</v>
      </c>
      <c r="C732" s="43">
        <f>IF(YEAR(Таблица1[[#This Row],[Дата]])=2023,MONTH(Таблица1[[#This Row],[Дата]]),0)</f>
        <v>0</v>
      </c>
      <c r="D732" t="s">
        <v>531</v>
      </c>
      <c r="E732" t="s">
        <v>108</v>
      </c>
      <c r="F732" t="s">
        <v>532</v>
      </c>
      <c r="G732" t="s">
        <v>110</v>
      </c>
      <c r="H732" t="s">
        <v>111</v>
      </c>
      <c r="I732" t="s">
        <v>112</v>
      </c>
      <c r="J732" t="s">
        <v>112</v>
      </c>
      <c r="K732" t="s">
        <v>112</v>
      </c>
      <c r="L732" t="s">
        <v>150</v>
      </c>
      <c r="M732" t="s">
        <v>151</v>
      </c>
      <c r="N732" t="s">
        <v>112</v>
      </c>
      <c r="O732" t="s">
        <v>112</v>
      </c>
      <c r="P732">
        <v>1</v>
      </c>
      <c r="Q732">
        <v>0</v>
      </c>
      <c r="R732">
        <v>1</v>
      </c>
      <c r="S732">
        <v>33</v>
      </c>
      <c r="T732" t="s">
        <v>166</v>
      </c>
      <c r="U732" t="s">
        <v>152</v>
      </c>
      <c r="V732" t="s">
        <v>153</v>
      </c>
      <c r="W732" t="s">
        <v>154</v>
      </c>
      <c r="X732" t="s">
        <v>119</v>
      </c>
      <c r="Y732" t="s">
        <v>112</v>
      </c>
      <c r="Z732" t="s">
        <v>166</v>
      </c>
      <c r="AA732" t="s">
        <v>152</v>
      </c>
      <c r="AB732" t="s">
        <v>153</v>
      </c>
      <c r="AC732" t="s">
        <v>154</v>
      </c>
      <c r="AD732" t="s">
        <v>119</v>
      </c>
      <c r="AE732" t="s">
        <v>112</v>
      </c>
      <c r="AF732" t="s">
        <v>121</v>
      </c>
      <c r="AG732" t="s">
        <v>122</v>
      </c>
      <c r="AH732">
        <v>4045614.68</v>
      </c>
      <c r="AI732" t="s">
        <v>166</v>
      </c>
      <c r="AJ732" t="s">
        <v>152</v>
      </c>
      <c r="AK732" t="s">
        <v>153</v>
      </c>
      <c r="AL732" t="s">
        <v>154</v>
      </c>
      <c r="AM732" t="s">
        <v>119</v>
      </c>
      <c r="AN732" t="s">
        <v>112</v>
      </c>
      <c r="AO732" t="s">
        <v>121</v>
      </c>
      <c r="AP732" t="s">
        <v>122</v>
      </c>
      <c r="AQ732" t="s">
        <v>122</v>
      </c>
      <c r="AR732" t="s">
        <v>124</v>
      </c>
      <c r="AS732" t="s">
        <v>125</v>
      </c>
      <c r="AT732">
        <v>2</v>
      </c>
      <c r="AU732" t="s">
        <v>126</v>
      </c>
      <c r="AV732" t="s">
        <v>155</v>
      </c>
      <c r="AW732" t="s">
        <v>156</v>
      </c>
      <c r="AX732">
        <v>1</v>
      </c>
      <c r="AY732" t="s">
        <v>129</v>
      </c>
      <c r="AZ732">
        <v>47603.69</v>
      </c>
      <c r="BA732">
        <v>3657601</v>
      </c>
      <c r="BB732">
        <v>56521.71</v>
      </c>
      <c r="BC732">
        <v>76.834400000000002</v>
      </c>
      <c r="BD732" t="s">
        <v>130</v>
      </c>
      <c r="BE732" t="s">
        <v>112</v>
      </c>
      <c r="BF732" t="s">
        <v>157</v>
      </c>
      <c r="BG732" t="s">
        <v>133</v>
      </c>
      <c r="BH732" t="s">
        <v>167</v>
      </c>
      <c r="BI732" t="s">
        <v>168</v>
      </c>
      <c r="BJ732" t="s">
        <v>112</v>
      </c>
      <c r="BK732" t="s">
        <v>112</v>
      </c>
      <c r="BL732" t="s">
        <v>169</v>
      </c>
      <c r="BM732" t="s">
        <v>159</v>
      </c>
      <c r="BN732" t="s">
        <v>160</v>
      </c>
      <c r="BO732" t="s">
        <v>161</v>
      </c>
      <c r="BP732">
        <v>1</v>
      </c>
      <c r="BQ732" t="s">
        <v>533</v>
      </c>
      <c r="BR732" s="45">
        <f>ISNUMBER(SEARCH($BR$1,Таблица1[[#This Row],[31_1 Описание и характеристика товара]]))*1</f>
        <v>1</v>
      </c>
      <c r="BT732" t="s">
        <v>150</v>
      </c>
      <c r="BU732">
        <v>33</v>
      </c>
      <c r="BV732">
        <v>0</v>
      </c>
      <c r="BW732">
        <v>0</v>
      </c>
      <c r="BY732">
        <v>0</v>
      </c>
      <c r="CA732" t="s">
        <v>106</v>
      </c>
      <c r="CB732" t="s">
        <v>142</v>
      </c>
      <c r="CC732" t="s">
        <v>112</v>
      </c>
      <c r="CD732" t="s">
        <v>112</v>
      </c>
      <c r="CE732" t="s">
        <v>121</v>
      </c>
      <c r="CF732">
        <v>16649.34</v>
      </c>
      <c r="CG732" t="s">
        <v>144</v>
      </c>
      <c r="CH732">
        <v>4000000</v>
      </c>
      <c r="CI732">
        <v>16595.34</v>
      </c>
      <c r="CJ732">
        <v>0</v>
      </c>
      <c r="CK732" t="s">
        <v>112</v>
      </c>
      <c r="CL732" t="s">
        <v>112</v>
      </c>
      <c r="CM732">
        <v>47603.69</v>
      </c>
      <c r="CN732">
        <v>3657601</v>
      </c>
      <c r="CO732">
        <v>0</v>
      </c>
      <c r="CP732">
        <v>1</v>
      </c>
      <c r="CQ732">
        <v>4045614.68</v>
      </c>
      <c r="CR732">
        <v>56521.71</v>
      </c>
      <c r="CS732" t="s">
        <v>145</v>
      </c>
      <c r="CT732">
        <v>56522.068505999996</v>
      </c>
      <c r="CU732">
        <v>3.4058999999999999</v>
      </c>
      <c r="CV732">
        <v>45</v>
      </c>
      <c r="CW732" t="s">
        <v>171</v>
      </c>
      <c r="CX732" t="s">
        <v>369</v>
      </c>
      <c r="CY732">
        <v>140</v>
      </c>
    </row>
    <row r="733" spans="1:103" x14ac:dyDescent="0.25">
      <c r="A733" t="s">
        <v>106</v>
      </c>
      <c r="B733" s="38">
        <v>44602</v>
      </c>
      <c r="C733" s="43">
        <f>IF(YEAR(Таблица1[[#This Row],[Дата]])=2023,MONTH(Таблица1[[#This Row],[Дата]]),0)</f>
        <v>0</v>
      </c>
      <c r="D733" t="s">
        <v>534</v>
      </c>
      <c r="E733" t="s">
        <v>108</v>
      </c>
      <c r="F733" t="s">
        <v>535</v>
      </c>
      <c r="G733" t="s">
        <v>110</v>
      </c>
      <c r="H733" t="s">
        <v>111</v>
      </c>
      <c r="I733" t="s">
        <v>112</v>
      </c>
      <c r="J733" t="s">
        <v>112</v>
      </c>
      <c r="K733" t="s">
        <v>112</v>
      </c>
      <c r="L733" t="s">
        <v>150</v>
      </c>
      <c r="M733" t="s">
        <v>151</v>
      </c>
      <c r="N733" t="s">
        <v>112</v>
      </c>
      <c r="O733" t="s">
        <v>112</v>
      </c>
      <c r="P733">
        <v>1</v>
      </c>
      <c r="Q733">
        <v>0</v>
      </c>
      <c r="R733">
        <v>1</v>
      </c>
      <c r="S733">
        <v>33</v>
      </c>
      <c r="T733" t="s">
        <v>166</v>
      </c>
      <c r="U733" t="s">
        <v>152</v>
      </c>
      <c r="V733" t="s">
        <v>153</v>
      </c>
      <c r="W733" t="s">
        <v>154</v>
      </c>
      <c r="X733" t="s">
        <v>119</v>
      </c>
      <c r="Y733" t="s">
        <v>112</v>
      </c>
      <c r="Z733" t="s">
        <v>166</v>
      </c>
      <c r="AA733" t="s">
        <v>152</v>
      </c>
      <c r="AB733" t="s">
        <v>153</v>
      </c>
      <c r="AC733" t="s">
        <v>154</v>
      </c>
      <c r="AD733" t="s">
        <v>119</v>
      </c>
      <c r="AE733" t="s">
        <v>112</v>
      </c>
      <c r="AF733" t="s">
        <v>121</v>
      </c>
      <c r="AG733" t="s">
        <v>122</v>
      </c>
      <c r="AH733">
        <v>3935753.01</v>
      </c>
      <c r="AI733" t="s">
        <v>166</v>
      </c>
      <c r="AJ733" t="s">
        <v>152</v>
      </c>
      <c r="AK733" t="s">
        <v>153</v>
      </c>
      <c r="AL733" t="s">
        <v>154</v>
      </c>
      <c r="AM733" t="s">
        <v>119</v>
      </c>
      <c r="AN733" t="s">
        <v>112</v>
      </c>
      <c r="AO733" t="s">
        <v>121</v>
      </c>
      <c r="AP733" t="s">
        <v>122</v>
      </c>
      <c r="AQ733" t="s">
        <v>122</v>
      </c>
      <c r="AR733" t="s">
        <v>124</v>
      </c>
      <c r="AS733" t="s">
        <v>125</v>
      </c>
      <c r="AT733">
        <v>2</v>
      </c>
      <c r="AU733" t="s">
        <v>126</v>
      </c>
      <c r="AV733" t="s">
        <v>155</v>
      </c>
      <c r="AW733" t="s">
        <v>156</v>
      </c>
      <c r="AX733">
        <v>1</v>
      </c>
      <c r="AY733" t="s">
        <v>129</v>
      </c>
      <c r="AZ733">
        <v>46873.84</v>
      </c>
      <c r="BA733">
        <v>3601523</v>
      </c>
      <c r="BB733">
        <v>54986.82</v>
      </c>
      <c r="BC733">
        <v>76.834400000000002</v>
      </c>
      <c r="BD733" t="s">
        <v>130</v>
      </c>
      <c r="BE733" t="s">
        <v>112</v>
      </c>
      <c r="BF733" t="s">
        <v>157</v>
      </c>
      <c r="BG733" t="s">
        <v>133</v>
      </c>
      <c r="BH733" t="s">
        <v>134</v>
      </c>
      <c r="BI733" t="s">
        <v>112</v>
      </c>
      <c r="BJ733" t="s">
        <v>112</v>
      </c>
      <c r="BK733" t="s">
        <v>112</v>
      </c>
      <c r="BL733" t="s">
        <v>169</v>
      </c>
      <c r="BM733" t="s">
        <v>159</v>
      </c>
      <c r="BN733" t="s">
        <v>212</v>
      </c>
      <c r="BO733" t="s">
        <v>161</v>
      </c>
      <c r="BP733">
        <v>1</v>
      </c>
      <c r="BQ733" t="s">
        <v>536</v>
      </c>
      <c r="BR733" s="45">
        <f>ISNUMBER(SEARCH($BR$1,Таблица1[[#This Row],[31_1 Описание и характеристика товара]]))*1</f>
        <v>1</v>
      </c>
      <c r="BT733" t="s">
        <v>150</v>
      </c>
      <c r="BU733">
        <v>33</v>
      </c>
      <c r="BV733">
        <v>0</v>
      </c>
      <c r="BW733">
        <v>0</v>
      </c>
      <c r="BY733">
        <v>0</v>
      </c>
      <c r="CA733" t="s">
        <v>106</v>
      </c>
      <c r="CB733" t="s">
        <v>142</v>
      </c>
      <c r="CC733" t="s">
        <v>112</v>
      </c>
      <c r="CD733" t="s">
        <v>112</v>
      </c>
      <c r="CE733" t="s">
        <v>121</v>
      </c>
      <c r="CF733">
        <v>16499.52</v>
      </c>
      <c r="CG733" t="s">
        <v>144</v>
      </c>
      <c r="CH733">
        <v>4000000</v>
      </c>
      <c r="CI733">
        <v>16391.52</v>
      </c>
      <c r="CJ733">
        <v>0</v>
      </c>
      <c r="CK733" t="s">
        <v>112</v>
      </c>
      <c r="CL733" t="s">
        <v>112</v>
      </c>
      <c r="CM733">
        <v>46873.84</v>
      </c>
      <c r="CN733">
        <v>3601523</v>
      </c>
      <c r="CO733">
        <v>0</v>
      </c>
      <c r="CP733">
        <v>1</v>
      </c>
      <c r="CQ733">
        <v>3935753.01</v>
      </c>
      <c r="CR733">
        <v>54986.82</v>
      </c>
      <c r="CS733" t="s">
        <v>145</v>
      </c>
      <c r="CT733">
        <v>54986.992992</v>
      </c>
      <c r="CU733">
        <v>3.3546</v>
      </c>
      <c r="CV733">
        <v>45</v>
      </c>
      <c r="CW733" t="s">
        <v>171</v>
      </c>
      <c r="CX733" t="s">
        <v>463</v>
      </c>
      <c r="CY733">
        <v>60</v>
      </c>
    </row>
    <row r="734" spans="1:103" x14ac:dyDescent="0.25">
      <c r="A734" t="s">
        <v>106</v>
      </c>
      <c r="B734" s="38">
        <v>44634</v>
      </c>
      <c r="C734" s="43">
        <f>IF(YEAR(Таблица1[[#This Row],[Дата]])=2023,MONTH(Таблица1[[#This Row],[Дата]]),0)</f>
        <v>0</v>
      </c>
      <c r="D734" t="s">
        <v>526</v>
      </c>
      <c r="E734" t="s">
        <v>108</v>
      </c>
      <c r="F734" t="s">
        <v>527</v>
      </c>
      <c r="G734" t="s">
        <v>110</v>
      </c>
      <c r="H734" t="s">
        <v>111</v>
      </c>
      <c r="I734" t="s">
        <v>112</v>
      </c>
      <c r="J734" t="s">
        <v>112</v>
      </c>
      <c r="K734" t="s">
        <v>112</v>
      </c>
      <c r="L734" t="s">
        <v>150</v>
      </c>
      <c r="M734" t="s">
        <v>151</v>
      </c>
      <c r="N734" t="s">
        <v>112</v>
      </c>
      <c r="O734" t="s">
        <v>112</v>
      </c>
      <c r="P734">
        <v>1</v>
      </c>
      <c r="Q734">
        <v>0</v>
      </c>
      <c r="R734">
        <v>1</v>
      </c>
      <c r="S734">
        <v>33</v>
      </c>
      <c r="T734" t="s">
        <v>166</v>
      </c>
      <c r="U734" t="s">
        <v>152</v>
      </c>
      <c r="V734" t="s">
        <v>153</v>
      </c>
      <c r="W734" t="s">
        <v>154</v>
      </c>
      <c r="X734" t="s">
        <v>119</v>
      </c>
      <c r="Y734" t="s">
        <v>112</v>
      </c>
      <c r="Z734" t="s">
        <v>166</v>
      </c>
      <c r="AA734" t="s">
        <v>152</v>
      </c>
      <c r="AB734" t="s">
        <v>153</v>
      </c>
      <c r="AC734" t="s">
        <v>154</v>
      </c>
      <c r="AD734" t="s">
        <v>119</v>
      </c>
      <c r="AE734" t="s">
        <v>112</v>
      </c>
      <c r="AF734" t="s">
        <v>121</v>
      </c>
      <c r="AG734" t="s">
        <v>122</v>
      </c>
      <c r="AH734">
        <v>3702013.55</v>
      </c>
      <c r="AI734" t="s">
        <v>166</v>
      </c>
      <c r="AJ734" t="s">
        <v>152</v>
      </c>
      <c r="AK734" t="s">
        <v>153</v>
      </c>
      <c r="AL734" t="s">
        <v>154</v>
      </c>
      <c r="AM734" t="s">
        <v>119</v>
      </c>
      <c r="AN734" t="s">
        <v>112</v>
      </c>
      <c r="AO734" t="s">
        <v>121</v>
      </c>
      <c r="AP734" t="s">
        <v>122</v>
      </c>
      <c r="AQ734" t="s">
        <v>122</v>
      </c>
      <c r="AR734" t="s">
        <v>124</v>
      </c>
      <c r="AS734" t="s">
        <v>125</v>
      </c>
      <c r="AT734">
        <v>2</v>
      </c>
      <c r="AU734" t="s">
        <v>126</v>
      </c>
      <c r="AV734" t="s">
        <v>155</v>
      </c>
      <c r="AW734" t="s">
        <v>156</v>
      </c>
      <c r="AX734">
        <v>1</v>
      </c>
      <c r="AY734" t="s">
        <v>129</v>
      </c>
      <c r="AZ734">
        <v>43331.72</v>
      </c>
      <c r="BA734">
        <v>3329367</v>
      </c>
      <c r="BB734">
        <v>51721.22</v>
      </c>
      <c r="BC734">
        <v>76.834400000000002</v>
      </c>
      <c r="BD734" t="s">
        <v>130</v>
      </c>
      <c r="BE734" t="s">
        <v>112</v>
      </c>
      <c r="BF734" t="s">
        <v>157</v>
      </c>
      <c r="BG734" t="s">
        <v>133</v>
      </c>
      <c r="BH734" t="s">
        <v>167</v>
      </c>
      <c r="BI734" t="s">
        <v>168</v>
      </c>
      <c r="BJ734" t="s">
        <v>112</v>
      </c>
      <c r="BK734" t="s">
        <v>112</v>
      </c>
      <c r="BL734" t="s">
        <v>169</v>
      </c>
      <c r="BM734" t="s">
        <v>159</v>
      </c>
      <c r="BN734" t="s">
        <v>160</v>
      </c>
      <c r="BO734" t="s">
        <v>161</v>
      </c>
      <c r="BP734">
        <v>1</v>
      </c>
      <c r="BQ734" t="s">
        <v>528</v>
      </c>
      <c r="BR734" s="45">
        <f>ISNUMBER(SEARCH($BR$1,Таблица1[[#This Row],[31_1 Описание и характеристика товара]]))*1</f>
        <v>1</v>
      </c>
      <c r="BT734" t="s">
        <v>150</v>
      </c>
      <c r="BU734">
        <v>33</v>
      </c>
      <c r="BV734">
        <v>0</v>
      </c>
      <c r="BW734">
        <v>0</v>
      </c>
      <c r="BY734">
        <v>0</v>
      </c>
      <c r="CA734" t="s">
        <v>106</v>
      </c>
      <c r="CB734" t="s">
        <v>142</v>
      </c>
      <c r="CC734" t="s">
        <v>112</v>
      </c>
      <c r="CD734" t="s">
        <v>112</v>
      </c>
      <c r="CE734" t="s">
        <v>121</v>
      </c>
      <c r="CF734">
        <v>17168.62</v>
      </c>
      <c r="CG734" t="s">
        <v>144</v>
      </c>
      <c r="CH734">
        <v>4000000</v>
      </c>
      <c r="CI734">
        <v>17125.419999999998</v>
      </c>
      <c r="CJ734">
        <v>0</v>
      </c>
      <c r="CK734" t="s">
        <v>112</v>
      </c>
      <c r="CL734" t="s">
        <v>112</v>
      </c>
      <c r="CM734">
        <v>43331.72</v>
      </c>
      <c r="CN734">
        <v>3329367</v>
      </c>
      <c r="CO734">
        <v>0</v>
      </c>
      <c r="CP734">
        <v>1</v>
      </c>
      <c r="CQ734">
        <v>3702013.55</v>
      </c>
      <c r="CR734">
        <v>51721.22</v>
      </c>
      <c r="CS734" t="s">
        <v>145</v>
      </c>
      <c r="CT734">
        <v>51720.480941999987</v>
      </c>
      <c r="CU734">
        <v>3.0200999999999998</v>
      </c>
      <c r="CV734">
        <v>45</v>
      </c>
      <c r="CW734" t="s">
        <v>171</v>
      </c>
      <c r="CX734" t="s">
        <v>369</v>
      </c>
      <c r="CY734">
        <v>167</v>
      </c>
    </row>
    <row r="735" spans="1:103" x14ac:dyDescent="0.25">
      <c r="A735" t="s">
        <v>106</v>
      </c>
      <c r="B735" s="38">
        <v>44999</v>
      </c>
      <c r="C735" s="43">
        <f>IF(YEAR(Таблица1[[#This Row],[Дата]])=2023,MONTH(Таблица1[[#This Row],[Дата]]),0)</f>
        <v>3</v>
      </c>
      <c r="D735" t="s">
        <v>348</v>
      </c>
      <c r="E735" t="s">
        <v>108</v>
      </c>
      <c r="F735" t="s">
        <v>349</v>
      </c>
      <c r="G735" t="s">
        <v>110</v>
      </c>
      <c r="H735" t="s">
        <v>111</v>
      </c>
      <c r="I735" t="s">
        <v>112</v>
      </c>
      <c r="J735" t="s">
        <v>112</v>
      </c>
      <c r="K735" t="s">
        <v>112</v>
      </c>
      <c r="L735" t="s">
        <v>150</v>
      </c>
      <c r="M735" t="s">
        <v>151</v>
      </c>
      <c r="N735" t="s">
        <v>112</v>
      </c>
      <c r="O735" t="s">
        <v>112</v>
      </c>
      <c r="P735">
        <v>1</v>
      </c>
      <c r="Q735">
        <v>0</v>
      </c>
      <c r="R735">
        <v>1</v>
      </c>
      <c r="S735">
        <v>33</v>
      </c>
      <c r="T735" t="s">
        <v>166</v>
      </c>
      <c r="U735" t="s">
        <v>152</v>
      </c>
      <c r="V735" t="s">
        <v>153</v>
      </c>
      <c r="W735" t="s">
        <v>154</v>
      </c>
      <c r="X735" t="s">
        <v>119</v>
      </c>
      <c r="Y735" t="s">
        <v>112</v>
      </c>
      <c r="Z735" t="s">
        <v>166</v>
      </c>
      <c r="AA735" t="s">
        <v>152</v>
      </c>
      <c r="AB735" t="s">
        <v>153</v>
      </c>
      <c r="AC735" t="s">
        <v>154</v>
      </c>
      <c r="AD735" t="s">
        <v>119</v>
      </c>
      <c r="AE735" t="s">
        <v>112</v>
      </c>
      <c r="AF735" t="s">
        <v>121</v>
      </c>
      <c r="AG735" t="s">
        <v>122</v>
      </c>
      <c r="AH735">
        <v>3883341.16</v>
      </c>
      <c r="AI735" t="s">
        <v>166</v>
      </c>
      <c r="AJ735" t="s">
        <v>152</v>
      </c>
      <c r="AK735" t="s">
        <v>153</v>
      </c>
      <c r="AL735" t="s">
        <v>154</v>
      </c>
      <c r="AM735" t="s">
        <v>119</v>
      </c>
      <c r="AN735" t="s">
        <v>112</v>
      </c>
      <c r="AO735" t="s">
        <v>121</v>
      </c>
      <c r="AP735" t="s">
        <v>122</v>
      </c>
      <c r="AQ735" t="s">
        <v>122</v>
      </c>
      <c r="AR735" t="s">
        <v>124</v>
      </c>
      <c r="AS735" t="s">
        <v>125</v>
      </c>
      <c r="AT735">
        <v>2</v>
      </c>
      <c r="AU735" t="s">
        <v>126</v>
      </c>
      <c r="AV735" t="s">
        <v>155</v>
      </c>
      <c r="AW735" t="s">
        <v>156</v>
      </c>
      <c r="AX735">
        <v>1</v>
      </c>
      <c r="AY735" t="s">
        <v>129</v>
      </c>
      <c r="AZ735">
        <v>46079.4</v>
      </c>
      <c r="BA735">
        <v>3486151</v>
      </c>
      <c r="BB735">
        <v>55210.11</v>
      </c>
      <c r="BC735">
        <v>75.655299999999997</v>
      </c>
      <c r="BD735" t="s">
        <v>130</v>
      </c>
      <c r="BE735" t="s">
        <v>112</v>
      </c>
      <c r="BF735" t="s">
        <v>157</v>
      </c>
      <c r="BG735" t="s">
        <v>133</v>
      </c>
      <c r="BH735" t="s">
        <v>134</v>
      </c>
      <c r="BI735" t="s">
        <v>112</v>
      </c>
      <c r="BJ735" t="s">
        <v>112</v>
      </c>
      <c r="BK735" t="s">
        <v>112</v>
      </c>
      <c r="BL735" t="s">
        <v>169</v>
      </c>
      <c r="BM735" t="s">
        <v>159</v>
      </c>
      <c r="BN735" t="s">
        <v>212</v>
      </c>
      <c r="BO735" t="s">
        <v>161</v>
      </c>
      <c r="BP735">
        <v>1</v>
      </c>
      <c r="BQ735" t="s">
        <v>205</v>
      </c>
      <c r="BR735" s="45">
        <f>ISNUMBER(SEARCH($BR$1,Таблица1[[#This Row],[31_1 Описание и характеристика товара]]))*1</f>
        <v>1</v>
      </c>
      <c r="BT735" t="s">
        <v>150</v>
      </c>
      <c r="BU735">
        <v>33</v>
      </c>
      <c r="BV735">
        <v>0</v>
      </c>
      <c r="BW735">
        <v>0</v>
      </c>
      <c r="BY735">
        <v>0</v>
      </c>
      <c r="CA735" t="s">
        <v>106</v>
      </c>
      <c r="CB735" t="s">
        <v>142</v>
      </c>
      <c r="CC735" t="s">
        <v>112</v>
      </c>
      <c r="CD735" t="s">
        <v>112</v>
      </c>
      <c r="CE735" t="s">
        <v>121</v>
      </c>
      <c r="CF735">
        <v>18033.419999999998</v>
      </c>
      <c r="CG735" t="s">
        <v>144</v>
      </c>
      <c r="CH735">
        <v>4000000</v>
      </c>
      <c r="CI735">
        <v>18033.419999999998</v>
      </c>
      <c r="CJ735">
        <v>0</v>
      </c>
      <c r="CK735" t="s">
        <v>112</v>
      </c>
      <c r="CL735" t="s">
        <v>112</v>
      </c>
      <c r="CM735">
        <v>46079.4</v>
      </c>
      <c r="CN735">
        <v>3486151</v>
      </c>
      <c r="CO735">
        <v>0</v>
      </c>
      <c r="CP735">
        <v>1</v>
      </c>
      <c r="CQ735">
        <v>3883341.16</v>
      </c>
      <c r="CR735">
        <v>55210.11</v>
      </c>
      <c r="CS735" t="s">
        <v>145</v>
      </c>
      <c r="CT735">
        <v>55209.315329999998</v>
      </c>
      <c r="CU735">
        <v>3.0615000000000001</v>
      </c>
      <c r="CV735">
        <v>45</v>
      </c>
      <c r="CW735" t="s">
        <v>171</v>
      </c>
      <c r="CX735" t="s">
        <v>350</v>
      </c>
      <c r="CY735">
        <v>278</v>
      </c>
    </row>
    <row r="736" spans="1:103" x14ac:dyDescent="0.25">
      <c r="A736" t="s">
        <v>106</v>
      </c>
      <c r="B736" s="38">
        <v>45111</v>
      </c>
      <c r="C736" s="43">
        <f>IF(YEAR(Таблица1[[#This Row],[Дата]])=2023,MONTH(Таблица1[[#This Row],[Дата]]),0)</f>
        <v>7</v>
      </c>
      <c r="D736" t="s">
        <v>344</v>
      </c>
      <c r="E736" t="s">
        <v>108</v>
      </c>
      <c r="F736" t="s">
        <v>345</v>
      </c>
      <c r="G736" t="s">
        <v>110</v>
      </c>
      <c r="H736" t="s">
        <v>111</v>
      </c>
      <c r="I736" t="s">
        <v>112</v>
      </c>
      <c r="J736" t="s">
        <v>112</v>
      </c>
      <c r="K736" t="s">
        <v>112</v>
      </c>
      <c r="L736" t="s">
        <v>175</v>
      </c>
      <c r="M736" t="s">
        <v>176</v>
      </c>
      <c r="N736" t="s">
        <v>112</v>
      </c>
      <c r="O736" t="s">
        <v>112</v>
      </c>
      <c r="P736">
        <v>1</v>
      </c>
      <c r="Q736">
        <v>0</v>
      </c>
      <c r="R736">
        <v>1</v>
      </c>
      <c r="S736">
        <v>33</v>
      </c>
      <c r="T736" t="s">
        <v>166</v>
      </c>
      <c r="U736" t="s">
        <v>152</v>
      </c>
      <c r="V736" t="s">
        <v>153</v>
      </c>
      <c r="W736" t="s">
        <v>177</v>
      </c>
      <c r="X736" t="s">
        <v>119</v>
      </c>
      <c r="Y736" t="s">
        <v>112</v>
      </c>
      <c r="Z736" t="s">
        <v>166</v>
      </c>
      <c r="AA736" t="s">
        <v>152</v>
      </c>
      <c r="AB736" t="s">
        <v>153</v>
      </c>
      <c r="AC736" t="s">
        <v>177</v>
      </c>
      <c r="AD736" t="s">
        <v>119</v>
      </c>
      <c r="AE736" t="s">
        <v>112</v>
      </c>
      <c r="AF736" t="s">
        <v>121</v>
      </c>
      <c r="AG736" t="s">
        <v>122</v>
      </c>
      <c r="AH736">
        <v>3349339.73</v>
      </c>
      <c r="AI736" t="s">
        <v>166</v>
      </c>
      <c r="AJ736" t="s">
        <v>152</v>
      </c>
      <c r="AK736" t="s">
        <v>153</v>
      </c>
      <c r="AL736" t="s">
        <v>177</v>
      </c>
      <c r="AM736" t="s">
        <v>119</v>
      </c>
      <c r="AN736" t="s">
        <v>112</v>
      </c>
      <c r="AO736" t="s">
        <v>121</v>
      </c>
      <c r="AP736" t="s">
        <v>122</v>
      </c>
      <c r="AQ736" t="s">
        <v>122</v>
      </c>
      <c r="AR736" t="s">
        <v>124</v>
      </c>
      <c r="AS736" t="s">
        <v>125</v>
      </c>
      <c r="AT736">
        <v>2</v>
      </c>
      <c r="AU736" t="s">
        <v>106</v>
      </c>
      <c r="AV736" t="s">
        <v>155</v>
      </c>
      <c r="AW736" t="s">
        <v>156</v>
      </c>
      <c r="AX736">
        <v>1</v>
      </c>
      <c r="AY736" t="s">
        <v>129</v>
      </c>
      <c r="AZ736">
        <v>40927.9</v>
      </c>
      <c r="BA736">
        <v>3096413</v>
      </c>
      <c r="BB736">
        <v>47618.12</v>
      </c>
      <c r="BC736">
        <v>75.655299999999997</v>
      </c>
      <c r="BD736" t="s">
        <v>130</v>
      </c>
      <c r="BE736" t="s">
        <v>112</v>
      </c>
      <c r="BF736" t="s">
        <v>157</v>
      </c>
      <c r="BG736" t="s">
        <v>133</v>
      </c>
      <c r="BH736" t="s">
        <v>134</v>
      </c>
      <c r="BI736" t="s">
        <v>112</v>
      </c>
      <c r="BJ736" t="s">
        <v>178</v>
      </c>
      <c r="BK736" t="s">
        <v>112</v>
      </c>
      <c r="BL736" t="s">
        <v>125</v>
      </c>
      <c r="BM736" t="s">
        <v>179</v>
      </c>
      <c r="BN736" t="s">
        <v>180</v>
      </c>
      <c r="BO736" t="s">
        <v>181</v>
      </c>
      <c r="BP736">
        <v>1</v>
      </c>
      <c r="BQ736" t="s">
        <v>199</v>
      </c>
      <c r="BR736" s="45">
        <f>ISNUMBER(SEARCH($BR$1,Таблица1[[#This Row],[31_1 Описание и характеристика товара]]))*1</f>
        <v>1</v>
      </c>
      <c r="BT736" t="s">
        <v>150</v>
      </c>
      <c r="BU736">
        <v>33</v>
      </c>
      <c r="BV736">
        <v>1</v>
      </c>
      <c r="BW736">
        <v>0</v>
      </c>
      <c r="BY736">
        <v>0</v>
      </c>
      <c r="CA736" t="s">
        <v>106</v>
      </c>
      <c r="CB736" t="s">
        <v>142</v>
      </c>
      <c r="CC736" t="s">
        <v>112</v>
      </c>
      <c r="CD736" t="s">
        <v>112</v>
      </c>
      <c r="CE736" t="s">
        <v>121</v>
      </c>
      <c r="CF736">
        <v>14843.76</v>
      </c>
      <c r="CG736" t="s">
        <v>144</v>
      </c>
      <c r="CH736">
        <v>4000000</v>
      </c>
      <c r="CI736">
        <v>14586.96</v>
      </c>
      <c r="CJ736">
        <v>0</v>
      </c>
      <c r="CK736" t="s">
        <v>112</v>
      </c>
      <c r="CL736" t="s">
        <v>112</v>
      </c>
      <c r="CM736">
        <v>40927.9</v>
      </c>
      <c r="CN736">
        <v>3096413</v>
      </c>
      <c r="CO736">
        <v>0</v>
      </c>
      <c r="CP736">
        <v>1</v>
      </c>
      <c r="CQ736">
        <v>3349339.73</v>
      </c>
      <c r="CR736">
        <v>47618.12</v>
      </c>
      <c r="CS736" t="s">
        <v>145</v>
      </c>
      <c r="CT736">
        <v>47617.672224000002</v>
      </c>
      <c r="CU736">
        <v>3.2644000000000002</v>
      </c>
      <c r="CV736">
        <v>941</v>
      </c>
      <c r="CW736" t="s">
        <v>183</v>
      </c>
      <c r="CX736" t="s">
        <v>147</v>
      </c>
      <c r="CY736">
        <v>246</v>
      </c>
    </row>
    <row r="737" spans="1:103" x14ac:dyDescent="0.25">
      <c r="A737" t="s">
        <v>106</v>
      </c>
      <c r="B737" s="38">
        <v>45128</v>
      </c>
      <c r="C737" s="43">
        <f>IF(YEAR(Таблица1[[#This Row],[Дата]])=2023,MONTH(Таблица1[[#This Row],[Дата]]),0)</f>
        <v>7</v>
      </c>
      <c r="D737" t="s">
        <v>1021</v>
      </c>
      <c r="E737" t="s">
        <v>108</v>
      </c>
      <c r="F737" t="s">
        <v>1022</v>
      </c>
      <c r="G737" t="s">
        <v>110</v>
      </c>
      <c r="H737" t="s">
        <v>111</v>
      </c>
      <c r="I737" t="s">
        <v>112</v>
      </c>
      <c r="J737" t="s">
        <v>112</v>
      </c>
      <c r="K737" t="s">
        <v>112</v>
      </c>
      <c r="L737" t="s">
        <v>150</v>
      </c>
      <c r="M737" t="s">
        <v>151</v>
      </c>
      <c r="N737" t="s">
        <v>112</v>
      </c>
      <c r="O737" t="s">
        <v>112</v>
      </c>
      <c r="P737">
        <v>1</v>
      </c>
      <c r="R737">
        <v>1</v>
      </c>
      <c r="S737">
        <v>33</v>
      </c>
      <c r="T737" t="s">
        <v>112</v>
      </c>
      <c r="U737" t="s">
        <v>152</v>
      </c>
      <c r="V737" t="s">
        <v>153</v>
      </c>
      <c r="W737" t="s">
        <v>154</v>
      </c>
      <c r="X737" t="s">
        <v>119</v>
      </c>
      <c r="Y737" t="s">
        <v>112</v>
      </c>
      <c r="Z737" t="s">
        <v>112</v>
      </c>
      <c r="AA737" t="s">
        <v>152</v>
      </c>
      <c r="AB737" t="s">
        <v>153</v>
      </c>
      <c r="AC737" t="s">
        <v>154</v>
      </c>
      <c r="AD737" t="s">
        <v>119</v>
      </c>
      <c r="AE737" t="s">
        <v>112</v>
      </c>
      <c r="AF737" t="s">
        <v>121</v>
      </c>
      <c r="AG737" t="s">
        <v>122</v>
      </c>
      <c r="AH737">
        <v>5051576.92</v>
      </c>
      <c r="AI737" t="s">
        <v>112</v>
      </c>
      <c r="AJ737" t="s">
        <v>152</v>
      </c>
      <c r="AK737" t="s">
        <v>153</v>
      </c>
      <c r="AL737" t="s">
        <v>154</v>
      </c>
      <c r="AM737" t="s">
        <v>119</v>
      </c>
      <c r="AN737" t="s">
        <v>112</v>
      </c>
      <c r="AO737" t="s">
        <v>121</v>
      </c>
      <c r="AP737" t="s">
        <v>122</v>
      </c>
      <c r="AQ737" t="s">
        <v>122</v>
      </c>
      <c r="AR737" t="s">
        <v>124</v>
      </c>
      <c r="AS737" t="s">
        <v>125</v>
      </c>
      <c r="AT737">
        <v>2</v>
      </c>
      <c r="AU737" t="s">
        <v>126</v>
      </c>
      <c r="AV737" t="s">
        <v>155</v>
      </c>
      <c r="AW737" t="s">
        <v>156</v>
      </c>
      <c r="AY737" t="s">
        <v>129</v>
      </c>
      <c r="AZ737">
        <v>46620.36</v>
      </c>
      <c r="BC737">
        <v>99.813100000000006</v>
      </c>
      <c r="BD737" t="s">
        <v>112</v>
      </c>
      <c r="BE737" t="s">
        <v>112</v>
      </c>
      <c r="BF737" t="s">
        <v>157</v>
      </c>
      <c r="BG737" t="s">
        <v>133</v>
      </c>
      <c r="BH737" t="s">
        <v>134</v>
      </c>
      <c r="BI737" t="s">
        <v>112</v>
      </c>
      <c r="BJ737" t="s">
        <v>112</v>
      </c>
      <c r="BK737" t="s">
        <v>112</v>
      </c>
      <c r="BL737" t="s">
        <v>158</v>
      </c>
      <c r="BM737" t="s">
        <v>159</v>
      </c>
      <c r="BN737" t="s">
        <v>212</v>
      </c>
      <c r="BO737" t="s">
        <v>161</v>
      </c>
      <c r="BQ737" t="s">
        <v>205</v>
      </c>
      <c r="BR737" s="45">
        <f>ISNUMBER(SEARCH($BR$1,Таблица1[[#This Row],[31_1 Описание и характеристика товара]]))*1</f>
        <v>1</v>
      </c>
      <c r="BT737" t="s">
        <v>150</v>
      </c>
      <c r="BU737">
        <v>33</v>
      </c>
      <c r="BV737">
        <v>0</v>
      </c>
      <c r="BW737">
        <v>0</v>
      </c>
      <c r="BY737">
        <v>0</v>
      </c>
      <c r="CA737" t="s">
        <v>106</v>
      </c>
      <c r="CB737" t="s">
        <v>142</v>
      </c>
      <c r="CC737" t="s">
        <v>112</v>
      </c>
      <c r="CD737" t="s">
        <v>112</v>
      </c>
      <c r="CE737" t="s">
        <v>121</v>
      </c>
      <c r="CF737">
        <v>14801.72</v>
      </c>
      <c r="CG737" t="s">
        <v>144</v>
      </c>
      <c r="CH737">
        <v>4000000</v>
      </c>
      <c r="CI737">
        <v>14425.52</v>
      </c>
      <c r="CJ737">
        <v>0</v>
      </c>
      <c r="CK737" t="s">
        <v>112</v>
      </c>
      <c r="CL737" t="s">
        <v>112</v>
      </c>
      <c r="CM737">
        <v>46620.36</v>
      </c>
      <c r="CO737">
        <v>0</v>
      </c>
      <c r="CP737">
        <v>1</v>
      </c>
      <c r="CQ737">
        <v>5051576.92</v>
      </c>
      <c r="CR737">
        <v>54573.06</v>
      </c>
      <c r="CS737" t="s">
        <v>145</v>
      </c>
      <c r="CT737">
        <v>54528.465599999996</v>
      </c>
      <c r="CU737">
        <v>3.78</v>
      </c>
      <c r="CV737">
        <v>45</v>
      </c>
      <c r="CX737" t="s">
        <v>233</v>
      </c>
      <c r="CY737">
        <v>314</v>
      </c>
    </row>
    <row r="738" spans="1:103" x14ac:dyDescent="0.25">
      <c r="A738" t="s">
        <v>106</v>
      </c>
      <c r="B738" s="38">
        <v>45146</v>
      </c>
      <c r="C738" s="43">
        <f>IF(YEAR(Таблица1[[#This Row],[Дата]])=2023,MONTH(Таблица1[[#This Row],[Дата]]),0)</f>
        <v>8</v>
      </c>
      <c r="D738" t="s">
        <v>912</v>
      </c>
      <c r="E738" t="s">
        <v>108</v>
      </c>
      <c r="F738" t="s">
        <v>913</v>
      </c>
      <c r="G738" t="s">
        <v>110</v>
      </c>
      <c r="H738" t="s">
        <v>111</v>
      </c>
      <c r="I738" t="s">
        <v>112</v>
      </c>
      <c r="J738" t="s">
        <v>112</v>
      </c>
      <c r="K738" t="s">
        <v>112</v>
      </c>
      <c r="L738" t="s">
        <v>150</v>
      </c>
      <c r="M738" t="s">
        <v>151</v>
      </c>
      <c r="N738" t="s">
        <v>112</v>
      </c>
      <c r="O738" t="s">
        <v>112</v>
      </c>
      <c r="P738">
        <v>1</v>
      </c>
      <c r="R738">
        <v>1</v>
      </c>
      <c r="S738">
        <v>33</v>
      </c>
      <c r="T738" t="s">
        <v>112</v>
      </c>
      <c r="U738" t="s">
        <v>152</v>
      </c>
      <c r="V738" t="s">
        <v>153</v>
      </c>
      <c r="W738" t="s">
        <v>154</v>
      </c>
      <c r="X738" t="s">
        <v>119</v>
      </c>
      <c r="Y738" t="s">
        <v>112</v>
      </c>
      <c r="Z738" t="s">
        <v>112</v>
      </c>
      <c r="AA738" t="s">
        <v>152</v>
      </c>
      <c r="AB738" t="s">
        <v>153</v>
      </c>
      <c r="AC738" t="s">
        <v>154</v>
      </c>
      <c r="AD738" t="s">
        <v>119</v>
      </c>
      <c r="AE738" t="s">
        <v>112</v>
      </c>
      <c r="AF738" t="s">
        <v>121</v>
      </c>
      <c r="AG738" t="s">
        <v>122</v>
      </c>
      <c r="AH738">
        <v>4763025.24</v>
      </c>
      <c r="AI738" t="s">
        <v>112</v>
      </c>
      <c r="AJ738" t="s">
        <v>152</v>
      </c>
      <c r="AK738" t="s">
        <v>153</v>
      </c>
      <c r="AL738" t="s">
        <v>154</v>
      </c>
      <c r="AM738" t="s">
        <v>119</v>
      </c>
      <c r="AN738" t="s">
        <v>112</v>
      </c>
      <c r="AO738" t="s">
        <v>121</v>
      </c>
      <c r="AP738" t="s">
        <v>122</v>
      </c>
      <c r="AQ738" t="s">
        <v>122</v>
      </c>
      <c r="AR738" t="s">
        <v>124</v>
      </c>
      <c r="AS738" t="s">
        <v>125</v>
      </c>
      <c r="AT738">
        <v>2</v>
      </c>
      <c r="AU738" t="s">
        <v>126</v>
      </c>
      <c r="AV738" t="s">
        <v>155</v>
      </c>
      <c r="AW738" t="s">
        <v>156</v>
      </c>
      <c r="AY738" t="s">
        <v>129</v>
      </c>
      <c r="AZ738">
        <v>43729.440000000002</v>
      </c>
      <c r="BC738">
        <v>99.813100000000006</v>
      </c>
      <c r="BD738" t="s">
        <v>112</v>
      </c>
      <c r="BE738" t="s">
        <v>112</v>
      </c>
      <c r="BF738" t="s">
        <v>157</v>
      </c>
      <c r="BG738" t="s">
        <v>133</v>
      </c>
      <c r="BH738" t="s">
        <v>134</v>
      </c>
      <c r="BI738" t="s">
        <v>112</v>
      </c>
      <c r="BJ738" t="s">
        <v>112</v>
      </c>
      <c r="BK738" t="s">
        <v>112</v>
      </c>
      <c r="BL738" t="s">
        <v>158</v>
      </c>
      <c r="BM738" t="s">
        <v>159</v>
      </c>
      <c r="BN738" t="s">
        <v>212</v>
      </c>
      <c r="BO738" t="s">
        <v>161</v>
      </c>
      <c r="BQ738" t="s">
        <v>205</v>
      </c>
      <c r="BR738" s="45">
        <f>ISNUMBER(SEARCH($BR$1,Таблица1[[#This Row],[31_1 Описание и характеристика товара]]))*1</f>
        <v>1</v>
      </c>
      <c r="BT738" t="s">
        <v>150</v>
      </c>
      <c r="BU738">
        <v>33</v>
      </c>
      <c r="BV738">
        <v>0</v>
      </c>
      <c r="BW738">
        <v>0</v>
      </c>
      <c r="BY738">
        <v>0</v>
      </c>
      <c r="CA738" t="s">
        <v>106</v>
      </c>
      <c r="CB738" t="s">
        <v>142</v>
      </c>
      <c r="CC738" t="s">
        <v>112</v>
      </c>
      <c r="CD738" t="s">
        <v>112</v>
      </c>
      <c r="CE738" t="s">
        <v>121</v>
      </c>
      <c r="CF738">
        <v>16549</v>
      </c>
      <c r="CG738" t="s">
        <v>144</v>
      </c>
      <c r="CH738">
        <v>4000000</v>
      </c>
      <c r="CI738">
        <v>16369</v>
      </c>
      <c r="CJ738">
        <v>0</v>
      </c>
      <c r="CK738" t="s">
        <v>112</v>
      </c>
      <c r="CL738" t="s">
        <v>112</v>
      </c>
      <c r="CM738">
        <v>43729.440000000002</v>
      </c>
      <c r="CO738">
        <v>0</v>
      </c>
      <c r="CP738">
        <v>1</v>
      </c>
      <c r="CQ738">
        <v>4763025.24</v>
      </c>
      <c r="CR738">
        <v>51455.78</v>
      </c>
      <c r="CS738" t="s">
        <v>145</v>
      </c>
      <c r="CT738">
        <v>51398.66</v>
      </c>
      <c r="CU738">
        <v>3.14</v>
      </c>
      <c r="CV738">
        <v>45</v>
      </c>
      <c r="CX738" t="s">
        <v>233</v>
      </c>
      <c r="CY738">
        <v>582</v>
      </c>
    </row>
    <row r="739" spans="1:103" x14ac:dyDescent="0.25">
      <c r="A739" t="s">
        <v>106</v>
      </c>
      <c r="B739" s="38">
        <v>45176</v>
      </c>
      <c r="C739" s="43">
        <f>IF(YEAR(Таблица1[[#This Row],[Дата]])=2023,MONTH(Таблица1[[#This Row],[Дата]]),0)</f>
        <v>9</v>
      </c>
      <c r="D739" t="s">
        <v>1073</v>
      </c>
      <c r="E739" t="s">
        <v>108</v>
      </c>
      <c r="F739" t="s">
        <v>1074</v>
      </c>
      <c r="G739" t="s">
        <v>110</v>
      </c>
      <c r="H739" t="s">
        <v>111</v>
      </c>
      <c r="I739" t="s">
        <v>112</v>
      </c>
      <c r="J739" t="s">
        <v>112</v>
      </c>
      <c r="K739" t="s">
        <v>112</v>
      </c>
      <c r="L739" t="s">
        <v>150</v>
      </c>
      <c r="M739" t="s">
        <v>151</v>
      </c>
      <c r="N739" t="s">
        <v>112</v>
      </c>
      <c r="O739" t="s">
        <v>112</v>
      </c>
      <c r="P739">
        <v>1</v>
      </c>
      <c r="R739">
        <v>1</v>
      </c>
      <c r="S739">
        <v>33</v>
      </c>
      <c r="T739" t="s">
        <v>112</v>
      </c>
      <c r="U739" t="s">
        <v>152</v>
      </c>
      <c r="V739" t="s">
        <v>153</v>
      </c>
      <c r="W739" t="s">
        <v>154</v>
      </c>
      <c r="X739" t="s">
        <v>119</v>
      </c>
      <c r="Y739" t="s">
        <v>112</v>
      </c>
      <c r="Z739" t="s">
        <v>112</v>
      </c>
      <c r="AA739" t="s">
        <v>152</v>
      </c>
      <c r="AB739" t="s">
        <v>153</v>
      </c>
      <c r="AC739" t="s">
        <v>154</v>
      </c>
      <c r="AD739" t="s">
        <v>119</v>
      </c>
      <c r="AE739" t="s">
        <v>112</v>
      </c>
      <c r="AF739" t="s">
        <v>121</v>
      </c>
      <c r="AG739" t="s">
        <v>122</v>
      </c>
      <c r="AH739">
        <v>4875611.42</v>
      </c>
      <c r="AI739" t="s">
        <v>112</v>
      </c>
      <c r="AJ739" t="s">
        <v>152</v>
      </c>
      <c r="AK739" t="s">
        <v>153</v>
      </c>
      <c r="AL739" t="s">
        <v>154</v>
      </c>
      <c r="AM739" t="s">
        <v>119</v>
      </c>
      <c r="AN739" t="s">
        <v>112</v>
      </c>
      <c r="AO739" t="s">
        <v>121</v>
      </c>
      <c r="AP739" t="s">
        <v>122</v>
      </c>
      <c r="AQ739" t="s">
        <v>122</v>
      </c>
      <c r="AR739" t="s">
        <v>124</v>
      </c>
      <c r="AS739" t="s">
        <v>125</v>
      </c>
      <c r="AT739">
        <v>2</v>
      </c>
      <c r="AU739" t="s">
        <v>126</v>
      </c>
      <c r="AV739" t="s">
        <v>155</v>
      </c>
      <c r="AW739" t="s">
        <v>156</v>
      </c>
      <c r="AY739" t="s">
        <v>129</v>
      </c>
      <c r="AZ739">
        <v>44857.41</v>
      </c>
      <c r="BC739">
        <v>99.813100000000006</v>
      </c>
      <c r="BD739" t="s">
        <v>112</v>
      </c>
      <c r="BE739" t="s">
        <v>112</v>
      </c>
      <c r="BF739" t="s">
        <v>157</v>
      </c>
      <c r="BG739" t="s">
        <v>133</v>
      </c>
      <c r="BH739" t="s">
        <v>134</v>
      </c>
      <c r="BI739" t="s">
        <v>112</v>
      </c>
      <c r="BJ739" t="s">
        <v>112</v>
      </c>
      <c r="BK739" t="s">
        <v>112</v>
      </c>
      <c r="BL739" t="s">
        <v>158</v>
      </c>
      <c r="BM739" t="s">
        <v>159</v>
      </c>
      <c r="BN739" t="s">
        <v>212</v>
      </c>
      <c r="BO739" t="s">
        <v>161</v>
      </c>
      <c r="BQ739" t="s">
        <v>205</v>
      </c>
      <c r="BR739" s="45">
        <f>ISNUMBER(SEARCH($BR$1,Таблица1[[#This Row],[31_1 Описание и характеристика товара]]))*1</f>
        <v>1</v>
      </c>
      <c r="BT739" t="s">
        <v>150</v>
      </c>
      <c r="BU739">
        <v>33</v>
      </c>
      <c r="BV739">
        <v>0</v>
      </c>
      <c r="BW739">
        <v>0</v>
      </c>
      <c r="BY739">
        <v>0</v>
      </c>
      <c r="CA739" t="s">
        <v>106</v>
      </c>
      <c r="CB739" t="s">
        <v>142</v>
      </c>
      <c r="CC739" t="s">
        <v>112</v>
      </c>
      <c r="CD739" t="s">
        <v>112</v>
      </c>
      <c r="CE739" t="s">
        <v>121</v>
      </c>
      <c r="CF739">
        <v>17194.98</v>
      </c>
      <c r="CG739" t="s">
        <v>144</v>
      </c>
      <c r="CH739">
        <v>4000000</v>
      </c>
      <c r="CI739">
        <v>17158.98</v>
      </c>
      <c r="CJ739">
        <v>0</v>
      </c>
      <c r="CK739" t="s">
        <v>112</v>
      </c>
      <c r="CL739" t="s">
        <v>112</v>
      </c>
      <c r="CM739">
        <v>44857.41</v>
      </c>
      <c r="CO739">
        <v>0</v>
      </c>
      <c r="CP739">
        <v>1</v>
      </c>
      <c r="CQ739">
        <v>4875611.42</v>
      </c>
      <c r="CR739">
        <v>52672.07</v>
      </c>
      <c r="CS739" t="s">
        <v>145</v>
      </c>
      <c r="CT739">
        <v>52678.068599999999</v>
      </c>
      <c r="CU739">
        <v>3.07</v>
      </c>
      <c r="CV739">
        <v>45</v>
      </c>
      <c r="CX739" t="s">
        <v>206</v>
      </c>
      <c r="CY739">
        <v>93</v>
      </c>
    </row>
    <row r="740" spans="1:103" x14ac:dyDescent="0.25">
      <c r="A740" t="s">
        <v>106</v>
      </c>
      <c r="B740" s="38">
        <v>45269</v>
      </c>
      <c r="C740" s="43">
        <f>IF(YEAR(Таблица1[[#This Row],[Дата]])=2023,MONTH(Таблица1[[#This Row],[Дата]]),0)</f>
        <v>12</v>
      </c>
      <c r="D740" t="s">
        <v>1113</v>
      </c>
      <c r="E740" t="s">
        <v>108</v>
      </c>
      <c r="F740" t="s">
        <v>1114</v>
      </c>
      <c r="G740" t="s">
        <v>110</v>
      </c>
      <c r="H740" t="s">
        <v>111</v>
      </c>
      <c r="I740" t="s">
        <v>112</v>
      </c>
      <c r="J740" t="s">
        <v>112</v>
      </c>
      <c r="K740" t="s">
        <v>112</v>
      </c>
      <c r="L740" t="s">
        <v>150</v>
      </c>
      <c r="M740" t="s">
        <v>151</v>
      </c>
      <c r="N740" t="s">
        <v>112</v>
      </c>
      <c r="O740" t="s">
        <v>112</v>
      </c>
      <c r="P740">
        <v>1</v>
      </c>
      <c r="R740">
        <v>1</v>
      </c>
      <c r="S740">
        <v>33</v>
      </c>
      <c r="T740" t="s">
        <v>112</v>
      </c>
      <c r="U740" t="s">
        <v>152</v>
      </c>
      <c r="V740" t="s">
        <v>153</v>
      </c>
      <c r="W740" t="s">
        <v>154</v>
      </c>
      <c r="X740" t="s">
        <v>119</v>
      </c>
      <c r="Y740" t="s">
        <v>112</v>
      </c>
      <c r="Z740" t="s">
        <v>112</v>
      </c>
      <c r="AA740" t="s">
        <v>152</v>
      </c>
      <c r="AB740" t="s">
        <v>153</v>
      </c>
      <c r="AC740" t="s">
        <v>154</v>
      </c>
      <c r="AD740" t="s">
        <v>119</v>
      </c>
      <c r="AE740" t="s">
        <v>112</v>
      </c>
      <c r="AF740" t="s">
        <v>121</v>
      </c>
      <c r="AG740" t="s">
        <v>122</v>
      </c>
      <c r="AH740">
        <v>5017934.92</v>
      </c>
      <c r="AI740" t="s">
        <v>112</v>
      </c>
      <c r="AJ740" t="s">
        <v>152</v>
      </c>
      <c r="AK740" t="s">
        <v>153</v>
      </c>
      <c r="AL740" t="s">
        <v>154</v>
      </c>
      <c r="AM740" t="s">
        <v>119</v>
      </c>
      <c r="AN740" t="s">
        <v>112</v>
      </c>
      <c r="AO740" t="s">
        <v>121</v>
      </c>
      <c r="AP740" t="s">
        <v>122</v>
      </c>
      <c r="AQ740" t="s">
        <v>122</v>
      </c>
      <c r="AR740" t="s">
        <v>124</v>
      </c>
      <c r="AS740" t="s">
        <v>125</v>
      </c>
      <c r="AT740">
        <v>2</v>
      </c>
      <c r="AU740" t="s">
        <v>126</v>
      </c>
      <c r="AV740" t="s">
        <v>155</v>
      </c>
      <c r="AW740" t="s">
        <v>156</v>
      </c>
      <c r="AY740" t="s">
        <v>129</v>
      </c>
      <c r="AZ740">
        <v>46283.31</v>
      </c>
      <c r="BC740">
        <v>99.813100000000006</v>
      </c>
      <c r="BD740" t="s">
        <v>112</v>
      </c>
      <c r="BE740" t="s">
        <v>112</v>
      </c>
      <c r="BF740" t="s">
        <v>157</v>
      </c>
      <c r="BG740" t="s">
        <v>133</v>
      </c>
      <c r="BH740" t="s">
        <v>134</v>
      </c>
      <c r="BI740" t="s">
        <v>112</v>
      </c>
      <c r="BJ740" t="s">
        <v>112</v>
      </c>
      <c r="BK740" t="s">
        <v>112</v>
      </c>
      <c r="BL740" t="s">
        <v>158</v>
      </c>
      <c r="BM740" t="s">
        <v>159</v>
      </c>
      <c r="BN740" t="s">
        <v>212</v>
      </c>
      <c r="BO740" t="s">
        <v>161</v>
      </c>
      <c r="BQ740" t="s">
        <v>466</v>
      </c>
      <c r="BR740" s="45">
        <f>ISNUMBER(SEARCH($BR$1,Таблица1[[#This Row],[31_1 Описание и характеристика товара]]))*1</f>
        <v>1</v>
      </c>
      <c r="BT740" t="s">
        <v>150</v>
      </c>
      <c r="BU740">
        <v>33</v>
      </c>
      <c r="BV740">
        <v>0</v>
      </c>
      <c r="BW740">
        <v>0</v>
      </c>
      <c r="BY740">
        <v>0</v>
      </c>
      <c r="CA740" t="s">
        <v>106</v>
      </c>
      <c r="CB740" t="s">
        <v>142</v>
      </c>
      <c r="CC740" t="s">
        <v>112</v>
      </c>
      <c r="CD740" t="s">
        <v>112</v>
      </c>
      <c r="CE740" t="s">
        <v>121</v>
      </c>
      <c r="CF740">
        <v>17150.48</v>
      </c>
      <c r="CG740" t="s">
        <v>144</v>
      </c>
      <c r="CH740">
        <v>4000000</v>
      </c>
      <c r="CI740">
        <v>17150.48</v>
      </c>
      <c r="CJ740">
        <v>0</v>
      </c>
      <c r="CK740" t="s">
        <v>112</v>
      </c>
      <c r="CL740" t="s">
        <v>112</v>
      </c>
      <c r="CM740">
        <v>46283.31</v>
      </c>
      <c r="CO740">
        <v>0</v>
      </c>
      <c r="CP740">
        <v>1</v>
      </c>
      <c r="CQ740">
        <v>5017934.92</v>
      </c>
      <c r="CR740">
        <v>54209.62</v>
      </c>
      <c r="CS740" t="s">
        <v>145</v>
      </c>
      <c r="CT740">
        <v>54195.516799999998</v>
      </c>
      <c r="CU740">
        <v>3.16</v>
      </c>
      <c r="CV740">
        <v>45</v>
      </c>
      <c r="CX740" t="s">
        <v>729</v>
      </c>
      <c r="CY740">
        <v>302</v>
      </c>
    </row>
    <row r="741" spans="1:103" x14ac:dyDescent="0.25">
      <c r="A741" t="s">
        <v>106</v>
      </c>
      <c r="B741" s="38">
        <v>44984</v>
      </c>
      <c r="C741" s="43">
        <f>IF(YEAR(Таблица1[[#This Row],[Дата]])=2023,MONTH(Таблица1[[#This Row],[Дата]]),0)</f>
        <v>2</v>
      </c>
      <c r="D741" t="s">
        <v>1565</v>
      </c>
      <c r="E741" t="s">
        <v>108</v>
      </c>
      <c r="F741" t="s">
        <v>1566</v>
      </c>
      <c r="G741" t="s">
        <v>110</v>
      </c>
      <c r="H741" t="s">
        <v>111</v>
      </c>
      <c r="I741" t="s">
        <v>112</v>
      </c>
      <c r="J741" t="s">
        <v>112</v>
      </c>
      <c r="K741" t="s">
        <v>112</v>
      </c>
      <c r="L741" t="s">
        <v>150</v>
      </c>
      <c r="M741" t="s">
        <v>151</v>
      </c>
      <c r="N741" t="s">
        <v>112</v>
      </c>
      <c r="O741" t="s">
        <v>112</v>
      </c>
      <c r="P741">
        <v>1</v>
      </c>
      <c r="R741">
        <v>1</v>
      </c>
      <c r="S741">
        <v>33</v>
      </c>
      <c r="T741" t="s">
        <v>112</v>
      </c>
      <c r="U741" t="s">
        <v>152</v>
      </c>
      <c r="V741" t="s">
        <v>153</v>
      </c>
      <c r="W741" t="s">
        <v>154</v>
      </c>
      <c r="X741" t="s">
        <v>119</v>
      </c>
      <c r="Y741" t="s">
        <v>112</v>
      </c>
      <c r="Z741" t="s">
        <v>112</v>
      </c>
      <c r="AA741" t="s">
        <v>152</v>
      </c>
      <c r="AB741" t="s">
        <v>153</v>
      </c>
      <c r="AC741" t="s">
        <v>154</v>
      </c>
      <c r="AD741" t="s">
        <v>119</v>
      </c>
      <c r="AE741" t="s">
        <v>112</v>
      </c>
      <c r="AF741" t="s">
        <v>121</v>
      </c>
      <c r="AG741" t="s">
        <v>122</v>
      </c>
      <c r="AH741">
        <v>3875260.11</v>
      </c>
      <c r="AI741" t="s">
        <v>112</v>
      </c>
      <c r="AJ741" t="s">
        <v>152</v>
      </c>
      <c r="AK741" t="s">
        <v>153</v>
      </c>
      <c r="AL741" t="s">
        <v>154</v>
      </c>
      <c r="AM741" t="s">
        <v>119</v>
      </c>
      <c r="AN741" t="s">
        <v>112</v>
      </c>
      <c r="AO741" t="s">
        <v>121</v>
      </c>
      <c r="AP741" t="s">
        <v>122</v>
      </c>
      <c r="AQ741" t="s">
        <v>122</v>
      </c>
      <c r="AR741" t="s">
        <v>124</v>
      </c>
      <c r="AS741" t="s">
        <v>125</v>
      </c>
      <c r="AT741">
        <v>2</v>
      </c>
      <c r="AU741" t="s">
        <v>126</v>
      </c>
      <c r="AV741" t="s">
        <v>155</v>
      </c>
      <c r="AW741" t="s">
        <v>156</v>
      </c>
      <c r="AY741" t="s">
        <v>129</v>
      </c>
      <c r="AZ741">
        <v>35238.720000000001</v>
      </c>
      <c r="BC741">
        <v>98.786299999999997</v>
      </c>
      <c r="BD741" t="s">
        <v>112</v>
      </c>
      <c r="BE741" t="s">
        <v>112</v>
      </c>
      <c r="BF741" t="s">
        <v>157</v>
      </c>
      <c r="BG741" t="s">
        <v>133</v>
      </c>
      <c r="BH741" t="s">
        <v>134</v>
      </c>
      <c r="BI741" t="s">
        <v>112</v>
      </c>
      <c r="BJ741" t="s">
        <v>112</v>
      </c>
      <c r="BK741" t="s">
        <v>112</v>
      </c>
      <c r="BL741" t="s">
        <v>158</v>
      </c>
      <c r="BM741" t="s">
        <v>159</v>
      </c>
      <c r="BN741" t="s">
        <v>212</v>
      </c>
      <c r="BO741" t="s">
        <v>161</v>
      </c>
      <c r="BQ741" t="s">
        <v>1088</v>
      </c>
      <c r="BR741" s="45">
        <f>ISNUMBER(SEARCH($BR$1,Таблица1[[#This Row],[31_1 Описание и характеристика товара]]))*1</f>
        <v>1</v>
      </c>
      <c r="BT741" t="s">
        <v>150</v>
      </c>
      <c r="BU741">
        <v>33</v>
      </c>
      <c r="BV741">
        <v>0</v>
      </c>
      <c r="BW741">
        <v>0</v>
      </c>
      <c r="BY741">
        <v>0</v>
      </c>
      <c r="CA741" t="s">
        <v>106</v>
      </c>
      <c r="CB741" t="s">
        <v>142</v>
      </c>
      <c r="CC741" t="s">
        <v>112</v>
      </c>
      <c r="CD741" t="s">
        <v>112</v>
      </c>
      <c r="CE741" t="s">
        <v>121</v>
      </c>
      <c r="CF741">
        <v>15971.45</v>
      </c>
      <c r="CG741" t="s">
        <v>144</v>
      </c>
      <c r="CH741">
        <v>4000000</v>
      </c>
      <c r="CI741">
        <v>15759.05</v>
      </c>
      <c r="CJ741">
        <v>0</v>
      </c>
      <c r="CK741" t="s">
        <v>112</v>
      </c>
      <c r="CL741" t="s">
        <v>112</v>
      </c>
      <c r="CM741">
        <v>35238.720000000001</v>
      </c>
      <c r="CO741">
        <v>0</v>
      </c>
      <c r="CP741">
        <v>1</v>
      </c>
      <c r="CQ741">
        <v>3875260.11</v>
      </c>
      <c r="CR741">
        <v>41933.19</v>
      </c>
      <c r="CS741" t="s">
        <v>145</v>
      </c>
      <c r="CT741">
        <v>41919.072999999997</v>
      </c>
      <c r="CU741">
        <v>2.66</v>
      </c>
      <c r="CV741">
        <v>45</v>
      </c>
      <c r="CX741" t="s">
        <v>729</v>
      </c>
      <c r="CY741">
        <v>577</v>
      </c>
    </row>
    <row r="742" spans="1:103" x14ac:dyDescent="0.25">
      <c r="A742" t="s">
        <v>106</v>
      </c>
      <c r="B742" s="38">
        <v>45152</v>
      </c>
      <c r="C742" s="43">
        <f>IF(YEAR(Таблица1[[#This Row],[Дата]])=2023,MONTH(Таблица1[[#This Row],[Дата]]),0)</f>
        <v>8</v>
      </c>
      <c r="D742" t="s">
        <v>1558</v>
      </c>
      <c r="E742" t="s">
        <v>108</v>
      </c>
      <c r="F742" t="s">
        <v>1559</v>
      </c>
      <c r="G742" t="s">
        <v>110</v>
      </c>
      <c r="H742" t="s">
        <v>111</v>
      </c>
      <c r="I742" t="s">
        <v>112</v>
      </c>
      <c r="J742" t="s">
        <v>112</v>
      </c>
      <c r="K742" t="s">
        <v>112</v>
      </c>
      <c r="L742" t="s">
        <v>150</v>
      </c>
      <c r="M742" t="s">
        <v>151</v>
      </c>
      <c r="N742" t="s">
        <v>112</v>
      </c>
      <c r="O742" t="s">
        <v>112</v>
      </c>
      <c r="P742">
        <v>1</v>
      </c>
      <c r="R742">
        <v>1</v>
      </c>
      <c r="S742">
        <v>33</v>
      </c>
      <c r="T742" t="s">
        <v>112</v>
      </c>
      <c r="U742" t="s">
        <v>152</v>
      </c>
      <c r="V742" t="s">
        <v>153</v>
      </c>
      <c r="W742" t="s">
        <v>154</v>
      </c>
      <c r="X742" t="s">
        <v>119</v>
      </c>
      <c r="Y742" t="s">
        <v>112</v>
      </c>
      <c r="Z742" t="s">
        <v>112</v>
      </c>
      <c r="AA742" t="s">
        <v>152</v>
      </c>
      <c r="AB742" t="s">
        <v>153</v>
      </c>
      <c r="AC742" t="s">
        <v>154</v>
      </c>
      <c r="AD742" t="s">
        <v>119</v>
      </c>
      <c r="AE742" t="s">
        <v>112</v>
      </c>
      <c r="AF742" t="s">
        <v>121</v>
      </c>
      <c r="AG742" t="s">
        <v>122</v>
      </c>
      <c r="AH742">
        <v>4277861.7</v>
      </c>
      <c r="AI742" t="s">
        <v>112</v>
      </c>
      <c r="AJ742" t="s">
        <v>152</v>
      </c>
      <c r="AK742" t="s">
        <v>153</v>
      </c>
      <c r="AL742" t="s">
        <v>154</v>
      </c>
      <c r="AM742" t="s">
        <v>119</v>
      </c>
      <c r="AN742" t="s">
        <v>112</v>
      </c>
      <c r="AO742" t="s">
        <v>121</v>
      </c>
      <c r="AP742" t="s">
        <v>122</v>
      </c>
      <c r="AQ742" t="s">
        <v>122</v>
      </c>
      <c r="AR742" t="s">
        <v>124</v>
      </c>
      <c r="AS742" t="s">
        <v>125</v>
      </c>
      <c r="AT742">
        <v>2</v>
      </c>
      <c r="AU742" t="s">
        <v>126</v>
      </c>
      <c r="AV742" t="s">
        <v>155</v>
      </c>
      <c r="AW742" t="s">
        <v>156</v>
      </c>
      <c r="AY742" t="s">
        <v>129</v>
      </c>
      <c r="AZ742">
        <v>38614.199999999997</v>
      </c>
      <c r="BC742">
        <v>98.786299999999997</v>
      </c>
      <c r="BD742" t="s">
        <v>112</v>
      </c>
      <c r="BE742" t="s">
        <v>112</v>
      </c>
      <c r="BF742" t="s">
        <v>157</v>
      </c>
      <c r="BG742" t="s">
        <v>133</v>
      </c>
      <c r="BH742" t="s">
        <v>167</v>
      </c>
      <c r="BI742" t="s">
        <v>112</v>
      </c>
      <c r="BJ742" t="s">
        <v>112</v>
      </c>
      <c r="BK742" t="s">
        <v>112</v>
      </c>
      <c r="BL742" t="s">
        <v>158</v>
      </c>
      <c r="BM742" t="s">
        <v>159</v>
      </c>
      <c r="BN742" t="s">
        <v>160</v>
      </c>
      <c r="BO742" t="s">
        <v>161</v>
      </c>
      <c r="BQ742" t="s">
        <v>232</v>
      </c>
      <c r="BR742" s="45">
        <f>ISNUMBER(SEARCH($BR$1,Таблица1[[#This Row],[31_1 Описание и характеристика товара]]))*1</f>
        <v>1</v>
      </c>
      <c r="BT742" t="s">
        <v>150</v>
      </c>
      <c r="BU742">
        <v>33</v>
      </c>
      <c r="BV742">
        <v>0</v>
      </c>
      <c r="BW742">
        <v>0</v>
      </c>
      <c r="BY742">
        <v>0</v>
      </c>
      <c r="CA742" t="s">
        <v>106</v>
      </c>
      <c r="CB742" t="s">
        <v>142</v>
      </c>
      <c r="CC742" t="s">
        <v>112</v>
      </c>
      <c r="CD742" t="s">
        <v>112</v>
      </c>
      <c r="CE742" t="s">
        <v>121</v>
      </c>
      <c r="CF742">
        <v>16293.64</v>
      </c>
      <c r="CG742" t="s">
        <v>144</v>
      </c>
      <c r="CH742">
        <v>4000000</v>
      </c>
      <c r="CI742">
        <v>16128.04</v>
      </c>
      <c r="CJ742">
        <v>0</v>
      </c>
      <c r="CK742" t="s">
        <v>112</v>
      </c>
      <c r="CL742" t="s">
        <v>112</v>
      </c>
      <c r="CM742">
        <v>38614.199999999997</v>
      </c>
      <c r="CO742">
        <v>0</v>
      </c>
      <c r="CP742">
        <v>1</v>
      </c>
      <c r="CQ742">
        <v>4277861.7</v>
      </c>
      <c r="CR742">
        <v>46289.64</v>
      </c>
      <c r="CS742" t="s">
        <v>145</v>
      </c>
      <c r="CT742">
        <v>46287.474800000004</v>
      </c>
      <c r="CU742">
        <v>2.87</v>
      </c>
      <c r="CV742">
        <v>45</v>
      </c>
      <c r="CX742" t="s">
        <v>163</v>
      </c>
      <c r="CY742">
        <v>238</v>
      </c>
    </row>
    <row r="743" spans="1:103" x14ac:dyDescent="0.25">
      <c r="A743" t="s">
        <v>106</v>
      </c>
      <c r="B743" s="38">
        <v>45273</v>
      </c>
      <c r="C743" s="43">
        <f>IF(YEAR(Таблица1[[#This Row],[Дата]])=2023,MONTH(Таблица1[[#This Row],[Дата]]),0)</f>
        <v>12</v>
      </c>
      <c r="D743" t="s">
        <v>1569</v>
      </c>
      <c r="E743" t="s">
        <v>108</v>
      </c>
      <c r="F743" t="s">
        <v>1570</v>
      </c>
      <c r="G743" t="s">
        <v>110</v>
      </c>
      <c r="H743" t="s">
        <v>111</v>
      </c>
      <c r="I743" t="s">
        <v>112</v>
      </c>
      <c r="J743" t="s">
        <v>112</v>
      </c>
      <c r="K743" t="s">
        <v>112</v>
      </c>
      <c r="L743" t="s">
        <v>150</v>
      </c>
      <c r="M743" t="s">
        <v>151</v>
      </c>
      <c r="N743" t="s">
        <v>112</v>
      </c>
      <c r="O743" t="s">
        <v>112</v>
      </c>
      <c r="P743">
        <v>1</v>
      </c>
      <c r="R743">
        <v>1</v>
      </c>
      <c r="S743">
        <v>33</v>
      </c>
      <c r="T743" t="s">
        <v>112</v>
      </c>
      <c r="U743" t="s">
        <v>152</v>
      </c>
      <c r="V743" t="s">
        <v>153</v>
      </c>
      <c r="W743" t="s">
        <v>154</v>
      </c>
      <c r="X743" t="s">
        <v>119</v>
      </c>
      <c r="Y743" t="s">
        <v>112</v>
      </c>
      <c r="Z743" t="s">
        <v>112</v>
      </c>
      <c r="AA743" t="s">
        <v>152</v>
      </c>
      <c r="AB743" t="s">
        <v>153</v>
      </c>
      <c r="AC743" t="s">
        <v>154</v>
      </c>
      <c r="AD743" t="s">
        <v>119</v>
      </c>
      <c r="AE743" t="s">
        <v>112</v>
      </c>
      <c r="AF743" t="s">
        <v>121</v>
      </c>
      <c r="AG743" t="s">
        <v>122</v>
      </c>
      <c r="AH743">
        <v>4468414.54</v>
      </c>
      <c r="AI743" t="s">
        <v>112</v>
      </c>
      <c r="AJ743" t="s">
        <v>152</v>
      </c>
      <c r="AK743" t="s">
        <v>153</v>
      </c>
      <c r="AL743" t="s">
        <v>154</v>
      </c>
      <c r="AM743" t="s">
        <v>119</v>
      </c>
      <c r="AN743" t="s">
        <v>112</v>
      </c>
      <c r="AO743" t="s">
        <v>121</v>
      </c>
      <c r="AP743" t="s">
        <v>122</v>
      </c>
      <c r="AQ743" t="s">
        <v>122</v>
      </c>
      <c r="AR743" t="s">
        <v>124</v>
      </c>
      <c r="AS743" t="s">
        <v>125</v>
      </c>
      <c r="AT743">
        <v>2</v>
      </c>
      <c r="AU743" t="s">
        <v>126</v>
      </c>
      <c r="AV743" t="s">
        <v>155</v>
      </c>
      <c r="AW743" t="s">
        <v>156</v>
      </c>
      <c r="AY743" t="s">
        <v>129</v>
      </c>
      <c r="AZ743">
        <v>40713.14</v>
      </c>
      <c r="BC743">
        <v>98.786299999999997</v>
      </c>
      <c r="BD743" t="s">
        <v>112</v>
      </c>
      <c r="BE743" t="s">
        <v>112</v>
      </c>
      <c r="BF743" t="s">
        <v>157</v>
      </c>
      <c r="BG743" t="s">
        <v>133</v>
      </c>
      <c r="BH743" t="s">
        <v>134</v>
      </c>
      <c r="BI743" t="s">
        <v>112</v>
      </c>
      <c r="BJ743" t="s">
        <v>112</v>
      </c>
      <c r="BK743" t="s">
        <v>112</v>
      </c>
      <c r="BL743" t="s">
        <v>158</v>
      </c>
      <c r="BM743" t="s">
        <v>159</v>
      </c>
      <c r="BN743" t="s">
        <v>212</v>
      </c>
      <c r="BO743" t="s">
        <v>161</v>
      </c>
      <c r="BQ743" t="s">
        <v>281</v>
      </c>
      <c r="BR743" s="45">
        <f>ISNUMBER(SEARCH($BR$1,Таблица1[[#This Row],[31_1 Описание и характеристика товара]]))*1</f>
        <v>1</v>
      </c>
      <c r="BT743" t="s">
        <v>150</v>
      </c>
      <c r="BU743">
        <v>33</v>
      </c>
      <c r="BV743">
        <v>0</v>
      </c>
      <c r="BW743">
        <v>0</v>
      </c>
      <c r="BY743">
        <v>0</v>
      </c>
      <c r="CA743" t="s">
        <v>106</v>
      </c>
      <c r="CB743" t="s">
        <v>142</v>
      </c>
      <c r="CC743" t="s">
        <v>112</v>
      </c>
      <c r="CD743" t="s">
        <v>112</v>
      </c>
      <c r="CE743" t="s">
        <v>121</v>
      </c>
      <c r="CF743">
        <v>16286.1</v>
      </c>
      <c r="CG743" t="s">
        <v>144</v>
      </c>
      <c r="CH743">
        <v>4000000</v>
      </c>
      <c r="CI743">
        <v>16074.3</v>
      </c>
      <c r="CJ743">
        <v>0</v>
      </c>
      <c r="CK743" t="s">
        <v>112</v>
      </c>
      <c r="CL743" t="s">
        <v>112</v>
      </c>
      <c r="CM743">
        <v>40713.14</v>
      </c>
      <c r="CO743">
        <v>0</v>
      </c>
      <c r="CP743">
        <v>1</v>
      </c>
      <c r="CQ743">
        <v>4468414.54</v>
      </c>
      <c r="CR743">
        <v>48351.56</v>
      </c>
      <c r="CS743" t="s">
        <v>145</v>
      </c>
      <c r="CT743">
        <v>48383.642999999996</v>
      </c>
      <c r="CU743">
        <v>3.01</v>
      </c>
      <c r="CV743">
        <v>45</v>
      </c>
      <c r="CX743" t="s">
        <v>233</v>
      </c>
      <c r="CY743">
        <v>564</v>
      </c>
    </row>
    <row r="744" spans="1:103" x14ac:dyDescent="0.25">
      <c r="A744" t="s">
        <v>106</v>
      </c>
      <c r="B744" s="38">
        <v>45128</v>
      </c>
      <c r="C744" s="43">
        <f>IF(YEAR(Таблица1[[#This Row],[Дата]])=2023,MONTH(Таблица1[[#This Row],[Дата]]),0)</f>
        <v>7</v>
      </c>
      <c r="D744" t="s">
        <v>1912</v>
      </c>
      <c r="E744" t="s">
        <v>108</v>
      </c>
      <c r="F744" t="s">
        <v>1913</v>
      </c>
      <c r="G744" t="s">
        <v>110</v>
      </c>
      <c r="H744" t="s">
        <v>111</v>
      </c>
      <c r="I744" t="s">
        <v>112</v>
      </c>
      <c r="J744" t="s">
        <v>112</v>
      </c>
      <c r="K744" t="s">
        <v>112</v>
      </c>
      <c r="L744" t="s">
        <v>150</v>
      </c>
      <c r="M744" t="s">
        <v>151</v>
      </c>
      <c r="N744" t="s">
        <v>112</v>
      </c>
      <c r="O744" t="s">
        <v>112</v>
      </c>
      <c r="P744">
        <v>1</v>
      </c>
      <c r="R744">
        <v>1</v>
      </c>
      <c r="S744">
        <v>33</v>
      </c>
      <c r="T744" t="s">
        <v>112</v>
      </c>
      <c r="U744" t="s">
        <v>152</v>
      </c>
      <c r="V744" t="s">
        <v>153</v>
      </c>
      <c r="W744" t="s">
        <v>154</v>
      </c>
      <c r="X744" t="s">
        <v>119</v>
      </c>
      <c r="Y744" t="s">
        <v>112</v>
      </c>
      <c r="Z744" t="s">
        <v>112</v>
      </c>
      <c r="AA744" t="s">
        <v>152</v>
      </c>
      <c r="AB744" t="s">
        <v>153</v>
      </c>
      <c r="AC744" t="s">
        <v>154</v>
      </c>
      <c r="AD744" t="s">
        <v>119</v>
      </c>
      <c r="AE744" t="s">
        <v>112</v>
      </c>
      <c r="AF744" t="s">
        <v>121</v>
      </c>
      <c r="AG744" t="s">
        <v>122</v>
      </c>
      <c r="AH744">
        <v>4877704.92</v>
      </c>
      <c r="AI744" t="s">
        <v>112</v>
      </c>
      <c r="AJ744" t="s">
        <v>152</v>
      </c>
      <c r="AK744" t="s">
        <v>153</v>
      </c>
      <c r="AL744" t="s">
        <v>154</v>
      </c>
      <c r="AM744" t="s">
        <v>119</v>
      </c>
      <c r="AN744" t="s">
        <v>112</v>
      </c>
      <c r="AO744" t="s">
        <v>121</v>
      </c>
      <c r="AP744" t="s">
        <v>122</v>
      </c>
      <c r="AQ744" t="s">
        <v>122</v>
      </c>
      <c r="AR744" t="s">
        <v>124</v>
      </c>
      <c r="AS744" t="s">
        <v>125</v>
      </c>
      <c r="AT744">
        <v>2</v>
      </c>
      <c r="AU744" t="s">
        <v>126</v>
      </c>
      <c r="AV744" t="s">
        <v>155</v>
      </c>
      <c r="AW744" t="s">
        <v>156</v>
      </c>
      <c r="AY744" t="s">
        <v>129</v>
      </c>
      <c r="AZ744">
        <v>42201.84</v>
      </c>
      <c r="BC744">
        <v>105.27760000000001</v>
      </c>
      <c r="BD744" t="s">
        <v>112</v>
      </c>
      <c r="BE744" t="s">
        <v>112</v>
      </c>
      <c r="BF744" t="s">
        <v>157</v>
      </c>
      <c r="BG744" t="s">
        <v>133</v>
      </c>
      <c r="BH744" t="s">
        <v>134</v>
      </c>
      <c r="BI744" t="s">
        <v>112</v>
      </c>
      <c r="BJ744" t="s">
        <v>112</v>
      </c>
      <c r="BK744" t="s">
        <v>112</v>
      </c>
      <c r="BL744" t="s">
        <v>169</v>
      </c>
      <c r="BM744" t="s">
        <v>159</v>
      </c>
      <c r="BN744" t="s">
        <v>212</v>
      </c>
      <c r="BO744" t="s">
        <v>161</v>
      </c>
      <c r="BQ744" t="s">
        <v>213</v>
      </c>
      <c r="BR744" s="45">
        <f>ISNUMBER(SEARCH($BR$1,Таблица1[[#This Row],[31_1 Описание и характеристика товара]]))*1</f>
        <v>1</v>
      </c>
      <c r="BT744" t="s">
        <v>150</v>
      </c>
      <c r="BU744">
        <v>33</v>
      </c>
      <c r="BV744">
        <v>0</v>
      </c>
      <c r="BW744">
        <v>0</v>
      </c>
      <c r="BY744">
        <v>0</v>
      </c>
      <c r="CA744" t="s">
        <v>106</v>
      </c>
      <c r="CB744" t="s">
        <v>142</v>
      </c>
      <c r="CC744" t="s">
        <v>112</v>
      </c>
      <c r="CD744" t="s">
        <v>112</v>
      </c>
      <c r="CE744" t="s">
        <v>121</v>
      </c>
      <c r="CF744">
        <v>16663.63</v>
      </c>
      <c r="CG744" t="s">
        <v>144</v>
      </c>
      <c r="CH744">
        <v>4000000</v>
      </c>
      <c r="CI744">
        <v>16534.03</v>
      </c>
      <c r="CJ744">
        <v>0</v>
      </c>
      <c r="CK744" t="s">
        <v>112</v>
      </c>
      <c r="CL744" t="s">
        <v>112</v>
      </c>
      <c r="CM744">
        <v>42201.84</v>
      </c>
      <c r="CO744">
        <v>0</v>
      </c>
      <c r="CP744">
        <v>1</v>
      </c>
      <c r="CQ744">
        <v>4877704.92</v>
      </c>
      <c r="CR744">
        <v>49673.1</v>
      </c>
      <c r="CS744" t="s">
        <v>145</v>
      </c>
      <c r="CT744">
        <v>49602.09</v>
      </c>
      <c r="CU744">
        <v>3</v>
      </c>
      <c r="CV744">
        <v>45</v>
      </c>
      <c r="CX744" t="s">
        <v>233</v>
      </c>
      <c r="CY744">
        <v>365</v>
      </c>
    </row>
    <row r="745" spans="1:103" x14ac:dyDescent="0.25">
      <c r="A745" t="s">
        <v>106</v>
      </c>
      <c r="B745" s="38">
        <v>44962</v>
      </c>
      <c r="C745" s="43">
        <f>IF(YEAR(Таблица1[[#This Row],[Дата]])=2023,MONTH(Таблица1[[#This Row],[Дата]]),0)</f>
        <v>2</v>
      </c>
      <c r="D745" t="s">
        <v>1894</v>
      </c>
      <c r="E745" t="s">
        <v>108</v>
      </c>
      <c r="F745" t="s">
        <v>1895</v>
      </c>
      <c r="G745" t="s">
        <v>110</v>
      </c>
      <c r="H745" t="s">
        <v>111</v>
      </c>
      <c r="I745" t="s">
        <v>112</v>
      </c>
      <c r="J745" t="s">
        <v>112</v>
      </c>
      <c r="K745" t="s">
        <v>112</v>
      </c>
      <c r="L745" t="s">
        <v>150</v>
      </c>
      <c r="M745" t="s">
        <v>151</v>
      </c>
      <c r="N745" t="s">
        <v>112</v>
      </c>
      <c r="O745" t="s">
        <v>112</v>
      </c>
      <c r="P745">
        <v>1</v>
      </c>
      <c r="R745">
        <v>1</v>
      </c>
      <c r="S745">
        <v>33</v>
      </c>
      <c r="T745" t="s">
        <v>112</v>
      </c>
      <c r="U745" t="s">
        <v>152</v>
      </c>
      <c r="V745" t="s">
        <v>153</v>
      </c>
      <c r="W745" t="s">
        <v>154</v>
      </c>
      <c r="X745" t="s">
        <v>119</v>
      </c>
      <c r="Y745" t="s">
        <v>112</v>
      </c>
      <c r="Z745" t="s">
        <v>112</v>
      </c>
      <c r="AA745" t="s">
        <v>152</v>
      </c>
      <c r="AB745" t="s">
        <v>153</v>
      </c>
      <c r="AC745" t="s">
        <v>154</v>
      </c>
      <c r="AD745" t="s">
        <v>119</v>
      </c>
      <c r="AE745" t="s">
        <v>112</v>
      </c>
      <c r="AF745" t="s">
        <v>121</v>
      </c>
      <c r="AG745" t="s">
        <v>122</v>
      </c>
      <c r="AH745">
        <v>4956380.9800000004</v>
      </c>
      <c r="AI745" t="s">
        <v>112</v>
      </c>
      <c r="AJ745" t="s">
        <v>152</v>
      </c>
      <c r="AK745" t="s">
        <v>153</v>
      </c>
      <c r="AL745" t="s">
        <v>154</v>
      </c>
      <c r="AM745" t="s">
        <v>119</v>
      </c>
      <c r="AN745" t="s">
        <v>112</v>
      </c>
      <c r="AO745" t="s">
        <v>121</v>
      </c>
      <c r="AP745" t="s">
        <v>122</v>
      </c>
      <c r="AQ745" t="s">
        <v>122</v>
      </c>
      <c r="AR745" t="s">
        <v>124</v>
      </c>
      <c r="AS745" t="s">
        <v>125</v>
      </c>
      <c r="AT745">
        <v>2</v>
      </c>
      <c r="AU745" t="s">
        <v>126</v>
      </c>
      <c r="AV745" t="s">
        <v>155</v>
      </c>
      <c r="AW745" t="s">
        <v>156</v>
      </c>
      <c r="AY745" t="s">
        <v>129</v>
      </c>
      <c r="AZ745">
        <v>42249.16</v>
      </c>
      <c r="BC745">
        <v>105.27760000000001</v>
      </c>
      <c r="BD745" t="s">
        <v>112</v>
      </c>
      <c r="BE745" t="s">
        <v>112</v>
      </c>
      <c r="BF745" t="s">
        <v>157</v>
      </c>
      <c r="BG745" t="s">
        <v>133</v>
      </c>
      <c r="BH745" t="s">
        <v>134</v>
      </c>
      <c r="BI745" t="s">
        <v>112</v>
      </c>
      <c r="BJ745" t="s">
        <v>112</v>
      </c>
      <c r="BK745" t="s">
        <v>112</v>
      </c>
      <c r="BL745" t="s">
        <v>169</v>
      </c>
      <c r="BM745" t="s">
        <v>159</v>
      </c>
      <c r="BN745" t="s">
        <v>212</v>
      </c>
      <c r="BO745" t="s">
        <v>161</v>
      </c>
      <c r="BQ745" t="s">
        <v>232</v>
      </c>
      <c r="BR745" s="45">
        <f>ISNUMBER(SEARCH($BR$1,Таблица1[[#This Row],[31_1 Описание и характеристика товара]]))*1</f>
        <v>1</v>
      </c>
      <c r="BT745" t="s">
        <v>150</v>
      </c>
      <c r="BU745">
        <v>33</v>
      </c>
      <c r="BV745">
        <v>0</v>
      </c>
      <c r="BW745">
        <v>0</v>
      </c>
      <c r="BY745">
        <v>0</v>
      </c>
      <c r="CA745" t="s">
        <v>106</v>
      </c>
      <c r="CB745" t="s">
        <v>142</v>
      </c>
      <c r="CC745" t="s">
        <v>112</v>
      </c>
      <c r="CD745" t="s">
        <v>112</v>
      </c>
      <c r="CE745" t="s">
        <v>121</v>
      </c>
      <c r="CF745">
        <v>15781.18</v>
      </c>
      <c r="CG745" t="s">
        <v>144</v>
      </c>
      <c r="CH745">
        <v>4000000</v>
      </c>
      <c r="CI745">
        <v>15550.78</v>
      </c>
      <c r="CJ745">
        <v>0</v>
      </c>
      <c r="CK745" t="s">
        <v>112</v>
      </c>
      <c r="CL745" t="s">
        <v>112</v>
      </c>
      <c r="CM745">
        <v>42249.16</v>
      </c>
      <c r="CO745">
        <v>0</v>
      </c>
      <c r="CP745">
        <v>1</v>
      </c>
      <c r="CQ745">
        <v>4956380.9800000004</v>
      </c>
      <c r="CR745">
        <v>50474.32</v>
      </c>
      <c r="CS745" t="s">
        <v>145</v>
      </c>
      <c r="CT745">
        <v>50540.035000000003</v>
      </c>
      <c r="CU745">
        <v>3.25</v>
      </c>
      <c r="CV745">
        <v>45</v>
      </c>
      <c r="CX745" t="s">
        <v>206</v>
      </c>
      <c r="CY745">
        <v>272</v>
      </c>
    </row>
    <row r="746" spans="1:103" x14ac:dyDescent="0.25">
      <c r="A746" t="s">
        <v>106</v>
      </c>
      <c r="B746" s="38">
        <v>45063</v>
      </c>
      <c r="C746" s="43">
        <f>IF(YEAR(Таблица1[[#This Row],[Дата]])=2023,MONTH(Таблица1[[#This Row],[Дата]]),0)</f>
        <v>5</v>
      </c>
      <c r="D746" t="s">
        <v>1902</v>
      </c>
      <c r="E746" t="s">
        <v>108</v>
      </c>
      <c r="F746" t="s">
        <v>1903</v>
      </c>
      <c r="G746" t="s">
        <v>110</v>
      </c>
      <c r="H746" t="s">
        <v>111</v>
      </c>
      <c r="I746" t="s">
        <v>112</v>
      </c>
      <c r="J746" t="s">
        <v>112</v>
      </c>
      <c r="K746" t="s">
        <v>112</v>
      </c>
      <c r="L746" t="s">
        <v>150</v>
      </c>
      <c r="M746" t="s">
        <v>151</v>
      </c>
      <c r="N746" t="s">
        <v>112</v>
      </c>
      <c r="O746" t="s">
        <v>112</v>
      </c>
      <c r="P746">
        <v>1</v>
      </c>
      <c r="R746">
        <v>1</v>
      </c>
      <c r="S746">
        <v>38</v>
      </c>
      <c r="T746" t="s">
        <v>112</v>
      </c>
      <c r="U746" t="s">
        <v>152</v>
      </c>
      <c r="V746" t="s">
        <v>153</v>
      </c>
      <c r="W746" t="s">
        <v>154</v>
      </c>
      <c r="X746" t="s">
        <v>119</v>
      </c>
      <c r="Y746" t="s">
        <v>112</v>
      </c>
      <c r="Z746" t="s">
        <v>112</v>
      </c>
      <c r="AA746" t="s">
        <v>152</v>
      </c>
      <c r="AB746" t="s">
        <v>153</v>
      </c>
      <c r="AC746" t="s">
        <v>154</v>
      </c>
      <c r="AD746" t="s">
        <v>119</v>
      </c>
      <c r="AE746" t="s">
        <v>112</v>
      </c>
      <c r="AF746" t="s">
        <v>121</v>
      </c>
      <c r="AG746" t="s">
        <v>122</v>
      </c>
      <c r="AH746">
        <v>5134168.5199999996</v>
      </c>
      <c r="AI746" t="s">
        <v>112</v>
      </c>
      <c r="AJ746" t="s">
        <v>152</v>
      </c>
      <c r="AK746" t="s">
        <v>153</v>
      </c>
      <c r="AL746" t="s">
        <v>154</v>
      </c>
      <c r="AM746" t="s">
        <v>119</v>
      </c>
      <c r="AN746" t="s">
        <v>112</v>
      </c>
      <c r="AO746" t="s">
        <v>121</v>
      </c>
      <c r="AP746" t="s">
        <v>122</v>
      </c>
      <c r="AQ746" t="s">
        <v>122</v>
      </c>
      <c r="AR746" t="s">
        <v>124</v>
      </c>
      <c r="AS746" t="s">
        <v>125</v>
      </c>
      <c r="AT746">
        <v>2</v>
      </c>
      <c r="AU746" t="s">
        <v>126</v>
      </c>
      <c r="AV746" t="s">
        <v>155</v>
      </c>
      <c r="AW746" t="s">
        <v>156</v>
      </c>
      <c r="AY746" t="s">
        <v>129</v>
      </c>
      <c r="AZ746">
        <v>44637.91</v>
      </c>
      <c r="BC746">
        <v>105.27760000000001</v>
      </c>
      <c r="BD746" t="s">
        <v>112</v>
      </c>
      <c r="BE746" t="s">
        <v>112</v>
      </c>
      <c r="BF746" t="s">
        <v>157</v>
      </c>
      <c r="BG746" t="s">
        <v>133</v>
      </c>
      <c r="BH746" t="s">
        <v>134</v>
      </c>
      <c r="BI746" t="s">
        <v>112</v>
      </c>
      <c r="BJ746" t="s">
        <v>112</v>
      </c>
      <c r="BK746" t="s">
        <v>112</v>
      </c>
      <c r="BL746" t="s">
        <v>169</v>
      </c>
      <c r="BM746" t="s">
        <v>159</v>
      </c>
      <c r="BN746" t="s">
        <v>212</v>
      </c>
      <c r="BO746" t="s">
        <v>161</v>
      </c>
      <c r="BQ746" t="s">
        <v>213</v>
      </c>
      <c r="BR746" s="45">
        <f>ISNUMBER(SEARCH($BR$1,Таблица1[[#This Row],[31_1 Описание и характеристика товара]]))*1</f>
        <v>1</v>
      </c>
      <c r="BT746" t="s">
        <v>150</v>
      </c>
      <c r="BU746">
        <v>38</v>
      </c>
      <c r="BV746">
        <v>0</v>
      </c>
      <c r="BW746">
        <v>0</v>
      </c>
      <c r="BY746">
        <v>0</v>
      </c>
      <c r="CA746" t="s">
        <v>106</v>
      </c>
      <c r="CB746" t="s">
        <v>142</v>
      </c>
      <c r="CC746" t="s">
        <v>112</v>
      </c>
      <c r="CD746" t="s">
        <v>112</v>
      </c>
      <c r="CE746" t="s">
        <v>121</v>
      </c>
      <c r="CF746">
        <v>18393.060000000001</v>
      </c>
      <c r="CG746" t="s">
        <v>144</v>
      </c>
      <c r="CH746">
        <v>4000000</v>
      </c>
      <c r="CI746">
        <v>18133.86</v>
      </c>
      <c r="CJ746">
        <v>0</v>
      </c>
      <c r="CK746" t="s">
        <v>112</v>
      </c>
      <c r="CL746" t="s">
        <v>112</v>
      </c>
      <c r="CM746">
        <v>44637.91</v>
      </c>
      <c r="CO746">
        <v>0</v>
      </c>
      <c r="CP746">
        <v>1</v>
      </c>
      <c r="CQ746">
        <v>5134168.5199999996</v>
      </c>
      <c r="CR746">
        <v>52284.85</v>
      </c>
      <c r="CS746" t="s">
        <v>145</v>
      </c>
      <c r="CT746">
        <v>52225.516799999998</v>
      </c>
      <c r="CU746">
        <v>2.88</v>
      </c>
      <c r="CV746">
        <v>45</v>
      </c>
      <c r="CX746" t="s">
        <v>1140</v>
      </c>
      <c r="CY746">
        <v>345</v>
      </c>
    </row>
    <row r="747" spans="1:103" x14ac:dyDescent="0.25">
      <c r="A747" t="s">
        <v>106</v>
      </c>
      <c r="B747" s="38">
        <v>45156</v>
      </c>
      <c r="C747" s="43">
        <f>IF(YEAR(Таблица1[[#This Row],[Дата]])=2023,MONTH(Таблица1[[#This Row],[Дата]]),0)</f>
        <v>8</v>
      </c>
      <c r="D747" t="s">
        <v>1910</v>
      </c>
      <c r="E747" t="s">
        <v>108</v>
      </c>
      <c r="F747" t="s">
        <v>1911</v>
      </c>
      <c r="G747" t="s">
        <v>110</v>
      </c>
      <c r="H747" t="s">
        <v>111</v>
      </c>
      <c r="I747" t="s">
        <v>112</v>
      </c>
      <c r="J747" t="s">
        <v>112</v>
      </c>
      <c r="K747" t="s">
        <v>112</v>
      </c>
      <c r="L747" t="s">
        <v>150</v>
      </c>
      <c r="M747" t="s">
        <v>151</v>
      </c>
      <c r="N747" t="s">
        <v>112</v>
      </c>
      <c r="O747" t="s">
        <v>112</v>
      </c>
      <c r="P747">
        <v>1</v>
      </c>
      <c r="R747">
        <v>1</v>
      </c>
      <c r="S747">
        <v>33</v>
      </c>
      <c r="T747" t="s">
        <v>112</v>
      </c>
      <c r="U747" t="s">
        <v>152</v>
      </c>
      <c r="V747" t="s">
        <v>153</v>
      </c>
      <c r="W747" t="s">
        <v>154</v>
      </c>
      <c r="X747" t="s">
        <v>119</v>
      </c>
      <c r="Y747" t="s">
        <v>112</v>
      </c>
      <c r="Z747" t="s">
        <v>112</v>
      </c>
      <c r="AA747" t="s">
        <v>152</v>
      </c>
      <c r="AB747" t="s">
        <v>153</v>
      </c>
      <c r="AC747" t="s">
        <v>154</v>
      </c>
      <c r="AD747" t="s">
        <v>119</v>
      </c>
      <c r="AE747" t="s">
        <v>112</v>
      </c>
      <c r="AF747" t="s">
        <v>121</v>
      </c>
      <c r="AG747" t="s">
        <v>122</v>
      </c>
      <c r="AH747">
        <v>4720723.3899999997</v>
      </c>
      <c r="AI747" t="s">
        <v>112</v>
      </c>
      <c r="AJ747" t="s">
        <v>152</v>
      </c>
      <c r="AK747" t="s">
        <v>153</v>
      </c>
      <c r="AL747" t="s">
        <v>154</v>
      </c>
      <c r="AM747" t="s">
        <v>119</v>
      </c>
      <c r="AN747" t="s">
        <v>112</v>
      </c>
      <c r="AO747" t="s">
        <v>121</v>
      </c>
      <c r="AP747" t="s">
        <v>122</v>
      </c>
      <c r="AQ747" t="s">
        <v>122</v>
      </c>
      <c r="AR747" t="s">
        <v>124</v>
      </c>
      <c r="AS747" t="s">
        <v>125</v>
      </c>
      <c r="AT747">
        <v>2</v>
      </c>
      <c r="AU747" t="s">
        <v>126</v>
      </c>
      <c r="AV747" t="s">
        <v>155</v>
      </c>
      <c r="AW747" t="s">
        <v>156</v>
      </c>
      <c r="AY747" t="s">
        <v>129</v>
      </c>
      <c r="AZ747">
        <v>40710.720000000001</v>
      </c>
      <c r="BC747">
        <v>105.27760000000001</v>
      </c>
      <c r="BD747" t="s">
        <v>112</v>
      </c>
      <c r="BE747" t="s">
        <v>112</v>
      </c>
      <c r="BF747" t="s">
        <v>157</v>
      </c>
      <c r="BG747" t="s">
        <v>133</v>
      </c>
      <c r="BH747" t="s">
        <v>134</v>
      </c>
      <c r="BI747" t="s">
        <v>112</v>
      </c>
      <c r="BJ747" t="s">
        <v>112</v>
      </c>
      <c r="BK747" t="s">
        <v>112</v>
      </c>
      <c r="BL747" t="s">
        <v>169</v>
      </c>
      <c r="BM747" t="s">
        <v>159</v>
      </c>
      <c r="BN747" t="s">
        <v>212</v>
      </c>
      <c r="BO747" t="s">
        <v>161</v>
      </c>
      <c r="BQ747" t="s">
        <v>232</v>
      </c>
      <c r="BR747" s="45">
        <f>ISNUMBER(SEARCH($BR$1,Таблица1[[#This Row],[31_1 Описание и характеристика товара]]))*1</f>
        <v>1</v>
      </c>
      <c r="BT747" t="s">
        <v>150</v>
      </c>
      <c r="BU747">
        <v>33</v>
      </c>
      <c r="BV747">
        <v>0</v>
      </c>
      <c r="BW747">
        <v>0</v>
      </c>
      <c r="BY747">
        <v>0</v>
      </c>
      <c r="CA747" t="s">
        <v>106</v>
      </c>
      <c r="CB747" t="s">
        <v>142</v>
      </c>
      <c r="CC747" t="s">
        <v>112</v>
      </c>
      <c r="CD747" t="s">
        <v>112</v>
      </c>
      <c r="CE747" t="s">
        <v>121</v>
      </c>
      <c r="CF747">
        <v>16580.02</v>
      </c>
      <c r="CG747" t="s">
        <v>144</v>
      </c>
      <c r="CH747">
        <v>4000000</v>
      </c>
      <c r="CI747">
        <v>16562.02</v>
      </c>
      <c r="CJ747">
        <v>0</v>
      </c>
      <c r="CK747" t="s">
        <v>112</v>
      </c>
      <c r="CL747" t="s">
        <v>112</v>
      </c>
      <c r="CM747">
        <v>40710.720000000001</v>
      </c>
      <c r="CO747">
        <v>0</v>
      </c>
      <c r="CP747">
        <v>1</v>
      </c>
      <c r="CQ747">
        <v>4720723.3899999997</v>
      </c>
      <c r="CR747">
        <v>48074.45</v>
      </c>
      <c r="CS747" t="s">
        <v>145</v>
      </c>
      <c r="CT747">
        <v>48029.858</v>
      </c>
      <c r="CU747">
        <v>2.9</v>
      </c>
      <c r="CV747">
        <v>45</v>
      </c>
      <c r="CX747" t="s">
        <v>233</v>
      </c>
      <c r="CY747">
        <v>580</v>
      </c>
    </row>
    <row r="748" spans="1:103" x14ac:dyDescent="0.25">
      <c r="A748" t="s">
        <v>106</v>
      </c>
      <c r="B748" s="38">
        <v>45129</v>
      </c>
      <c r="C748" s="43">
        <f>IF(YEAR(Таблица1[[#This Row],[Дата]])=2023,MONTH(Таблица1[[#This Row],[Дата]]),0)</f>
        <v>7</v>
      </c>
      <c r="D748" t="s">
        <v>1904</v>
      </c>
      <c r="E748" t="s">
        <v>108</v>
      </c>
      <c r="F748" t="s">
        <v>1905</v>
      </c>
      <c r="G748" t="s">
        <v>110</v>
      </c>
      <c r="H748" t="s">
        <v>111</v>
      </c>
      <c r="I748" t="s">
        <v>112</v>
      </c>
      <c r="J748" t="s">
        <v>112</v>
      </c>
      <c r="K748" t="s">
        <v>112</v>
      </c>
      <c r="L748" t="s">
        <v>150</v>
      </c>
      <c r="M748" t="s">
        <v>151</v>
      </c>
      <c r="N748" t="s">
        <v>112</v>
      </c>
      <c r="O748" t="s">
        <v>112</v>
      </c>
      <c r="P748">
        <v>1</v>
      </c>
      <c r="R748">
        <v>1</v>
      </c>
      <c r="S748">
        <v>33</v>
      </c>
      <c r="T748" t="s">
        <v>112</v>
      </c>
      <c r="U748" t="s">
        <v>152</v>
      </c>
      <c r="V748" t="s">
        <v>153</v>
      </c>
      <c r="W748" t="s">
        <v>154</v>
      </c>
      <c r="X748" t="s">
        <v>119</v>
      </c>
      <c r="Y748" t="s">
        <v>112</v>
      </c>
      <c r="Z748" t="s">
        <v>112</v>
      </c>
      <c r="AA748" t="s">
        <v>152</v>
      </c>
      <c r="AB748" t="s">
        <v>153</v>
      </c>
      <c r="AC748" t="s">
        <v>154</v>
      </c>
      <c r="AD748" t="s">
        <v>119</v>
      </c>
      <c r="AE748" t="s">
        <v>112</v>
      </c>
      <c r="AF748" t="s">
        <v>121</v>
      </c>
      <c r="AG748" t="s">
        <v>122</v>
      </c>
      <c r="AH748">
        <v>4968450</v>
      </c>
      <c r="AI748" t="s">
        <v>112</v>
      </c>
      <c r="AJ748" t="s">
        <v>152</v>
      </c>
      <c r="AK748" t="s">
        <v>153</v>
      </c>
      <c r="AL748" t="s">
        <v>154</v>
      </c>
      <c r="AM748" t="s">
        <v>119</v>
      </c>
      <c r="AN748" t="s">
        <v>112</v>
      </c>
      <c r="AO748" t="s">
        <v>121</v>
      </c>
      <c r="AP748" t="s">
        <v>122</v>
      </c>
      <c r="AQ748" t="s">
        <v>122</v>
      </c>
      <c r="AR748" t="s">
        <v>124</v>
      </c>
      <c r="AS748" t="s">
        <v>125</v>
      </c>
      <c r="AT748">
        <v>2</v>
      </c>
      <c r="AU748" t="s">
        <v>126</v>
      </c>
      <c r="AV748" t="s">
        <v>155</v>
      </c>
      <c r="AW748" t="s">
        <v>156</v>
      </c>
      <c r="AY748" t="s">
        <v>129</v>
      </c>
      <c r="AZ748">
        <v>43063.8</v>
      </c>
      <c r="BC748">
        <v>105.27760000000001</v>
      </c>
      <c r="BD748" t="s">
        <v>112</v>
      </c>
      <c r="BE748" t="s">
        <v>112</v>
      </c>
      <c r="BF748" t="s">
        <v>157</v>
      </c>
      <c r="BG748" t="s">
        <v>133</v>
      </c>
      <c r="BH748" t="s">
        <v>134</v>
      </c>
      <c r="BI748" t="s">
        <v>112</v>
      </c>
      <c r="BJ748" t="s">
        <v>112</v>
      </c>
      <c r="BK748" t="s">
        <v>112</v>
      </c>
      <c r="BL748" t="s">
        <v>169</v>
      </c>
      <c r="BM748" t="s">
        <v>159</v>
      </c>
      <c r="BN748" t="s">
        <v>212</v>
      </c>
      <c r="BO748" t="s">
        <v>161</v>
      </c>
      <c r="BQ748" t="s">
        <v>205</v>
      </c>
      <c r="BR748" s="45">
        <f>ISNUMBER(SEARCH($BR$1,Таблица1[[#This Row],[31_1 Описание и характеристика товара]]))*1</f>
        <v>1</v>
      </c>
      <c r="BT748" t="s">
        <v>150</v>
      </c>
      <c r="BU748">
        <v>33</v>
      </c>
      <c r="BV748">
        <v>0</v>
      </c>
      <c r="BW748">
        <v>0</v>
      </c>
      <c r="BY748">
        <v>0</v>
      </c>
      <c r="CA748" t="s">
        <v>106</v>
      </c>
      <c r="CB748" t="s">
        <v>142</v>
      </c>
      <c r="CC748" t="s">
        <v>112</v>
      </c>
      <c r="CD748" t="s">
        <v>112</v>
      </c>
      <c r="CE748" t="s">
        <v>121</v>
      </c>
      <c r="CF748">
        <v>14920.5</v>
      </c>
      <c r="CG748" t="s">
        <v>144</v>
      </c>
      <c r="CH748">
        <v>4000000</v>
      </c>
      <c r="CI748">
        <v>14643.3</v>
      </c>
      <c r="CJ748">
        <v>0</v>
      </c>
      <c r="CK748" t="s">
        <v>112</v>
      </c>
      <c r="CL748" t="s">
        <v>112</v>
      </c>
      <c r="CM748">
        <v>43063.8</v>
      </c>
      <c r="CO748">
        <v>0</v>
      </c>
      <c r="CP748">
        <v>1</v>
      </c>
      <c r="CQ748">
        <v>4968450</v>
      </c>
      <c r="CR748">
        <v>50597.22</v>
      </c>
      <c r="CS748" t="s">
        <v>145</v>
      </c>
      <c r="CT748">
        <v>50665.817999999999</v>
      </c>
      <c r="CU748">
        <v>3.46</v>
      </c>
      <c r="CV748">
        <v>45</v>
      </c>
      <c r="CX748" t="s">
        <v>233</v>
      </c>
      <c r="CY748">
        <v>182</v>
      </c>
    </row>
    <row r="749" spans="1:103" x14ac:dyDescent="0.25">
      <c r="A749" t="s">
        <v>106</v>
      </c>
      <c r="B749" s="38">
        <v>45069</v>
      </c>
      <c r="C749" s="43">
        <f>IF(YEAR(Таблица1[[#This Row],[Дата]])=2023,MONTH(Таблица1[[#This Row],[Дата]]),0)</f>
        <v>5</v>
      </c>
      <c r="D749" t="s">
        <v>1896</v>
      </c>
      <c r="E749" t="s">
        <v>108</v>
      </c>
      <c r="F749" t="s">
        <v>1897</v>
      </c>
      <c r="G749" t="s">
        <v>110</v>
      </c>
      <c r="H749" t="s">
        <v>111</v>
      </c>
      <c r="I749" t="s">
        <v>112</v>
      </c>
      <c r="J749" t="s">
        <v>112</v>
      </c>
      <c r="K749" t="s">
        <v>112</v>
      </c>
      <c r="L749" t="s">
        <v>150</v>
      </c>
      <c r="M749" t="s">
        <v>151</v>
      </c>
      <c r="N749" t="s">
        <v>112</v>
      </c>
      <c r="O749" t="s">
        <v>112</v>
      </c>
      <c r="P749">
        <v>1</v>
      </c>
      <c r="R749">
        <v>1</v>
      </c>
      <c r="S749">
        <v>33</v>
      </c>
      <c r="T749" t="s">
        <v>112</v>
      </c>
      <c r="U749" t="s">
        <v>152</v>
      </c>
      <c r="V749" t="s">
        <v>153</v>
      </c>
      <c r="W749" t="s">
        <v>154</v>
      </c>
      <c r="X749" t="s">
        <v>119</v>
      </c>
      <c r="Y749" t="s">
        <v>112</v>
      </c>
      <c r="Z749" t="s">
        <v>112</v>
      </c>
      <c r="AA749" t="s">
        <v>152</v>
      </c>
      <c r="AB749" t="s">
        <v>153</v>
      </c>
      <c r="AC749" t="s">
        <v>154</v>
      </c>
      <c r="AD749" t="s">
        <v>119</v>
      </c>
      <c r="AE749" t="s">
        <v>112</v>
      </c>
      <c r="AF749" t="s">
        <v>121</v>
      </c>
      <c r="AG749" t="s">
        <v>122</v>
      </c>
      <c r="AH749">
        <v>4700286.9000000004</v>
      </c>
      <c r="AI749" t="s">
        <v>112</v>
      </c>
      <c r="AJ749" t="s">
        <v>152</v>
      </c>
      <c r="AK749" t="s">
        <v>153</v>
      </c>
      <c r="AL749" t="s">
        <v>154</v>
      </c>
      <c r="AM749" t="s">
        <v>119</v>
      </c>
      <c r="AN749" t="s">
        <v>112</v>
      </c>
      <c r="AO749" t="s">
        <v>121</v>
      </c>
      <c r="AP749" t="s">
        <v>122</v>
      </c>
      <c r="AQ749" t="s">
        <v>122</v>
      </c>
      <c r="AR749" t="s">
        <v>124</v>
      </c>
      <c r="AS749" t="s">
        <v>125</v>
      </c>
      <c r="AT749">
        <v>2</v>
      </c>
      <c r="AU749" t="s">
        <v>126</v>
      </c>
      <c r="AV749" t="s">
        <v>155</v>
      </c>
      <c r="AW749" t="s">
        <v>156</v>
      </c>
      <c r="AY749" t="s">
        <v>129</v>
      </c>
      <c r="AZ749">
        <v>39996.6</v>
      </c>
      <c r="BC749">
        <v>105.27760000000001</v>
      </c>
      <c r="BD749" t="s">
        <v>112</v>
      </c>
      <c r="BE749" t="s">
        <v>112</v>
      </c>
      <c r="BF749" t="s">
        <v>157</v>
      </c>
      <c r="BG749" t="s">
        <v>133</v>
      </c>
      <c r="BH749" t="s">
        <v>134</v>
      </c>
      <c r="BI749" t="s">
        <v>112</v>
      </c>
      <c r="BJ749" t="s">
        <v>112</v>
      </c>
      <c r="BK749" t="s">
        <v>112</v>
      </c>
      <c r="BL749" t="s">
        <v>169</v>
      </c>
      <c r="BM749" t="s">
        <v>159</v>
      </c>
      <c r="BN749" t="s">
        <v>212</v>
      </c>
      <c r="BO749" t="s">
        <v>161</v>
      </c>
      <c r="BQ749" t="s">
        <v>232</v>
      </c>
      <c r="BR749" s="45">
        <f>ISNUMBER(SEARCH($BR$1,Таблица1[[#This Row],[31_1 Описание и характеристика товара]]))*1</f>
        <v>1</v>
      </c>
      <c r="BT749" t="s">
        <v>150</v>
      </c>
      <c r="BU749">
        <v>33</v>
      </c>
      <c r="BV749">
        <v>0</v>
      </c>
      <c r="BW749">
        <v>0</v>
      </c>
      <c r="BY749">
        <v>0</v>
      </c>
      <c r="CA749" t="s">
        <v>106</v>
      </c>
      <c r="CB749" t="s">
        <v>142</v>
      </c>
      <c r="CC749" t="s">
        <v>112</v>
      </c>
      <c r="CD749" t="s">
        <v>112</v>
      </c>
      <c r="CE749" t="s">
        <v>121</v>
      </c>
      <c r="CF749">
        <v>15169.62</v>
      </c>
      <c r="CG749" t="s">
        <v>144</v>
      </c>
      <c r="CH749">
        <v>4000000</v>
      </c>
      <c r="CI749">
        <v>14845.62</v>
      </c>
      <c r="CJ749">
        <v>0</v>
      </c>
      <c r="CK749" t="s">
        <v>112</v>
      </c>
      <c r="CL749" t="s">
        <v>112</v>
      </c>
      <c r="CM749">
        <v>39996.6</v>
      </c>
      <c r="CO749">
        <v>0</v>
      </c>
      <c r="CP749">
        <v>1</v>
      </c>
      <c r="CQ749">
        <v>4700286.9000000004</v>
      </c>
      <c r="CR749">
        <v>47866.33</v>
      </c>
      <c r="CS749" t="s">
        <v>145</v>
      </c>
      <c r="CT749">
        <v>47802.896400000005</v>
      </c>
      <c r="CU749">
        <v>3.22</v>
      </c>
      <c r="CV749">
        <v>45</v>
      </c>
      <c r="CX749" t="s">
        <v>1140</v>
      </c>
      <c r="CY749">
        <v>564</v>
      </c>
    </row>
    <row r="750" spans="1:103" x14ac:dyDescent="0.25">
      <c r="A750" t="s">
        <v>106</v>
      </c>
      <c r="B750" s="38">
        <v>45082</v>
      </c>
      <c r="C750" s="43">
        <f>IF(YEAR(Таблица1[[#This Row],[Дата]])=2023,MONTH(Таблица1[[#This Row],[Дата]]),0)</f>
        <v>6</v>
      </c>
      <c r="D750" t="s">
        <v>1898</v>
      </c>
      <c r="E750" t="s">
        <v>108</v>
      </c>
      <c r="F750" t="s">
        <v>1899</v>
      </c>
      <c r="G750" t="s">
        <v>110</v>
      </c>
      <c r="H750" t="s">
        <v>111</v>
      </c>
      <c r="I750" t="s">
        <v>112</v>
      </c>
      <c r="J750" t="s">
        <v>112</v>
      </c>
      <c r="K750" t="s">
        <v>112</v>
      </c>
      <c r="L750" t="s">
        <v>175</v>
      </c>
      <c r="M750" t="s">
        <v>448</v>
      </c>
      <c r="N750" t="s">
        <v>112</v>
      </c>
      <c r="O750" t="s">
        <v>112</v>
      </c>
      <c r="P750">
        <v>1</v>
      </c>
      <c r="R750">
        <v>1</v>
      </c>
      <c r="S750">
        <v>33</v>
      </c>
      <c r="T750" t="s">
        <v>112</v>
      </c>
      <c r="U750" t="s">
        <v>152</v>
      </c>
      <c r="V750" t="s">
        <v>153</v>
      </c>
      <c r="W750" t="s">
        <v>154</v>
      </c>
      <c r="X750" t="s">
        <v>119</v>
      </c>
      <c r="Y750" t="s">
        <v>112</v>
      </c>
      <c r="Z750" t="s">
        <v>112</v>
      </c>
      <c r="AA750" t="s">
        <v>152</v>
      </c>
      <c r="AB750" t="s">
        <v>153</v>
      </c>
      <c r="AC750" t="s">
        <v>154</v>
      </c>
      <c r="AD750" t="s">
        <v>119</v>
      </c>
      <c r="AE750" t="s">
        <v>112</v>
      </c>
      <c r="AF750" t="s">
        <v>121</v>
      </c>
      <c r="AG750" t="s">
        <v>122</v>
      </c>
      <c r="AH750">
        <v>4596795.8600000003</v>
      </c>
      <c r="AI750" t="s">
        <v>112</v>
      </c>
      <c r="AJ750" t="s">
        <v>152</v>
      </c>
      <c r="AK750" t="s">
        <v>153</v>
      </c>
      <c r="AL750" t="s">
        <v>154</v>
      </c>
      <c r="AM750" t="s">
        <v>119</v>
      </c>
      <c r="AN750" t="s">
        <v>112</v>
      </c>
      <c r="AO750" t="s">
        <v>121</v>
      </c>
      <c r="AP750" t="s">
        <v>122</v>
      </c>
      <c r="AQ750" t="s">
        <v>122</v>
      </c>
      <c r="AR750" t="s">
        <v>124</v>
      </c>
      <c r="AS750" t="s">
        <v>125</v>
      </c>
      <c r="AT750">
        <v>2</v>
      </c>
      <c r="AU750" t="s">
        <v>126</v>
      </c>
      <c r="AV750" t="s">
        <v>155</v>
      </c>
      <c r="AW750" t="s">
        <v>156</v>
      </c>
      <c r="AY750" t="s">
        <v>129</v>
      </c>
      <c r="AZ750">
        <v>39533.57</v>
      </c>
      <c r="BC750">
        <v>105.27760000000001</v>
      </c>
      <c r="BD750" t="s">
        <v>112</v>
      </c>
      <c r="BE750" t="s">
        <v>112</v>
      </c>
      <c r="BF750" t="s">
        <v>157</v>
      </c>
      <c r="BG750" t="s">
        <v>133</v>
      </c>
      <c r="BH750" t="s">
        <v>134</v>
      </c>
      <c r="BI750" t="s">
        <v>112</v>
      </c>
      <c r="BJ750" t="s">
        <v>112</v>
      </c>
      <c r="BK750" t="s">
        <v>112</v>
      </c>
      <c r="BL750" t="s">
        <v>169</v>
      </c>
      <c r="BM750" t="s">
        <v>159</v>
      </c>
      <c r="BN750" t="s">
        <v>212</v>
      </c>
      <c r="BO750" t="s">
        <v>161</v>
      </c>
      <c r="BQ750" t="s">
        <v>205</v>
      </c>
      <c r="BR750" s="45">
        <f>ISNUMBER(SEARCH($BR$1,Таблица1[[#This Row],[31_1 Описание и характеристика товара]]))*1</f>
        <v>1</v>
      </c>
      <c r="BT750" t="s">
        <v>150</v>
      </c>
      <c r="BU750">
        <v>33</v>
      </c>
      <c r="BV750">
        <v>0</v>
      </c>
      <c r="BW750">
        <v>0</v>
      </c>
      <c r="BY750">
        <v>0</v>
      </c>
      <c r="CA750" t="s">
        <v>106</v>
      </c>
      <c r="CB750" t="s">
        <v>142</v>
      </c>
      <c r="CC750" t="s">
        <v>112</v>
      </c>
      <c r="CD750" t="s">
        <v>112</v>
      </c>
      <c r="CE750" t="s">
        <v>121</v>
      </c>
      <c r="CF750">
        <v>15408.86</v>
      </c>
      <c r="CG750" t="s">
        <v>144</v>
      </c>
      <c r="CH750">
        <v>4000000</v>
      </c>
      <c r="CI750">
        <v>15192.86</v>
      </c>
      <c r="CJ750">
        <v>0</v>
      </c>
      <c r="CK750" t="s">
        <v>112</v>
      </c>
      <c r="CL750" t="s">
        <v>112</v>
      </c>
      <c r="CM750">
        <v>39533.57</v>
      </c>
      <c r="CO750">
        <v>0</v>
      </c>
      <c r="CP750">
        <v>1</v>
      </c>
      <c r="CQ750">
        <v>4596795.8600000003</v>
      </c>
      <c r="CR750">
        <v>46812.41</v>
      </c>
      <c r="CS750" t="s">
        <v>145</v>
      </c>
      <c r="CT750">
        <v>46794.008800000003</v>
      </c>
      <c r="CU750">
        <v>3.08</v>
      </c>
      <c r="CV750">
        <v>45</v>
      </c>
      <c r="CX750" t="s">
        <v>206</v>
      </c>
      <c r="CY750">
        <v>174</v>
      </c>
    </row>
    <row r="751" spans="1:103" x14ac:dyDescent="0.25">
      <c r="A751" t="s">
        <v>106</v>
      </c>
      <c r="B751" s="38">
        <v>45177</v>
      </c>
      <c r="C751" s="43">
        <f>IF(YEAR(Таблица1[[#This Row],[Дата]])=2023,MONTH(Таблица1[[#This Row],[Дата]]),0)</f>
        <v>9</v>
      </c>
      <c r="D751" t="s">
        <v>1906</v>
      </c>
      <c r="E751" t="s">
        <v>108</v>
      </c>
      <c r="F751" t="s">
        <v>1907</v>
      </c>
      <c r="G751" t="s">
        <v>110</v>
      </c>
      <c r="H751" t="s">
        <v>111</v>
      </c>
      <c r="I751" t="s">
        <v>112</v>
      </c>
      <c r="J751" t="s">
        <v>112</v>
      </c>
      <c r="K751" t="s">
        <v>112</v>
      </c>
      <c r="L751" t="s">
        <v>150</v>
      </c>
      <c r="M751" t="s">
        <v>151</v>
      </c>
      <c r="N751" t="s">
        <v>112</v>
      </c>
      <c r="O751" t="s">
        <v>112</v>
      </c>
      <c r="P751">
        <v>1</v>
      </c>
      <c r="R751">
        <v>1</v>
      </c>
      <c r="S751">
        <v>33</v>
      </c>
      <c r="T751" t="s">
        <v>112</v>
      </c>
      <c r="U751" t="s">
        <v>152</v>
      </c>
      <c r="V751" t="s">
        <v>153</v>
      </c>
      <c r="W751" t="s">
        <v>154</v>
      </c>
      <c r="X751" t="s">
        <v>119</v>
      </c>
      <c r="Y751" t="s">
        <v>112</v>
      </c>
      <c r="Z751" t="s">
        <v>112</v>
      </c>
      <c r="AA751" t="s">
        <v>152</v>
      </c>
      <c r="AB751" t="s">
        <v>153</v>
      </c>
      <c r="AC751" t="s">
        <v>154</v>
      </c>
      <c r="AD751" t="s">
        <v>119</v>
      </c>
      <c r="AE751" t="s">
        <v>112</v>
      </c>
      <c r="AF751" t="s">
        <v>121</v>
      </c>
      <c r="AG751" t="s">
        <v>122</v>
      </c>
      <c r="AH751">
        <v>4503482.01</v>
      </c>
      <c r="AI751" t="s">
        <v>112</v>
      </c>
      <c r="AJ751" t="s">
        <v>152</v>
      </c>
      <c r="AK751" t="s">
        <v>153</v>
      </c>
      <c r="AL751" t="s">
        <v>154</v>
      </c>
      <c r="AM751" t="s">
        <v>119</v>
      </c>
      <c r="AN751" t="s">
        <v>112</v>
      </c>
      <c r="AO751" t="s">
        <v>121</v>
      </c>
      <c r="AP751" t="s">
        <v>122</v>
      </c>
      <c r="AQ751" t="s">
        <v>122</v>
      </c>
      <c r="AR751" t="s">
        <v>124</v>
      </c>
      <c r="AS751" t="s">
        <v>125</v>
      </c>
      <c r="AT751">
        <v>2</v>
      </c>
      <c r="AU751" t="s">
        <v>126</v>
      </c>
      <c r="AV751" t="s">
        <v>155</v>
      </c>
      <c r="AW751" t="s">
        <v>156</v>
      </c>
      <c r="AY751" t="s">
        <v>129</v>
      </c>
      <c r="AZ751">
        <v>38647.21</v>
      </c>
      <c r="BC751">
        <v>105.27760000000001</v>
      </c>
      <c r="BD751" t="s">
        <v>112</v>
      </c>
      <c r="BE751" t="s">
        <v>112</v>
      </c>
      <c r="BF751" t="s">
        <v>157</v>
      </c>
      <c r="BG751" t="s">
        <v>133</v>
      </c>
      <c r="BH751" t="s">
        <v>134</v>
      </c>
      <c r="BI751" t="s">
        <v>112</v>
      </c>
      <c r="BJ751" t="s">
        <v>112</v>
      </c>
      <c r="BK751" t="s">
        <v>112</v>
      </c>
      <c r="BL751" t="s">
        <v>169</v>
      </c>
      <c r="BM751" t="s">
        <v>159</v>
      </c>
      <c r="BN751" t="s">
        <v>212</v>
      </c>
      <c r="BO751" t="s">
        <v>161</v>
      </c>
      <c r="BQ751" t="s">
        <v>213</v>
      </c>
      <c r="BR751" s="45">
        <f>ISNUMBER(SEARCH($BR$1,Таблица1[[#This Row],[31_1 Описание и характеристика товара]]))*1</f>
        <v>1</v>
      </c>
      <c r="BT751" t="s">
        <v>150</v>
      </c>
      <c r="BU751">
        <v>33</v>
      </c>
      <c r="BV751">
        <v>0</v>
      </c>
      <c r="BW751">
        <v>0</v>
      </c>
      <c r="BY751">
        <v>0</v>
      </c>
      <c r="CA751" t="s">
        <v>106</v>
      </c>
      <c r="CB751" t="s">
        <v>142</v>
      </c>
      <c r="CC751" t="s">
        <v>112</v>
      </c>
      <c r="CD751" t="s">
        <v>112</v>
      </c>
      <c r="CE751" t="s">
        <v>121</v>
      </c>
      <c r="CF751">
        <v>16328.64</v>
      </c>
      <c r="CG751" t="s">
        <v>144</v>
      </c>
      <c r="CH751">
        <v>4000000</v>
      </c>
      <c r="CI751">
        <v>16203.24</v>
      </c>
      <c r="CJ751">
        <v>0</v>
      </c>
      <c r="CK751" t="s">
        <v>112</v>
      </c>
      <c r="CL751" t="s">
        <v>112</v>
      </c>
      <c r="CM751">
        <v>38647.21</v>
      </c>
      <c r="CO751">
        <v>0</v>
      </c>
      <c r="CP751">
        <v>1</v>
      </c>
      <c r="CQ751">
        <v>4503482.01</v>
      </c>
      <c r="CR751">
        <v>45862.13</v>
      </c>
      <c r="CS751" t="s">
        <v>145</v>
      </c>
      <c r="CT751">
        <v>45855.169200000004</v>
      </c>
      <c r="CU751">
        <v>2.83</v>
      </c>
      <c r="CV751">
        <v>45</v>
      </c>
      <c r="CX751" t="s">
        <v>1140</v>
      </c>
      <c r="CY751">
        <v>189</v>
      </c>
    </row>
    <row r="752" spans="1:103" x14ac:dyDescent="0.25">
      <c r="A752" t="s">
        <v>106</v>
      </c>
      <c r="B752" s="38">
        <v>45257</v>
      </c>
      <c r="C752" s="43">
        <f>IF(YEAR(Таблица1[[#This Row],[Дата]])=2023,MONTH(Таблица1[[#This Row],[Дата]]),0)</f>
        <v>11</v>
      </c>
      <c r="D752" t="s">
        <v>1908</v>
      </c>
      <c r="E752" t="s">
        <v>108</v>
      </c>
      <c r="F752" t="s">
        <v>1909</v>
      </c>
      <c r="G752" t="s">
        <v>110</v>
      </c>
      <c r="H752" t="s">
        <v>111</v>
      </c>
      <c r="I752" t="s">
        <v>112</v>
      </c>
      <c r="J752" t="s">
        <v>112</v>
      </c>
      <c r="K752" t="s">
        <v>112</v>
      </c>
      <c r="L752" t="s">
        <v>150</v>
      </c>
      <c r="M752" t="s">
        <v>151</v>
      </c>
      <c r="N752" t="s">
        <v>112</v>
      </c>
      <c r="O752" t="s">
        <v>112</v>
      </c>
      <c r="P752">
        <v>1</v>
      </c>
      <c r="R752">
        <v>1</v>
      </c>
      <c r="S752">
        <v>33</v>
      </c>
      <c r="T752" t="s">
        <v>112</v>
      </c>
      <c r="U752" t="s">
        <v>152</v>
      </c>
      <c r="V752" t="s">
        <v>153</v>
      </c>
      <c r="W752" t="s">
        <v>154</v>
      </c>
      <c r="X752" t="s">
        <v>119</v>
      </c>
      <c r="Y752" t="s">
        <v>112</v>
      </c>
      <c r="Z752" t="s">
        <v>112</v>
      </c>
      <c r="AA752" t="s">
        <v>152</v>
      </c>
      <c r="AB752" t="s">
        <v>153</v>
      </c>
      <c r="AC752" t="s">
        <v>154</v>
      </c>
      <c r="AD752" t="s">
        <v>119</v>
      </c>
      <c r="AE752" t="s">
        <v>112</v>
      </c>
      <c r="AF752" t="s">
        <v>121</v>
      </c>
      <c r="AG752" t="s">
        <v>122</v>
      </c>
      <c r="AH752">
        <v>4870428.13</v>
      </c>
      <c r="AI752" t="s">
        <v>112</v>
      </c>
      <c r="AJ752" t="s">
        <v>152</v>
      </c>
      <c r="AK752" t="s">
        <v>153</v>
      </c>
      <c r="AL752" t="s">
        <v>154</v>
      </c>
      <c r="AM752" t="s">
        <v>119</v>
      </c>
      <c r="AN752" t="s">
        <v>112</v>
      </c>
      <c r="AO752" t="s">
        <v>121</v>
      </c>
      <c r="AP752" t="s">
        <v>122</v>
      </c>
      <c r="AQ752" t="s">
        <v>122</v>
      </c>
      <c r="AR752" t="s">
        <v>124</v>
      </c>
      <c r="AS752" t="s">
        <v>125</v>
      </c>
      <c r="AT752">
        <v>2</v>
      </c>
      <c r="AU752" t="s">
        <v>126</v>
      </c>
      <c r="AV752" t="s">
        <v>155</v>
      </c>
      <c r="AW752" t="s">
        <v>156</v>
      </c>
      <c r="AY752" t="s">
        <v>129</v>
      </c>
      <c r="AZ752">
        <v>42132.72</v>
      </c>
      <c r="BC752">
        <v>105.27760000000001</v>
      </c>
      <c r="BD752" t="s">
        <v>112</v>
      </c>
      <c r="BE752" t="s">
        <v>112</v>
      </c>
      <c r="BF752" t="s">
        <v>157</v>
      </c>
      <c r="BG752" t="s">
        <v>133</v>
      </c>
      <c r="BH752" t="s">
        <v>134</v>
      </c>
      <c r="BI752" t="s">
        <v>112</v>
      </c>
      <c r="BJ752" t="s">
        <v>112</v>
      </c>
      <c r="BK752" t="s">
        <v>112</v>
      </c>
      <c r="BL752" t="s">
        <v>169</v>
      </c>
      <c r="BM752" t="s">
        <v>159</v>
      </c>
      <c r="BN752" t="s">
        <v>212</v>
      </c>
      <c r="BO752" t="s">
        <v>161</v>
      </c>
      <c r="BQ752" t="s">
        <v>205</v>
      </c>
      <c r="BR752" s="45">
        <f>ISNUMBER(SEARCH($BR$1,Таблица1[[#This Row],[31_1 Описание и характеристика товара]]))*1</f>
        <v>1</v>
      </c>
      <c r="BT752" t="s">
        <v>150</v>
      </c>
      <c r="BU752">
        <v>33</v>
      </c>
      <c r="BV752">
        <v>0</v>
      </c>
      <c r="BW752">
        <v>0</v>
      </c>
      <c r="BY752">
        <v>0</v>
      </c>
      <c r="CA752" t="s">
        <v>106</v>
      </c>
      <c r="CB752" t="s">
        <v>142</v>
      </c>
      <c r="CC752" t="s">
        <v>112</v>
      </c>
      <c r="CD752" t="s">
        <v>112</v>
      </c>
      <c r="CE752" t="s">
        <v>121</v>
      </c>
      <c r="CF752">
        <v>15765.7</v>
      </c>
      <c r="CG752" t="s">
        <v>144</v>
      </c>
      <c r="CH752">
        <v>4000000</v>
      </c>
      <c r="CI752">
        <v>15538.9</v>
      </c>
      <c r="CJ752">
        <v>0</v>
      </c>
      <c r="CK752" t="s">
        <v>112</v>
      </c>
      <c r="CL752" t="s">
        <v>112</v>
      </c>
      <c r="CM752">
        <v>42132.72</v>
      </c>
      <c r="CO752">
        <v>0</v>
      </c>
      <c r="CP752">
        <v>1</v>
      </c>
      <c r="CQ752">
        <v>4870428.13</v>
      </c>
      <c r="CR752">
        <v>49599</v>
      </c>
      <c r="CS752" t="s">
        <v>145</v>
      </c>
      <c r="CT752">
        <v>49569.091</v>
      </c>
      <c r="CU752">
        <v>3.19</v>
      </c>
      <c r="CV752">
        <v>45</v>
      </c>
      <c r="CX752" t="s">
        <v>206</v>
      </c>
      <c r="CY752">
        <v>89</v>
      </c>
    </row>
    <row r="753" spans="1:103" x14ac:dyDescent="0.25">
      <c r="A753" t="s">
        <v>106</v>
      </c>
      <c r="B753" s="38">
        <v>45248</v>
      </c>
      <c r="C753" s="43">
        <f>IF(YEAR(Таблица1[[#This Row],[Дата]])=2023,MONTH(Таблица1[[#This Row],[Дата]]),0)</f>
        <v>11</v>
      </c>
      <c r="D753" t="s">
        <v>1680</v>
      </c>
      <c r="E753" t="s">
        <v>108</v>
      </c>
      <c r="F753" t="s">
        <v>1681</v>
      </c>
      <c r="G753" t="s">
        <v>110</v>
      </c>
      <c r="H753" t="s">
        <v>111</v>
      </c>
      <c r="I753" t="s">
        <v>112</v>
      </c>
      <c r="J753" t="s">
        <v>112</v>
      </c>
      <c r="K753" t="s">
        <v>112</v>
      </c>
      <c r="L753" t="s">
        <v>150</v>
      </c>
      <c r="M753" t="s">
        <v>151</v>
      </c>
      <c r="N753" t="s">
        <v>112</v>
      </c>
      <c r="O753" t="s">
        <v>112</v>
      </c>
      <c r="R753">
        <v>1</v>
      </c>
      <c r="S753">
        <v>33</v>
      </c>
      <c r="T753" t="s">
        <v>166</v>
      </c>
      <c r="U753" t="s">
        <v>152</v>
      </c>
      <c r="V753" t="s">
        <v>153</v>
      </c>
      <c r="W753" t="s">
        <v>154</v>
      </c>
      <c r="X753" t="s">
        <v>119</v>
      </c>
      <c r="Y753" t="s">
        <v>112</v>
      </c>
      <c r="Z753" t="s">
        <v>166</v>
      </c>
      <c r="AA753" t="s">
        <v>152</v>
      </c>
      <c r="AB753" t="s">
        <v>153</v>
      </c>
      <c r="AC753" t="s">
        <v>154</v>
      </c>
      <c r="AD753" t="s">
        <v>119</v>
      </c>
      <c r="AE753" t="s">
        <v>112</v>
      </c>
      <c r="AF753" t="s">
        <v>121</v>
      </c>
      <c r="AG753" t="s">
        <v>122</v>
      </c>
      <c r="AH753">
        <v>5486939.7999999998</v>
      </c>
      <c r="AI753" t="s">
        <v>166</v>
      </c>
      <c r="AJ753" t="s">
        <v>152</v>
      </c>
      <c r="AK753" t="s">
        <v>153</v>
      </c>
      <c r="AL753" t="s">
        <v>154</v>
      </c>
      <c r="AM753" t="s">
        <v>119</v>
      </c>
      <c r="AN753" t="s">
        <v>112</v>
      </c>
      <c r="AO753" t="s">
        <v>121</v>
      </c>
      <c r="AP753" t="s">
        <v>122</v>
      </c>
      <c r="AQ753" t="s">
        <v>122</v>
      </c>
      <c r="AR753" t="s">
        <v>124</v>
      </c>
      <c r="AS753" t="s">
        <v>125</v>
      </c>
      <c r="AU753" t="s">
        <v>126</v>
      </c>
      <c r="AV753" t="s">
        <v>155</v>
      </c>
      <c r="AW753" t="s">
        <v>156</v>
      </c>
      <c r="AY753" t="s">
        <v>129</v>
      </c>
      <c r="AZ753">
        <v>46907.08</v>
      </c>
      <c r="BC753">
        <v>106.0543</v>
      </c>
      <c r="BD753" t="s">
        <v>112</v>
      </c>
      <c r="BE753" t="s">
        <v>112</v>
      </c>
      <c r="BF753" t="s">
        <v>112</v>
      </c>
      <c r="BG753" t="s">
        <v>133</v>
      </c>
      <c r="BH753" t="s">
        <v>134</v>
      </c>
      <c r="BI753" t="s">
        <v>112</v>
      </c>
      <c r="BJ753" t="s">
        <v>112</v>
      </c>
      <c r="BK753" t="s">
        <v>112</v>
      </c>
      <c r="BL753" t="s">
        <v>112</v>
      </c>
      <c r="BM753" t="s">
        <v>112</v>
      </c>
      <c r="BN753" t="s">
        <v>112</v>
      </c>
      <c r="BO753" t="s">
        <v>161</v>
      </c>
      <c r="BQ753" t="s">
        <v>205</v>
      </c>
      <c r="BR753" s="45">
        <f>ISNUMBER(SEARCH($BR$1,Таблица1[[#This Row],[31_1 Описание и характеристика товара]]))*1</f>
        <v>1</v>
      </c>
      <c r="BT753" t="s">
        <v>150</v>
      </c>
      <c r="BU753">
        <v>33</v>
      </c>
      <c r="BV753">
        <v>0</v>
      </c>
      <c r="BW753">
        <v>0</v>
      </c>
      <c r="CA753" t="s">
        <v>106</v>
      </c>
      <c r="CB753" t="s">
        <v>142</v>
      </c>
      <c r="CC753" t="s">
        <v>112</v>
      </c>
      <c r="CD753" t="s">
        <v>112</v>
      </c>
      <c r="CE753" t="s">
        <v>121</v>
      </c>
      <c r="CF753">
        <v>16052.74</v>
      </c>
      <c r="CG753" t="s">
        <v>144</v>
      </c>
      <c r="CH753">
        <v>4000000</v>
      </c>
      <c r="CI753">
        <v>15930.34</v>
      </c>
      <c r="CJ753">
        <v>0</v>
      </c>
      <c r="CK753" t="s">
        <v>112</v>
      </c>
      <c r="CL753" t="s">
        <v>112</v>
      </c>
      <c r="CM753">
        <v>46907.08</v>
      </c>
      <c r="CO753">
        <v>0</v>
      </c>
      <c r="CP753">
        <v>1</v>
      </c>
      <c r="CQ753">
        <v>5486939.7999999998</v>
      </c>
      <c r="CR753">
        <v>56820.15</v>
      </c>
      <c r="CS753" t="s">
        <v>145</v>
      </c>
      <c r="CT753">
        <v>56871.313799999996</v>
      </c>
      <c r="CU753">
        <v>3.57</v>
      </c>
      <c r="CY753">
        <v>549</v>
      </c>
    </row>
    <row r="754" spans="1:103" x14ac:dyDescent="0.25">
      <c r="A754" t="s">
        <v>106</v>
      </c>
      <c r="B754" s="38">
        <v>44934</v>
      </c>
      <c r="C754" s="43">
        <f>IF(YEAR(Таблица1[[#This Row],[Дата]])=2023,MONTH(Таблица1[[#This Row],[Дата]]),0)</f>
        <v>1</v>
      </c>
      <c r="D754" t="s">
        <v>1678</v>
      </c>
      <c r="E754" t="s">
        <v>108</v>
      </c>
      <c r="F754" t="s">
        <v>1679</v>
      </c>
      <c r="G754" t="s">
        <v>110</v>
      </c>
      <c r="H754" t="s">
        <v>111</v>
      </c>
      <c r="I754" t="s">
        <v>112</v>
      </c>
      <c r="J754" t="s">
        <v>112</v>
      </c>
      <c r="K754" t="s">
        <v>112</v>
      </c>
      <c r="L754" t="s">
        <v>150</v>
      </c>
      <c r="M754" t="s">
        <v>151</v>
      </c>
      <c r="N754" t="s">
        <v>112</v>
      </c>
      <c r="O754" t="s">
        <v>112</v>
      </c>
      <c r="R754">
        <v>1</v>
      </c>
      <c r="S754">
        <v>33</v>
      </c>
      <c r="T754" t="s">
        <v>166</v>
      </c>
      <c r="U754" t="s">
        <v>152</v>
      </c>
      <c r="V754" t="s">
        <v>153</v>
      </c>
      <c r="W754" t="s">
        <v>154</v>
      </c>
      <c r="X754" t="s">
        <v>119</v>
      </c>
      <c r="Y754" t="s">
        <v>112</v>
      </c>
      <c r="Z754" t="s">
        <v>166</v>
      </c>
      <c r="AA754" t="s">
        <v>152</v>
      </c>
      <c r="AB754" t="s">
        <v>153</v>
      </c>
      <c r="AC754" t="s">
        <v>154</v>
      </c>
      <c r="AD754" t="s">
        <v>119</v>
      </c>
      <c r="AE754" t="s">
        <v>112</v>
      </c>
      <c r="AF754" t="s">
        <v>121</v>
      </c>
      <c r="AG754" t="s">
        <v>122</v>
      </c>
      <c r="AH754">
        <v>4584281.96</v>
      </c>
      <c r="AI754" t="s">
        <v>166</v>
      </c>
      <c r="AJ754" t="s">
        <v>152</v>
      </c>
      <c r="AK754" t="s">
        <v>153</v>
      </c>
      <c r="AL754" t="s">
        <v>154</v>
      </c>
      <c r="AM754" t="s">
        <v>119</v>
      </c>
      <c r="AN754" t="s">
        <v>112</v>
      </c>
      <c r="AO754" t="s">
        <v>121</v>
      </c>
      <c r="AP754" t="s">
        <v>122</v>
      </c>
      <c r="AQ754" t="s">
        <v>122</v>
      </c>
      <c r="AR754" t="s">
        <v>124</v>
      </c>
      <c r="AS754" t="s">
        <v>125</v>
      </c>
      <c r="AU754" t="s">
        <v>126</v>
      </c>
      <c r="AV754" t="s">
        <v>155</v>
      </c>
      <c r="AW754" t="s">
        <v>156</v>
      </c>
      <c r="AY754" t="s">
        <v>129</v>
      </c>
      <c r="AZ754">
        <v>39095.800000000003</v>
      </c>
      <c r="BC754">
        <v>106.0543</v>
      </c>
      <c r="BD754" t="s">
        <v>112</v>
      </c>
      <c r="BE754" t="s">
        <v>112</v>
      </c>
      <c r="BF754" t="s">
        <v>112</v>
      </c>
      <c r="BG754" t="s">
        <v>133</v>
      </c>
      <c r="BH754" t="s">
        <v>134</v>
      </c>
      <c r="BI754" t="s">
        <v>112</v>
      </c>
      <c r="BJ754" t="s">
        <v>112</v>
      </c>
      <c r="BK754" t="s">
        <v>112</v>
      </c>
      <c r="BL754" t="s">
        <v>112</v>
      </c>
      <c r="BM754" t="s">
        <v>112</v>
      </c>
      <c r="BN754" t="s">
        <v>112</v>
      </c>
      <c r="BO754" t="s">
        <v>161</v>
      </c>
      <c r="BQ754" t="s">
        <v>205</v>
      </c>
      <c r="BR754" s="45">
        <f>ISNUMBER(SEARCH($BR$1,Таблица1[[#This Row],[31_1 Описание и характеристика товара]]))*1</f>
        <v>1</v>
      </c>
      <c r="BT754" t="s">
        <v>150</v>
      </c>
      <c r="BU754">
        <v>33</v>
      </c>
      <c r="BV754">
        <v>0</v>
      </c>
      <c r="BW754">
        <v>0</v>
      </c>
      <c r="CA754" t="s">
        <v>106</v>
      </c>
      <c r="CB754" t="s">
        <v>142</v>
      </c>
      <c r="CC754" t="s">
        <v>112</v>
      </c>
      <c r="CD754" t="s">
        <v>112</v>
      </c>
      <c r="CE754" t="s">
        <v>121</v>
      </c>
      <c r="CF754">
        <v>16765.04</v>
      </c>
      <c r="CG754" t="s">
        <v>144</v>
      </c>
      <c r="CH754">
        <v>4000000</v>
      </c>
      <c r="CI754">
        <v>16657.04</v>
      </c>
      <c r="CJ754">
        <v>0</v>
      </c>
      <c r="CK754" t="s">
        <v>112</v>
      </c>
      <c r="CL754" t="s">
        <v>112</v>
      </c>
      <c r="CM754">
        <v>39095.800000000003</v>
      </c>
      <c r="CO754">
        <v>0</v>
      </c>
      <c r="CP754">
        <v>1</v>
      </c>
      <c r="CQ754">
        <v>4584281.96</v>
      </c>
      <c r="CR754">
        <v>47472.65</v>
      </c>
      <c r="CS754" t="s">
        <v>145</v>
      </c>
      <c r="CT754">
        <v>47472.564000000006</v>
      </c>
      <c r="CU754">
        <v>2.85</v>
      </c>
      <c r="CY754">
        <v>166</v>
      </c>
    </row>
    <row r="755" spans="1:103" x14ac:dyDescent="0.25">
      <c r="A755" t="s">
        <v>106</v>
      </c>
      <c r="B755" s="38">
        <v>45100</v>
      </c>
      <c r="C755" s="43">
        <f>IF(YEAR(Таблица1[[#This Row],[Дата]])=2023,MONTH(Таблица1[[#This Row],[Дата]]),0)</f>
        <v>6</v>
      </c>
      <c r="D755" t="s">
        <v>1676</v>
      </c>
      <c r="E755" t="s">
        <v>108</v>
      </c>
      <c r="F755" t="s">
        <v>1677</v>
      </c>
      <c r="G755" t="s">
        <v>110</v>
      </c>
      <c r="H755" t="s">
        <v>111</v>
      </c>
      <c r="I755" t="s">
        <v>112</v>
      </c>
      <c r="J755" t="s">
        <v>112</v>
      </c>
      <c r="K755" t="s">
        <v>112</v>
      </c>
      <c r="L755" t="s">
        <v>150</v>
      </c>
      <c r="M755" t="s">
        <v>151</v>
      </c>
      <c r="N755" t="s">
        <v>112</v>
      </c>
      <c r="O755" t="s">
        <v>112</v>
      </c>
      <c r="R755">
        <v>1</v>
      </c>
      <c r="S755">
        <v>33</v>
      </c>
      <c r="T755" t="s">
        <v>166</v>
      </c>
      <c r="U755" t="s">
        <v>152</v>
      </c>
      <c r="V755" t="s">
        <v>153</v>
      </c>
      <c r="W755" t="s">
        <v>154</v>
      </c>
      <c r="X755" t="s">
        <v>119</v>
      </c>
      <c r="Y755" t="s">
        <v>112</v>
      </c>
      <c r="Z755" t="s">
        <v>166</v>
      </c>
      <c r="AA755" t="s">
        <v>152</v>
      </c>
      <c r="AB755" t="s">
        <v>153</v>
      </c>
      <c r="AC755" t="s">
        <v>154</v>
      </c>
      <c r="AD755" t="s">
        <v>119</v>
      </c>
      <c r="AE755" t="s">
        <v>112</v>
      </c>
      <c r="AF755" t="s">
        <v>121</v>
      </c>
      <c r="AG755" t="s">
        <v>122</v>
      </c>
      <c r="AH755">
        <v>5127314.9800000004</v>
      </c>
      <c r="AI755" t="s">
        <v>166</v>
      </c>
      <c r="AJ755" t="s">
        <v>152</v>
      </c>
      <c r="AK755" t="s">
        <v>153</v>
      </c>
      <c r="AL755" t="s">
        <v>154</v>
      </c>
      <c r="AM755" t="s">
        <v>119</v>
      </c>
      <c r="AN755" t="s">
        <v>112</v>
      </c>
      <c r="AO755" t="s">
        <v>121</v>
      </c>
      <c r="AP755" t="s">
        <v>122</v>
      </c>
      <c r="AQ755" t="s">
        <v>122</v>
      </c>
      <c r="AR755" t="s">
        <v>124</v>
      </c>
      <c r="AS755" t="s">
        <v>125</v>
      </c>
      <c r="AU755" t="s">
        <v>126</v>
      </c>
      <c r="AV755" t="s">
        <v>155</v>
      </c>
      <c r="AW755" t="s">
        <v>156</v>
      </c>
      <c r="AY755" t="s">
        <v>129</v>
      </c>
      <c r="AZ755">
        <v>44216.13</v>
      </c>
      <c r="BC755">
        <v>106.0543</v>
      </c>
      <c r="BD755" t="s">
        <v>112</v>
      </c>
      <c r="BE755" t="s">
        <v>112</v>
      </c>
      <c r="BF755" t="s">
        <v>112</v>
      </c>
      <c r="BG755" t="s">
        <v>133</v>
      </c>
      <c r="BH755" t="s">
        <v>134</v>
      </c>
      <c r="BI755" t="s">
        <v>112</v>
      </c>
      <c r="BJ755" t="s">
        <v>112</v>
      </c>
      <c r="BK755" t="s">
        <v>112</v>
      </c>
      <c r="BL755" t="s">
        <v>112</v>
      </c>
      <c r="BM755" t="s">
        <v>112</v>
      </c>
      <c r="BN755" t="s">
        <v>112</v>
      </c>
      <c r="BO755" t="s">
        <v>161</v>
      </c>
      <c r="BQ755" t="s">
        <v>162</v>
      </c>
      <c r="BR755" s="45">
        <f>ISNUMBER(SEARCH($BR$1,Таблица1[[#This Row],[31_1 Описание и характеристика товара]]))*1</f>
        <v>1</v>
      </c>
      <c r="BT755" t="s">
        <v>150</v>
      </c>
      <c r="BU755">
        <v>33</v>
      </c>
      <c r="BV755">
        <v>0</v>
      </c>
      <c r="BW755">
        <v>0</v>
      </c>
      <c r="CA755" t="s">
        <v>106</v>
      </c>
      <c r="CB755" t="s">
        <v>142</v>
      </c>
      <c r="CC755" t="s">
        <v>112</v>
      </c>
      <c r="CD755" t="s">
        <v>112</v>
      </c>
      <c r="CE755" t="s">
        <v>121</v>
      </c>
      <c r="CF755">
        <v>16985.38</v>
      </c>
      <c r="CG755" t="s">
        <v>144</v>
      </c>
      <c r="CH755">
        <v>4000000</v>
      </c>
      <c r="CI755">
        <v>16967.38</v>
      </c>
      <c r="CJ755">
        <v>0</v>
      </c>
      <c r="CK755" t="s">
        <v>112</v>
      </c>
      <c r="CL755" t="s">
        <v>112</v>
      </c>
      <c r="CM755">
        <v>44216.13</v>
      </c>
      <c r="CO755">
        <v>0</v>
      </c>
      <c r="CP755">
        <v>1</v>
      </c>
      <c r="CQ755">
        <v>5127314.9800000004</v>
      </c>
      <c r="CR755">
        <v>53096.04</v>
      </c>
      <c r="CS755" t="s">
        <v>145</v>
      </c>
      <c r="CT755">
        <v>53107.899400000002</v>
      </c>
      <c r="CU755">
        <v>3.13</v>
      </c>
      <c r="CY755">
        <v>169</v>
      </c>
    </row>
    <row r="756" spans="1:103" x14ac:dyDescent="0.25">
      <c r="A756" t="s">
        <v>106</v>
      </c>
      <c r="B756" s="38">
        <v>45132</v>
      </c>
      <c r="C756" s="43">
        <f>IF(YEAR(Таблица1[[#This Row],[Дата]])=2023,MONTH(Таблица1[[#This Row],[Дата]]),0)</f>
        <v>7</v>
      </c>
      <c r="D756" t="s">
        <v>1290</v>
      </c>
      <c r="E756" t="s">
        <v>108</v>
      </c>
      <c r="F756" t="s">
        <v>1291</v>
      </c>
      <c r="G756" t="s">
        <v>110</v>
      </c>
      <c r="H756" t="s">
        <v>111</v>
      </c>
      <c r="I756" t="s">
        <v>112</v>
      </c>
      <c r="J756" t="s">
        <v>112</v>
      </c>
      <c r="K756" t="s">
        <v>112</v>
      </c>
      <c r="L756" t="s">
        <v>150</v>
      </c>
      <c r="M756" t="s">
        <v>1036</v>
      </c>
      <c r="N756" t="s">
        <v>112</v>
      </c>
      <c r="O756" t="s">
        <v>112</v>
      </c>
      <c r="P756">
        <v>1</v>
      </c>
      <c r="Q756">
        <v>0</v>
      </c>
      <c r="R756">
        <v>1</v>
      </c>
      <c r="S756">
        <v>33</v>
      </c>
      <c r="T756" t="s">
        <v>166</v>
      </c>
      <c r="U756" t="s">
        <v>152</v>
      </c>
      <c r="V756" t="s">
        <v>153</v>
      </c>
      <c r="W756" t="s">
        <v>154</v>
      </c>
      <c r="X756" t="s">
        <v>119</v>
      </c>
      <c r="Y756" t="s">
        <v>112</v>
      </c>
      <c r="Z756" t="s">
        <v>166</v>
      </c>
      <c r="AA756" t="s">
        <v>152</v>
      </c>
      <c r="AB756" t="s">
        <v>153</v>
      </c>
      <c r="AC756" t="s">
        <v>154</v>
      </c>
      <c r="AD756" t="s">
        <v>119</v>
      </c>
      <c r="AE756" t="s">
        <v>112</v>
      </c>
      <c r="AF756" t="s">
        <v>121</v>
      </c>
      <c r="AG756" t="s">
        <v>122</v>
      </c>
      <c r="AH756">
        <v>4021703.57</v>
      </c>
      <c r="AI756" t="s">
        <v>166</v>
      </c>
      <c r="AJ756" t="s">
        <v>152</v>
      </c>
      <c r="AK756" t="s">
        <v>153</v>
      </c>
      <c r="AL756" t="s">
        <v>154</v>
      </c>
      <c r="AM756" t="s">
        <v>119</v>
      </c>
      <c r="AN756" t="s">
        <v>112</v>
      </c>
      <c r="AO756" t="s">
        <v>121</v>
      </c>
      <c r="AP756" t="s">
        <v>122</v>
      </c>
      <c r="AQ756" t="s">
        <v>122</v>
      </c>
      <c r="AR756" t="s">
        <v>124</v>
      </c>
      <c r="AS756" t="s">
        <v>125</v>
      </c>
      <c r="AT756">
        <v>2</v>
      </c>
      <c r="AU756" t="s">
        <v>126</v>
      </c>
      <c r="AV756" t="s">
        <v>155</v>
      </c>
      <c r="AW756" t="s">
        <v>156</v>
      </c>
      <c r="AX756">
        <v>1</v>
      </c>
      <c r="AY756" t="s">
        <v>129</v>
      </c>
      <c r="AZ756">
        <v>42008.92</v>
      </c>
      <c r="BA756">
        <v>3661712</v>
      </c>
      <c r="BB756">
        <v>49371.44</v>
      </c>
      <c r="BC756">
        <v>87.165099999999995</v>
      </c>
      <c r="BD756" t="s">
        <v>130</v>
      </c>
      <c r="BE756" t="s">
        <v>112</v>
      </c>
      <c r="BF756" t="s">
        <v>157</v>
      </c>
      <c r="BG756" t="s">
        <v>133</v>
      </c>
      <c r="BH756" t="s">
        <v>134</v>
      </c>
      <c r="BI756" t="s">
        <v>112</v>
      </c>
      <c r="BJ756" t="s">
        <v>112</v>
      </c>
      <c r="BK756" t="s">
        <v>112</v>
      </c>
      <c r="BL756" t="s">
        <v>169</v>
      </c>
      <c r="BM756" t="s">
        <v>159</v>
      </c>
      <c r="BN756" t="s">
        <v>722</v>
      </c>
      <c r="BO756" t="s">
        <v>161</v>
      </c>
      <c r="BP756">
        <v>1</v>
      </c>
      <c r="BQ756" t="s">
        <v>1292</v>
      </c>
      <c r="BR756" s="45">
        <f>ISNUMBER(SEARCH($BR$1,Таблица1[[#This Row],[31_1 Описание и характеристика товара]]))*1</f>
        <v>1</v>
      </c>
      <c r="BT756" t="s">
        <v>150</v>
      </c>
      <c r="BU756">
        <v>33</v>
      </c>
      <c r="BV756">
        <v>0</v>
      </c>
      <c r="BW756">
        <v>0</v>
      </c>
      <c r="BY756">
        <v>0</v>
      </c>
      <c r="CA756" t="s">
        <v>106</v>
      </c>
      <c r="CB756" t="s">
        <v>142</v>
      </c>
      <c r="CC756" t="s">
        <v>112</v>
      </c>
      <c r="CD756" t="s">
        <v>112</v>
      </c>
      <c r="CE756" t="s">
        <v>121</v>
      </c>
      <c r="CF756">
        <v>16912.5</v>
      </c>
      <c r="CG756" t="s">
        <v>144</v>
      </c>
      <c r="CH756">
        <v>4000000</v>
      </c>
      <c r="CI756">
        <v>16912.5</v>
      </c>
      <c r="CJ756">
        <v>0</v>
      </c>
      <c r="CK756" t="s">
        <v>112</v>
      </c>
      <c r="CL756" t="s">
        <v>112</v>
      </c>
      <c r="CM756">
        <v>42008.92</v>
      </c>
      <c r="CN756">
        <v>3661712</v>
      </c>
      <c r="CO756">
        <v>0</v>
      </c>
      <c r="CP756">
        <v>1</v>
      </c>
      <c r="CQ756">
        <v>4021703.57</v>
      </c>
      <c r="CR756">
        <v>49371.44</v>
      </c>
      <c r="CS756" t="s">
        <v>145</v>
      </c>
      <c r="CT756">
        <v>49384.5</v>
      </c>
      <c r="CU756">
        <v>2.92</v>
      </c>
      <c r="CV756">
        <v>45</v>
      </c>
      <c r="CW756" t="s">
        <v>171</v>
      </c>
      <c r="CX756" t="s">
        <v>172</v>
      </c>
      <c r="CY756">
        <v>361</v>
      </c>
    </row>
    <row r="757" spans="1:103" x14ac:dyDescent="0.25">
      <c r="A757" t="s">
        <v>106</v>
      </c>
      <c r="B757" s="38">
        <v>45043</v>
      </c>
      <c r="C757" s="43">
        <f>IF(YEAR(Таблица1[[#This Row],[Дата]])=2023,MONTH(Таблица1[[#This Row],[Дата]]),0)</f>
        <v>4</v>
      </c>
      <c r="D757" t="s">
        <v>861</v>
      </c>
      <c r="E757" t="s">
        <v>108</v>
      </c>
      <c r="F757" t="s">
        <v>862</v>
      </c>
      <c r="G757" t="s">
        <v>110</v>
      </c>
      <c r="H757" t="s">
        <v>111</v>
      </c>
      <c r="I757" t="s">
        <v>112</v>
      </c>
      <c r="J757" t="s">
        <v>112</v>
      </c>
      <c r="K757" t="s">
        <v>112</v>
      </c>
      <c r="L757" t="s">
        <v>150</v>
      </c>
      <c r="M757" t="s">
        <v>151</v>
      </c>
      <c r="N757" t="s">
        <v>112</v>
      </c>
      <c r="O757" t="s">
        <v>112</v>
      </c>
      <c r="P757">
        <v>1</v>
      </c>
      <c r="Q757">
        <v>0</v>
      </c>
      <c r="R757">
        <v>1</v>
      </c>
      <c r="S757">
        <v>33</v>
      </c>
      <c r="T757" t="s">
        <v>166</v>
      </c>
      <c r="U757" t="s">
        <v>152</v>
      </c>
      <c r="V757" t="s">
        <v>153</v>
      </c>
      <c r="W757" t="s">
        <v>154</v>
      </c>
      <c r="X757" t="s">
        <v>119</v>
      </c>
      <c r="Y757" t="s">
        <v>112</v>
      </c>
      <c r="Z757" t="s">
        <v>166</v>
      </c>
      <c r="AA757" t="s">
        <v>152</v>
      </c>
      <c r="AB757" t="s">
        <v>153</v>
      </c>
      <c r="AC757" t="s">
        <v>154</v>
      </c>
      <c r="AD757" t="s">
        <v>119</v>
      </c>
      <c r="AE757" t="s">
        <v>112</v>
      </c>
      <c r="AF757" t="s">
        <v>121</v>
      </c>
      <c r="AG757" t="s">
        <v>122</v>
      </c>
      <c r="AH757">
        <v>3812042.04</v>
      </c>
      <c r="AI757" t="s">
        <v>166</v>
      </c>
      <c r="AJ757" t="s">
        <v>152</v>
      </c>
      <c r="AK757" t="s">
        <v>153</v>
      </c>
      <c r="AL757" t="s">
        <v>154</v>
      </c>
      <c r="AM757" t="s">
        <v>119</v>
      </c>
      <c r="AN757" t="s">
        <v>112</v>
      </c>
      <c r="AO757" t="s">
        <v>121</v>
      </c>
      <c r="AP757" t="s">
        <v>122</v>
      </c>
      <c r="AQ757" t="s">
        <v>122</v>
      </c>
      <c r="AR757" t="s">
        <v>124</v>
      </c>
      <c r="AS757" t="s">
        <v>125</v>
      </c>
      <c r="AT757">
        <v>2</v>
      </c>
      <c r="AU757" t="s">
        <v>126</v>
      </c>
      <c r="AV757" t="s">
        <v>155</v>
      </c>
      <c r="AW757" t="s">
        <v>156</v>
      </c>
      <c r="AX757">
        <v>1</v>
      </c>
      <c r="AY757" t="s">
        <v>129</v>
      </c>
      <c r="AZ757">
        <v>42975.4</v>
      </c>
      <c r="BA757">
        <v>3461651</v>
      </c>
      <c r="BB757">
        <v>50518.93</v>
      </c>
      <c r="BC757">
        <v>80.549599999999998</v>
      </c>
      <c r="BD757" t="s">
        <v>130</v>
      </c>
      <c r="BE757" t="s">
        <v>112</v>
      </c>
      <c r="BF757" t="s">
        <v>157</v>
      </c>
      <c r="BG757" t="s">
        <v>133</v>
      </c>
      <c r="BH757" t="s">
        <v>167</v>
      </c>
      <c r="BI757" t="s">
        <v>168</v>
      </c>
      <c r="BJ757" t="s">
        <v>112</v>
      </c>
      <c r="BK757" t="s">
        <v>112</v>
      </c>
      <c r="BL757" t="s">
        <v>169</v>
      </c>
      <c r="BM757" t="s">
        <v>159</v>
      </c>
      <c r="BN757" t="s">
        <v>160</v>
      </c>
      <c r="BO757" t="s">
        <v>161</v>
      </c>
      <c r="BP757">
        <v>1</v>
      </c>
      <c r="BQ757" t="s">
        <v>863</v>
      </c>
      <c r="BR757" s="45">
        <f>ISNUMBER(SEARCH($BR$1,Таблица1[[#This Row],[31_1 Описание и характеристика товара]]))*1</f>
        <v>1</v>
      </c>
      <c r="BT757" t="s">
        <v>150</v>
      </c>
      <c r="BU757">
        <v>33</v>
      </c>
      <c r="BV757">
        <v>0</v>
      </c>
      <c r="BW757">
        <v>0</v>
      </c>
      <c r="BY757">
        <v>0</v>
      </c>
      <c r="CA757" t="s">
        <v>106</v>
      </c>
      <c r="CB757" t="s">
        <v>142</v>
      </c>
      <c r="CC757" t="s">
        <v>112</v>
      </c>
      <c r="CD757" t="s">
        <v>112</v>
      </c>
      <c r="CE757" t="s">
        <v>121</v>
      </c>
      <c r="CF757">
        <v>16705.259999999998</v>
      </c>
      <c r="CG757" t="s">
        <v>144</v>
      </c>
      <c r="CH757">
        <v>4000000</v>
      </c>
      <c r="CI757">
        <v>16705.259999999998</v>
      </c>
      <c r="CJ757">
        <v>0</v>
      </c>
      <c r="CK757" t="s">
        <v>112</v>
      </c>
      <c r="CL757" t="s">
        <v>112</v>
      </c>
      <c r="CM757">
        <v>42975.4</v>
      </c>
      <c r="CN757">
        <v>3461651</v>
      </c>
      <c r="CO757">
        <v>0</v>
      </c>
      <c r="CP757">
        <v>1</v>
      </c>
      <c r="CQ757">
        <v>3812042.04</v>
      </c>
      <c r="CR757">
        <v>50518.93</v>
      </c>
      <c r="CS757" t="s">
        <v>145</v>
      </c>
      <c r="CT757">
        <v>50518.376765999994</v>
      </c>
      <c r="CU757">
        <v>3.0240999999999998</v>
      </c>
      <c r="CV757">
        <v>45</v>
      </c>
      <c r="CW757" t="s">
        <v>171</v>
      </c>
      <c r="CX757" t="s">
        <v>172</v>
      </c>
      <c r="CY757">
        <v>13</v>
      </c>
    </row>
    <row r="758" spans="1:103" x14ac:dyDescent="0.25">
      <c r="A758" t="s">
        <v>106</v>
      </c>
      <c r="B758" s="38">
        <v>45268</v>
      </c>
      <c r="C758" s="43">
        <f>IF(YEAR(Таблица1[[#This Row],[Дата]])=2023,MONTH(Таблица1[[#This Row],[Дата]]),0)</f>
        <v>12</v>
      </c>
      <c r="D758" t="s">
        <v>858</v>
      </c>
      <c r="E758" t="s">
        <v>108</v>
      </c>
      <c r="F758" t="s">
        <v>859</v>
      </c>
      <c r="G758" t="s">
        <v>110</v>
      </c>
      <c r="H758" t="s">
        <v>111</v>
      </c>
      <c r="I758" t="s">
        <v>112</v>
      </c>
      <c r="J758" t="s">
        <v>112</v>
      </c>
      <c r="K758" t="s">
        <v>112</v>
      </c>
      <c r="L758" t="s">
        <v>150</v>
      </c>
      <c r="M758" t="s">
        <v>151</v>
      </c>
      <c r="N758" t="s">
        <v>112</v>
      </c>
      <c r="O758" t="s">
        <v>112</v>
      </c>
      <c r="P758">
        <v>1</v>
      </c>
      <c r="Q758">
        <v>0</v>
      </c>
      <c r="R758">
        <v>1</v>
      </c>
      <c r="S758">
        <v>33</v>
      </c>
      <c r="T758" t="s">
        <v>166</v>
      </c>
      <c r="U758" t="s">
        <v>152</v>
      </c>
      <c r="V758" t="s">
        <v>153</v>
      </c>
      <c r="W758" t="s">
        <v>154</v>
      </c>
      <c r="X758" t="s">
        <v>119</v>
      </c>
      <c r="Y758" t="s">
        <v>112</v>
      </c>
      <c r="Z758" t="s">
        <v>166</v>
      </c>
      <c r="AA758" t="s">
        <v>152</v>
      </c>
      <c r="AB758" t="s">
        <v>153</v>
      </c>
      <c r="AC758" t="s">
        <v>154</v>
      </c>
      <c r="AD758" t="s">
        <v>119</v>
      </c>
      <c r="AE758" t="s">
        <v>112</v>
      </c>
      <c r="AF758" t="s">
        <v>121</v>
      </c>
      <c r="AG758" t="s">
        <v>122</v>
      </c>
      <c r="AH758">
        <v>3541065.13</v>
      </c>
      <c r="AI758" t="s">
        <v>166</v>
      </c>
      <c r="AJ758" t="s">
        <v>152</v>
      </c>
      <c r="AK758" t="s">
        <v>153</v>
      </c>
      <c r="AL758" t="s">
        <v>154</v>
      </c>
      <c r="AM758" t="s">
        <v>119</v>
      </c>
      <c r="AN758" t="s">
        <v>112</v>
      </c>
      <c r="AO758" t="s">
        <v>121</v>
      </c>
      <c r="AP758" t="s">
        <v>122</v>
      </c>
      <c r="AQ758" t="s">
        <v>122</v>
      </c>
      <c r="AR758" t="s">
        <v>124</v>
      </c>
      <c r="AS758" t="s">
        <v>125</v>
      </c>
      <c r="AT758">
        <v>2</v>
      </c>
      <c r="AU758" t="s">
        <v>126</v>
      </c>
      <c r="AV758" t="s">
        <v>155</v>
      </c>
      <c r="AW758" t="s">
        <v>156</v>
      </c>
      <c r="AX758">
        <v>1</v>
      </c>
      <c r="AY758" t="s">
        <v>129</v>
      </c>
      <c r="AZ758">
        <v>39111.300000000003</v>
      </c>
      <c r="BA758">
        <v>3150400</v>
      </c>
      <c r="BB758">
        <v>46927.82</v>
      </c>
      <c r="BC758">
        <v>80.549599999999998</v>
      </c>
      <c r="BD758" t="s">
        <v>130</v>
      </c>
      <c r="BE758" t="s">
        <v>112</v>
      </c>
      <c r="BF758" t="s">
        <v>157</v>
      </c>
      <c r="BG758" t="s">
        <v>133</v>
      </c>
      <c r="BH758" t="s">
        <v>167</v>
      </c>
      <c r="BI758" t="s">
        <v>168</v>
      </c>
      <c r="BJ758" t="s">
        <v>112</v>
      </c>
      <c r="BK758" t="s">
        <v>112</v>
      </c>
      <c r="BL758" t="s">
        <v>169</v>
      </c>
      <c r="BM758" t="s">
        <v>159</v>
      </c>
      <c r="BN758" t="s">
        <v>160</v>
      </c>
      <c r="BO758" t="s">
        <v>161</v>
      </c>
      <c r="BP758">
        <v>1</v>
      </c>
      <c r="BQ758" t="s">
        <v>860</v>
      </c>
      <c r="BR758" s="45">
        <f>ISNUMBER(SEARCH($BR$1,Таблица1[[#This Row],[31_1 Описание и характеристика товара]]))*1</f>
        <v>1</v>
      </c>
      <c r="BT758" t="s">
        <v>150</v>
      </c>
      <c r="BU758">
        <v>33</v>
      </c>
      <c r="BV758">
        <v>0</v>
      </c>
      <c r="BW758">
        <v>0</v>
      </c>
      <c r="BY758">
        <v>0</v>
      </c>
      <c r="CA758" t="s">
        <v>106</v>
      </c>
      <c r="CB758" t="s">
        <v>142</v>
      </c>
      <c r="CC758" t="s">
        <v>112</v>
      </c>
      <c r="CD758" t="s">
        <v>112</v>
      </c>
      <c r="CE758" t="s">
        <v>121</v>
      </c>
      <c r="CF758">
        <v>16856.849999999999</v>
      </c>
      <c r="CG758" t="s">
        <v>144</v>
      </c>
      <c r="CH758">
        <v>4000000</v>
      </c>
      <c r="CI758">
        <v>16856.849999999999</v>
      </c>
      <c r="CJ758">
        <v>0</v>
      </c>
      <c r="CK758" t="s">
        <v>112</v>
      </c>
      <c r="CL758" t="s">
        <v>112</v>
      </c>
      <c r="CM758">
        <v>39111.300000000003</v>
      </c>
      <c r="CN758">
        <v>3150400</v>
      </c>
      <c r="CO758">
        <v>0</v>
      </c>
      <c r="CP758">
        <v>1</v>
      </c>
      <c r="CQ758">
        <v>3541065.13</v>
      </c>
      <c r="CR758">
        <v>46927.82</v>
      </c>
      <c r="CS758" t="s">
        <v>145</v>
      </c>
      <c r="CT758">
        <v>46927.784714999994</v>
      </c>
      <c r="CU758">
        <v>2.7839</v>
      </c>
      <c r="CV758">
        <v>45</v>
      </c>
      <c r="CW758" t="s">
        <v>171</v>
      </c>
      <c r="CX758" t="s">
        <v>172</v>
      </c>
      <c r="CY758">
        <v>20</v>
      </c>
    </row>
    <row r="759" spans="1:103" x14ac:dyDescent="0.25">
      <c r="A759" t="s">
        <v>106</v>
      </c>
      <c r="B759" s="38">
        <v>45126</v>
      </c>
      <c r="C759" s="43">
        <f>IF(YEAR(Таблица1[[#This Row],[Дата]])=2023,MONTH(Таблица1[[#This Row],[Дата]]),0)</f>
        <v>7</v>
      </c>
      <c r="D759" t="s">
        <v>864</v>
      </c>
      <c r="E759" t="s">
        <v>108</v>
      </c>
      <c r="F759" t="s">
        <v>865</v>
      </c>
      <c r="G759" t="s">
        <v>110</v>
      </c>
      <c r="H759" t="s">
        <v>111</v>
      </c>
      <c r="I759" t="s">
        <v>112</v>
      </c>
      <c r="J759" t="s">
        <v>112</v>
      </c>
      <c r="K759" t="s">
        <v>112</v>
      </c>
      <c r="L759" t="s">
        <v>150</v>
      </c>
      <c r="M759" t="s">
        <v>151</v>
      </c>
      <c r="N759" t="s">
        <v>112</v>
      </c>
      <c r="O759" t="s">
        <v>112</v>
      </c>
      <c r="P759">
        <v>1</v>
      </c>
      <c r="Q759">
        <v>0</v>
      </c>
      <c r="R759">
        <v>1</v>
      </c>
      <c r="S759">
        <v>33</v>
      </c>
      <c r="T759" t="s">
        <v>166</v>
      </c>
      <c r="U759" t="s">
        <v>152</v>
      </c>
      <c r="V759" t="s">
        <v>153</v>
      </c>
      <c r="W759" t="s">
        <v>154</v>
      </c>
      <c r="X759" t="s">
        <v>119</v>
      </c>
      <c r="Y759" t="s">
        <v>112</v>
      </c>
      <c r="Z759" t="s">
        <v>166</v>
      </c>
      <c r="AA759" t="s">
        <v>152</v>
      </c>
      <c r="AB759" t="s">
        <v>153</v>
      </c>
      <c r="AC759" t="s">
        <v>154</v>
      </c>
      <c r="AD759" t="s">
        <v>119</v>
      </c>
      <c r="AE759" t="s">
        <v>112</v>
      </c>
      <c r="AF759" t="s">
        <v>121</v>
      </c>
      <c r="AG759" t="s">
        <v>122</v>
      </c>
      <c r="AH759">
        <v>3564915.87</v>
      </c>
      <c r="AI759" t="s">
        <v>166</v>
      </c>
      <c r="AJ759" t="s">
        <v>152</v>
      </c>
      <c r="AK759" t="s">
        <v>153</v>
      </c>
      <c r="AL759" t="s">
        <v>154</v>
      </c>
      <c r="AM759" t="s">
        <v>119</v>
      </c>
      <c r="AN759" t="s">
        <v>112</v>
      </c>
      <c r="AO759" t="s">
        <v>121</v>
      </c>
      <c r="AP759" t="s">
        <v>122</v>
      </c>
      <c r="AQ759" t="s">
        <v>122</v>
      </c>
      <c r="AR759" t="s">
        <v>124</v>
      </c>
      <c r="AS759" t="s">
        <v>125</v>
      </c>
      <c r="AT759">
        <v>2</v>
      </c>
      <c r="AU759" t="s">
        <v>126</v>
      </c>
      <c r="AV759" t="s">
        <v>155</v>
      </c>
      <c r="AW759" t="s">
        <v>156</v>
      </c>
      <c r="AX759">
        <v>1</v>
      </c>
      <c r="AY759" t="s">
        <v>129</v>
      </c>
      <c r="AZ759">
        <v>39907.4</v>
      </c>
      <c r="BA759">
        <v>3214525</v>
      </c>
      <c r="BB759">
        <v>47243.9</v>
      </c>
      <c r="BC759">
        <v>80.549599999999998</v>
      </c>
      <c r="BD759" t="s">
        <v>130</v>
      </c>
      <c r="BE759" t="s">
        <v>112</v>
      </c>
      <c r="BF759" t="s">
        <v>157</v>
      </c>
      <c r="BG759" t="s">
        <v>133</v>
      </c>
      <c r="BH759" t="s">
        <v>167</v>
      </c>
      <c r="BI759" t="s">
        <v>168</v>
      </c>
      <c r="BJ759" t="s">
        <v>112</v>
      </c>
      <c r="BK759" t="s">
        <v>112</v>
      </c>
      <c r="BL759" t="s">
        <v>169</v>
      </c>
      <c r="BM759" t="s">
        <v>159</v>
      </c>
      <c r="BN759" t="s">
        <v>160</v>
      </c>
      <c r="BO759" t="s">
        <v>161</v>
      </c>
      <c r="BP759">
        <v>1</v>
      </c>
      <c r="BQ759" t="s">
        <v>466</v>
      </c>
      <c r="BR759" s="45">
        <f>ISNUMBER(SEARCH($BR$1,Таблица1[[#This Row],[31_1 Описание и характеристика товара]]))*1</f>
        <v>1</v>
      </c>
      <c r="BT759" t="s">
        <v>150</v>
      </c>
      <c r="BU759">
        <v>33</v>
      </c>
      <c r="BV759">
        <v>0</v>
      </c>
      <c r="BW759">
        <v>0</v>
      </c>
      <c r="BY759">
        <v>0</v>
      </c>
      <c r="CA759" t="s">
        <v>106</v>
      </c>
      <c r="CB759" t="s">
        <v>142</v>
      </c>
      <c r="CC759" t="s">
        <v>112</v>
      </c>
      <c r="CD759" t="s">
        <v>112</v>
      </c>
      <c r="CE759" t="s">
        <v>121</v>
      </c>
      <c r="CF759">
        <v>17174.32</v>
      </c>
      <c r="CG759" t="s">
        <v>144</v>
      </c>
      <c r="CH759">
        <v>4000000</v>
      </c>
      <c r="CI759">
        <v>17174.32</v>
      </c>
      <c r="CJ759">
        <v>0</v>
      </c>
      <c r="CK759" t="s">
        <v>112</v>
      </c>
      <c r="CL759" t="s">
        <v>112</v>
      </c>
      <c r="CM759">
        <v>39907.4</v>
      </c>
      <c r="CN759">
        <v>3214525</v>
      </c>
      <c r="CO759">
        <v>0</v>
      </c>
      <c r="CP759">
        <v>1</v>
      </c>
      <c r="CQ759">
        <v>3564915.87</v>
      </c>
      <c r="CR759">
        <v>47243.9</v>
      </c>
      <c r="CS759" t="s">
        <v>145</v>
      </c>
      <c r="CT759">
        <v>47243.119456</v>
      </c>
      <c r="CU759">
        <v>2.7507999999999999</v>
      </c>
      <c r="CV759">
        <v>45</v>
      </c>
      <c r="CW759" t="s">
        <v>171</v>
      </c>
      <c r="CX759" t="s">
        <v>172</v>
      </c>
      <c r="CY759">
        <v>140</v>
      </c>
    </row>
    <row r="760" spans="1:103" x14ac:dyDescent="0.25">
      <c r="A760" t="s">
        <v>106</v>
      </c>
      <c r="B760" s="38">
        <v>45267</v>
      </c>
      <c r="C760" s="43">
        <f>IF(YEAR(Таблица1[[#This Row],[Дата]])=2023,MONTH(Таблица1[[#This Row],[Дата]]),0)</f>
        <v>12</v>
      </c>
      <c r="D760" t="s">
        <v>866</v>
      </c>
      <c r="E760" t="s">
        <v>108</v>
      </c>
      <c r="F760" t="s">
        <v>867</v>
      </c>
      <c r="G760" t="s">
        <v>110</v>
      </c>
      <c r="H760" t="s">
        <v>111</v>
      </c>
      <c r="I760" t="s">
        <v>112</v>
      </c>
      <c r="J760" t="s">
        <v>112</v>
      </c>
      <c r="K760" t="s">
        <v>112</v>
      </c>
      <c r="L760" t="s">
        <v>150</v>
      </c>
      <c r="M760" t="s">
        <v>151</v>
      </c>
      <c r="N760" t="s">
        <v>112</v>
      </c>
      <c r="O760" t="s">
        <v>112</v>
      </c>
      <c r="P760">
        <v>1</v>
      </c>
      <c r="Q760">
        <v>0</v>
      </c>
      <c r="R760">
        <v>1</v>
      </c>
      <c r="S760">
        <v>33</v>
      </c>
      <c r="T760" t="s">
        <v>166</v>
      </c>
      <c r="U760" t="s">
        <v>152</v>
      </c>
      <c r="V760" t="s">
        <v>153</v>
      </c>
      <c r="W760" t="s">
        <v>154</v>
      </c>
      <c r="X760" t="s">
        <v>119</v>
      </c>
      <c r="Y760" t="s">
        <v>112</v>
      </c>
      <c r="Z760" t="s">
        <v>166</v>
      </c>
      <c r="AA760" t="s">
        <v>152</v>
      </c>
      <c r="AB760" t="s">
        <v>153</v>
      </c>
      <c r="AC760" t="s">
        <v>154</v>
      </c>
      <c r="AD760" t="s">
        <v>119</v>
      </c>
      <c r="AE760" t="s">
        <v>112</v>
      </c>
      <c r="AF760" t="s">
        <v>121</v>
      </c>
      <c r="AG760" t="s">
        <v>122</v>
      </c>
      <c r="AH760">
        <v>3618346.03</v>
      </c>
      <c r="AI760" t="s">
        <v>166</v>
      </c>
      <c r="AJ760" t="s">
        <v>152</v>
      </c>
      <c r="AK760" t="s">
        <v>153</v>
      </c>
      <c r="AL760" t="s">
        <v>154</v>
      </c>
      <c r="AM760" t="s">
        <v>119</v>
      </c>
      <c r="AN760" t="s">
        <v>112</v>
      </c>
      <c r="AO760" t="s">
        <v>121</v>
      </c>
      <c r="AP760" t="s">
        <v>122</v>
      </c>
      <c r="AQ760" t="s">
        <v>122</v>
      </c>
      <c r="AR760" t="s">
        <v>124</v>
      </c>
      <c r="AS760" t="s">
        <v>125</v>
      </c>
      <c r="AT760">
        <v>2</v>
      </c>
      <c r="AU760" t="s">
        <v>126</v>
      </c>
      <c r="AV760" t="s">
        <v>155</v>
      </c>
      <c r="AW760" t="s">
        <v>156</v>
      </c>
      <c r="AX760">
        <v>1</v>
      </c>
      <c r="AY760" t="s">
        <v>129</v>
      </c>
      <c r="AZ760">
        <v>40570.720000000001</v>
      </c>
      <c r="BA760">
        <v>3267955</v>
      </c>
      <c r="BB760">
        <v>47951.98</v>
      </c>
      <c r="BC760">
        <v>80.549599999999998</v>
      </c>
      <c r="BD760" t="s">
        <v>130</v>
      </c>
      <c r="BE760" t="s">
        <v>112</v>
      </c>
      <c r="BF760" t="s">
        <v>157</v>
      </c>
      <c r="BG760" t="s">
        <v>133</v>
      </c>
      <c r="BH760" t="s">
        <v>167</v>
      </c>
      <c r="BI760" t="s">
        <v>168</v>
      </c>
      <c r="BJ760" t="s">
        <v>112</v>
      </c>
      <c r="BK760" t="s">
        <v>112</v>
      </c>
      <c r="BL760" t="s">
        <v>169</v>
      </c>
      <c r="BM760" t="s">
        <v>159</v>
      </c>
      <c r="BN760" t="s">
        <v>160</v>
      </c>
      <c r="BO760" t="s">
        <v>161</v>
      </c>
      <c r="BP760">
        <v>1</v>
      </c>
      <c r="BQ760" t="s">
        <v>868</v>
      </c>
      <c r="BR760" s="45">
        <f>ISNUMBER(SEARCH($BR$1,Таблица1[[#This Row],[31_1 Описание и характеристика товара]]))*1</f>
        <v>1</v>
      </c>
      <c r="BT760" t="s">
        <v>150</v>
      </c>
      <c r="BU760">
        <v>33</v>
      </c>
      <c r="BV760">
        <v>0</v>
      </c>
      <c r="BW760">
        <v>0</v>
      </c>
      <c r="BY760">
        <v>0</v>
      </c>
      <c r="CA760" t="s">
        <v>106</v>
      </c>
      <c r="CB760" t="s">
        <v>142</v>
      </c>
      <c r="CC760" t="s">
        <v>112</v>
      </c>
      <c r="CD760" t="s">
        <v>112</v>
      </c>
      <c r="CE760" t="s">
        <v>121</v>
      </c>
      <c r="CF760">
        <v>16827.310000000001</v>
      </c>
      <c r="CG760" t="s">
        <v>144</v>
      </c>
      <c r="CH760">
        <v>4000000</v>
      </c>
      <c r="CI760">
        <v>16791.310000000001</v>
      </c>
      <c r="CJ760">
        <v>0</v>
      </c>
      <c r="CK760" t="s">
        <v>112</v>
      </c>
      <c r="CL760" t="s">
        <v>112</v>
      </c>
      <c r="CM760">
        <v>40570.720000000001</v>
      </c>
      <c r="CN760">
        <v>3267955</v>
      </c>
      <c r="CO760">
        <v>0</v>
      </c>
      <c r="CP760">
        <v>1</v>
      </c>
      <c r="CQ760">
        <v>3618346.03</v>
      </c>
      <c r="CR760">
        <v>47951.98</v>
      </c>
      <c r="CS760" t="s">
        <v>145</v>
      </c>
      <c r="CT760">
        <v>47952.623098000004</v>
      </c>
      <c r="CU760">
        <v>2.8557999999999999</v>
      </c>
      <c r="CV760">
        <v>45</v>
      </c>
      <c r="CW760" t="s">
        <v>171</v>
      </c>
      <c r="CX760" t="s">
        <v>172</v>
      </c>
      <c r="CY760">
        <v>229</v>
      </c>
    </row>
    <row r="761" spans="1:103" x14ac:dyDescent="0.25">
      <c r="A761" t="s">
        <v>106</v>
      </c>
      <c r="B761" s="38">
        <v>45006</v>
      </c>
      <c r="C761" s="43">
        <f>IF(YEAR(Таблица1[[#This Row],[Дата]])=2023,MONTH(Таблица1[[#This Row],[Дата]]),0)</f>
        <v>3</v>
      </c>
      <c r="D761" t="s">
        <v>854</v>
      </c>
      <c r="E761" t="s">
        <v>108</v>
      </c>
      <c r="F761" t="s">
        <v>855</v>
      </c>
      <c r="G761" t="s">
        <v>110</v>
      </c>
      <c r="H761" t="s">
        <v>111</v>
      </c>
      <c r="I761" t="s">
        <v>112</v>
      </c>
      <c r="J761" t="s">
        <v>112</v>
      </c>
      <c r="K761" t="s">
        <v>112</v>
      </c>
      <c r="L761" t="s">
        <v>150</v>
      </c>
      <c r="M761" t="s">
        <v>151</v>
      </c>
      <c r="N761" t="s">
        <v>112</v>
      </c>
      <c r="O761" t="s">
        <v>112</v>
      </c>
      <c r="P761">
        <v>1</v>
      </c>
      <c r="Q761">
        <v>0</v>
      </c>
      <c r="R761">
        <v>1</v>
      </c>
      <c r="S761">
        <v>33</v>
      </c>
      <c r="T761" t="s">
        <v>166</v>
      </c>
      <c r="U761" t="s">
        <v>152</v>
      </c>
      <c r="V761" t="s">
        <v>153</v>
      </c>
      <c r="W761" t="s">
        <v>154</v>
      </c>
      <c r="X761" t="s">
        <v>119</v>
      </c>
      <c r="Y761" t="s">
        <v>112</v>
      </c>
      <c r="Z761" t="s">
        <v>166</v>
      </c>
      <c r="AA761" t="s">
        <v>152</v>
      </c>
      <c r="AB761" t="s">
        <v>153</v>
      </c>
      <c r="AC761" t="s">
        <v>154</v>
      </c>
      <c r="AD761" t="s">
        <v>119</v>
      </c>
      <c r="AE761" t="s">
        <v>112</v>
      </c>
      <c r="AF761" t="s">
        <v>121</v>
      </c>
      <c r="AG761" t="s">
        <v>122</v>
      </c>
      <c r="AH761">
        <v>3659577.76</v>
      </c>
      <c r="AI761" t="s">
        <v>166</v>
      </c>
      <c r="AJ761" t="s">
        <v>152</v>
      </c>
      <c r="AK761" t="s">
        <v>153</v>
      </c>
      <c r="AL761" t="s">
        <v>154</v>
      </c>
      <c r="AM761" t="s">
        <v>119</v>
      </c>
      <c r="AN761" t="s">
        <v>112</v>
      </c>
      <c r="AO761" t="s">
        <v>121</v>
      </c>
      <c r="AP761" t="s">
        <v>122</v>
      </c>
      <c r="AQ761" t="s">
        <v>122</v>
      </c>
      <c r="AR761" t="s">
        <v>124</v>
      </c>
      <c r="AS761" t="s">
        <v>125</v>
      </c>
      <c r="AT761">
        <v>2</v>
      </c>
      <c r="AU761" t="s">
        <v>126</v>
      </c>
      <c r="AV761" t="s">
        <v>155</v>
      </c>
      <c r="AW761" t="s">
        <v>156</v>
      </c>
      <c r="AX761">
        <v>1</v>
      </c>
      <c r="AY761" t="s">
        <v>129</v>
      </c>
      <c r="AZ761">
        <v>41082.6</v>
      </c>
      <c r="BA761">
        <v>3309187</v>
      </c>
      <c r="BB761">
        <v>48498.400000000001</v>
      </c>
      <c r="BC761">
        <v>80.549599999999998</v>
      </c>
      <c r="BD761" t="s">
        <v>130</v>
      </c>
      <c r="BE761" t="s">
        <v>112</v>
      </c>
      <c r="BF761" t="s">
        <v>157</v>
      </c>
      <c r="BG761" t="s">
        <v>133</v>
      </c>
      <c r="BH761" t="s">
        <v>134</v>
      </c>
      <c r="BI761" t="s">
        <v>112</v>
      </c>
      <c r="BJ761" t="s">
        <v>112</v>
      </c>
      <c r="BK761" t="s">
        <v>112</v>
      </c>
      <c r="BL761" t="s">
        <v>169</v>
      </c>
      <c r="BM761" t="s">
        <v>159</v>
      </c>
      <c r="BN761" t="s">
        <v>160</v>
      </c>
      <c r="BO761" t="s">
        <v>161</v>
      </c>
      <c r="BP761">
        <v>1</v>
      </c>
      <c r="BQ761" t="s">
        <v>232</v>
      </c>
      <c r="BR761" s="45">
        <f>ISNUMBER(SEARCH($BR$1,Таблица1[[#This Row],[31_1 Описание и характеристика товара]]))*1</f>
        <v>1</v>
      </c>
      <c r="BT761" t="s">
        <v>150</v>
      </c>
      <c r="BU761">
        <v>33</v>
      </c>
      <c r="BV761">
        <v>0</v>
      </c>
      <c r="BW761">
        <v>0</v>
      </c>
      <c r="BY761">
        <v>0</v>
      </c>
      <c r="CA761" t="s">
        <v>106</v>
      </c>
      <c r="CB761" t="s">
        <v>142</v>
      </c>
      <c r="CC761" t="s">
        <v>112</v>
      </c>
      <c r="CD761" t="s">
        <v>112</v>
      </c>
      <c r="CE761" t="s">
        <v>121</v>
      </c>
      <c r="CF761">
        <v>16705.259999999998</v>
      </c>
      <c r="CG761" t="s">
        <v>144</v>
      </c>
      <c r="CH761">
        <v>4000000</v>
      </c>
      <c r="CI761">
        <v>16705.259999999998</v>
      </c>
      <c r="CJ761">
        <v>0</v>
      </c>
      <c r="CK761" t="s">
        <v>112</v>
      </c>
      <c r="CL761" t="s">
        <v>112</v>
      </c>
      <c r="CM761">
        <v>41082.6</v>
      </c>
      <c r="CN761">
        <v>3309187</v>
      </c>
      <c r="CO761">
        <v>0</v>
      </c>
      <c r="CP761">
        <v>1</v>
      </c>
      <c r="CQ761">
        <v>3659577.76</v>
      </c>
      <c r="CR761">
        <v>48498.400000000001</v>
      </c>
      <c r="CS761" t="s">
        <v>145</v>
      </c>
      <c r="CT761">
        <v>48498.710831999997</v>
      </c>
      <c r="CU761">
        <v>2.9032</v>
      </c>
      <c r="CV761">
        <v>45</v>
      </c>
      <c r="CW761" t="s">
        <v>171</v>
      </c>
      <c r="CX761" t="s">
        <v>172</v>
      </c>
      <c r="CY761">
        <v>260</v>
      </c>
    </row>
    <row r="762" spans="1:103" x14ac:dyDescent="0.25">
      <c r="A762" t="s">
        <v>106</v>
      </c>
      <c r="B762" s="38">
        <v>44591</v>
      </c>
      <c r="C762" s="43">
        <f>IF(YEAR(Таблица1[[#This Row],[Дата]])=2023,MONTH(Таблица1[[#This Row],[Дата]]),0)</f>
        <v>0</v>
      </c>
      <c r="D762" t="s">
        <v>521</v>
      </c>
      <c r="E762" t="s">
        <v>108</v>
      </c>
      <c r="F762" t="s">
        <v>522</v>
      </c>
      <c r="G762" t="s">
        <v>110</v>
      </c>
      <c r="H762" t="s">
        <v>111</v>
      </c>
      <c r="I762" t="s">
        <v>112</v>
      </c>
      <c r="J762" t="s">
        <v>112</v>
      </c>
      <c r="K762" t="s">
        <v>112</v>
      </c>
      <c r="L762" t="s">
        <v>150</v>
      </c>
      <c r="M762" t="s">
        <v>151</v>
      </c>
      <c r="N762" t="s">
        <v>112</v>
      </c>
      <c r="O762" t="s">
        <v>112</v>
      </c>
      <c r="P762">
        <v>1</v>
      </c>
      <c r="Q762">
        <v>0</v>
      </c>
      <c r="R762">
        <v>1</v>
      </c>
      <c r="S762">
        <v>33</v>
      </c>
      <c r="T762" t="s">
        <v>166</v>
      </c>
      <c r="U762" t="s">
        <v>152</v>
      </c>
      <c r="V762" t="s">
        <v>153</v>
      </c>
      <c r="W762" t="s">
        <v>154</v>
      </c>
      <c r="X762" t="s">
        <v>119</v>
      </c>
      <c r="Y762" t="s">
        <v>112</v>
      </c>
      <c r="Z762" t="s">
        <v>166</v>
      </c>
      <c r="AA762" t="s">
        <v>152</v>
      </c>
      <c r="AB762" t="s">
        <v>153</v>
      </c>
      <c r="AC762" t="s">
        <v>154</v>
      </c>
      <c r="AD762" t="s">
        <v>119</v>
      </c>
      <c r="AE762" t="s">
        <v>112</v>
      </c>
      <c r="AF762" t="s">
        <v>121</v>
      </c>
      <c r="AG762" t="s">
        <v>122</v>
      </c>
      <c r="AH762">
        <v>3464766.08</v>
      </c>
      <c r="AI762" t="s">
        <v>166</v>
      </c>
      <c r="AJ762" t="s">
        <v>152</v>
      </c>
      <c r="AK762" t="s">
        <v>153</v>
      </c>
      <c r="AL762" t="s">
        <v>154</v>
      </c>
      <c r="AM762" t="s">
        <v>119</v>
      </c>
      <c r="AN762" t="s">
        <v>112</v>
      </c>
      <c r="AO762" t="s">
        <v>121</v>
      </c>
      <c r="AP762" t="s">
        <v>122</v>
      </c>
      <c r="AQ762" t="s">
        <v>122</v>
      </c>
      <c r="AR762" t="s">
        <v>124</v>
      </c>
      <c r="AS762" t="s">
        <v>125</v>
      </c>
      <c r="AT762">
        <v>2</v>
      </c>
      <c r="AU762" t="s">
        <v>126</v>
      </c>
      <c r="AV762" t="s">
        <v>155</v>
      </c>
      <c r="AW762" t="s">
        <v>156</v>
      </c>
      <c r="AX762">
        <v>1</v>
      </c>
      <c r="AY762" t="s">
        <v>129</v>
      </c>
      <c r="AZ762">
        <v>41293.86</v>
      </c>
      <c r="BA762">
        <v>3134563</v>
      </c>
      <c r="BB762">
        <v>48873.59</v>
      </c>
      <c r="BC762">
        <v>75.908699999999996</v>
      </c>
      <c r="BD762" t="s">
        <v>130</v>
      </c>
      <c r="BE762" t="s">
        <v>112</v>
      </c>
      <c r="BF762" t="s">
        <v>157</v>
      </c>
      <c r="BG762" t="s">
        <v>133</v>
      </c>
      <c r="BH762" t="s">
        <v>134</v>
      </c>
      <c r="BI762" t="s">
        <v>112</v>
      </c>
      <c r="BJ762" t="s">
        <v>112</v>
      </c>
      <c r="BK762" t="s">
        <v>112</v>
      </c>
      <c r="BL762" t="s">
        <v>169</v>
      </c>
      <c r="BM762" t="s">
        <v>159</v>
      </c>
      <c r="BN762" t="s">
        <v>212</v>
      </c>
      <c r="BO762" t="s">
        <v>161</v>
      </c>
      <c r="BP762">
        <v>1</v>
      </c>
      <c r="BQ762" t="s">
        <v>523</v>
      </c>
      <c r="BR762" s="45">
        <f>ISNUMBER(SEARCH($BR$1,Таблица1[[#This Row],[31_1 Описание и характеристика товара]]))*1</f>
        <v>1</v>
      </c>
      <c r="BT762" t="s">
        <v>150</v>
      </c>
      <c r="BU762">
        <v>33</v>
      </c>
      <c r="BV762">
        <v>0</v>
      </c>
      <c r="BW762">
        <v>0</v>
      </c>
      <c r="BY762">
        <v>0</v>
      </c>
      <c r="CA762" t="s">
        <v>106</v>
      </c>
      <c r="CB762" t="s">
        <v>142</v>
      </c>
      <c r="CC762" t="s">
        <v>112</v>
      </c>
      <c r="CD762" t="s">
        <v>112</v>
      </c>
      <c r="CE762" t="s">
        <v>121</v>
      </c>
      <c r="CF762">
        <v>16546.740000000002</v>
      </c>
      <c r="CG762" t="s">
        <v>144</v>
      </c>
      <c r="CH762">
        <v>4000000</v>
      </c>
      <c r="CI762">
        <v>16546.740000000002</v>
      </c>
      <c r="CJ762">
        <v>0</v>
      </c>
      <c r="CK762" t="s">
        <v>112</v>
      </c>
      <c r="CL762" t="s">
        <v>112</v>
      </c>
      <c r="CM762">
        <v>41293.86</v>
      </c>
      <c r="CN762">
        <v>3134563</v>
      </c>
      <c r="CO762">
        <v>0</v>
      </c>
      <c r="CP762">
        <v>1</v>
      </c>
      <c r="CQ762">
        <v>3464766.08</v>
      </c>
      <c r="CR762">
        <v>48873.59</v>
      </c>
      <c r="CS762" t="s">
        <v>145</v>
      </c>
      <c r="CT762">
        <v>48874.105938000008</v>
      </c>
      <c r="CU762">
        <v>2.9537</v>
      </c>
      <c r="CV762">
        <v>45</v>
      </c>
      <c r="CW762" t="s">
        <v>171</v>
      </c>
      <c r="CX762" t="s">
        <v>463</v>
      </c>
      <c r="CY762">
        <v>68</v>
      </c>
    </row>
    <row r="763" spans="1:103" x14ac:dyDescent="0.25">
      <c r="A763" t="s">
        <v>106</v>
      </c>
      <c r="B763" s="38">
        <v>44705</v>
      </c>
      <c r="C763" s="43">
        <f>IF(YEAR(Таблица1[[#This Row],[Дата]])=2023,MONTH(Таблица1[[#This Row],[Дата]]),0)</f>
        <v>0</v>
      </c>
      <c r="D763" t="s">
        <v>481</v>
      </c>
      <c r="E763" t="s">
        <v>108</v>
      </c>
      <c r="F763" t="s">
        <v>482</v>
      </c>
      <c r="G763" t="s">
        <v>110</v>
      </c>
      <c r="H763" t="s">
        <v>111</v>
      </c>
      <c r="I763" t="s">
        <v>112</v>
      </c>
      <c r="J763" t="s">
        <v>112</v>
      </c>
      <c r="K763" t="s">
        <v>112</v>
      </c>
      <c r="L763" t="s">
        <v>150</v>
      </c>
      <c r="M763" t="s">
        <v>151</v>
      </c>
      <c r="N763" t="s">
        <v>112</v>
      </c>
      <c r="O763" t="s">
        <v>112</v>
      </c>
      <c r="P763">
        <v>1</v>
      </c>
      <c r="Q763">
        <v>0</v>
      </c>
      <c r="R763">
        <v>1</v>
      </c>
      <c r="S763">
        <v>33</v>
      </c>
      <c r="T763" t="s">
        <v>166</v>
      </c>
      <c r="U763" t="s">
        <v>152</v>
      </c>
      <c r="V763" t="s">
        <v>153</v>
      </c>
      <c r="W763" t="s">
        <v>154</v>
      </c>
      <c r="X763" t="s">
        <v>119</v>
      </c>
      <c r="Y763" t="s">
        <v>112</v>
      </c>
      <c r="Z763" t="s">
        <v>166</v>
      </c>
      <c r="AA763" t="s">
        <v>152</v>
      </c>
      <c r="AB763" t="s">
        <v>153</v>
      </c>
      <c r="AC763" t="s">
        <v>154</v>
      </c>
      <c r="AD763" t="s">
        <v>119</v>
      </c>
      <c r="AE763" t="s">
        <v>112</v>
      </c>
      <c r="AF763" t="s">
        <v>121</v>
      </c>
      <c r="AG763" t="s">
        <v>122</v>
      </c>
      <c r="AH763">
        <v>3345351.07</v>
      </c>
      <c r="AI763" t="s">
        <v>166</v>
      </c>
      <c r="AJ763" t="s">
        <v>152</v>
      </c>
      <c r="AK763" t="s">
        <v>153</v>
      </c>
      <c r="AL763" t="s">
        <v>154</v>
      </c>
      <c r="AM763" t="s">
        <v>119</v>
      </c>
      <c r="AN763" t="s">
        <v>112</v>
      </c>
      <c r="AO763" t="s">
        <v>121</v>
      </c>
      <c r="AP763" t="s">
        <v>122</v>
      </c>
      <c r="AQ763" t="s">
        <v>122</v>
      </c>
      <c r="AR763" t="s">
        <v>124</v>
      </c>
      <c r="AS763" t="s">
        <v>125</v>
      </c>
      <c r="AT763">
        <v>2</v>
      </c>
      <c r="AU763" t="s">
        <v>126</v>
      </c>
      <c r="AV763" t="s">
        <v>155</v>
      </c>
      <c r="AW763" t="s">
        <v>156</v>
      </c>
      <c r="AX763">
        <v>1</v>
      </c>
      <c r="AY763" t="s">
        <v>129</v>
      </c>
      <c r="AZ763">
        <v>39720.720000000001</v>
      </c>
      <c r="BA763">
        <v>3015148</v>
      </c>
      <c r="BB763">
        <v>47189.14</v>
      </c>
      <c r="BC763">
        <v>75.908699999999996</v>
      </c>
      <c r="BD763" t="s">
        <v>130</v>
      </c>
      <c r="BE763" t="s">
        <v>112</v>
      </c>
      <c r="BF763" t="s">
        <v>157</v>
      </c>
      <c r="BG763" t="s">
        <v>133</v>
      </c>
      <c r="BH763" t="s">
        <v>134</v>
      </c>
      <c r="BI763" t="s">
        <v>112</v>
      </c>
      <c r="BJ763" t="s">
        <v>112</v>
      </c>
      <c r="BK763" t="s">
        <v>112</v>
      </c>
      <c r="BL763" t="s">
        <v>169</v>
      </c>
      <c r="BM763" t="s">
        <v>159</v>
      </c>
      <c r="BN763" t="s">
        <v>212</v>
      </c>
      <c r="BO763" t="s">
        <v>161</v>
      </c>
      <c r="BP763">
        <v>1</v>
      </c>
      <c r="BQ763" t="s">
        <v>213</v>
      </c>
      <c r="BR763" s="45">
        <f>ISNUMBER(SEARCH($BR$1,Таблица1[[#This Row],[31_1 Описание и характеристика товара]]))*1</f>
        <v>1</v>
      </c>
      <c r="BT763" t="s">
        <v>150</v>
      </c>
      <c r="BU763">
        <v>33</v>
      </c>
      <c r="BV763">
        <v>0</v>
      </c>
      <c r="BW763">
        <v>0</v>
      </c>
      <c r="BY763">
        <v>0</v>
      </c>
      <c r="CA763" t="s">
        <v>106</v>
      </c>
      <c r="CB763" t="s">
        <v>142</v>
      </c>
      <c r="CC763" t="s">
        <v>112</v>
      </c>
      <c r="CD763" t="s">
        <v>112</v>
      </c>
      <c r="CE763" t="s">
        <v>121</v>
      </c>
      <c r="CF763">
        <v>15717.04</v>
      </c>
      <c r="CG763" t="s">
        <v>144</v>
      </c>
      <c r="CH763">
        <v>4000000</v>
      </c>
      <c r="CI763">
        <v>15414.64</v>
      </c>
      <c r="CJ763">
        <v>0</v>
      </c>
      <c r="CK763" t="s">
        <v>112</v>
      </c>
      <c r="CL763" t="s">
        <v>112</v>
      </c>
      <c r="CM763">
        <v>39720.720000000001</v>
      </c>
      <c r="CN763">
        <v>3015148</v>
      </c>
      <c r="CO763">
        <v>0</v>
      </c>
      <c r="CP763">
        <v>1</v>
      </c>
      <c r="CQ763">
        <v>3345351.07</v>
      </c>
      <c r="CR763">
        <v>47189.14</v>
      </c>
      <c r="CS763" t="s">
        <v>145</v>
      </c>
      <c r="CT763">
        <v>47188.837432</v>
      </c>
      <c r="CU763">
        <v>3.0613000000000001</v>
      </c>
      <c r="CV763">
        <v>45</v>
      </c>
      <c r="CW763" t="s">
        <v>171</v>
      </c>
      <c r="CX763" t="s">
        <v>372</v>
      </c>
      <c r="CY763">
        <v>140</v>
      </c>
    </row>
    <row r="764" spans="1:103" x14ac:dyDescent="0.25">
      <c r="A764" t="s">
        <v>106</v>
      </c>
      <c r="B764" s="38">
        <v>44802</v>
      </c>
      <c r="C764" s="43">
        <f>IF(YEAR(Таблица1[[#This Row],[Дата]])=2023,MONTH(Таблица1[[#This Row],[Дата]]),0)</f>
        <v>0</v>
      </c>
      <c r="D764" t="s">
        <v>524</v>
      </c>
      <c r="E764" t="s">
        <v>108</v>
      </c>
      <c r="F764" t="s">
        <v>525</v>
      </c>
      <c r="G764" t="s">
        <v>110</v>
      </c>
      <c r="H764" t="s">
        <v>111</v>
      </c>
      <c r="I764" t="s">
        <v>112</v>
      </c>
      <c r="J764" t="s">
        <v>112</v>
      </c>
      <c r="K764" t="s">
        <v>112</v>
      </c>
      <c r="L764" t="s">
        <v>150</v>
      </c>
      <c r="M764" t="s">
        <v>151</v>
      </c>
      <c r="N764" t="s">
        <v>112</v>
      </c>
      <c r="O764" t="s">
        <v>112</v>
      </c>
      <c r="P764">
        <v>1</v>
      </c>
      <c r="Q764">
        <v>0</v>
      </c>
      <c r="R764">
        <v>1</v>
      </c>
      <c r="S764">
        <v>33</v>
      </c>
      <c r="T764" t="s">
        <v>166</v>
      </c>
      <c r="U764" t="s">
        <v>152</v>
      </c>
      <c r="V764" t="s">
        <v>153</v>
      </c>
      <c r="W764" t="s">
        <v>154</v>
      </c>
      <c r="X764" t="s">
        <v>119</v>
      </c>
      <c r="Y764" t="s">
        <v>112</v>
      </c>
      <c r="Z764" t="s">
        <v>166</v>
      </c>
      <c r="AA764" t="s">
        <v>152</v>
      </c>
      <c r="AB764" t="s">
        <v>153</v>
      </c>
      <c r="AC764" t="s">
        <v>154</v>
      </c>
      <c r="AD764" t="s">
        <v>119</v>
      </c>
      <c r="AE764" t="s">
        <v>112</v>
      </c>
      <c r="AF764" t="s">
        <v>121</v>
      </c>
      <c r="AG764" t="s">
        <v>122</v>
      </c>
      <c r="AH764">
        <v>3120369.07</v>
      </c>
      <c r="AI764" t="s">
        <v>166</v>
      </c>
      <c r="AJ764" t="s">
        <v>152</v>
      </c>
      <c r="AK764" t="s">
        <v>153</v>
      </c>
      <c r="AL764" t="s">
        <v>154</v>
      </c>
      <c r="AM764" t="s">
        <v>119</v>
      </c>
      <c r="AN764" t="s">
        <v>112</v>
      </c>
      <c r="AO764" t="s">
        <v>121</v>
      </c>
      <c r="AP764" t="s">
        <v>122</v>
      </c>
      <c r="AQ764" t="s">
        <v>122</v>
      </c>
      <c r="AR764" t="s">
        <v>124</v>
      </c>
      <c r="AS764" t="s">
        <v>125</v>
      </c>
      <c r="AT764">
        <v>2</v>
      </c>
      <c r="AU764" t="s">
        <v>126</v>
      </c>
      <c r="AV764" t="s">
        <v>155</v>
      </c>
      <c r="AW764" t="s">
        <v>156</v>
      </c>
      <c r="AX764">
        <v>1</v>
      </c>
      <c r="AY764" t="s">
        <v>129</v>
      </c>
      <c r="AZ764">
        <v>36756.870000000003</v>
      </c>
      <c r="BA764">
        <v>2790166</v>
      </c>
      <c r="BB764">
        <v>44015.57</v>
      </c>
      <c r="BC764">
        <v>75.908699999999996</v>
      </c>
      <c r="BD764" t="s">
        <v>130</v>
      </c>
      <c r="BE764" t="s">
        <v>112</v>
      </c>
      <c r="BF764" t="s">
        <v>157</v>
      </c>
      <c r="BG764" t="s">
        <v>133</v>
      </c>
      <c r="BH764" t="s">
        <v>134</v>
      </c>
      <c r="BI764" t="s">
        <v>112</v>
      </c>
      <c r="BJ764" t="s">
        <v>112</v>
      </c>
      <c r="BK764" t="s">
        <v>112</v>
      </c>
      <c r="BL764" t="s">
        <v>169</v>
      </c>
      <c r="BM764" t="s">
        <v>159</v>
      </c>
      <c r="BN764" t="s">
        <v>212</v>
      </c>
      <c r="BO764" t="s">
        <v>161</v>
      </c>
      <c r="BP764">
        <v>1</v>
      </c>
      <c r="BQ764" t="s">
        <v>281</v>
      </c>
      <c r="BR764" s="45">
        <f>ISNUMBER(SEARCH($BR$1,Таблица1[[#This Row],[31_1 Описание и характеристика товара]]))*1</f>
        <v>1</v>
      </c>
      <c r="BT764" t="s">
        <v>150</v>
      </c>
      <c r="BU764">
        <v>33</v>
      </c>
      <c r="BV764">
        <v>0</v>
      </c>
      <c r="BW764">
        <v>0</v>
      </c>
      <c r="BY764">
        <v>0</v>
      </c>
      <c r="CA764" t="s">
        <v>106</v>
      </c>
      <c r="CB764" t="s">
        <v>142</v>
      </c>
      <c r="CC764" t="s">
        <v>112</v>
      </c>
      <c r="CD764" t="s">
        <v>112</v>
      </c>
      <c r="CE764" t="s">
        <v>121</v>
      </c>
      <c r="CF764">
        <v>16311.73</v>
      </c>
      <c r="CG764" t="s">
        <v>144</v>
      </c>
      <c r="CH764">
        <v>4000000</v>
      </c>
      <c r="CI764">
        <v>16203.73</v>
      </c>
      <c r="CJ764">
        <v>0</v>
      </c>
      <c r="CK764" t="s">
        <v>112</v>
      </c>
      <c r="CL764" t="s">
        <v>112</v>
      </c>
      <c r="CM764">
        <v>36756.870000000003</v>
      </c>
      <c r="CN764">
        <v>2790166</v>
      </c>
      <c r="CO764">
        <v>0</v>
      </c>
      <c r="CP764">
        <v>1</v>
      </c>
      <c r="CQ764">
        <v>3120369.07</v>
      </c>
      <c r="CR764">
        <v>44015.57</v>
      </c>
      <c r="CS764" t="s">
        <v>145</v>
      </c>
      <c r="CT764">
        <v>44015.812171999998</v>
      </c>
      <c r="CU764">
        <v>2.7164000000000001</v>
      </c>
      <c r="CV764">
        <v>45</v>
      </c>
      <c r="CW764" t="s">
        <v>171</v>
      </c>
      <c r="CX764" t="s">
        <v>172</v>
      </c>
      <c r="CY764">
        <v>115</v>
      </c>
    </row>
    <row r="765" spans="1:103" x14ac:dyDescent="0.25">
      <c r="A765" t="s">
        <v>106</v>
      </c>
      <c r="B765" s="38">
        <v>45103</v>
      </c>
      <c r="C765" s="43">
        <f>IF(YEAR(Таблица1[[#This Row],[Дата]])=2023,MONTH(Таблица1[[#This Row],[Дата]]),0)</f>
        <v>6</v>
      </c>
      <c r="D765" t="s">
        <v>340</v>
      </c>
      <c r="E765" t="s">
        <v>108</v>
      </c>
      <c r="F765" t="s">
        <v>341</v>
      </c>
      <c r="G765" t="s">
        <v>110</v>
      </c>
      <c r="H765" t="s">
        <v>111</v>
      </c>
      <c r="I765" t="s">
        <v>112</v>
      </c>
      <c r="J765" t="s">
        <v>112</v>
      </c>
      <c r="K765" t="s">
        <v>112</v>
      </c>
      <c r="L765" t="s">
        <v>175</v>
      </c>
      <c r="M765" t="s">
        <v>176</v>
      </c>
      <c r="N765" t="s">
        <v>112</v>
      </c>
      <c r="O765" t="s">
        <v>112</v>
      </c>
      <c r="P765">
        <v>1</v>
      </c>
      <c r="Q765">
        <v>0</v>
      </c>
      <c r="R765">
        <v>1</v>
      </c>
      <c r="S765">
        <v>33</v>
      </c>
      <c r="T765" t="s">
        <v>166</v>
      </c>
      <c r="U765" t="s">
        <v>152</v>
      </c>
      <c r="V765" t="s">
        <v>153</v>
      </c>
      <c r="W765" t="s">
        <v>177</v>
      </c>
      <c r="X765" t="s">
        <v>119</v>
      </c>
      <c r="Y765" t="s">
        <v>112</v>
      </c>
      <c r="Z765" t="s">
        <v>166</v>
      </c>
      <c r="AA765" t="s">
        <v>152</v>
      </c>
      <c r="AB765" t="s">
        <v>153</v>
      </c>
      <c r="AC765" t="s">
        <v>177</v>
      </c>
      <c r="AD765" t="s">
        <v>119</v>
      </c>
      <c r="AE765" t="s">
        <v>112</v>
      </c>
      <c r="AF765" t="s">
        <v>121</v>
      </c>
      <c r="AG765" t="s">
        <v>122</v>
      </c>
      <c r="AH765">
        <v>3415488.19</v>
      </c>
      <c r="AI765" t="s">
        <v>166</v>
      </c>
      <c r="AJ765" t="s">
        <v>152</v>
      </c>
      <c r="AK765" t="s">
        <v>153</v>
      </c>
      <c r="AL765" t="s">
        <v>177</v>
      </c>
      <c r="AM765" t="s">
        <v>119</v>
      </c>
      <c r="AN765" t="s">
        <v>112</v>
      </c>
      <c r="AO765" t="s">
        <v>121</v>
      </c>
      <c r="AP765" t="s">
        <v>122</v>
      </c>
      <c r="AQ765" t="s">
        <v>122</v>
      </c>
      <c r="AR765" t="s">
        <v>124</v>
      </c>
      <c r="AS765" t="s">
        <v>125</v>
      </c>
      <c r="AT765">
        <v>2</v>
      </c>
      <c r="AU765" t="s">
        <v>106</v>
      </c>
      <c r="AV765" t="s">
        <v>155</v>
      </c>
      <c r="AW765" t="s">
        <v>156</v>
      </c>
      <c r="AX765">
        <v>1</v>
      </c>
      <c r="AY765" t="s">
        <v>129</v>
      </c>
      <c r="AZ765">
        <v>41802.239999999998</v>
      </c>
      <c r="BA765">
        <v>3162561</v>
      </c>
      <c r="BB765">
        <v>48558.57</v>
      </c>
      <c r="BC765">
        <v>75.655299999999997</v>
      </c>
      <c r="BD765" t="s">
        <v>130</v>
      </c>
      <c r="BE765" t="s">
        <v>112</v>
      </c>
      <c r="BF765" t="s">
        <v>157</v>
      </c>
      <c r="BG765" t="s">
        <v>133</v>
      </c>
      <c r="BH765" t="s">
        <v>134</v>
      </c>
      <c r="BI765" t="s">
        <v>112</v>
      </c>
      <c r="BJ765" t="s">
        <v>178</v>
      </c>
      <c r="BK765" t="s">
        <v>112</v>
      </c>
      <c r="BL765" t="s">
        <v>125</v>
      </c>
      <c r="BM765" t="s">
        <v>179</v>
      </c>
      <c r="BN765" t="s">
        <v>180</v>
      </c>
      <c r="BO765" t="s">
        <v>181</v>
      </c>
      <c r="BP765">
        <v>1</v>
      </c>
      <c r="BQ765" t="s">
        <v>199</v>
      </c>
      <c r="BR765" s="45">
        <f>ISNUMBER(SEARCH($BR$1,Таблица1[[#This Row],[31_1 Описание и характеристика товара]]))*1</f>
        <v>1</v>
      </c>
      <c r="BT765" t="s">
        <v>150</v>
      </c>
      <c r="BU765">
        <v>33</v>
      </c>
      <c r="BV765">
        <v>1</v>
      </c>
      <c r="BW765">
        <v>0</v>
      </c>
      <c r="BY765">
        <v>0</v>
      </c>
      <c r="CA765" t="s">
        <v>106</v>
      </c>
      <c r="CB765" t="s">
        <v>142</v>
      </c>
      <c r="CC765" t="s">
        <v>112</v>
      </c>
      <c r="CD765" t="s">
        <v>112</v>
      </c>
      <c r="CE765" t="s">
        <v>121</v>
      </c>
      <c r="CF765">
        <v>15980.76</v>
      </c>
      <c r="CG765" t="s">
        <v>144</v>
      </c>
      <c r="CH765">
        <v>4000000</v>
      </c>
      <c r="CI765">
        <v>15872.76</v>
      </c>
      <c r="CJ765">
        <v>0</v>
      </c>
      <c r="CK765" t="s">
        <v>112</v>
      </c>
      <c r="CL765" t="s">
        <v>112</v>
      </c>
      <c r="CM765">
        <v>41802.239999999998</v>
      </c>
      <c r="CN765">
        <v>3162561</v>
      </c>
      <c r="CO765">
        <v>0</v>
      </c>
      <c r="CP765">
        <v>1</v>
      </c>
      <c r="CQ765">
        <v>3415488.19</v>
      </c>
      <c r="CR765">
        <v>48558.57</v>
      </c>
      <c r="CS765" t="s">
        <v>145</v>
      </c>
      <c r="CT765">
        <v>48557.947392000002</v>
      </c>
      <c r="CU765">
        <v>3.0592000000000001</v>
      </c>
      <c r="CV765">
        <v>941</v>
      </c>
      <c r="CW765" t="s">
        <v>183</v>
      </c>
      <c r="CX765" t="s">
        <v>147</v>
      </c>
      <c r="CY765">
        <v>134</v>
      </c>
    </row>
    <row r="766" spans="1:103" x14ac:dyDescent="0.25">
      <c r="A766" t="s">
        <v>106</v>
      </c>
      <c r="B766" s="38">
        <v>44734</v>
      </c>
      <c r="C766" s="43">
        <f>IF(YEAR(Таблица1[[#This Row],[Дата]])=2023,MONTH(Таблица1[[#This Row],[Дата]]),0)</f>
        <v>0</v>
      </c>
      <c r="D766" t="s">
        <v>313</v>
      </c>
      <c r="E766" t="s">
        <v>108</v>
      </c>
      <c r="F766" t="s">
        <v>314</v>
      </c>
      <c r="G766" t="s">
        <v>110</v>
      </c>
      <c r="H766" t="s">
        <v>111</v>
      </c>
      <c r="I766" t="s">
        <v>112</v>
      </c>
      <c r="J766" t="s">
        <v>112</v>
      </c>
      <c r="K766" t="s">
        <v>112</v>
      </c>
      <c r="L766" t="s">
        <v>175</v>
      </c>
      <c r="M766" t="s">
        <v>176</v>
      </c>
      <c r="N766" t="s">
        <v>112</v>
      </c>
      <c r="O766" t="s">
        <v>112</v>
      </c>
      <c r="P766">
        <v>1</v>
      </c>
      <c r="Q766">
        <v>0</v>
      </c>
      <c r="R766">
        <v>1</v>
      </c>
      <c r="S766">
        <v>33</v>
      </c>
      <c r="T766" t="s">
        <v>166</v>
      </c>
      <c r="U766" t="s">
        <v>152</v>
      </c>
      <c r="V766" t="s">
        <v>153</v>
      </c>
      <c r="W766" t="s">
        <v>177</v>
      </c>
      <c r="X766" t="s">
        <v>119</v>
      </c>
      <c r="Y766" t="s">
        <v>112</v>
      </c>
      <c r="Z766" t="s">
        <v>166</v>
      </c>
      <c r="AA766" t="s">
        <v>152</v>
      </c>
      <c r="AB766" t="s">
        <v>153</v>
      </c>
      <c r="AC766" t="s">
        <v>177</v>
      </c>
      <c r="AD766" t="s">
        <v>119</v>
      </c>
      <c r="AE766" t="s">
        <v>112</v>
      </c>
      <c r="AF766" t="s">
        <v>121</v>
      </c>
      <c r="AG766" t="s">
        <v>122</v>
      </c>
      <c r="AH766">
        <v>3355861.22</v>
      </c>
      <c r="AI766" t="s">
        <v>166</v>
      </c>
      <c r="AJ766" t="s">
        <v>152</v>
      </c>
      <c r="AK766" t="s">
        <v>153</v>
      </c>
      <c r="AL766" t="s">
        <v>177</v>
      </c>
      <c r="AM766" t="s">
        <v>119</v>
      </c>
      <c r="AN766" t="s">
        <v>112</v>
      </c>
      <c r="AO766" t="s">
        <v>121</v>
      </c>
      <c r="AP766" t="s">
        <v>122</v>
      </c>
      <c r="AQ766" t="s">
        <v>122</v>
      </c>
      <c r="AR766" t="s">
        <v>124</v>
      </c>
      <c r="AS766" t="s">
        <v>125</v>
      </c>
      <c r="AT766">
        <v>2</v>
      </c>
      <c r="AU766" t="s">
        <v>106</v>
      </c>
      <c r="AV766" t="s">
        <v>155</v>
      </c>
      <c r="AW766" t="s">
        <v>156</v>
      </c>
      <c r="AX766">
        <v>1</v>
      </c>
      <c r="AY766" t="s">
        <v>129</v>
      </c>
      <c r="AZ766">
        <v>41014.1</v>
      </c>
      <c r="BA766">
        <v>3102934</v>
      </c>
      <c r="BB766">
        <v>47710.84</v>
      </c>
      <c r="BC766">
        <v>75.655299999999997</v>
      </c>
      <c r="BD766" t="s">
        <v>130</v>
      </c>
      <c r="BE766" t="s">
        <v>112</v>
      </c>
      <c r="BF766" t="s">
        <v>157</v>
      </c>
      <c r="BG766" t="s">
        <v>133</v>
      </c>
      <c r="BH766" t="s">
        <v>134</v>
      </c>
      <c r="BI766" t="s">
        <v>112</v>
      </c>
      <c r="BJ766" t="s">
        <v>178</v>
      </c>
      <c r="BK766" t="s">
        <v>112</v>
      </c>
      <c r="BL766" t="s">
        <v>125</v>
      </c>
      <c r="BM766" t="s">
        <v>179</v>
      </c>
      <c r="BN766" t="s">
        <v>180</v>
      </c>
      <c r="BO766" t="s">
        <v>181</v>
      </c>
      <c r="BP766">
        <v>1</v>
      </c>
      <c r="BQ766" t="s">
        <v>315</v>
      </c>
      <c r="BR766" s="45">
        <f>ISNUMBER(SEARCH($BR$1,Таблица1[[#This Row],[31_1 Описание и характеристика товара]]))*1</f>
        <v>1</v>
      </c>
      <c r="BT766" t="s">
        <v>150</v>
      </c>
      <c r="BU766">
        <v>33</v>
      </c>
      <c r="BV766">
        <v>1</v>
      </c>
      <c r="BW766">
        <v>0</v>
      </c>
      <c r="BY766">
        <v>0</v>
      </c>
      <c r="CA766" t="s">
        <v>106</v>
      </c>
      <c r="CB766" t="s">
        <v>142</v>
      </c>
      <c r="CC766" t="s">
        <v>112</v>
      </c>
      <c r="CD766" t="s">
        <v>112</v>
      </c>
      <c r="CE766" t="s">
        <v>121</v>
      </c>
      <c r="CF766">
        <v>17364.990000000002</v>
      </c>
      <c r="CG766" t="s">
        <v>144</v>
      </c>
      <c r="CH766">
        <v>4000000</v>
      </c>
      <c r="CI766">
        <v>17364.990000000002</v>
      </c>
      <c r="CJ766">
        <v>0</v>
      </c>
      <c r="CK766" t="s">
        <v>112</v>
      </c>
      <c r="CL766" t="s">
        <v>112</v>
      </c>
      <c r="CM766">
        <v>41014.1</v>
      </c>
      <c r="CN766">
        <v>3102934</v>
      </c>
      <c r="CO766">
        <v>0</v>
      </c>
      <c r="CP766">
        <v>1</v>
      </c>
      <c r="CQ766">
        <v>3355861.22</v>
      </c>
      <c r="CR766">
        <v>47710.84</v>
      </c>
      <c r="CS766" t="s">
        <v>145</v>
      </c>
      <c r="CT766">
        <v>47710.310025000006</v>
      </c>
      <c r="CU766">
        <v>2.7475000000000001</v>
      </c>
      <c r="CV766">
        <v>941</v>
      </c>
      <c r="CW766" t="s">
        <v>183</v>
      </c>
      <c r="CX766" t="s">
        <v>147</v>
      </c>
      <c r="CY766">
        <v>221</v>
      </c>
    </row>
    <row r="767" spans="1:103" x14ac:dyDescent="0.25">
      <c r="A767" t="s">
        <v>106</v>
      </c>
      <c r="B767" s="38">
        <v>45003</v>
      </c>
      <c r="C767" s="43">
        <f>IF(YEAR(Таблица1[[#This Row],[Дата]])=2023,MONTH(Таблица1[[#This Row],[Дата]]),0)</f>
        <v>3</v>
      </c>
      <c r="D767" t="s">
        <v>334</v>
      </c>
      <c r="E767" t="s">
        <v>108</v>
      </c>
      <c r="F767" t="s">
        <v>335</v>
      </c>
      <c r="G767" t="s">
        <v>110</v>
      </c>
      <c r="H767" t="s">
        <v>111</v>
      </c>
      <c r="I767" t="s">
        <v>112</v>
      </c>
      <c r="J767" t="s">
        <v>112</v>
      </c>
      <c r="K767" t="s">
        <v>112</v>
      </c>
      <c r="L767" t="s">
        <v>175</v>
      </c>
      <c r="M767" t="s">
        <v>176</v>
      </c>
      <c r="N767" t="s">
        <v>112</v>
      </c>
      <c r="O767" t="s">
        <v>112</v>
      </c>
      <c r="P767">
        <v>1</v>
      </c>
      <c r="Q767">
        <v>0</v>
      </c>
      <c r="R767">
        <v>1</v>
      </c>
      <c r="S767">
        <v>33</v>
      </c>
      <c r="T767" t="s">
        <v>166</v>
      </c>
      <c r="U767" t="s">
        <v>152</v>
      </c>
      <c r="V767" t="s">
        <v>153</v>
      </c>
      <c r="W767" t="s">
        <v>177</v>
      </c>
      <c r="X767" t="s">
        <v>119</v>
      </c>
      <c r="Y767" t="s">
        <v>112</v>
      </c>
      <c r="Z767" t="s">
        <v>166</v>
      </c>
      <c r="AA767" t="s">
        <v>152</v>
      </c>
      <c r="AB767" t="s">
        <v>153</v>
      </c>
      <c r="AC767" t="s">
        <v>177</v>
      </c>
      <c r="AD767" t="s">
        <v>119</v>
      </c>
      <c r="AE767" t="s">
        <v>112</v>
      </c>
      <c r="AF767" t="s">
        <v>121</v>
      </c>
      <c r="AG767" t="s">
        <v>122</v>
      </c>
      <c r="AH767">
        <v>3804928.38</v>
      </c>
      <c r="AI767" t="s">
        <v>166</v>
      </c>
      <c r="AJ767" t="s">
        <v>152</v>
      </c>
      <c r="AK767" t="s">
        <v>153</v>
      </c>
      <c r="AL767" t="s">
        <v>177</v>
      </c>
      <c r="AM767" t="s">
        <v>119</v>
      </c>
      <c r="AN767" t="s">
        <v>112</v>
      </c>
      <c r="AO767" t="s">
        <v>121</v>
      </c>
      <c r="AP767" t="s">
        <v>122</v>
      </c>
      <c r="AQ767" t="s">
        <v>122</v>
      </c>
      <c r="AR767" t="s">
        <v>124</v>
      </c>
      <c r="AS767" t="s">
        <v>125</v>
      </c>
      <c r="AT767">
        <v>2</v>
      </c>
      <c r="AU767" t="s">
        <v>106</v>
      </c>
      <c r="AV767" t="s">
        <v>155</v>
      </c>
      <c r="AW767" t="s">
        <v>156</v>
      </c>
      <c r="AX767">
        <v>1</v>
      </c>
      <c r="AY767" t="s">
        <v>129</v>
      </c>
      <c r="AZ767">
        <v>46949.8</v>
      </c>
      <c r="BA767">
        <v>3552001</v>
      </c>
      <c r="BB767">
        <v>54095.3</v>
      </c>
      <c r="BC767">
        <v>75.655299999999997</v>
      </c>
      <c r="BD767" t="s">
        <v>130</v>
      </c>
      <c r="BE767" t="s">
        <v>112</v>
      </c>
      <c r="BF767" t="s">
        <v>157</v>
      </c>
      <c r="BG767" t="s">
        <v>133</v>
      </c>
      <c r="BH767" t="s">
        <v>134</v>
      </c>
      <c r="BI767" t="s">
        <v>112</v>
      </c>
      <c r="BJ767" t="s">
        <v>178</v>
      </c>
      <c r="BK767" t="s">
        <v>112</v>
      </c>
      <c r="BL767" t="s">
        <v>125</v>
      </c>
      <c r="BM767" t="s">
        <v>179</v>
      </c>
      <c r="BN767" t="s">
        <v>180</v>
      </c>
      <c r="BO767" t="s">
        <v>181</v>
      </c>
      <c r="BP767">
        <v>1</v>
      </c>
      <c r="BQ767" t="s">
        <v>336</v>
      </c>
      <c r="BR767" s="45">
        <f>ISNUMBER(SEARCH($BR$1,Таблица1[[#This Row],[31_1 Описание и характеристика товара]]))*1</f>
        <v>1</v>
      </c>
      <c r="BT767" t="s">
        <v>150</v>
      </c>
      <c r="BU767">
        <v>33</v>
      </c>
      <c r="BV767">
        <v>1</v>
      </c>
      <c r="BW767">
        <v>0</v>
      </c>
      <c r="BY767">
        <v>0</v>
      </c>
      <c r="CA767" t="s">
        <v>106</v>
      </c>
      <c r="CB767" t="s">
        <v>142</v>
      </c>
      <c r="CC767" t="s">
        <v>112</v>
      </c>
      <c r="CD767" t="s">
        <v>112</v>
      </c>
      <c r="CE767" t="s">
        <v>121</v>
      </c>
      <c r="CF767">
        <v>16566.75</v>
      </c>
      <c r="CG767" t="s">
        <v>144</v>
      </c>
      <c r="CH767">
        <v>4000000</v>
      </c>
      <c r="CI767">
        <v>16515.75</v>
      </c>
      <c r="CJ767">
        <v>0</v>
      </c>
      <c r="CK767" t="s">
        <v>112</v>
      </c>
      <c r="CL767" t="s">
        <v>112</v>
      </c>
      <c r="CM767">
        <v>46949.8</v>
      </c>
      <c r="CN767">
        <v>3552001</v>
      </c>
      <c r="CO767">
        <v>0</v>
      </c>
      <c r="CP767">
        <v>1</v>
      </c>
      <c r="CQ767">
        <v>3804928.38</v>
      </c>
      <c r="CR767">
        <v>54095.3</v>
      </c>
      <c r="CS767" t="s">
        <v>145</v>
      </c>
      <c r="CT767">
        <v>54095.687549999995</v>
      </c>
      <c r="CU767">
        <v>3.2753999999999999</v>
      </c>
      <c r="CV767">
        <v>941</v>
      </c>
      <c r="CW767" t="s">
        <v>183</v>
      </c>
      <c r="CX767" t="s">
        <v>147</v>
      </c>
      <c r="CY767">
        <v>163</v>
      </c>
    </row>
    <row r="768" spans="1:103" x14ac:dyDescent="0.25">
      <c r="A768" t="s">
        <v>106</v>
      </c>
      <c r="B768" s="38">
        <v>44571</v>
      </c>
      <c r="C768" s="43">
        <f>IF(YEAR(Таблица1[[#This Row],[Дата]])=2023,MONTH(Таблица1[[#This Row],[Дата]]),0)</f>
        <v>0</v>
      </c>
      <c r="D768" t="s">
        <v>316</v>
      </c>
      <c r="E768" t="s">
        <v>108</v>
      </c>
      <c r="F768" t="s">
        <v>317</v>
      </c>
      <c r="G768" t="s">
        <v>110</v>
      </c>
      <c r="H768" t="s">
        <v>111</v>
      </c>
      <c r="I768" t="s">
        <v>112</v>
      </c>
      <c r="J768" t="s">
        <v>112</v>
      </c>
      <c r="K768" t="s">
        <v>112</v>
      </c>
      <c r="L768" t="s">
        <v>175</v>
      </c>
      <c r="M768" t="s">
        <v>176</v>
      </c>
      <c r="N768" t="s">
        <v>112</v>
      </c>
      <c r="O768" t="s">
        <v>112</v>
      </c>
      <c r="P768">
        <v>1</v>
      </c>
      <c r="Q768">
        <v>0</v>
      </c>
      <c r="R768">
        <v>1</v>
      </c>
      <c r="S768">
        <v>33</v>
      </c>
      <c r="T768" t="s">
        <v>166</v>
      </c>
      <c r="U768" t="s">
        <v>152</v>
      </c>
      <c r="V768" t="s">
        <v>153</v>
      </c>
      <c r="W768" t="s">
        <v>177</v>
      </c>
      <c r="X768" t="s">
        <v>119</v>
      </c>
      <c r="Y768" t="s">
        <v>112</v>
      </c>
      <c r="Z768" t="s">
        <v>166</v>
      </c>
      <c r="AA768" t="s">
        <v>152</v>
      </c>
      <c r="AB768" t="s">
        <v>153</v>
      </c>
      <c r="AC768" t="s">
        <v>177</v>
      </c>
      <c r="AD768" t="s">
        <v>119</v>
      </c>
      <c r="AE768" t="s">
        <v>112</v>
      </c>
      <c r="AF768" t="s">
        <v>121</v>
      </c>
      <c r="AG768" t="s">
        <v>122</v>
      </c>
      <c r="AH768">
        <v>3240443.01</v>
      </c>
      <c r="AI768" t="s">
        <v>166</v>
      </c>
      <c r="AJ768" t="s">
        <v>152</v>
      </c>
      <c r="AK768" t="s">
        <v>153</v>
      </c>
      <c r="AL768" t="s">
        <v>177</v>
      </c>
      <c r="AM768" t="s">
        <v>119</v>
      </c>
      <c r="AN768" t="s">
        <v>112</v>
      </c>
      <c r="AO768" t="s">
        <v>121</v>
      </c>
      <c r="AP768" t="s">
        <v>122</v>
      </c>
      <c r="AQ768" t="s">
        <v>122</v>
      </c>
      <c r="AR768" t="s">
        <v>124</v>
      </c>
      <c r="AS768" t="s">
        <v>125</v>
      </c>
      <c r="AT768">
        <v>2</v>
      </c>
      <c r="AU768" t="s">
        <v>106</v>
      </c>
      <c r="AV768" t="s">
        <v>155</v>
      </c>
      <c r="AW768" t="s">
        <v>156</v>
      </c>
      <c r="AX768">
        <v>1</v>
      </c>
      <c r="AY768" t="s">
        <v>129</v>
      </c>
      <c r="AZ768">
        <v>39488.519999999997</v>
      </c>
      <c r="BA768">
        <v>2987516</v>
      </c>
      <c r="BB768">
        <v>46069.919999999998</v>
      </c>
      <c r="BC768">
        <v>75.655299999999997</v>
      </c>
      <c r="BD768" t="s">
        <v>130</v>
      </c>
      <c r="BE768" t="s">
        <v>112</v>
      </c>
      <c r="BF768" t="s">
        <v>157</v>
      </c>
      <c r="BG768" t="s">
        <v>133</v>
      </c>
      <c r="BH768" t="s">
        <v>134</v>
      </c>
      <c r="BI768" t="s">
        <v>112</v>
      </c>
      <c r="BJ768" t="s">
        <v>178</v>
      </c>
      <c r="BK768" t="s">
        <v>112</v>
      </c>
      <c r="BL768" t="s">
        <v>125</v>
      </c>
      <c r="BM768" t="s">
        <v>179</v>
      </c>
      <c r="BN768" t="s">
        <v>180</v>
      </c>
      <c r="BO768" t="s">
        <v>181</v>
      </c>
      <c r="BP768">
        <v>1</v>
      </c>
      <c r="BQ768" t="s">
        <v>318</v>
      </c>
      <c r="BR768" s="45">
        <f>ISNUMBER(SEARCH($BR$1,Таблица1[[#This Row],[31_1 Описание и характеристика товара]]))*1</f>
        <v>1</v>
      </c>
      <c r="BT768" t="s">
        <v>150</v>
      </c>
      <c r="BU768">
        <v>33</v>
      </c>
      <c r="BV768">
        <v>1</v>
      </c>
      <c r="BW768">
        <v>0</v>
      </c>
      <c r="BY768">
        <v>0</v>
      </c>
      <c r="CA768" t="s">
        <v>106</v>
      </c>
      <c r="CB768" t="s">
        <v>142</v>
      </c>
      <c r="CC768" t="s">
        <v>112</v>
      </c>
      <c r="CD768" t="s">
        <v>112</v>
      </c>
      <c r="CE768" t="s">
        <v>121</v>
      </c>
      <c r="CF768">
        <v>16612</v>
      </c>
      <c r="CG768" t="s">
        <v>144</v>
      </c>
      <c r="CH768">
        <v>4000000</v>
      </c>
      <c r="CI768">
        <v>16558</v>
      </c>
      <c r="CJ768">
        <v>0</v>
      </c>
      <c r="CK768" t="s">
        <v>112</v>
      </c>
      <c r="CL768" t="s">
        <v>112</v>
      </c>
      <c r="CM768">
        <v>39488.519999999997</v>
      </c>
      <c r="CN768">
        <v>2987516</v>
      </c>
      <c r="CO768">
        <v>0</v>
      </c>
      <c r="CP768">
        <v>1</v>
      </c>
      <c r="CQ768">
        <v>3240443.01</v>
      </c>
      <c r="CR768">
        <v>46069.919999999998</v>
      </c>
      <c r="CS768" t="s">
        <v>145</v>
      </c>
      <c r="CT768">
        <v>46069.323400000001</v>
      </c>
      <c r="CU768">
        <v>2.7823000000000002</v>
      </c>
      <c r="CV768">
        <v>941</v>
      </c>
      <c r="CW768" t="s">
        <v>183</v>
      </c>
      <c r="CX768" t="s">
        <v>147</v>
      </c>
      <c r="CY768">
        <v>349</v>
      </c>
    </row>
    <row r="769" spans="1:103" x14ac:dyDescent="0.25">
      <c r="A769" t="s">
        <v>106</v>
      </c>
      <c r="B769" s="38">
        <v>44585</v>
      </c>
      <c r="C769" s="43">
        <f>IF(YEAR(Таблица1[[#This Row],[Дата]])=2023,MONTH(Таблица1[[#This Row],[Дата]]),0)</f>
        <v>0</v>
      </c>
      <c r="D769" t="s">
        <v>316</v>
      </c>
      <c r="E769" t="s">
        <v>108</v>
      </c>
      <c r="F769" t="s">
        <v>317</v>
      </c>
      <c r="G769" t="s">
        <v>3244</v>
      </c>
      <c r="H769" t="s">
        <v>111</v>
      </c>
      <c r="I769" t="s">
        <v>112</v>
      </c>
      <c r="J769" t="s">
        <v>112</v>
      </c>
      <c r="K769" t="s">
        <v>112</v>
      </c>
      <c r="N769" t="s">
        <v>112</v>
      </c>
      <c r="O769" t="s">
        <v>112</v>
      </c>
      <c r="P769">
        <v>1</v>
      </c>
      <c r="Q769">
        <v>0</v>
      </c>
      <c r="R769">
        <v>1</v>
      </c>
      <c r="S769">
        <v>33</v>
      </c>
      <c r="V769" t="s">
        <v>153</v>
      </c>
      <c r="X769" t="s">
        <v>119</v>
      </c>
      <c r="Y769" t="s">
        <v>112</v>
      </c>
      <c r="Z769" t="s">
        <v>166</v>
      </c>
      <c r="AA769" t="s">
        <v>152</v>
      </c>
      <c r="AB769" t="s">
        <v>153</v>
      </c>
      <c r="AC769" t="s">
        <v>177</v>
      </c>
      <c r="AD769" t="s">
        <v>119</v>
      </c>
      <c r="AE769" t="s">
        <v>112</v>
      </c>
      <c r="AF769" t="s">
        <v>121</v>
      </c>
      <c r="AG769" t="s">
        <v>125</v>
      </c>
      <c r="AH769">
        <v>3240443.01</v>
      </c>
      <c r="AI769" t="s">
        <v>166</v>
      </c>
      <c r="AJ769" t="s">
        <v>152</v>
      </c>
      <c r="AK769" t="s">
        <v>153</v>
      </c>
      <c r="AL769" t="s">
        <v>177</v>
      </c>
      <c r="AM769" t="s">
        <v>119</v>
      </c>
      <c r="AN769" t="s">
        <v>112</v>
      </c>
      <c r="AO769" t="s">
        <v>121</v>
      </c>
      <c r="AP769" t="s">
        <v>125</v>
      </c>
      <c r="AQ769" t="s">
        <v>125</v>
      </c>
      <c r="AR769" t="s">
        <v>124</v>
      </c>
      <c r="AS769" t="s">
        <v>3245</v>
      </c>
      <c r="AT769">
        <v>2</v>
      </c>
      <c r="AU769" t="s">
        <v>106</v>
      </c>
      <c r="AV769" t="s">
        <v>155</v>
      </c>
      <c r="AW769" t="s">
        <v>156</v>
      </c>
      <c r="AX769">
        <v>1</v>
      </c>
      <c r="AY769" t="s">
        <v>129</v>
      </c>
      <c r="AZ769">
        <v>39488.519999999997</v>
      </c>
      <c r="BA769">
        <v>2987516</v>
      </c>
      <c r="BB769">
        <v>460690.92</v>
      </c>
      <c r="BC769">
        <v>75.655299999999997</v>
      </c>
      <c r="BD769" t="s">
        <v>130</v>
      </c>
      <c r="BE769" t="s">
        <v>112</v>
      </c>
      <c r="BF769" t="s">
        <v>157</v>
      </c>
      <c r="BG769" t="s">
        <v>133</v>
      </c>
      <c r="BH769" t="s">
        <v>134</v>
      </c>
      <c r="BI769" t="s">
        <v>112</v>
      </c>
      <c r="BJ769" t="s">
        <v>178</v>
      </c>
      <c r="BK769" t="s">
        <v>112</v>
      </c>
      <c r="BL769" t="s">
        <v>125</v>
      </c>
      <c r="BM769" t="s">
        <v>179</v>
      </c>
      <c r="BN769" t="s">
        <v>180</v>
      </c>
      <c r="BO769" t="s">
        <v>181</v>
      </c>
      <c r="BP769">
        <v>1</v>
      </c>
      <c r="BQ769" t="s">
        <v>318</v>
      </c>
      <c r="BR769" s="45">
        <f>ISNUMBER(SEARCH($BR$1,Таблица1[[#This Row],[31_1 Описание и характеристика товара]]))*1</f>
        <v>1</v>
      </c>
      <c r="BT769" t="s">
        <v>150</v>
      </c>
      <c r="BU769">
        <v>33</v>
      </c>
      <c r="BV769">
        <v>1</v>
      </c>
      <c r="BW769">
        <v>0</v>
      </c>
      <c r="BY769">
        <v>0</v>
      </c>
      <c r="CA769" t="s">
        <v>106</v>
      </c>
      <c r="CB769" t="s">
        <v>142</v>
      </c>
      <c r="CC769" t="s">
        <v>112</v>
      </c>
      <c r="CD769" t="s">
        <v>112</v>
      </c>
      <c r="CE769" t="s">
        <v>121</v>
      </c>
      <c r="CF769">
        <v>16612</v>
      </c>
      <c r="CG769" t="s">
        <v>144</v>
      </c>
      <c r="CH769">
        <v>4000000</v>
      </c>
      <c r="CI769">
        <v>165580</v>
      </c>
      <c r="CJ769">
        <v>0</v>
      </c>
      <c r="CK769" t="s">
        <v>112</v>
      </c>
      <c r="CL769" t="s">
        <v>112</v>
      </c>
      <c r="CM769">
        <v>39488.519999999997</v>
      </c>
      <c r="CN769">
        <v>2987516</v>
      </c>
      <c r="CO769">
        <v>0</v>
      </c>
      <c r="CP769">
        <v>1</v>
      </c>
      <c r="CQ769">
        <v>3240443.01</v>
      </c>
      <c r="CR769">
        <v>460690.92</v>
      </c>
      <c r="CS769" t="s">
        <v>145</v>
      </c>
      <c r="CT769">
        <v>46069.323400000001</v>
      </c>
      <c r="CU769">
        <v>2.7823000000000002</v>
      </c>
      <c r="CV769">
        <v>941</v>
      </c>
      <c r="CW769" t="s">
        <v>183</v>
      </c>
      <c r="CX769" t="s">
        <v>147</v>
      </c>
      <c r="CY769">
        <v>349</v>
      </c>
    </row>
    <row r="770" spans="1:103" x14ac:dyDescent="0.25">
      <c r="A770" t="s">
        <v>106</v>
      </c>
      <c r="B770" s="38">
        <v>44579</v>
      </c>
      <c r="C770" s="43">
        <f>IF(YEAR(Таблица1[[#This Row],[Дата]])=2023,MONTH(Таблица1[[#This Row],[Дата]]),0)</f>
        <v>0</v>
      </c>
      <c r="D770" t="s">
        <v>316</v>
      </c>
      <c r="E770" t="s">
        <v>108</v>
      </c>
      <c r="F770" t="s">
        <v>317</v>
      </c>
      <c r="G770" t="s">
        <v>3244</v>
      </c>
      <c r="H770" t="s">
        <v>111</v>
      </c>
      <c r="I770" t="s">
        <v>112</v>
      </c>
      <c r="J770" t="s">
        <v>112</v>
      </c>
      <c r="K770" t="s">
        <v>112</v>
      </c>
      <c r="N770" t="s">
        <v>112</v>
      </c>
      <c r="O770" t="s">
        <v>112</v>
      </c>
      <c r="P770">
        <v>1</v>
      </c>
      <c r="Q770">
        <v>0</v>
      </c>
      <c r="R770">
        <v>1</v>
      </c>
      <c r="S770">
        <v>33</v>
      </c>
      <c r="V770" t="s">
        <v>153</v>
      </c>
      <c r="X770" t="s">
        <v>119</v>
      </c>
      <c r="Y770" t="s">
        <v>112</v>
      </c>
      <c r="Z770" t="s">
        <v>166</v>
      </c>
      <c r="AA770" t="s">
        <v>152</v>
      </c>
      <c r="AB770" t="s">
        <v>153</v>
      </c>
      <c r="AC770" t="s">
        <v>177</v>
      </c>
      <c r="AD770" t="s">
        <v>119</v>
      </c>
      <c r="AE770" t="s">
        <v>112</v>
      </c>
      <c r="AF770" t="s">
        <v>121</v>
      </c>
      <c r="AG770" t="s">
        <v>125</v>
      </c>
      <c r="AH770">
        <v>3240443.01</v>
      </c>
      <c r="AI770" t="s">
        <v>166</v>
      </c>
      <c r="AJ770" t="s">
        <v>152</v>
      </c>
      <c r="AK770" t="s">
        <v>153</v>
      </c>
      <c r="AL770" t="s">
        <v>177</v>
      </c>
      <c r="AM770" t="s">
        <v>119</v>
      </c>
      <c r="AN770" t="s">
        <v>112</v>
      </c>
      <c r="AO770" t="s">
        <v>121</v>
      </c>
      <c r="AP770" t="s">
        <v>125</v>
      </c>
      <c r="AQ770" t="s">
        <v>125</v>
      </c>
      <c r="AR770" t="s">
        <v>124</v>
      </c>
      <c r="AS770" t="s">
        <v>3245</v>
      </c>
      <c r="AT770">
        <v>2</v>
      </c>
      <c r="AU770" t="s">
        <v>106</v>
      </c>
      <c r="AV770" t="s">
        <v>155</v>
      </c>
      <c r="AW770" t="s">
        <v>156</v>
      </c>
      <c r="AX770">
        <v>1</v>
      </c>
      <c r="AY770" t="s">
        <v>129</v>
      </c>
      <c r="AZ770">
        <v>39488.519999999997</v>
      </c>
      <c r="BA770">
        <v>2987516</v>
      </c>
      <c r="BB770">
        <v>460690.92</v>
      </c>
      <c r="BC770">
        <v>75.655299999999997</v>
      </c>
      <c r="BD770" t="s">
        <v>130</v>
      </c>
      <c r="BE770" t="s">
        <v>112</v>
      </c>
      <c r="BF770" t="s">
        <v>157</v>
      </c>
      <c r="BG770" t="s">
        <v>133</v>
      </c>
      <c r="BH770" t="s">
        <v>134</v>
      </c>
      <c r="BI770" t="s">
        <v>112</v>
      </c>
      <c r="BJ770" t="s">
        <v>178</v>
      </c>
      <c r="BK770" t="s">
        <v>112</v>
      </c>
      <c r="BL770" t="s">
        <v>125</v>
      </c>
      <c r="BM770" t="s">
        <v>179</v>
      </c>
      <c r="BN770" t="s">
        <v>180</v>
      </c>
      <c r="BO770" t="s">
        <v>181</v>
      </c>
      <c r="BP770">
        <v>1</v>
      </c>
      <c r="BQ770" t="s">
        <v>318</v>
      </c>
      <c r="BR770" s="45">
        <f>ISNUMBER(SEARCH($BR$1,Таблица1[[#This Row],[31_1 Описание и характеристика товара]]))*1</f>
        <v>1</v>
      </c>
      <c r="BT770" t="s">
        <v>150</v>
      </c>
      <c r="BU770">
        <v>33</v>
      </c>
      <c r="BV770">
        <v>1</v>
      </c>
      <c r="BW770">
        <v>0</v>
      </c>
      <c r="BY770">
        <v>0</v>
      </c>
      <c r="CA770" t="s">
        <v>106</v>
      </c>
      <c r="CB770" t="s">
        <v>142</v>
      </c>
      <c r="CC770" t="s">
        <v>112</v>
      </c>
      <c r="CD770" t="s">
        <v>112</v>
      </c>
      <c r="CE770" t="s">
        <v>121</v>
      </c>
      <c r="CF770">
        <v>16612</v>
      </c>
      <c r="CG770" t="s">
        <v>144</v>
      </c>
      <c r="CH770">
        <v>4000000</v>
      </c>
      <c r="CI770">
        <v>165580</v>
      </c>
      <c r="CJ770">
        <v>0</v>
      </c>
      <c r="CK770" t="s">
        <v>112</v>
      </c>
      <c r="CL770" t="s">
        <v>112</v>
      </c>
      <c r="CM770">
        <v>39488.519999999997</v>
      </c>
      <c r="CN770">
        <v>2987516</v>
      </c>
      <c r="CO770">
        <v>0</v>
      </c>
      <c r="CP770">
        <v>1</v>
      </c>
      <c r="CQ770">
        <v>3240443.01</v>
      </c>
      <c r="CR770">
        <v>460690.92</v>
      </c>
      <c r="CS770" t="s">
        <v>145</v>
      </c>
      <c r="CT770">
        <v>46069.323400000001</v>
      </c>
      <c r="CU770">
        <v>2.7823000000000002</v>
      </c>
      <c r="CV770">
        <v>941</v>
      </c>
      <c r="CW770" t="s">
        <v>183</v>
      </c>
      <c r="CX770" t="s">
        <v>147</v>
      </c>
      <c r="CY770">
        <v>349</v>
      </c>
    </row>
    <row r="771" spans="1:103" x14ac:dyDescent="0.25">
      <c r="A771" t="s">
        <v>106</v>
      </c>
      <c r="B771" s="38">
        <v>44914</v>
      </c>
      <c r="C771" s="43">
        <f>IF(YEAR(Таблица1[[#This Row],[Дата]])=2023,MONTH(Таблица1[[#This Row],[Дата]]),0)</f>
        <v>0</v>
      </c>
      <c r="D771" t="s">
        <v>316</v>
      </c>
      <c r="E771" t="s">
        <v>108</v>
      </c>
      <c r="F771" t="s">
        <v>317</v>
      </c>
      <c r="G771" t="s">
        <v>3244</v>
      </c>
      <c r="H771" t="s">
        <v>111</v>
      </c>
      <c r="I771" t="s">
        <v>112</v>
      </c>
      <c r="J771" t="s">
        <v>112</v>
      </c>
      <c r="K771" t="s">
        <v>112</v>
      </c>
      <c r="N771" t="s">
        <v>112</v>
      </c>
      <c r="O771" t="s">
        <v>112</v>
      </c>
      <c r="P771">
        <v>1</v>
      </c>
      <c r="Q771">
        <v>0</v>
      </c>
      <c r="R771">
        <v>1</v>
      </c>
      <c r="S771">
        <v>33</v>
      </c>
      <c r="V771" t="s">
        <v>153</v>
      </c>
      <c r="X771" t="s">
        <v>119</v>
      </c>
      <c r="Y771" t="s">
        <v>112</v>
      </c>
      <c r="Z771" t="s">
        <v>166</v>
      </c>
      <c r="AA771" t="s">
        <v>152</v>
      </c>
      <c r="AB771" t="s">
        <v>153</v>
      </c>
      <c r="AC771" t="s">
        <v>177</v>
      </c>
      <c r="AD771" t="s">
        <v>119</v>
      </c>
      <c r="AE771" t="s">
        <v>112</v>
      </c>
      <c r="AF771" t="s">
        <v>121</v>
      </c>
      <c r="AG771" t="s">
        <v>125</v>
      </c>
      <c r="AH771">
        <v>3240443.01</v>
      </c>
      <c r="AI771" t="s">
        <v>166</v>
      </c>
      <c r="AJ771" t="s">
        <v>152</v>
      </c>
      <c r="AK771" t="s">
        <v>153</v>
      </c>
      <c r="AL771" t="s">
        <v>177</v>
      </c>
      <c r="AM771" t="s">
        <v>119</v>
      </c>
      <c r="AN771" t="s">
        <v>112</v>
      </c>
      <c r="AO771" t="s">
        <v>121</v>
      </c>
      <c r="AP771" t="s">
        <v>125</v>
      </c>
      <c r="AQ771" t="s">
        <v>125</v>
      </c>
      <c r="AR771" t="s">
        <v>124</v>
      </c>
      <c r="AS771" t="s">
        <v>3245</v>
      </c>
      <c r="AT771">
        <v>2</v>
      </c>
      <c r="AU771" t="s">
        <v>106</v>
      </c>
      <c r="AV771" t="s">
        <v>155</v>
      </c>
      <c r="AW771" t="s">
        <v>156</v>
      </c>
      <c r="AX771">
        <v>1</v>
      </c>
      <c r="AY771" t="s">
        <v>129</v>
      </c>
      <c r="AZ771">
        <v>39488.519999999997</v>
      </c>
      <c r="BA771">
        <v>2987516</v>
      </c>
      <c r="BB771">
        <v>460690.92</v>
      </c>
      <c r="BC771">
        <v>75.655299999999997</v>
      </c>
      <c r="BD771" t="s">
        <v>130</v>
      </c>
      <c r="BE771" t="s">
        <v>112</v>
      </c>
      <c r="BF771" t="s">
        <v>157</v>
      </c>
      <c r="BG771" t="s">
        <v>133</v>
      </c>
      <c r="BH771" t="s">
        <v>134</v>
      </c>
      <c r="BI771" t="s">
        <v>112</v>
      </c>
      <c r="BJ771" t="s">
        <v>178</v>
      </c>
      <c r="BK771" t="s">
        <v>112</v>
      </c>
      <c r="BL771" t="s">
        <v>125</v>
      </c>
      <c r="BM771" t="s">
        <v>179</v>
      </c>
      <c r="BN771" t="s">
        <v>180</v>
      </c>
      <c r="BO771" t="s">
        <v>181</v>
      </c>
      <c r="BP771">
        <v>1</v>
      </c>
      <c r="BQ771" t="s">
        <v>318</v>
      </c>
      <c r="BR771" s="45">
        <f>ISNUMBER(SEARCH($BR$1,Таблица1[[#This Row],[31_1 Описание и характеристика товара]]))*1</f>
        <v>1</v>
      </c>
      <c r="BT771" t="s">
        <v>150</v>
      </c>
      <c r="BU771">
        <v>33</v>
      </c>
      <c r="BV771">
        <v>1</v>
      </c>
      <c r="BW771">
        <v>0</v>
      </c>
      <c r="BY771">
        <v>0</v>
      </c>
      <c r="CA771" t="s">
        <v>106</v>
      </c>
      <c r="CB771" t="s">
        <v>142</v>
      </c>
      <c r="CC771" t="s">
        <v>112</v>
      </c>
      <c r="CD771" t="s">
        <v>112</v>
      </c>
      <c r="CE771" t="s">
        <v>121</v>
      </c>
      <c r="CF771">
        <v>16612</v>
      </c>
      <c r="CG771" t="s">
        <v>144</v>
      </c>
      <c r="CH771">
        <v>4000000</v>
      </c>
      <c r="CI771">
        <v>165580</v>
      </c>
      <c r="CJ771">
        <v>0</v>
      </c>
      <c r="CK771" t="s">
        <v>112</v>
      </c>
      <c r="CL771" t="s">
        <v>112</v>
      </c>
      <c r="CM771">
        <v>39488.519999999997</v>
      </c>
      <c r="CN771">
        <v>2987516</v>
      </c>
      <c r="CO771">
        <v>0</v>
      </c>
      <c r="CP771">
        <v>1</v>
      </c>
      <c r="CQ771">
        <v>3240443.01</v>
      </c>
      <c r="CR771">
        <v>460690.92</v>
      </c>
      <c r="CS771" t="s">
        <v>145</v>
      </c>
      <c r="CT771">
        <v>46069.323400000001</v>
      </c>
      <c r="CU771">
        <v>2.7823000000000002</v>
      </c>
      <c r="CV771">
        <v>941</v>
      </c>
      <c r="CW771" t="s">
        <v>183</v>
      </c>
      <c r="CX771" t="s">
        <v>147</v>
      </c>
      <c r="CY771">
        <v>349</v>
      </c>
    </row>
    <row r="772" spans="1:103" x14ac:dyDescent="0.25">
      <c r="A772" t="s">
        <v>106</v>
      </c>
      <c r="B772" s="38">
        <v>44583</v>
      </c>
      <c r="C772" s="43">
        <f>IF(YEAR(Таблица1[[#This Row],[Дата]])=2023,MONTH(Таблица1[[#This Row],[Дата]]),0)</f>
        <v>0</v>
      </c>
      <c r="D772" t="s">
        <v>316</v>
      </c>
      <c r="E772" t="s">
        <v>108</v>
      </c>
      <c r="F772" t="s">
        <v>317</v>
      </c>
      <c r="G772" t="s">
        <v>3244</v>
      </c>
      <c r="H772" t="s">
        <v>111</v>
      </c>
      <c r="I772" t="s">
        <v>112</v>
      </c>
      <c r="J772" t="s">
        <v>112</v>
      </c>
      <c r="K772" t="s">
        <v>112</v>
      </c>
      <c r="N772" t="s">
        <v>112</v>
      </c>
      <c r="O772" t="s">
        <v>112</v>
      </c>
      <c r="P772">
        <v>1</v>
      </c>
      <c r="Q772">
        <v>0</v>
      </c>
      <c r="R772">
        <v>1</v>
      </c>
      <c r="S772">
        <v>33</v>
      </c>
      <c r="V772" t="s">
        <v>153</v>
      </c>
      <c r="X772" t="s">
        <v>119</v>
      </c>
      <c r="Y772" t="s">
        <v>112</v>
      </c>
      <c r="Z772" t="s">
        <v>166</v>
      </c>
      <c r="AA772" t="s">
        <v>152</v>
      </c>
      <c r="AB772" t="s">
        <v>153</v>
      </c>
      <c r="AC772" t="s">
        <v>177</v>
      </c>
      <c r="AD772" t="s">
        <v>119</v>
      </c>
      <c r="AE772" t="s">
        <v>112</v>
      </c>
      <c r="AF772" t="s">
        <v>121</v>
      </c>
      <c r="AG772" t="s">
        <v>125</v>
      </c>
      <c r="AH772">
        <v>3240443.01</v>
      </c>
      <c r="AI772" t="s">
        <v>166</v>
      </c>
      <c r="AJ772" t="s">
        <v>152</v>
      </c>
      <c r="AK772" t="s">
        <v>153</v>
      </c>
      <c r="AL772" t="s">
        <v>177</v>
      </c>
      <c r="AM772" t="s">
        <v>119</v>
      </c>
      <c r="AN772" t="s">
        <v>112</v>
      </c>
      <c r="AO772" t="s">
        <v>121</v>
      </c>
      <c r="AP772" t="s">
        <v>125</v>
      </c>
      <c r="AQ772" t="s">
        <v>125</v>
      </c>
      <c r="AR772" t="s">
        <v>124</v>
      </c>
      <c r="AS772" t="s">
        <v>3245</v>
      </c>
      <c r="AT772">
        <v>2</v>
      </c>
      <c r="AU772" t="s">
        <v>106</v>
      </c>
      <c r="AV772" t="s">
        <v>155</v>
      </c>
      <c r="AW772" t="s">
        <v>156</v>
      </c>
      <c r="AX772">
        <v>1</v>
      </c>
      <c r="AY772" t="s">
        <v>129</v>
      </c>
      <c r="AZ772">
        <v>39488.519999999997</v>
      </c>
      <c r="BA772">
        <v>2987516</v>
      </c>
      <c r="BB772">
        <v>460690.92</v>
      </c>
      <c r="BC772">
        <v>75.655299999999997</v>
      </c>
      <c r="BD772" t="s">
        <v>130</v>
      </c>
      <c r="BE772" t="s">
        <v>112</v>
      </c>
      <c r="BF772" t="s">
        <v>157</v>
      </c>
      <c r="BG772" t="s">
        <v>133</v>
      </c>
      <c r="BH772" t="s">
        <v>134</v>
      </c>
      <c r="BI772" t="s">
        <v>112</v>
      </c>
      <c r="BJ772" t="s">
        <v>178</v>
      </c>
      <c r="BK772" t="s">
        <v>112</v>
      </c>
      <c r="BL772" t="s">
        <v>125</v>
      </c>
      <c r="BM772" t="s">
        <v>179</v>
      </c>
      <c r="BN772" t="s">
        <v>180</v>
      </c>
      <c r="BO772" t="s">
        <v>181</v>
      </c>
      <c r="BP772">
        <v>1</v>
      </c>
      <c r="BQ772" t="s">
        <v>318</v>
      </c>
      <c r="BR772" s="45">
        <f>ISNUMBER(SEARCH($BR$1,Таблица1[[#This Row],[31_1 Описание и характеристика товара]]))*1</f>
        <v>1</v>
      </c>
      <c r="BT772" t="s">
        <v>150</v>
      </c>
      <c r="BU772">
        <v>33</v>
      </c>
      <c r="BV772">
        <v>1</v>
      </c>
      <c r="BW772">
        <v>0</v>
      </c>
      <c r="BY772">
        <v>0</v>
      </c>
      <c r="CA772" t="s">
        <v>106</v>
      </c>
      <c r="CB772" t="s">
        <v>142</v>
      </c>
      <c r="CC772" t="s">
        <v>112</v>
      </c>
      <c r="CD772" t="s">
        <v>112</v>
      </c>
      <c r="CE772" t="s">
        <v>121</v>
      </c>
      <c r="CF772">
        <v>16612</v>
      </c>
      <c r="CG772" t="s">
        <v>144</v>
      </c>
      <c r="CH772">
        <v>4000000</v>
      </c>
      <c r="CI772">
        <v>165580</v>
      </c>
      <c r="CJ772">
        <v>0</v>
      </c>
      <c r="CK772" t="s">
        <v>112</v>
      </c>
      <c r="CL772" t="s">
        <v>112</v>
      </c>
      <c r="CM772">
        <v>39488.519999999997</v>
      </c>
      <c r="CN772">
        <v>2987516</v>
      </c>
      <c r="CO772">
        <v>0</v>
      </c>
      <c r="CP772">
        <v>1</v>
      </c>
      <c r="CQ772">
        <v>3240443.01</v>
      </c>
      <c r="CR772">
        <v>460690.92</v>
      </c>
      <c r="CS772" t="s">
        <v>145</v>
      </c>
      <c r="CT772">
        <v>46069.323400000001</v>
      </c>
      <c r="CU772">
        <v>2.7823000000000002</v>
      </c>
      <c r="CV772">
        <v>941</v>
      </c>
      <c r="CW772" t="s">
        <v>183</v>
      </c>
      <c r="CX772" t="s">
        <v>147</v>
      </c>
      <c r="CY772">
        <v>349</v>
      </c>
    </row>
    <row r="773" spans="1:103" x14ac:dyDescent="0.25">
      <c r="A773" t="s">
        <v>106</v>
      </c>
      <c r="B773" s="38">
        <v>44838</v>
      </c>
      <c r="C773" s="43">
        <f>IF(YEAR(Таблица1[[#This Row],[Дата]])=2023,MONTH(Таблица1[[#This Row],[Дата]]),0)</f>
        <v>0</v>
      </c>
      <c r="D773" t="s">
        <v>316</v>
      </c>
      <c r="E773" t="s">
        <v>108</v>
      </c>
      <c r="F773" t="s">
        <v>317</v>
      </c>
      <c r="G773" t="s">
        <v>3244</v>
      </c>
      <c r="H773" t="s">
        <v>111</v>
      </c>
      <c r="I773" t="s">
        <v>112</v>
      </c>
      <c r="J773" t="s">
        <v>112</v>
      </c>
      <c r="K773" t="s">
        <v>112</v>
      </c>
      <c r="N773" t="s">
        <v>112</v>
      </c>
      <c r="O773" t="s">
        <v>112</v>
      </c>
      <c r="P773">
        <v>1</v>
      </c>
      <c r="Q773">
        <v>0</v>
      </c>
      <c r="R773">
        <v>1</v>
      </c>
      <c r="S773">
        <v>33</v>
      </c>
      <c r="V773" t="s">
        <v>153</v>
      </c>
      <c r="X773" t="s">
        <v>119</v>
      </c>
      <c r="Y773" t="s">
        <v>112</v>
      </c>
      <c r="Z773" t="s">
        <v>166</v>
      </c>
      <c r="AA773" t="s">
        <v>152</v>
      </c>
      <c r="AB773" t="s">
        <v>153</v>
      </c>
      <c r="AC773" t="s">
        <v>177</v>
      </c>
      <c r="AD773" t="s">
        <v>119</v>
      </c>
      <c r="AE773" t="s">
        <v>112</v>
      </c>
      <c r="AF773" t="s">
        <v>121</v>
      </c>
      <c r="AG773" t="s">
        <v>125</v>
      </c>
      <c r="AH773">
        <v>3240443.01</v>
      </c>
      <c r="AI773" t="s">
        <v>166</v>
      </c>
      <c r="AJ773" t="s">
        <v>152</v>
      </c>
      <c r="AK773" t="s">
        <v>153</v>
      </c>
      <c r="AL773" t="s">
        <v>177</v>
      </c>
      <c r="AM773" t="s">
        <v>119</v>
      </c>
      <c r="AN773" t="s">
        <v>112</v>
      </c>
      <c r="AO773" t="s">
        <v>121</v>
      </c>
      <c r="AP773" t="s">
        <v>125</v>
      </c>
      <c r="AQ773" t="s">
        <v>125</v>
      </c>
      <c r="AR773" t="s">
        <v>124</v>
      </c>
      <c r="AS773" t="s">
        <v>3245</v>
      </c>
      <c r="AT773">
        <v>2</v>
      </c>
      <c r="AU773" t="s">
        <v>106</v>
      </c>
      <c r="AV773" t="s">
        <v>155</v>
      </c>
      <c r="AW773" t="s">
        <v>156</v>
      </c>
      <c r="AX773">
        <v>1</v>
      </c>
      <c r="AY773" t="s">
        <v>129</v>
      </c>
      <c r="AZ773">
        <v>39488.519999999997</v>
      </c>
      <c r="BA773">
        <v>2987516</v>
      </c>
      <c r="BB773">
        <v>460690.92</v>
      </c>
      <c r="BC773">
        <v>75.655299999999997</v>
      </c>
      <c r="BD773" t="s">
        <v>130</v>
      </c>
      <c r="BE773" t="s">
        <v>112</v>
      </c>
      <c r="BF773" t="s">
        <v>157</v>
      </c>
      <c r="BG773" t="s">
        <v>133</v>
      </c>
      <c r="BH773" t="s">
        <v>134</v>
      </c>
      <c r="BI773" t="s">
        <v>112</v>
      </c>
      <c r="BJ773" t="s">
        <v>178</v>
      </c>
      <c r="BK773" t="s">
        <v>112</v>
      </c>
      <c r="BL773" t="s">
        <v>125</v>
      </c>
      <c r="BM773" t="s">
        <v>179</v>
      </c>
      <c r="BN773" t="s">
        <v>180</v>
      </c>
      <c r="BO773" t="s">
        <v>181</v>
      </c>
      <c r="BP773">
        <v>1</v>
      </c>
      <c r="BQ773" t="s">
        <v>318</v>
      </c>
      <c r="BR773" s="45">
        <f>ISNUMBER(SEARCH($BR$1,Таблица1[[#This Row],[31_1 Описание и характеристика товара]]))*1</f>
        <v>1</v>
      </c>
      <c r="BT773" t="s">
        <v>150</v>
      </c>
      <c r="BU773">
        <v>33</v>
      </c>
      <c r="BV773">
        <v>1</v>
      </c>
      <c r="BW773">
        <v>0</v>
      </c>
      <c r="BY773">
        <v>0</v>
      </c>
      <c r="CA773" t="s">
        <v>106</v>
      </c>
      <c r="CB773" t="s">
        <v>142</v>
      </c>
      <c r="CC773" t="s">
        <v>112</v>
      </c>
      <c r="CD773" t="s">
        <v>112</v>
      </c>
      <c r="CE773" t="s">
        <v>121</v>
      </c>
      <c r="CF773">
        <v>16612</v>
      </c>
      <c r="CG773" t="s">
        <v>144</v>
      </c>
      <c r="CH773">
        <v>4000000</v>
      </c>
      <c r="CI773">
        <v>165580</v>
      </c>
      <c r="CJ773">
        <v>0</v>
      </c>
      <c r="CK773" t="s">
        <v>112</v>
      </c>
      <c r="CL773" t="s">
        <v>112</v>
      </c>
      <c r="CM773">
        <v>39488.519999999997</v>
      </c>
      <c r="CN773">
        <v>2987516</v>
      </c>
      <c r="CO773">
        <v>0</v>
      </c>
      <c r="CP773">
        <v>1</v>
      </c>
      <c r="CQ773">
        <v>3240443.01</v>
      </c>
      <c r="CR773">
        <v>460690.92</v>
      </c>
      <c r="CS773" t="s">
        <v>145</v>
      </c>
      <c r="CT773">
        <v>46069.323400000001</v>
      </c>
      <c r="CU773">
        <v>2.7823000000000002</v>
      </c>
      <c r="CV773">
        <v>941</v>
      </c>
      <c r="CW773" t="s">
        <v>183</v>
      </c>
      <c r="CX773" t="s">
        <v>147</v>
      </c>
      <c r="CY773">
        <v>349</v>
      </c>
    </row>
    <row r="774" spans="1:103" x14ac:dyDescent="0.25">
      <c r="A774" t="s">
        <v>106</v>
      </c>
      <c r="B774" s="38">
        <v>45056</v>
      </c>
      <c r="C774" s="43">
        <f>IF(YEAR(Таблица1[[#This Row],[Дата]])=2023,MONTH(Таблица1[[#This Row],[Дата]]),0)</f>
        <v>5</v>
      </c>
      <c r="D774" t="s">
        <v>325</v>
      </c>
      <c r="E774" t="s">
        <v>108</v>
      </c>
      <c r="F774" t="s">
        <v>326</v>
      </c>
      <c r="G774" t="s">
        <v>110</v>
      </c>
      <c r="H774" t="s">
        <v>111</v>
      </c>
      <c r="I774" t="s">
        <v>112</v>
      </c>
      <c r="J774" t="s">
        <v>112</v>
      </c>
      <c r="K774" t="s">
        <v>112</v>
      </c>
      <c r="L774" t="s">
        <v>175</v>
      </c>
      <c r="M774" t="s">
        <v>176</v>
      </c>
      <c r="N774" t="s">
        <v>112</v>
      </c>
      <c r="O774" t="s">
        <v>112</v>
      </c>
      <c r="P774">
        <v>1</v>
      </c>
      <c r="Q774">
        <v>0</v>
      </c>
      <c r="R774">
        <v>1</v>
      </c>
      <c r="S774">
        <v>33</v>
      </c>
      <c r="T774" t="s">
        <v>166</v>
      </c>
      <c r="U774" t="s">
        <v>152</v>
      </c>
      <c r="V774" t="s">
        <v>153</v>
      </c>
      <c r="W774" t="s">
        <v>177</v>
      </c>
      <c r="X774" t="s">
        <v>119</v>
      </c>
      <c r="Y774" t="s">
        <v>112</v>
      </c>
      <c r="Z774" t="s">
        <v>166</v>
      </c>
      <c r="AA774" t="s">
        <v>152</v>
      </c>
      <c r="AB774" t="s">
        <v>153</v>
      </c>
      <c r="AC774" t="s">
        <v>177</v>
      </c>
      <c r="AD774" t="s">
        <v>119</v>
      </c>
      <c r="AE774" t="s">
        <v>112</v>
      </c>
      <c r="AF774" t="s">
        <v>121</v>
      </c>
      <c r="AG774" t="s">
        <v>122</v>
      </c>
      <c r="AH774">
        <v>3454081.47</v>
      </c>
      <c r="AI774" t="s">
        <v>166</v>
      </c>
      <c r="AJ774" t="s">
        <v>152</v>
      </c>
      <c r="AK774" t="s">
        <v>153</v>
      </c>
      <c r="AL774" t="s">
        <v>177</v>
      </c>
      <c r="AM774" t="s">
        <v>119</v>
      </c>
      <c r="AN774" t="s">
        <v>112</v>
      </c>
      <c r="AO774" t="s">
        <v>121</v>
      </c>
      <c r="AP774" t="s">
        <v>122</v>
      </c>
      <c r="AQ774" t="s">
        <v>122</v>
      </c>
      <c r="AR774" t="s">
        <v>124</v>
      </c>
      <c r="AS774" t="s">
        <v>125</v>
      </c>
      <c r="AT774">
        <v>2</v>
      </c>
      <c r="AU774" t="s">
        <v>106</v>
      </c>
      <c r="AV774" t="s">
        <v>155</v>
      </c>
      <c r="AW774" t="s">
        <v>156</v>
      </c>
      <c r="AX774">
        <v>1</v>
      </c>
      <c r="AY774" t="s">
        <v>129</v>
      </c>
      <c r="AZ774">
        <v>42312.36</v>
      </c>
      <c r="BA774">
        <v>3201154</v>
      </c>
      <c r="BB774">
        <v>49107.25</v>
      </c>
      <c r="BC774">
        <v>75.655299999999997</v>
      </c>
      <c r="BD774" t="s">
        <v>130</v>
      </c>
      <c r="BE774" t="s">
        <v>112</v>
      </c>
      <c r="BF774" t="s">
        <v>157</v>
      </c>
      <c r="BG774" t="s">
        <v>133</v>
      </c>
      <c r="BH774" t="s">
        <v>134</v>
      </c>
      <c r="BI774" t="s">
        <v>112</v>
      </c>
      <c r="BJ774" t="s">
        <v>178</v>
      </c>
      <c r="BK774" t="s">
        <v>112</v>
      </c>
      <c r="BL774" t="s">
        <v>125</v>
      </c>
      <c r="BM774" t="s">
        <v>179</v>
      </c>
      <c r="BN774" t="s">
        <v>180</v>
      </c>
      <c r="BO774" t="s">
        <v>181</v>
      </c>
      <c r="BP774">
        <v>1</v>
      </c>
      <c r="BQ774" t="s">
        <v>327</v>
      </c>
      <c r="BR774" s="45">
        <f>ISNUMBER(SEARCH($BR$1,Таблица1[[#This Row],[31_1 Описание и характеристика товара]]))*1</f>
        <v>1</v>
      </c>
      <c r="BT774" t="s">
        <v>150</v>
      </c>
      <c r="BU774">
        <v>33</v>
      </c>
      <c r="BV774">
        <v>1</v>
      </c>
      <c r="BW774">
        <v>0</v>
      </c>
      <c r="BY774">
        <v>0</v>
      </c>
      <c r="CA774" t="s">
        <v>106</v>
      </c>
      <c r="CB774" t="s">
        <v>142</v>
      </c>
      <c r="CC774" t="s">
        <v>112</v>
      </c>
      <c r="CD774" t="s">
        <v>112</v>
      </c>
      <c r="CE774" t="s">
        <v>121</v>
      </c>
      <c r="CF774">
        <v>18136.13</v>
      </c>
      <c r="CG774" t="s">
        <v>144</v>
      </c>
      <c r="CH774">
        <v>4000000</v>
      </c>
      <c r="CI774">
        <v>18136.13</v>
      </c>
      <c r="CJ774">
        <v>0</v>
      </c>
      <c r="CK774" t="s">
        <v>112</v>
      </c>
      <c r="CL774" t="s">
        <v>112</v>
      </c>
      <c r="CM774">
        <v>42312.36</v>
      </c>
      <c r="CN774">
        <v>3201154</v>
      </c>
      <c r="CO774">
        <v>0</v>
      </c>
      <c r="CP774">
        <v>1</v>
      </c>
      <c r="CQ774">
        <v>3454081.47</v>
      </c>
      <c r="CR774">
        <v>49107.25</v>
      </c>
      <c r="CS774" t="s">
        <v>145</v>
      </c>
      <c r="CT774">
        <v>49107.199201000003</v>
      </c>
      <c r="CU774">
        <v>2.7077</v>
      </c>
      <c r="CV774">
        <v>941</v>
      </c>
      <c r="CW774" t="s">
        <v>183</v>
      </c>
      <c r="CX774" t="s">
        <v>147</v>
      </c>
      <c r="CY774">
        <v>212</v>
      </c>
    </row>
    <row r="775" spans="1:103" x14ac:dyDescent="0.25">
      <c r="A775" t="s">
        <v>106</v>
      </c>
      <c r="B775" s="38">
        <v>45132</v>
      </c>
      <c r="C775" s="43">
        <f>IF(YEAR(Таблица1[[#This Row],[Дата]])=2023,MONTH(Таблица1[[#This Row],[Дата]]),0)</f>
        <v>7</v>
      </c>
      <c r="D775" t="s">
        <v>328</v>
      </c>
      <c r="E775" t="s">
        <v>108</v>
      </c>
      <c r="F775" t="s">
        <v>329</v>
      </c>
      <c r="G775" t="s">
        <v>110</v>
      </c>
      <c r="H775" t="s">
        <v>111</v>
      </c>
      <c r="I775" t="s">
        <v>112</v>
      </c>
      <c r="J775" t="s">
        <v>112</v>
      </c>
      <c r="K775" t="s">
        <v>112</v>
      </c>
      <c r="L775" t="s">
        <v>175</v>
      </c>
      <c r="M775" t="s">
        <v>176</v>
      </c>
      <c r="N775" t="s">
        <v>112</v>
      </c>
      <c r="O775" t="s">
        <v>112</v>
      </c>
      <c r="P775">
        <v>1</v>
      </c>
      <c r="Q775">
        <v>0</v>
      </c>
      <c r="R775">
        <v>1</v>
      </c>
      <c r="S775">
        <v>33</v>
      </c>
      <c r="T775" t="s">
        <v>166</v>
      </c>
      <c r="U775" t="s">
        <v>152</v>
      </c>
      <c r="V775" t="s">
        <v>153</v>
      </c>
      <c r="W775" t="s">
        <v>177</v>
      </c>
      <c r="X775" t="s">
        <v>119</v>
      </c>
      <c r="Y775" t="s">
        <v>112</v>
      </c>
      <c r="Z775" t="s">
        <v>166</v>
      </c>
      <c r="AA775" t="s">
        <v>152</v>
      </c>
      <c r="AB775" t="s">
        <v>153</v>
      </c>
      <c r="AC775" t="s">
        <v>177</v>
      </c>
      <c r="AD775" t="s">
        <v>119</v>
      </c>
      <c r="AE775" t="s">
        <v>112</v>
      </c>
      <c r="AF775" t="s">
        <v>121</v>
      </c>
      <c r="AG775" t="s">
        <v>122</v>
      </c>
      <c r="AH775">
        <v>3352331.9</v>
      </c>
      <c r="AI775" t="s">
        <v>166</v>
      </c>
      <c r="AJ775" t="s">
        <v>152</v>
      </c>
      <c r="AK775" t="s">
        <v>153</v>
      </c>
      <c r="AL775" t="s">
        <v>177</v>
      </c>
      <c r="AM775" t="s">
        <v>119</v>
      </c>
      <c r="AN775" t="s">
        <v>112</v>
      </c>
      <c r="AO775" t="s">
        <v>121</v>
      </c>
      <c r="AP775" t="s">
        <v>122</v>
      </c>
      <c r="AQ775" t="s">
        <v>122</v>
      </c>
      <c r="AR775" t="s">
        <v>124</v>
      </c>
      <c r="AS775" t="s">
        <v>125</v>
      </c>
      <c r="AT775">
        <v>2</v>
      </c>
      <c r="AU775" t="s">
        <v>106</v>
      </c>
      <c r="AV775" t="s">
        <v>155</v>
      </c>
      <c r="AW775" t="s">
        <v>156</v>
      </c>
      <c r="AX775">
        <v>1</v>
      </c>
      <c r="AY775" t="s">
        <v>129</v>
      </c>
      <c r="AZ775">
        <v>40967.449999999997</v>
      </c>
      <c r="BA775">
        <v>3099405</v>
      </c>
      <c r="BB775">
        <v>47660.66</v>
      </c>
      <c r="BC775">
        <v>75.655299999999997</v>
      </c>
      <c r="BD775" t="s">
        <v>130</v>
      </c>
      <c r="BE775" t="s">
        <v>112</v>
      </c>
      <c r="BF775" t="s">
        <v>157</v>
      </c>
      <c r="BG775" t="s">
        <v>133</v>
      </c>
      <c r="BH775" t="s">
        <v>167</v>
      </c>
      <c r="BI775" t="s">
        <v>330</v>
      </c>
      <c r="BJ775" t="s">
        <v>112</v>
      </c>
      <c r="BK775" t="s">
        <v>112</v>
      </c>
      <c r="BL775" t="s">
        <v>125</v>
      </c>
      <c r="BM775" t="s">
        <v>331</v>
      </c>
      <c r="BN775" t="s">
        <v>332</v>
      </c>
      <c r="BO775" t="s">
        <v>181</v>
      </c>
      <c r="BP775">
        <v>1</v>
      </c>
      <c r="BQ775" t="s">
        <v>333</v>
      </c>
      <c r="BR775" s="45">
        <f>ISNUMBER(SEARCH($BR$1,Таблица1[[#This Row],[31_1 Описание и характеристика товара]]))*1</f>
        <v>1</v>
      </c>
      <c r="BT775" t="s">
        <v>150</v>
      </c>
      <c r="BU775">
        <v>33</v>
      </c>
      <c r="BV775">
        <v>1</v>
      </c>
      <c r="BW775">
        <v>0</v>
      </c>
      <c r="BY775">
        <v>0</v>
      </c>
      <c r="CA775" t="s">
        <v>106</v>
      </c>
      <c r="CB775" t="s">
        <v>142</v>
      </c>
      <c r="CC775" t="s">
        <v>112</v>
      </c>
      <c r="CD775" t="s">
        <v>112</v>
      </c>
      <c r="CE775" t="s">
        <v>121</v>
      </c>
      <c r="CF775">
        <v>18003.330000000002</v>
      </c>
      <c r="CG775" t="s">
        <v>144</v>
      </c>
      <c r="CH775">
        <v>4000000</v>
      </c>
      <c r="CI775">
        <v>18003.330000000002</v>
      </c>
      <c r="CJ775">
        <v>0</v>
      </c>
      <c r="CK775" t="s">
        <v>112</v>
      </c>
      <c r="CL775" t="s">
        <v>112</v>
      </c>
      <c r="CM775">
        <v>40967.449999999997</v>
      </c>
      <c r="CN775">
        <v>3099405</v>
      </c>
      <c r="CO775">
        <v>0</v>
      </c>
      <c r="CP775">
        <v>1</v>
      </c>
      <c r="CQ775">
        <v>3352331.9</v>
      </c>
      <c r="CR775">
        <v>47660.66</v>
      </c>
      <c r="CS775" t="s">
        <v>145</v>
      </c>
      <c r="CT775">
        <v>47660.215509000001</v>
      </c>
      <c r="CU775">
        <v>2.6473</v>
      </c>
      <c r="CV775">
        <v>941</v>
      </c>
      <c r="CW775" t="s">
        <v>183</v>
      </c>
      <c r="CX775" t="s">
        <v>147</v>
      </c>
      <c r="CY775">
        <v>219</v>
      </c>
    </row>
    <row r="776" spans="1:103" x14ac:dyDescent="0.25">
      <c r="A776" t="s">
        <v>106</v>
      </c>
      <c r="B776" s="38">
        <v>45141</v>
      </c>
      <c r="C776" s="43">
        <f>IF(YEAR(Таблица1[[#This Row],[Дата]])=2023,MONTH(Таблица1[[#This Row],[Дата]]),0)</f>
        <v>8</v>
      </c>
      <c r="D776" t="s">
        <v>337</v>
      </c>
      <c r="E776" t="s">
        <v>108</v>
      </c>
      <c r="F776" t="s">
        <v>338</v>
      </c>
      <c r="G776" t="s">
        <v>110</v>
      </c>
      <c r="H776" t="s">
        <v>111</v>
      </c>
      <c r="I776" t="s">
        <v>112</v>
      </c>
      <c r="J776" t="s">
        <v>112</v>
      </c>
      <c r="K776" t="s">
        <v>112</v>
      </c>
      <c r="L776" t="s">
        <v>175</v>
      </c>
      <c r="M776" t="s">
        <v>176</v>
      </c>
      <c r="N776" t="s">
        <v>112</v>
      </c>
      <c r="O776" t="s">
        <v>112</v>
      </c>
      <c r="P776">
        <v>1</v>
      </c>
      <c r="Q776">
        <v>0</v>
      </c>
      <c r="R776">
        <v>1</v>
      </c>
      <c r="S776">
        <v>33</v>
      </c>
      <c r="T776" t="s">
        <v>166</v>
      </c>
      <c r="U776" t="s">
        <v>152</v>
      </c>
      <c r="V776" t="s">
        <v>153</v>
      </c>
      <c r="W776" t="s">
        <v>177</v>
      </c>
      <c r="X776" t="s">
        <v>119</v>
      </c>
      <c r="Y776" t="s">
        <v>112</v>
      </c>
      <c r="Z776" t="s">
        <v>166</v>
      </c>
      <c r="AA776" t="s">
        <v>152</v>
      </c>
      <c r="AB776" t="s">
        <v>153</v>
      </c>
      <c r="AC776" t="s">
        <v>177</v>
      </c>
      <c r="AD776" t="s">
        <v>119</v>
      </c>
      <c r="AE776" t="s">
        <v>112</v>
      </c>
      <c r="AF776" t="s">
        <v>121</v>
      </c>
      <c r="AG776" t="s">
        <v>122</v>
      </c>
      <c r="AH776">
        <v>3189804.65</v>
      </c>
      <c r="AI776" t="s">
        <v>166</v>
      </c>
      <c r="AJ776" t="s">
        <v>152</v>
      </c>
      <c r="AK776" t="s">
        <v>153</v>
      </c>
      <c r="AL776" t="s">
        <v>177</v>
      </c>
      <c r="AM776" t="s">
        <v>119</v>
      </c>
      <c r="AN776" t="s">
        <v>112</v>
      </c>
      <c r="AO776" t="s">
        <v>121</v>
      </c>
      <c r="AP776" t="s">
        <v>122</v>
      </c>
      <c r="AQ776" t="s">
        <v>122</v>
      </c>
      <c r="AR776" t="s">
        <v>124</v>
      </c>
      <c r="AS776" t="s">
        <v>125</v>
      </c>
      <c r="AT776">
        <v>2</v>
      </c>
      <c r="AU776" t="s">
        <v>106</v>
      </c>
      <c r="AV776" t="s">
        <v>155</v>
      </c>
      <c r="AW776" t="s">
        <v>156</v>
      </c>
      <c r="AX776">
        <v>1</v>
      </c>
      <c r="AY776" t="s">
        <v>129</v>
      </c>
      <c r="AZ776">
        <v>38819.19</v>
      </c>
      <c r="BA776">
        <v>2936877</v>
      </c>
      <c r="BB776">
        <v>45349.99</v>
      </c>
      <c r="BC776">
        <v>75.655299999999997</v>
      </c>
      <c r="BD776" t="s">
        <v>130</v>
      </c>
      <c r="BE776" t="s">
        <v>112</v>
      </c>
      <c r="BF776" t="s">
        <v>157</v>
      </c>
      <c r="BG776" t="s">
        <v>133</v>
      </c>
      <c r="BH776" t="s">
        <v>167</v>
      </c>
      <c r="BI776" t="s">
        <v>330</v>
      </c>
      <c r="BJ776" t="s">
        <v>112</v>
      </c>
      <c r="BK776" t="s">
        <v>112</v>
      </c>
      <c r="BL776" t="s">
        <v>125</v>
      </c>
      <c r="BM776" t="s">
        <v>331</v>
      </c>
      <c r="BN776" t="s">
        <v>332</v>
      </c>
      <c r="BO776" t="s">
        <v>181</v>
      </c>
      <c r="BP776">
        <v>1</v>
      </c>
      <c r="BQ776" t="s">
        <v>339</v>
      </c>
      <c r="BR776" s="45">
        <f>ISNUMBER(SEARCH($BR$1,Таблица1[[#This Row],[31_1 Описание и характеристика товара]]))*1</f>
        <v>1</v>
      </c>
      <c r="BT776" t="s">
        <v>150</v>
      </c>
      <c r="BU776">
        <v>33</v>
      </c>
      <c r="BV776">
        <v>1</v>
      </c>
      <c r="BW776">
        <v>0</v>
      </c>
      <c r="BY776">
        <v>0</v>
      </c>
      <c r="CA776" t="s">
        <v>106</v>
      </c>
      <c r="CB776" t="s">
        <v>142</v>
      </c>
      <c r="CC776" t="s">
        <v>112</v>
      </c>
      <c r="CD776" t="s">
        <v>112</v>
      </c>
      <c r="CE776" t="s">
        <v>121</v>
      </c>
      <c r="CF776">
        <v>15348.64</v>
      </c>
      <c r="CG776" t="s">
        <v>144</v>
      </c>
      <c r="CH776">
        <v>4000000</v>
      </c>
      <c r="CI776">
        <v>15078.64</v>
      </c>
      <c r="CJ776">
        <v>0</v>
      </c>
      <c r="CK776" t="s">
        <v>112</v>
      </c>
      <c r="CL776" t="s">
        <v>112</v>
      </c>
      <c r="CM776">
        <v>38819.19</v>
      </c>
      <c r="CN776">
        <v>2936877</v>
      </c>
      <c r="CO776">
        <v>0</v>
      </c>
      <c r="CP776">
        <v>1</v>
      </c>
      <c r="CQ776">
        <v>3189804.65</v>
      </c>
      <c r="CR776">
        <v>45349.99</v>
      </c>
      <c r="CS776" t="s">
        <v>145</v>
      </c>
      <c r="CT776">
        <v>45350.517663999999</v>
      </c>
      <c r="CU776">
        <v>3.0076000000000001</v>
      </c>
      <c r="CV776">
        <v>941</v>
      </c>
      <c r="CW776" t="s">
        <v>183</v>
      </c>
      <c r="CX776" t="s">
        <v>147</v>
      </c>
      <c r="CY776">
        <v>219</v>
      </c>
    </row>
    <row r="777" spans="1:103" x14ac:dyDescent="0.25">
      <c r="A777" t="s">
        <v>106</v>
      </c>
      <c r="B777" s="38">
        <v>45225</v>
      </c>
      <c r="C777" s="43">
        <f>IF(YEAR(Таблица1[[#This Row],[Дата]])=2023,MONTH(Таблица1[[#This Row],[Дата]]),0)</f>
        <v>10</v>
      </c>
      <c r="D777" t="s">
        <v>1095</v>
      </c>
      <c r="E777" t="s">
        <v>108</v>
      </c>
      <c r="F777" t="s">
        <v>1096</v>
      </c>
      <c r="G777" t="s">
        <v>110</v>
      </c>
      <c r="H777" t="s">
        <v>111</v>
      </c>
      <c r="I777" t="s">
        <v>112</v>
      </c>
      <c r="J777" t="s">
        <v>112</v>
      </c>
      <c r="K777" t="s">
        <v>112</v>
      </c>
      <c r="L777" t="s">
        <v>150</v>
      </c>
      <c r="M777" t="s">
        <v>151</v>
      </c>
      <c r="N777" t="s">
        <v>112</v>
      </c>
      <c r="O777" t="s">
        <v>112</v>
      </c>
      <c r="P777">
        <v>1</v>
      </c>
      <c r="R777">
        <v>1</v>
      </c>
      <c r="S777">
        <v>33</v>
      </c>
      <c r="T777" t="s">
        <v>112</v>
      </c>
      <c r="U777" t="s">
        <v>152</v>
      </c>
      <c r="V777" t="s">
        <v>153</v>
      </c>
      <c r="W777" t="s">
        <v>154</v>
      </c>
      <c r="X777" t="s">
        <v>119</v>
      </c>
      <c r="Y777" t="s">
        <v>112</v>
      </c>
      <c r="Z777" t="s">
        <v>112</v>
      </c>
      <c r="AA777" t="s">
        <v>152</v>
      </c>
      <c r="AB777" t="s">
        <v>153</v>
      </c>
      <c r="AC777" t="s">
        <v>154</v>
      </c>
      <c r="AD777" t="s">
        <v>119</v>
      </c>
      <c r="AE777" t="s">
        <v>112</v>
      </c>
      <c r="AF777" t="s">
        <v>121</v>
      </c>
      <c r="AG777" t="s">
        <v>122</v>
      </c>
      <c r="AH777">
        <v>4653148.21</v>
      </c>
      <c r="AI777" t="s">
        <v>112</v>
      </c>
      <c r="AJ777" t="s">
        <v>152</v>
      </c>
      <c r="AK777" t="s">
        <v>153</v>
      </c>
      <c r="AL777" t="s">
        <v>154</v>
      </c>
      <c r="AM777" t="s">
        <v>119</v>
      </c>
      <c r="AN777" t="s">
        <v>112</v>
      </c>
      <c r="AO777" t="s">
        <v>121</v>
      </c>
      <c r="AP777" t="s">
        <v>122</v>
      </c>
      <c r="AQ777" t="s">
        <v>122</v>
      </c>
      <c r="AR777" t="s">
        <v>124</v>
      </c>
      <c r="AS777" t="s">
        <v>125</v>
      </c>
      <c r="AT777">
        <v>2</v>
      </c>
      <c r="AU777" t="s">
        <v>126</v>
      </c>
      <c r="AV777" t="s">
        <v>155</v>
      </c>
      <c r="AW777" t="s">
        <v>156</v>
      </c>
      <c r="AY777" t="s">
        <v>129</v>
      </c>
      <c r="AZ777">
        <v>41948.61</v>
      </c>
      <c r="BC777">
        <v>100.1353</v>
      </c>
      <c r="BD777" t="s">
        <v>112</v>
      </c>
      <c r="BE777" t="s">
        <v>112</v>
      </c>
      <c r="BF777" t="s">
        <v>157</v>
      </c>
      <c r="BG777" t="s">
        <v>133</v>
      </c>
      <c r="BH777" t="s">
        <v>167</v>
      </c>
      <c r="BI777" t="s">
        <v>112</v>
      </c>
      <c r="BJ777" t="s">
        <v>112</v>
      </c>
      <c r="BK777" t="s">
        <v>112</v>
      </c>
      <c r="BL777" t="s">
        <v>158</v>
      </c>
      <c r="BM777" t="s">
        <v>159</v>
      </c>
      <c r="BN777" t="s">
        <v>160</v>
      </c>
      <c r="BO777" t="s">
        <v>161</v>
      </c>
      <c r="BQ777" t="s">
        <v>205</v>
      </c>
      <c r="BR777" s="45">
        <f>ISNUMBER(SEARCH($BR$1,Таблица1[[#This Row],[31_1 Описание и характеристика товара]]))*1</f>
        <v>1</v>
      </c>
      <c r="BT777" t="s">
        <v>150</v>
      </c>
      <c r="BU777">
        <v>33</v>
      </c>
      <c r="BV777">
        <v>0</v>
      </c>
      <c r="BW777">
        <v>0</v>
      </c>
      <c r="BY777">
        <v>0</v>
      </c>
      <c r="CA777" t="s">
        <v>106</v>
      </c>
      <c r="CB777" t="s">
        <v>142</v>
      </c>
      <c r="CC777" t="s">
        <v>112</v>
      </c>
      <c r="CD777" t="s">
        <v>112</v>
      </c>
      <c r="CE777" t="s">
        <v>121</v>
      </c>
      <c r="CF777">
        <v>16964.52</v>
      </c>
      <c r="CG777" t="s">
        <v>144</v>
      </c>
      <c r="CH777">
        <v>4000000</v>
      </c>
      <c r="CI777">
        <v>16888.919999999998</v>
      </c>
      <c r="CJ777">
        <v>0</v>
      </c>
      <c r="CK777" t="s">
        <v>112</v>
      </c>
      <c r="CL777" t="s">
        <v>112</v>
      </c>
      <c r="CM777">
        <v>41948.61</v>
      </c>
      <c r="CO777">
        <v>0</v>
      </c>
      <c r="CP777">
        <v>1</v>
      </c>
      <c r="CQ777">
        <v>4653148.21</v>
      </c>
      <c r="CR777">
        <v>50151.09</v>
      </c>
      <c r="CS777" t="s">
        <v>145</v>
      </c>
      <c r="CT777">
        <v>50160.092400000001</v>
      </c>
      <c r="CU777">
        <v>2.97</v>
      </c>
      <c r="CV777">
        <v>45</v>
      </c>
      <c r="CX777" t="s">
        <v>729</v>
      </c>
      <c r="CY777">
        <v>246</v>
      </c>
    </row>
    <row r="778" spans="1:103" x14ac:dyDescent="0.25">
      <c r="A778" t="s">
        <v>106</v>
      </c>
      <c r="B778" s="38">
        <v>45238</v>
      </c>
      <c r="C778" s="43">
        <f>IF(YEAR(Таблица1[[#This Row],[Дата]])=2023,MONTH(Таблица1[[#This Row],[Дата]]),0)</f>
        <v>11</v>
      </c>
      <c r="D778" t="s">
        <v>1563</v>
      </c>
      <c r="E778" t="s">
        <v>108</v>
      </c>
      <c r="F778" t="s">
        <v>1564</v>
      </c>
      <c r="G778" t="s">
        <v>110</v>
      </c>
      <c r="H778" t="s">
        <v>111</v>
      </c>
      <c r="I778" t="s">
        <v>112</v>
      </c>
      <c r="J778" t="s">
        <v>112</v>
      </c>
      <c r="K778" t="s">
        <v>112</v>
      </c>
      <c r="L778" t="s">
        <v>150</v>
      </c>
      <c r="M778" t="s">
        <v>151</v>
      </c>
      <c r="N778" t="s">
        <v>112</v>
      </c>
      <c r="O778" t="s">
        <v>112</v>
      </c>
      <c r="P778">
        <v>1</v>
      </c>
      <c r="R778">
        <v>1</v>
      </c>
      <c r="S778">
        <v>33</v>
      </c>
      <c r="T778" t="s">
        <v>112</v>
      </c>
      <c r="U778" t="s">
        <v>152</v>
      </c>
      <c r="V778" t="s">
        <v>153</v>
      </c>
      <c r="W778" t="s">
        <v>154</v>
      </c>
      <c r="X778" t="s">
        <v>119</v>
      </c>
      <c r="Y778" t="s">
        <v>112</v>
      </c>
      <c r="Z778" t="s">
        <v>112</v>
      </c>
      <c r="AA778" t="s">
        <v>152</v>
      </c>
      <c r="AB778" t="s">
        <v>153</v>
      </c>
      <c r="AC778" t="s">
        <v>154</v>
      </c>
      <c r="AD778" t="s">
        <v>119</v>
      </c>
      <c r="AE778" t="s">
        <v>112</v>
      </c>
      <c r="AF778" t="s">
        <v>121</v>
      </c>
      <c r="AG778" t="s">
        <v>122</v>
      </c>
      <c r="AH778">
        <v>5482771.3499999996</v>
      </c>
      <c r="AI778" t="s">
        <v>112</v>
      </c>
      <c r="AJ778" t="s">
        <v>152</v>
      </c>
      <c r="AK778" t="s">
        <v>153</v>
      </c>
      <c r="AL778" t="s">
        <v>154</v>
      </c>
      <c r="AM778" t="s">
        <v>119</v>
      </c>
      <c r="AN778" t="s">
        <v>112</v>
      </c>
      <c r="AO778" t="s">
        <v>121</v>
      </c>
      <c r="AP778" t="s">
        <v>122</v>
      </c>
      <c r="AQ778" t="s">
        <v>122</v>
      </c>
      <c r="AR778" t="s">
        <v>124</v>
      </c>
      <c r="AS778" t="s">
        <v>125</v>
      </c>
      <c r="AT778">
        <v>2</v>
      </c>
      <c r="AU778" t="s">
        <v>126</v>
      </c>
      <c r="AV778" t="s">
        <v>155</v>
      </c>
      <c r="AW778" t="s">
        <v>156</v>
      </c>
      <c r="AY778" t="s">
        <v>129</v>
      </c>
      <c r="AZ778">
        <v>51385.32</v>
      </c>
      <c r="BC778">
        <v>99.011099999999999</v>
      </c>
      <c r="BD778" t="s">
        <v>112</v>
      </c>
      <c r="BE778" t="s">
        <v>112</v>
      </c>
      <c r="BF778" t="s">
        <v>157</v>
      </c>
      <c r="BG778" t="s">
        <v>133</v>
      </c>
      <c r="BH778" t="s">
        <v>167</v>
      </c>
      <c r="BI778" t="s">
        <v>112</v>
      </c>
      <c r="BJ778" t="s">
        <v>112</v>
      </c>
      <c r="BK778" t="s">
        <v>112</v>
      </c>
      <c r="BL778" t="s">
        <v>158</v>
      </c>
      <c r="BM778" t="s">
        <v>159</v>
      </c>
      <c r="BN778" t="s">
        <v>160</v>
      </c>
      <c r="BO778" t="s">
        <v>161</v>
      </c>
      <c r="BQ778" t="s">
        <v>1426</v>
      </c>
      <c r="BR778" s="45">
        <f>ISNUMBER(SEARCH($BR$1,Таблица1[[#This Row],[31_1 Описание и характеристика товара]]))*1</f>
        <v>1</v>
      </c>
      <c r="BT778" t="s">
        <v>150</v>
      </c>
      <c r="BU778">
        <v>33</v>
      </c>
      <c r="BV778">
        <v>0</v>
      </c>
      <c r="BW778">
        <v>0</v>
      </c>
      <c r="BY778">
        <v>0</v>
      </c>
      <c r="CA778" t="s">
        <v>106</v>
      </c>
      <c r="CB778" t="s">
        <v>142</v>
      </c>
      <c r="CC778" t="s">
        <v>112</v>
      </c>
      <c r="CD778" t="s">
        <v>112</v>
      </c>
      <c r="CE778" t="s">
        <v>121</v>
      </c>
      <c r="CF778">
        <v>15723.86</v>
      </c>
      <c r="CG778" t="s">
        <v>144</v>
      </c>
      <c r="CH778">
        <v>4000000</v>
      </c>
      <c r="CI778">
        <v>15723.86</v>
      </c>
      <c r="CJ778">
        <v>0</v>
      </c>
      <c r="CK778" t="s">
        <v>112</v>
      </c>
      <c r="CL778" t="s">
        <v>112</v>
      </c>
      <c r="CM778">
        <v>51385.32</v>
      </c>
      <c r="CO778">
        <v>0</v>
      </c>
      <c r="CP778">
        <v>1</v>
      </c>
      <c r="CQ778">
        <v>5482771.3499999996</v>
      </c>
      <c r="CR778">
        <v>58932.29</v>
      </c>
      <c r="CS778" t="s">
        <v>145</v>
      </c>
      <c r="CT778">
        <v>58964.475000000006</v>
      </c>
      <c r="CU778">
        <v>3.75</v>
      </c>
      <c r="CV778">
        <v>45</v>
      </c>
      <c r="CX778" t="s">
        <v>233</v>
      </c>
      <c r="CY778">
        <v>155</v>
      </c>
    </row>
    <row r="779" spans="1:103" x14ac:dyDescent="0.25">
      <c r="A779" t="s">
        <v>106</v>
      </c>
      <c r="B779" s="38">
        <v>44956</v>
      </c>
      <c r="C779" s="43">
        <f>IF(YEAR(Таблица1[[#This Row],[Дата]])=2023,MONTH(Таблица1[[#This Row],[Дата]]),0)</f>
        <v>1</v>
      </c>
      <c r="D779" t="s">
        <v>1597</v>
      </c>
      <c r="E779" t="s">
        <v>108</v>
      </c>
      <c r="F779" t="s">
        <v>1598</v>
      </c>
      <c r="G779" t="s">
        <v>110</v>
      </c>
      <c r="H779" t="s">
        <v>111</v>
      </c>
      <c r="I779" t="s">
        <v>112</v>
      </c>
      <c r="J779" t="s">
        <v>112</v>
      </c>
      <c r="K779" t="s">
        <v>112</v>
      </c>
      <c r="L779" t="s">
        <v>150</v>
      </c>
      <c r="M779" t="s">
        <v>151</v>
      </c>
      <c r="N779" t="s">
        <v>112</v>
      </c>
      <c r="O779" t="s">
        <v>112</v>
      </c>
      <c r="P779">
        <v>1</v>
      </c>
      <c r="R779">
        <v>1</v>
      </c>
      <c r="S779">
        <v>33</v>
      </c>
      <c r="T779" t="s">
        <v>112</v>
      </c>
      <c r="U779" t="s">
        <v>152</v>
      </c>
      <c r="V779" t="s">
        <v>153</v>
      </c>
      <c r="W779" t="s">
        <v>154</v>
      </c>
      <c r="X779" t="s">
        <v>119</v>
      </c>
      <c r="Y779" t="s">
        <v>112</v>
      </c>
      <c r="Z779" t="s">
        <v>112</v>
      </c>
      <c r="AA779" t="s">
        <v>152</v>
      </c>
      <c r="AB779" t="s">
        <v>153</v>
      </c>
      <c r="AC779" t="s">
        <v>154</v>
      </c>
      <c r="AD779" t="s">
        <v>119</v>
      </c>
      <c r="AE779" t="s">
        <v>112</v>
      </c>
      <c r="AF779" t="s">
        <v>121</v>
      </c>
      <c r="AG779" t="s">
        <v>122</v>
      </c>
      <c r="AH779">
        <v>4643054.25</v>
      </c>
      <c r="AI779" t="s">
        <v>112</v>
      </c>
      <c r="AJ779" t="s">
        <v>152</v>
      </c>
      <c r="AK779" t="s">
        <v>153</v>
      </c>
      <c r="AL779" t="s">
        <v>154</v>
      </c>
      <c r="AM779" t="s">
        <v>119</v>
      </c>
      <c r="AN779" t="s">
        <v>112</v>
      </c>
      <c r="AO779" t="s">
        <v>121</v>
      </c>
      <c r="AP779" t="s">
        <v>122</v>
      </c>
      <c r="AQ779" t="s">
        <v>122</v>
      </c>
      <c r="AR779" t="s">
        <v>124</v>
      </c>
      <c r="AS779" t="s">
        <v>125</v>
      </c>
      <c r="AT779">
        <v>2</v>
      </c>
      <c r="AU779" t="s">
        <v>126</v>
      </c>
      <c r="AV779" t="s">
        <v>155</v>
      </c>
      <c r="AW779" t="s">
        <v>156</v>
      </c>
      <c r="AY779" t="s">
        <v>129</v>
      </c>
      <c r="AZ779">
        <v>42904.28</v>
      </c>
      <c r="BC779">
        <v>99.011099999999999</v>
      </c>
      <c r="BD779" t="s">
        <v>112</v>
      </c>
      <c r="BE779" t="s">
        <v>112</v>
      </c>
      <c r="BF779" t="s">
        <v>157</v>
      </c>
      <c r="BG779" t="s">
        <v>133</v>
      </c>
      <c r="BH779" t="s">
        <v>167</v>
      </c>
      <c r="BI779" t="s">
        <v>112</v>
      </c>
      <c r="BJ779" t="s">
        <v>112</v>
      </c>
      <c r="BK779" t="s">
        <v>112</v>
      </c>
      <c r="BL779" t="s">
        <v>158</v>
      </c>
      <c r="BM779" t="s">
        <v>159</v>
      </c>
      <c r="BN779" t="s">
        <v>160</v>
      </c>
      <c r="BO779" t="s">
        <v>161</v>
      </c>
      <c r="BQ779" t="s">
        <v>232</v>
      </c>
      <c r="BR779" s="45">
        <f>ISNUMBER(SEARCH($BR$1,Таблица1[[#This Row],[31_1 Описание и характеристика товара]]))*1</f>
        <v>1</v>
      </c>
      <c r="BT779" t="s">
        <v>150</v>
      </c>
      <c r="BU779">
        <v>33</v>
      </c>
      <c r="BV779">
        <v>0</v>
      </c>
      <c r="BW779">
        <v>0</v>
      </c>
      <c r="BY779">
        <v>0</v>
      </c>
      <c r="CA779" t="s">
        <v>106</v>
      </c>
      <c r="CB779" t="s">
        <v>142</v>
      </c>
      <c r="CC779" t="s">
        <v>112</v>
      </c>
      <c r="CD779" t="s">
        <v>112</v>
      </c>
      <c r="CE779" t="s">
        <v>121</v>
      </c>
      <c r="CF779">
        <v>16091.87</v>
      </c>
      <c r="CG779" t="s">
        <v>144</v>
      </c>
      <c r="CH779">
        <v>4000000</v>
      </c>
      <c r="CI779">
        <v>15932.27</v>
      </c>
      <c r="CJ779">
        <v>0</v>
      </c>
      <c r="CK779" t="s">
        <v>112</v>
      </c>
      <c r="CL779" t="s">
        <v>112</v>
      </c>
      <c r="CM779">
        <v>42904.28</v>
      </c>
      <c r="CO779">
        <v>0</v>
      </c>
      <c r="CP779">
        <v>1</v>
      </c>
      <c r="CQ779">
        <v>4643054.25</v>
      </c>
      <c r="CR779">
        <v>49906.48</v>
      </c>
      <c r="CS779" t="s">
        <v>145</v>
      </c>
      <c r="CT779">
        <v>49868.005100000002</v>
      </c>
      <c r="CU779">
        <v>3.13</v>
      </c>
      <c r="CV779">
        <v>45</v>
      </c>
      <c r="CX779" t="s">
        <v>206</v>
      </c>
      <c r="CY779">
        <v>195</v>
      </c>
    </row>
    <row r="780" spans="1:103" x14ac:dyDescent="0.25">
      <c r="A780" t="s">
        <v>106</v>
      </c>
      <c r="B780" s="38">
        <v>45001</v>
      </c>
      <c r="C780" s="43">
        <f>IF(YEAR(Таблица1[[#This Row],[Дата]])=2023,MONTH(Таблица1[[#This Row],[Дата]]),0)</f>
        <v>3</v>
      </c>
      <c r="D780" t="s">
        <v>1577</v>
      </c>
      <c r="E780" t="s">
        <v>108</v>
      </c>
      <c r="F780" t="s">
        <v>1578</v>
      </c>
      <c r="G780" t="s">
        <v>110</v>
      </c>
      <c r="H780" t="s">
        <v>111</v>
      </c>
      <c r="I780" t="s">
        <v>112</v>
      </c>
      <c r="J780" t="s">
        <v>112</v>
      </c>
      <c r="K780" t="s">
        <v>112</v>
      </c>
      <c r="L780" t="s">
        <v>150</v>
      </c>
      <c r="M780" t="s">
        <v>151</v>
      </c>
      <c r="N780" t="s">
        <v>112</v>
      </c>
      <c r="O780" t="s">
        <v>112</v>
      </c>
      <c r="P780">
        <v>1</v>
      </c>
      <c r="R780">
        <v>1</v>
      </c>
      <c r="S780">
        <v>33</v>
      </c>
      <c r="T780" t="s">
        <v>112</v>
      </c>
      <c r="U780" t="s">
        <v>152</v>
      </c>
      <c r="V780" t="s">
        <v>153</v>
      </c>
      <c r="W780" t="s">
        <v>154</v>
      </c>
      <c r="X780" t="s">
        <v>119</v>
      </c>
      <c r="Y780" t="s">
        <v>112</v>
      </c>
      <c r="Z780" t="s">
        <v>112</v>
      </c>
      <c r="AA780" t="s">
        <v>152</v>
      </c>
      <c r="AB780" t="s">
        <v>153</v>
      </c>
      <c r="AC780" t="s">
        <v>154</v>
      </c>
      <c r="AD780" t="s">
        <v>119</v>
      </c>
      <c r="AE780" t="s">
        <v>112</v>
      </c>
      <c r="AF780" t="s">
        <v>121</v>
      </c>
      <c r="AG780" t="s">
        <v>122</v>
      </c>
      <c r="AH780">
        <v>4304040.24</v>
      </c>
      <c r="AI780" t="s">
        <v>112</v>
      </c>
      <c r="AJ780" t="s">
        <v>152</v>
      </c>
      <c r="AK780" t="s">
        <v>153</v>
      </c>
      <c r="AL780" t="s">
        <v>154</v>
      </c>
      <c r="AM780" t="s">
        <v>119</v>
      </c>
      <c r="AN780" t="s">
        <v>112</v>
      </c>
      <c r="AO780" t="s">
        <v>121</v>
      </c>
      <c r="AP780" t="s">
        <v>122</v>
      </c>
      <c r="AQ780" t="s">
        <v>122</v>
      </c>
      <c r="AR780" t="s">
        <v>124</v>
      </c>
      <c r="AS780" t="s">
        <v>125</v>
      </c>
      <c r="AT780">
        <v>2</v>
      </c>
      <c r="AU780" t="s">
        <v>126</v>
      </c>
      <c r="AV780" t="s">
        <v>155</v>
      </c>
      <c r="AW780" t="s">
        <v>156</v>
      </c>
      <c r="AY780" t="s">
        <v>129</v>
      </c>
      <c r="AZ780">
        <v>38950.28</v>
      </c>
      <c r="BC780">
        <v>99.011099999999999</v>
      </c>
      <c r="BD780" t="s">
        <v>112</v>
      </c>
      <c r="BE780" t="s">
        <v>112</v>
      </c>
      <c r="BF780" t="s">
        <v>157</v>
      </c>
      <c r="BG780" t="s">
        <v>133</v>
      </c>
      <c r="BH780" t="s">
        <v>134</v>
      </c>
      <c r="BI780" t="s">
        <v>112</v>
      </c>
      <c r="BJ780" t="s">
        <v>112</v>
      </c>
      <c r="BK780" t="s">
        <v>112</v>
      </c>
      <c r="BL780" t="s">
        <v>158</v>
      </c>
      <c r="BM780" t="s">
        <v>159</v>
      </c>
      <c r="BN780" t="s">
        <v>212</v>
      </c>
      <c r="BO780" t="s">
        <v>161</v>
      </c>
      <c r="BQ780" t="s">
        <v>232</v>
      </c>
      <c r="BR780" s="45">
        <f>ISNUMBER(SEARCH($BR$1,Таблица1[[#This Row],[31_1 Описание и характеристика товара]]))*1</f>
        <v>1</v>
      </c>
      <c r="BT780" t="s">
        <v>150</v>
      </c>
      <c r="BU780">
        <v>33</v>
      </c>
      <c r="BV780">
        <v>0</v>
      </c>
      <c r="BW780">
        <v>0</v>
      </c>
      <c r="BY780">
        <v>0</v>
      </c>
      <c r="CA780" t="s">
        <v>106</v>
      </c>
      <c r="CB780" t="s">
        <v>142</v>
      </c>
      <c r="CC780" t="s">
        <v>112</v>
      </c>
      <c r="CD780" t="s">
        <v>112</v>
      </c>
      <c r="CE780" t="s">
        <v>121</v>
      </c>
      <c r="CF780">
        <v>16737.43</v>
      </c>
      <c r="CG780" t="s">
        <v>144</v>
      </c>
      <c r="CH780">
        <v>4000000</v>
      </c>
      <c r="CI780">
        <v>16651.03</v>
      </c>
      <c r="CJ780">
        <v>0</v>
      </c>
      <c r="CK780" t="s">
        <v>112</v>
      </c>
      <c r="CL780" t="s">
        <v>112</v>
      </c>
      <c r="CM780">
        <v>38950.28</v>
      </c>
      <c r="CO780">
        <v>0</v>
      </c>
      <c r="CP780">
        <v>1</v>
      </c>
      <c r="CQ780">
        <v>4304040.24</v>
      </c>
      <c r="CR780">
        <v>46262.54</v>
      </c>
      <c r="CS780" t="s">
        <v>145</v>
      </c>
      <c r="CT780">
        <v>46289.863399999995</v>
      </c>
      <c r="CU780">
        <v>2.78</v>
      </c>
      <c r="CV780">
        <v>45</v>
      </c>
      <c r="CX780" t="s">
        <v>1140</v>
      </c>
      <c r="CY780">
        <v>146</v>
      </c>
    </row>
    <row r="781" spans="1:103" x14ac:dyDescent="0.25">
      <c r="A781" t="s">
        <v>106</v>
      </c>
      <c r="B781" s="38">
        <v>45013</v>
      </c>
      <c r="C781" s="43">
        <f>IF(YEAR(Таблица1[[#This Row],[Дата]])=2023,MONTH(Таблица1[[#This Row],[Дата]]),0)</f>
        <v>3</v>
      </c>
      <c r="D781" t="s">
        <v>1575</v>
      </c>
      <c r="E781" t="s">
        <v>108</v>
      </c>
      <c r="F781" t="s">
        <v>1576</v>
      </c>
      <c r="G781" t="s">
        <v>110</v>
      </c>
      <c r="H781" t="s">
        <v>111</v>
      </c>
      <c r="I781" t="s">
        <v>112</v>
      </c>
      <c r="J781" t="s">
        <v>112</v>
      </c>
      <c r="K781" t="s">
        <v>112</v>
      </c>
      <c r="L781" t="s">
        <v>150</v>
      </c>
      <c r="M781" t="s">
        <v>151</v>
      </c>
      <c r="N781" t="s">
        <v>112</v>
      </c>
      <c r="O781" t="s">
        <v>112</v>
      </c>
      <c r="P781">
        <v>1</v>
      </c>
      <c r="R781">
        <v>1</v>
      </c>
      <c r="S781">
        <v>33</v>
      </c>
      <c r="T781" t="s">
        <v>112</v>
      </c>
      <c r="U781" t="s">
        <v>152</v>
      </c>
      <c r="V781" t="s">
        <v>153</v>
      </c>
      <c r="W781" t="s">
        <v>154</v>
      </c>
      <c r="X781" t="s">
        <v>119</v>
      </c>
      <c r="Y781" t="s">
        <v>112</v>
      </c>
      <c r="Z781" t="s">
        <v>112</v>
      </c>
      <c r="AA781" t="s">
        <v>152</v>
      </c>
      <c r="AB781" t="s">
        <v>153</v>
      </c>
      <c r="AC781" t="s">
        <v>154</v>
      </c>
      <c r="AD781" t="s">
        <v>119</v>
      </c>
      <c r="AE781" t="s">
        <v>112</v>
      </c>
      <c r="AF781" t="s">
        <v>121</v>
      </c>
      <c r="AG781" t="s">
        <v>122</v>
      </c>
      <c r="AH781">
        <v>4336102.01</v>
      </c>
      <c r="AI781" t="s">
        <v>112</v>
      </c>
      <c r="AJ781" t="s">
        <v>152</v>
      </c>
      <c r="AK781" t="s">
        <v>153</v>
      </c>
      <c r="AL781" t="s">
        <v>154</v>
      </c>
      <c r="AM781" t="s">
        <v>119</v>
      </c>
      <c r="AN781" t="s">
        <v>112</v>
      </c>
      <c r="AO781" t="s">
        <v>121</v>
      </c>
      <c r="AP781" t="s">
        <v>122</v>
      </c>
      <c r="AQ781" t="s">
        <v>122</v>
      </c>
      <c r="AR781" t="s">
        <v>124</v>
      </c>
      <c r="AS781" t="s">
        <v>125</v>
      </c>
      <c r="AT781">
        <v>2</v>
      </c>
      <c r="AU781" t="s">
        <v>126</v>
      </c>
      <c r="AV781" t="s">
        <v>155</v>
      </c>
      <c r="AW781" t="s">
        <v>156</v>
      </c>
      <c r="AY781" t="s">
        <v>129</v>
      </c>
      <c r="AZ781">
        <v>39274.1</v>
      </c>
      <c r="BC781">
        <v>99.011099999999999</v>
      </c>
      <c r="BD781" t="s">
        <v>112</v>
      </c>
      <c r="BE781" t="s">
        <v>112</v>
      </c>
      <c r="BF781" t="s">
        <v>157</v>
      </c>
      <c r="BG781" t="s">
        <v>133</v>
      </c>
      <c r="BH781" t="s">
        <v>134</v>
      </c>
      <c r="BI781" t="s">
        <v>112</v>
      </c>
      <c r="BJ781" t="s">
        <v>112</v>
      </c>
      <c r="BK781" t="s">
        <v>112</v>
      </c>
      <c r="BL781" t="s">
        <v>158</v>
      </c>
      <c r="BM781" t="s">
        <v>159</v>
      </c>
      <c r="BN781" t="s">
        <v>212</v>
      </c>
      <c r="BO781" t="s">
        <v>161</v>
      </c>
      <c r="BQ781" t="s">
        <v>205</v>
      </c>
      <c r="BR781" s="45">
        <f>ISNUMBER(SEARCH($BR$1,Таблица1[[#This Row],[31_1 Описание и характеристика товара]]))*1</f>
        <v>1</v>
      </c>
      <c r="BT781" t="s">
        <v>150</v>
      </c>
      <c r="BU781">
        <v>33</v>
      </c>
      <c r="BV781">
        <v>0</v>
      </c>
      <c r="BW781">
        <v>0</v>
      </c>
      <c r="BY781">
        <v>0</v>
      </c>
      <c r="CA781" t="s">
        <v>106</v>
      </c>
      <c r="CB781" t="s">
        <v>142</v>
      </c>
      <c r="CC781" t="s">
        <v>112</v>
      </c>
      <c r="CD781" t="s">
        <v>112</v>
      </c>
      <c r="CE781" t="s">
        <v>121</v>
      </c>
      <c r="CF781">
        <v>16809.38</v>
      </c>
      <c r="CG781" t="s">
        <v>144</v>
      </c>
      <c r="CH781">
        <v>4000000</v>
      </c>
      <c r="CI781">
        <v>16773.98</v>
      </c>
      <c r="CJ781">
        <v>0</v>
      </c>
      <c r="CK781" t="s">
        <v>112</v>
      </c>
      <c r="CL781" t="s">
        <v>112</v>
      </c>
      <c r="CM781">
        <v>39274.1</v>
      </c>
      <c r="CO781">
        <v>0</v>
      </c>
      <c r="CP781">
        <v>1</v>
      </c>
      <c r="CQ781">
        <v>4336102.01</v>
      </c>
      <c r="CR781">
        <v>46607.16</v>
      </c>
      <c r="CS781" t="s">
        <v>145</v>
      </c>
      <c r="CT781">
        <v>46631.664399999994</v>
      </c>
      <c r="CU781">
        <v>2.78</v>
      </c>
      <c r="CV781">
        <v>45</v>
      </c>
      <c r="CX781" t="s">
        <v>729</v>
      </c>
      <c r="CY781">
        <v>45</v>
      </c>
    </row>
    <row r="782" spans="1:103" x14ac:dyDescent="0.25">
      <c r="A782" t="s">
        <v>106</v>
      </c>
      <c r="B782" s="38">
        <v>45145</v>
      </c>
      <c r="C782" s="43">
        <f>IF(YEAR(Таблица1[[#This Row],[Дата]])=2023,MONTH(Таблица1[[#This Row],[Дата]]),0)</f>
        <v>8</v>
      </c>
      <c r="D782" t="s">
        <v>1614</v>
      </c>
      <c r="E782" t="s">
        <v>108</v>
      </c>
      <c r="F782" t="s">
        <v>1615</v>
      </c>
      <c r="G782" t="s">
        <v>110</v>
      </c>
      <c r="H782" t="s">
        <v>111</v>
      </c>
      <c r="I782" t="s">
        <v>112</v>
      </c>
      <c r="J782" t="s">
        <v>112</v>
      </c>
      <c r="K782" t="s">
        <v>112</v>
      </c>
      <c r="L782" t="s">
        <v>150</v>
      </c>
      <c r="M782" t="s">
        <v>151</v>
      </c>
      <c r="N782" t="s">
        <v>112</v>
      </c>
      <c r="O782" t="s">
        <v>112</v>
      </c>
      <c r="P782">
        <v>1</v>
      </c>
      <c r="R782">
        <v>1</v>
      </c>
      <c r="S782">
        <v>33</v>
      </c>
      <c r="T782" t="s">
        <v>112</v>
      </c>
      <c r="U782" t="s">
        <v>152</v>
      </c>
      <c r="V782" t="s">
        <v>153</v>
      </c>
      <c r="W782" t="s">
        <v>154</v>
      </c>
      <c r="X782" t="s">
        <v>119</v>
      </c>
      <c r="Y782" t="s">
        <v>112</v>
      </c>
      <c r="Z782" t="s">
        <v>112</v>
      </c>
      <c r="AA782" t="s">
        <v>152</v>
      </c>
      <c r="AB782" t="s">
        <v>153</v>
      </c>
      <c r="AC782" t="s">
        <v>154</v>
      </c>
      <c r="AD782" t="s">
        <v>119</v>
      </c>
      <c r="AE782" t="s">
        <v>112</v>
      </c>
      <c r="AF782" t="s">
        <v>121</v>
      </c>
      <c r="AG782" t="s">
        <v>122</v>
      </c>
      <c r="AH782">
        <v>4820709.8600000003</v>
      </c>
      <c r="AI782" t="s">
        <v>112</v>
      </c>
      <c r="AJ782" t="s">
        <v>152</v>
      </c>
      <c r="AK782" t="s">
        <v>153</v>
      </c>
      <c r="AL782" t="s">
        <v>154</v>
      </c>
      <c r="AM782" t="s">
        <v>119</v>
      </c>
      <c r="AN782" t="s">
        <v>112</v>
      </c>
      <c r="AO782" t="s">
        <v>121</v>
      </c>
      <c r="AP782" t="s">
        <v>122</v>
      </c>
      <c r="AQ782" t="s">
        <v>122</v>
      </c>
      <c r="AR782" t="s">
        <v>124</v>
      </c>
      <c r="AS782" t="s">
        <v>125</v>
      </c>
      <c r="AT782">
        <v>2</v>
      </c>
      <c r="AU782" t="s">
        <v>126</v>
      </c>
      <c r="AV782" t="s">
        <v>155</v>
      </c>
      <c r="AW782" t="s">
        <v>156</v>
      </c>
      <c r="AY782" t="s">
        <v>129</v>
      </c>
      <c r="AZ782">
        <v>43998.58</v>
      </c>
      <c r="BC782">
        <v>99.011099999999999</v>
      </c>
      <c r="BD782" t="s">
        <v>112</v>
      </c>
      <c r="BE782" t="s">
        <v>112</v>
      </c>
      <c r="BF782" t="s">
        <v>157</v>
      </c>
      <c r="BG782" t="s">
        <v>133</v>
      </c>
      <c r="BH782" t="s">
        <v>134</v>
      </c>
      <c r="BI782" t="s">
        <v>112</v>
      </c>
      <c r="BJ782" t="s">
        <v>112</v>
      </c>
      <c r="BK782" t="s">
        <v>112</v>
      </c>
      <c r="BL782" t="s">
        <v>158</v>
      </c>
      <c r="BM782" t="s">
        <v>159</v>
      </c>
      <c r="BN782" t="s">
        <v>212</v>
      </c>
      <c r="BO782" t="s">
        <v>161</v>
      </c>
      <c r="BQ782" t="s">
        <v>205</v>
      </c>
      <c r="BR782" s="45">
        <f>ISNUMBER(SEARCH($BR$1,Таблица1[[#This Row],[31_1 Описание и характеристика товара]]))*1</f>
        <v>1</v>
      </c>
      <c r="BT782" t="s">
        <v>150</v>
      </c>
      <c r="BU782">
        <v>33</v>
      </c>
      <c r="BV782">
        <v>0</v>
      </c>
      <c r="BW782">
        <v>0</v>
      </c>
      <c r="BY782">
        <v>0</v>
      </c>
      <c r="CA782" t="s">
        <v>106</v>
      </c>
      <c r="CB782" t="s">
        <v>142</v>
      </c>
      <c r="CC782" t="s">
        <v>112</v>
      </c>
      <c r="CD782" t="s">
        <v>112</v>
      </c>
      <c r="CE782" t="s">
        <v>121</v>
      </c>
      <c r="CF782">
        <v>16695.650000000001</v>
      </c>
      <c r="CG782" t="s">
        <v>144</v>
      </c>
      <c r="CH782">
        <v>4000000</v>
      </c>
      <c r="CI782">
        <v>16657.849999999999</v>
      </c>
      <c r="CJ782">
        <v>0</v>
      </c>
      <c r="CK782" t="s">
        <v>112</v>
      </c>
      <c r="CL782" t="s">
        <v>112</v>
      </c>
      <c r="CM782">
        <v>43998.58</v>
      </c>
      <c r="CO782">
        <v>0</v>
      </c>
      <c r="CP782">
        <v>1</v>
      </c>
      <c r="CQ782">
        <v>4820709.8600000003</v>
      </c>
      <c r="CR782">
        <v>51816.03</v>
      </c>
      <c r="CS782" t="s">
        <v>145</v>
      </c>
      <c r="CT782">
        <v>51805.913499999995</v>
      </c>
      <c r="CU782">
        <v>3.11</v>
      </c>
      <c r="CV782">
        <v>45</v>
      </c>
      <c r="CX782" t="s">
        <v>206</v>
      </c>
      <c r="CY782">
        <v>301</v>
      </c>
    </row>
    <row r="783" spans="1:103" x14ac:dyDescent="0.25">
      <c r="A783" t="s">
        <v>106</v>
      </c>
      <c r="B783" s="38">
        <v>45230</v>
      </c>
      <c r="C783" s="43">
        <f>IF(YEAR(Таблица1[[#This Row],[Дата]])=2023,MONTH(Таблица1[[#This Row],[Дата]]),0)</f>
        <v>10</v>
      </c>
      <c r="D783" t="s">
        <v>1560</v>
      </c>
      <c r="E783" t="s">
        <v>108</v>
      </c>
      <c r="F783" t="s">
        <v>1561</v>
      </c>
      <c r="G783" t="s">
        <v>110</v>
      </c>
      <c r="H783" t="s">
        <v>111</v>
      </c>
      <c r="I783" t="s">
        <v>112</v>
      </c>
      <c r="J783" t="s">
        <v>112</v>
      </c>
      <c r="K783" t="s">
        <v>112</v>
      </c>
      <c r="L783" t="s">
        <v>150</v>
      </c>
      <c r="M783" t="s">
        <v>151</v>
      </c>
      <c r="N783" t="s">
        <v>112</v>
      </c>
      <c r="O783" t="s">
        <v>112</v>
      </c>
      <c r="P783">
        <v>1</v>
      </c>
      <c r="R783">
        <v>1</v>
      </c>
      <c r="S783">
        <v>33</v>
      </c>
      <c r="T783" t="s">
        <v>112</v>
      </c>
      <c r="U783" t="s">
        <v>152</v>
      </c>
      <c r="V783" t="s">
        <v>153</v>
      </c>
      <c r="W783" t="s">
        <v>154</v>
      </c>
      <c r="X783" t="s">
        <v>119</v>
      </c>
      <c r="Y783" t="s">
        <v>112</v>
      </c>
      <c r="Z783" t="s">
        <v>112</v>
      </c>
      <c r="AA783" t="s">
        <v>152</v>
      </c>
      <c r="AB783" t="s">
        <v>153</v>
      </c>
      <c r="AC783" t="s">
        <v>154</v>
      </c>
      <c r="AD783" t="s">
        <v>119</v>
      </c>
      <c r="AE783" t="s">
        <v>112</v>
      </c>
      <c r="AF783" t="s">
        <v>121</v>
      </c>
      <c r="AG783" t="s">
        <v>122</v>
      </c>
      <c r="AH783">
        <v>5570265.4800000004</v>
      </c>
      <c r="AI783" t="s">
        <v>112</v>
      </c>
      <c r="AJ783" t="s">
        <v>152</v>
      </c>
      <c r="AK783" t="s">
        <v>153</v>
      </c>
      <c r="AL783" t="s">
        <v>154</v>
      </c>
      <c r="AM783" t="s">
        <v>119</v>
      </c>
      <c r="AN783" t="s">
        <v>112</v>
      </c>
      <c r="AO783" t="s">
        <v>121</v>
      </c>
      <c r="AP783" t="s">
        <v>122</v>
      </c>
      <c r="AQ783" t="s">
        <v>122</v>
      </c>
      <c r="AR783" t="s">
        <v>124</v>
      </c>
      <c r="AS783" t="s">
        <v>125</v>
      </c>
      <c r="AT783">
        <v>2</v>
      </c>
      <c r="AU783" t="s">
        <v>126</v>
      </c>
      <c r="AV783" t="s">
        <v>155</v>
      </c>
      <c r="AW783" t="s">
        <v>156</v>
      </c>
      <c r="AY783" t="s">
        <v>129</v>
      </c>
      <c r="AZ783">
        <v>52269</v>
      </c>
      <c r="BC783">
        <v>99.011099999999999</v>
      </c>
      <c r="BD783" t="s">
        <v>112</v>
      </c>
      <c r="BE783" t="s">
        <v>112</v>
      </c>
      <c r="BF783" t="s">
        <v>157</v>
      </c>
      <c r="BG783" t="s">
        <v>133</v>
      </c>
      <c r="BH783" t="s">
        <v>134</v>
      </c>
      <c r="BI783" t="s">
        <v>112</v>
      </c>
      <c r="BJ783" t="s">
        <v>112</v>
      </c>
      <c r="BK783" t="s">
        <v>112</v>
      </c>
      <c r="BL783" t="s">
        <v>158</v>
      </c>
      <c r="BM783" t="s">
        <v>159</v>
      </c>
      <c r="BN783" t="s">
        <v>212</v>
      </c>
      <c r="BO783" t="s">
        <v>161</v>
      </c>
      <c r="BQ783" t="s">
        <v>1562</v>
      </c>
      <c r="BR783" s="45">
        <f>ISNUMBER(SEARCH($BR$1,Таблица1[[#This Row],[31_1 Описание и характеристика товара]]))*1</f>
        <v>1</v>
      </c>
      <c r="BT783" t="s">
        <v>150</v>
      </c>
      <c r="BU783">
        <v>33</v>
      </c>
      <c r="BV783">
        <v>0</v>
      </c>
      <c r="BW783">
        <v>0</v>
      </c>
      <c r="BY783">
        <v>0</v>
      </c>
      <c r="CA783" t="s">
        <v>106</v>
      </c>
      <c r="CB783" t="s">
        <v>142</v>
      </c>
      <c r="CC783" t="s">
        <v>112</v>
      </c>
      <c r="CD783" t="s">
        <v>112</v>
      </c>
      <c r="CE783" t="s">
        <v>121</v>
      </c>
      <c r="CF783">
        <v>15392.4</v>
      </c>
      <c r="CG783" t="s">
        <v>144</v>
      </c>
      <c r="CH783">
        <v>4000000</v>
      </c>
      <c r="CI783">
        <v>15248.4</v>
      </c>
      <c r="CJ783">
        <v>0</v>
      </c>
      <c r="CK783" t="s">
        <v>112</v>
      </c>
      <c r="CL783" t="s">
        <v>112</v>
      </c>
      <c r="CM783">
        <v>52269</v>
      </c>
      <c r="CO783">
        <v>0</v>
      </c>
      <c r="CP783">
        <v>1</v>
      </c>
      <c r="CQ783">
        <v>5570265.4800000004</v>
      </c>
      <c r="CR783">
        <v>59872.73</v>
      </c>
      <c r="CS783" t="s">
        <v>145</v>
      </c>
      <c r="CT783">
        <v>59926.212</v>
      </c>
      <c r="CU783">
        <v>3.93</v>
      </c>
      <c r="CV783">
        <v>45</v>
      </c>
      <c r="CX783" t="s">
        <v>233</v>
      </c>
      <c r="CY783">
        <v>130</v>
      </c>
    </row>
    <row r="784" spans="1:103" x14ac:dyDescent="0.25">
      <c r="A784" t="s">
        <v>106</v>
      </c>
      <c r="B784" s="38">
        <v>45122</v>
      </c>
      <c r="C784" s="43">
        <f>IF(YEAR(Таблица1[[#This Row],[Дата]])=2023,MONTH(Таблица1[[#This Row],[Дата]]),0)</f>
        <v>7</v>
      </c>
      <c r="D784" t="s">
        <v>1602</v>
      </c>
      <c r="E784" t="s">
        <v>108</v>
      </c>
      <c r="F784" t="s">
        <v>1603</v>
      </c>
      <c r="G784" t="s">
        <v>110</v>
      </c>
      <c r="H784" t="s">
        <v>111</v>
      </c>
      <c r="I784" t="s">
        <v>112</v>
      </c>
      <c r="J784" t="s">
        <v>112</v>
      </c>
      <c r="K784" t="s">
        <v>112</v>
      </c>
      <c r="L784" t="s">
        <v>150</v>
      </c>
      <c r="M784" t="s">
        <v>151</v>
      </c>
      <c r="N784" t="s">
        <v>112</v>
      </c>
      <c r="O784" t="s">
        <v>112</v>
      </c>
      <c r="P784">
        <v>1</v>
      </c>
      <c r="R784">
        <v>1</v>
      </c>
      <c r="S784">
        <v>33</v>
      </c>
      <c r="T784" t="s">
        <v>112</v>
      </c>
      <c r="U784" t="s">
        <v>152</v>
      </c>
      <c r="V784" t="s">
        <v>153</v>
      </c>
      <c r="W784" t="s">
        <v>154</v>
      </c>
      <c r="X784" t="s">
        <v>119</v>
      </c>
      <c r="Y784" t="s">
        <v>112</v>
      </c>
      <c r="Z784" t="s">
        <v>112</v>
      </c>
      <c r="AA784" t="s">
        <v>152</v>
      </c>
      <c r="AB784" t="s">
        <v>153</v>
      </c>
      <c r="AC784" t="s">
        <v>154</v>
      </c>
      <c r="AD784" t="s">
        <v>119</v>
      </c>
      <c r="AE784" t="s">
        <v>112</v>
      </c>
      <c r="AF784" t="s">
        <v>121</v>
      </c>
      <c r="AG784" t="s">
        <v>122</v>
      </c>
      <c r="AH784">
        <v>4671478.3499999996</v>
      </c>
      <c r="AI784" t="s">
        <v>112</v>
      </c>
      <c r="AJ784" t="s">
        <v>152</v>
      </c>
      <c r="AK784" t="s">
        <v>153</v>
      </c>
      <c r="AL784" t="s">
        <v>154</v>
      </c>
      <c r="AM784" t="s">
        <v>119</v>
      </c>
      <c r="AN784" t="s">
        <v>112</v>
      </c>
      <c r="AO784" t="s">
        <v>121</v>
      </c>
      <c r="AP784" t="s">
        <v>122</v>
      </c>
      <c r="AQ784" t="s">
        <v>122</v>
      </c>
      <c r="AR784" t="s">
        <v>124</v>
      </c>
      <c r="AS784" t="s">
        <v>125</v>
      </c>
      <c r="AT784">
        <v>2</v>
      </c>
      <c r="AU784" t="s">
        <v>126</v>
      </c>
      <c r="AV784" t="s">
        <v>155</v>
      </c>
      <c r="AW784" t="s">
        <v>156</v>
      </c>
      <c r="AY784" t="s">
        <v>129</v>
      </c>
      <c r="AZ784">
        <v>43191.360000000001</v>
      </c>
      <c r="BC784">
        <v>99.011099999999999</v>
      </c>
      <c r="BD784" t="s">
        <v>112</v>
      </c>
      <c r="BE784" t="s">
        <v>112</v>
      </c>
      <c r="BF784" t="s">
        <v>157</v>
      </c>
      <c r="BG784" t="s">
        <v>133</v>
      </c>
      <c r="BH784" t="s">
        <v>134</v>
      </c>
      <c r="BI784" t="s">
        <v>112</v>
      </c>
      <c r="BJ784" t="s">
        <v>112</v>
      </c>
      <c r="BK784" t="s">
        <v>112</v>
      </c>
      <c r="BL784" t="s">
        <v>158</v>
      </c>
      <c r="BM784" t="s">
        <v>159</v>
      </c>
      <c r="BN784" t="s">
        <v>212</v>
      </c>
      <c r="BO784" t="s">
        <v>161</v>
      </c>
      <c r="BQ784" t="s">
        <v>466</v>
      </c>
      <c r="BR784" s="45">
        <f>ISNUMBER(SEARCH($BR$1,Таблица1[[#This Row],[31_1 Описание и характеристика товара]]))*1</f>
        <v>1</v>
      </c>
      <c r="BT784" t="s">
        <v>150</v>
      </c>
      <c r="BU784">
        <v>33</v>
      </c>
      <c r="BV784">
        <v>0</v>
      </c>
      <c r="BW784">
        <v>0</v>
      </c>
      <c r="BY784">
        <v>0</v>
      </c>
      <c r="CA784" t="s">
        <v>106</v>
      </c>
      <c r="CB784" t="s">
        <v>142</v>
      </c>
      <c r="CC784" t="s">
        <v>112</v>
      </c>
      <c r="CD784" t="s">
        <v>112</v>
      </c>
      <c r="CE784" t="s">
        <v>121</v>
      </c>
      <c r="CF784">
        <v>16914.560000000001</v>
      </c>
      <c r="CG784" t="s">
        <v>144</v>
      </c>
      <c r="CH784">
        <v>4000000</v>
      </c>
      <c r="CI784">
        <v>16878.560000000001</v>
      </c>
      <c r="CJ784">
        <v>0</v>
      </c>
      <c r="CK784" t="s">
        <v>112</v>
      </c>
      <c r="CL784" t="s">
        <v>112</v>
      </c>
      <c r="CM784">
        <v>43191.360000000001</v>
      </c>
      <c r="CO784">
        <v>0</v>
      </c>
      <c r="CP784">
        <v>1</v>
      </c>
      <c r="CQ784">
        <v>4671478.3499999996</v>
      </c>
      <c r="CR784">
        <v>50212</v>
      </c>
      <c r="CS784" t="s">
        <v>145</v>
      </c>
      <c r="CT784">
        <v>50129.323200000006</v>
      </c>
      <c r="CU784">
        <v>2.97</v>
      </c>
      <c r="CV784">
        <v>45</v>
      </c>
      <c r="CX784" t="s">
        <v>729</v>
      </c>
      <c r="CY784">
        <v>576</v>
      </c>
    </row>
    <row r="785" spans="1:103" x14ac:dyDescent="0.25">
      <c r="A785" t="s">
        <v>106</v>
      </c>
      <c r="B785" s="38">
        <v>45134</v>
      </c>
      <c r="C785" s="43">
        <f>IF(YEAR(Таблица1[[#This Row],[Дата]])=2023,MONTH(Таблица1[[#This Row],[Дата]]),0)</f>
        <v>7</v>
      </c>
      <c r="D785" t="s">
        <v>1604</v>
      </c>
      <c r="E785" t="s">
        <v>108</v>
      </c>
      <c r="F785" t="s">
        <v>1605</v>
      </c>
      <c r="G785" t="s">
        <v>110</v>
      </c>
      <c r="H785" t="s">
        <v>111</v>
      </c>
      <c r="I785" t="s">
        <v>112</v>
      </c>
      <c r="J785" t="s">
        <v>112</v>
      </c>
      <c r="K785" t="s">
        <v>112</v>
      </c>
      <c r="L785" t="s">
        <v>150</v>
      </c>
      <c r="M785" t="s">
        <v>151</v>
      </c>
      <c r="N785" t="s">
        <v>112</v>
      </c>
      <c r="O785" t="s">
        <v>112</v>
      </c>
      <c r="P785">
        <v>1</v>
      </c>
      <c r="R785">
        <v>1</v>
      </c>
      <c r="S785">
        <v>33</v>
      </c>
      <c r="T785" t="s">
        <v>112</v>
      </c>
      <c r="U785" t="s">
        <v>152</v>
      </c>
      <c r="V785" t="s">
        <v>153</v>
      </c>
      <c r="W785" t="s">
        <v>154</v>
      </c>
      <c r="X785" t="s">
        <v>119</v>
      </c>
      <c r="Y785" t="s">
        <v>112</v>
      </c>
      <c r="Z785" t="s">
        <v>112</v>
      </c>
      <c r="AA785" t="s">
        <v>152</v>
      </c>
      <c r="AB785" t="s">
        <v>153</v>
      </c>
      <c r="AC785" t="s">
        <v>154</v>
      </c>
      <c r="AD785" t="s">
        <v>119</v>
      </c>
      <c r="AE785" t="s">
        <v>112</v>
      </c>
      <c r="AF785" t="s">
        <v>121</v>
      </c>
      <c r="AG785" t="s">
        <v>122</v>
      </c>
      <c r="AH785">
        <v>4377256.97</v>
      </c>
      <c r="AI785" t="s">
        <v>112</v>
      </c>
      <c r="AJ785" t="s">
        <v>152</v>
      </c>
      <c r="AK785" t="s">
        <v>153</v>
      </c>
      <c r="AL785" t="s">
        <v>154</v>
      </c>
      <c r="AM785" t="s">
        <v>119</v>
      </c>
      <c r="AN785" t="s">
        <v>112</v>
      </c>
      <c r="AO785" t="s">
        <v>121</v>
      </c>
      <c r="AP785" t="s">
        <v>122</v>
      </c>
      <c r="AQ785" t="s">
        <v>122</v>
      </c>
      <c r="AR785" t="s">
        <v>124</v>
      </c>
      <c r="AS785" t="s">
        <v>125</v>
      </c>
      <c r="AT785">
        <v>2</v>
      </c>
      <c r="AU785" t="s">
        <v>126</v>
      </c>
      <c r="AV785" t="s">
        <v>155</v>
      </c>
      <c r="AW785" t="s">
        <v>156</v>
      </c>
      <c r="AY785" t="s">
        <v>129</v>
      </c>
      <c r="AZ785">
        <v>40219.760000000002</v>
      </c>
      <c r="BC785">
        <v>99.011099999999999</v>
      </c>
      <c r="BD785" t="s">
        <v>112</v>
      </c>
      <c r="BE785" t="s">
        <v>112</v>
      </c>
      <c r="BF785" t="s">
        <v>157</v>
      </c>
      <c r="BG785" t="s">
        <v>133</v>
      </c>
      <c r="BH785" t="s">
        <v>134</v>
      </c>
      <c r="BI785" t="s">
        <v>112</v>
      </c>
      <c r="BJ785" t="s">
        <v>112</v>
      </c>
      <c r="BK785" t="s">
        <v>112</v>
      </c>
      <c r="BL785" t="s">
        <v>158</v>
      </c>
      <c r="BM785" t="s">
        <v>159</v>
      </c>
      <c r="BN785" t="s">
        <v>212</v>
      </c>
      <c r="BO785" t="s">
        <v>161</v>
      </c>
      <c r="BQ785" t="s">
        <v>616</v>
      </c>
      <c r="BR785" s="45">
        <f>ISNUMBER(SEARCH($BR$1,Таблица1[[#This Row],[31_1 Описание и характеристика товара]]))*1</f>
        <v>1</v>
      </c>
      <c r="BT785" t="s">
        <v>150</v>
      </c>
      <c r="BU785">
        <v>33</v>
      </c>
      <c r="BV785">
        <v>0</v>
      </c>
      <c r="BW785">
        <v>0</v>
      </c>
      <c r="BY785">
        <v>0</v>
      </c>
      <c r="CA785" t="s">
        <v>106</v>
      </c>
      <c r="CB785" t="s">
        <v>142</v>
      </c>
      <c r="CC785" t="s">
        <v>112</v>
      </c>
      <c r="CD785" t="s">
        <v>112</v>
      </c>
      <c r="CE785" t="s">
        <v>121</v>
      </c>
      <c r="CF785">
        <v>17353.91</v>
      </c>
      <c r="CG785" t="s">
        <v>144</v>
      </c>
      <c r="CH785">
        <v>4000000</v>
      </c>
      <c r="CI785">
        <v>17353.91</v>
      </c>
      <c r="CJ785">
        <v>0</v>
      </c>
      <c r="CK785" t="s">
        <v>112</v>
      </c>
      <c r="CL785" t="s">
        <v>112</v>
      </c>
      <c r="CM785">
        <v>40219.760000000002</v>
      </c>
      <c r="CO785">
        <v>0</v>
      </c>
      <c r="CP785">
        <v>1</v>
      </c>
      <c r="CQ785">
        <v>4377256.97</v>
      </c>
      <c r="CR785">
        <v>47049.52</v>
      </c>
      <c r="CS785" t="s">
        <v>145</v>
      </c>
      <c r="CT785">
        <v>47029.096100000002</v>
      </c>
      <c r="CU785">
        <v>2.71</v>
      </c>
      <c r="CV785">
        <v>45</v>
      </c>
      <c r="CX785" t="s">
        <v>1140</v>
      </c>
      <c r="CY785">
        <v>317</v>
      </c>
    </row>
    <row r="786" spans="1:103" x14ac:dyDescent="0.25">
      <c r="A786" t="s">
        <v>106</v>
      </c>
      <c r="B786" s="38">
        <v>45119</v>
      </c>
      <c r="C786" s="43">
        <f>IF(YEAR(Таблица1[[#This Row],[Дата]])=2023,MONTH(Таблица1[[#This Row],[Дата]]),0)</f>
        <v>7</v>
      </c>
      <c r="D786" t="s">
        <v>1882</v>
      </c>
      <c r="E786" t="s">
        <v>108</v>
      </c>
      <c r="F786" t="s">
        <v>1883</v>
      </c>
      <c r="G786" t="s">
        <v>110</v>
      </c>
      <c r="H786" t="s">
        <v>111</v>
      </c>
      <c r="I786" t="s">
        <v>112</v>
      </c>
      <c r="J786" t="s">
        <v>112</v>
      </c>
      <c r="K786" t="s">
        <v>112</v>
      </c>
      <c r="L786" t="s">
        <v>150</v>
      </c>
      <c r="M786" t="s">
        <v>151</v>
      </c>
      <c r="N786" t="s">
        <v>112</v>
      </c>
      <c r="O786" t="s">
        <v>112</v>
      </c>
      <c r="P786">
        <v>1</v>
      </c>
      <c r="R786">
        <v>1</v>
      </c>
      <c r="S786">
        <v>33</v>
      </c>
      <c r="T786" t="s">
        <v>112</v>
      </c>
      <c r="U786" t="s">
        <v>152</v>
      </c>
      <c r="V786" t="s">
        <v>153</v>
      </c>
      <c r="W786" t="s">
        <v>154</v>
      </c>
      <c r="X786" t="s">
        <v>119</v>
      </c>
      <c r="Y786" t="s">
        <v>112</v>
      </c>
      <c r="Z786" t="s">
        <v>112</v>
      </c>
      <c r="AA786" t="s">
        <v>152</v>
      </c>
      <c r="AB786" t="s">
        <v>153</v>
      </c>
      <c r="AC786" t="s">
        <v>154</v>
      </c>
      <c r="AD786" t="s">
        <v>119</v>
      </c>
      <c r="AE786" t="s">
        <v>112</v>
      </c>
      <c r="AF786" t="s">
        <v>121</v>
      </c>
      <c r="AG786" t="s">
        <v>122</v>
      </c>
      <c r="AH786">
        <v>4977747.22</v>
      </c>
      <c r="AI786" t="s">
        <v>112</v>
      </c>
      <c r="AJ786" t="s">
        <v>152</v>
      </c>
      <c r="AK786" t="s">
        <v>153</v>
      </c>
      <c r="AL786" t="s">
        <v>154</v>
      </c>
      <c r="AM786" t="s">
        <v>119</v>
      </c>
      <c r="AN786" t="s">
        <v>112</v>
      </c>
      <c r="AO786" t="s">
        <v>121</v>
      </c>
      <c r="AP786" t="s">
        <v>122</v>
      </c>
      <c r="AQ786" t="s">
        <v>122</v>
      </c>
      <c r="AR786" t="s">
        <v>124</v>
      </c>
      <c r="AS786" t="s">
        <v>125</v>
      </c>
      <c r="AT786">
        <v>2</v>
      </c>
      <c r="AU786" t="s">
        <v>126</v>
      </c>
      <c r="AV786" t="s">
        <v>155</v>
      </c>
      <c r="AW786" t="s">
        <v>156</v>
      </c>
      <c r="AY786" t="s">
        <v>129</v>
      </c>
      <c r="AZ786">
        <v>43241.52</v>
      </c>
      <c r="BC786">
        <v>105.0789</v>
      </c>
      <c r="BD786" t="s">
        <v>112</v>
      </c>
      <c r="BE786" t="s">
        <v>112</v>
      </c>
      <c r="BF786" t="s">
        <v>157</v>
      </c>
      <c r="BG786" t="s">
        <v>133</v>
      </c>
      <c r="BH786" t="s">
        <v>167</v>
      </c>
      <c r="BI786" t="s">
        <v>112</v>
      </c>
      <c r="BJ786" t="s">
        <v>112</v>
      </c>
      <c r="BK786" t="s">
        <v>112</v>
      </c>
      <c r="BL786" t="s">
        <v>169</v>
      </c>
      <c r="BM786" t="s">
        <v>159</v>
      </c>
      <c r="BN786" t="s">
        <v>160</v>
      </c>
      <c r="BO786" t="s">
        <v>161</v>
      </c>
      <c r="BQ786" t="s">
        <v>232</v>
      </c>
      <c r="BR786" s="45">
        <f>ISNUMBER(SEARCH($BR$1,Таблица1[[#This Row],[31_1 Описание и характеристика товара]]))*1</f>
        <v>1</v>
      </c>
      <c r="BT786" t="s">
        <v>150</v>
      </c>
      <c r="BU786">
        <v>33</v>
      </c>
      <c r="BV786">
        <v>0</v>
      </c>
      <c r="BW786">
        <v>0</v>
      </c>
      <c r="BY786">
        <v>0</v>
      </c>
      <c r="CA786" t="s">
        <v>106</v>
      </c>
      <c r="CB786" t="s">
        <v>142</v>
      </c>
      <c r="CC786" t="s">
        <v>112</v>
      </c>
      <c r="CD786" t="s">
        <v>112</v>
      </c>
      <c r="CE786" t="s">
        <v>121</v>
      </c>
      <c r="CF786">
        <v>16921.48</v>
      </c>
      <c r="CG786" t="s">
        <v>144</v>
      </c>
      <c r="CH786">
        <v>4000000</v>
      </c>
      <c r="CI786">
        <v>16921.48</v>
      </c>
      <c r="CJ786">
        <v>0</v>
      </c>
      <c r="CK786" t="s">
        <v>112</v>
      </c>
      <c r="CL786" t="s">
        <v>112</v>
      </c>
      <c r="CM786">
        <v>43241.52</v>
      </c>
      <c r="CO786">
        <v>0</v>
      </c>
      <c r="CP786">
        <v>1</v>
      </c>
      <c r="CQ786">
        <v>4977747.22</v>
      </c>
      <c r="CR786">
        <v>50874.37</v>
      </c>
      <c r="CS786" t="s">
        <v>145</v>
      </c>
      <c r="CT786">
        <v>50933.654799999997</v>
      </c>
      <c r="CU786">
        <v>3.01</v>
      </c>
      <c r="CV786">
        <v>45</v>
      </c>
      <c r="CX786" t="s">
        <v>1140</v>
      </c>
      <c r="CY786">
        <v>353</v>
      </c>
    </row>
    <row r="787" spans="1:103" x14ac:dyDescent="0.25">
      <c r="A787" t="s">
        <v>106</v>
      </c>
      <c r="B787" s="38">
        <v>45222</v>
      </c>
      <c r="C787" s="43">
        <f>IF(YEAR(Таблица1[[#This Row],[Дата]])=2023,MONTH(Таблица1[[#This Row],[Дата]]),0)</f>
        <v>10</v>
      </c>
      <c r="D787" t="s">
        <v>1892</v>
      </c>
      <c r="E787" t="s">
        <v>108</v>
      </c>
      <c r="F787" t="s">
        <v>1893</v>
      </c>
      <c r="G787" t="s">
        <v>110</v>
      </c>
      <c r="H787" t="s">
        <v>111</v>
      </c>
      <c r="I787" t="s">
        <v>112</v>
      </c>
      <c r="J787" t="s">
        <v>112</v>
      </c>
      <c r="K787" t="s">
        <v>112</v>
      </c>
      <c r="L787" t="s">
        <v>150</v>
      </c>
      <c r="M787" t="s">
        <v>151</v>
      </c>
      <c r="N787" t="s">
        <v>112</v>
      </c>
      <c r="O787" t="s">
        <v>112</v>
      </c>
      <c r="P787">
        <v>1</v>
      </c>
      <c r="R787">
        <v>1</v>
      </c>
      <c r="S787">
        <v>33</v>
      </c>
      <c r="T787" t="s">
        <v>112</v>
      </c>
      <c r="U787" t="s">
        <v>152</v>
      </c>
      <c r="V787" t="s">
        <v>153</v>
      </c>
      <c r="W787" t="s">
        <v>154</v>
      </c>
      <c r="X787" t="s">
        <v>119</v>
      </c>
      <c r="Y787" t="s">
        <v>112</v>
      </c>
      <c r="Z787" t="s">
        <v>112</v>
      </c>
      <c r="AA787" t="s">
        <v>152</v>
      </c>
      <c r="AB787" t="s">
        <v>153</v>
      </c>
      <c r="AC787" t="s">
        <v>154</v>
      </c>
      <c r="AD787" t="s">
        <v>119</v>
      </c>
      <c r="AE787" t="s">
        <v>112</v>
      </c>
      <c r="AF787" t="s">
        <v>121</v>
      </c>
      <c r="AG787" t="s">
        <v>122</v>
      </c>
      <c r="AH787">
        <v>4732942.8</v>
      </c>
      <c r="AI787" t="s">
        <v>112</v>
      </c>
      <c r="AJ787" t="s">
        <v>152</v>
      </c>
      <c r="AK787" t="s">
        <v>153</v>
      </c>
      <c r="AL787" t="s">
        <v>154</v>
      </c>
      <c r="AM787" t="s">
        <v>119</v>
      </c>
      <c r="AN787" t="s">
        <v>112</v>
      </c>
      <c r="AO787" t="s">
        <v>121</v>
      </c>
      <c r="AP787" t="s">
        <v>122</v>
      </c>
      <c r="AQ787" t="s">
        <v>122</v>
      </c>
      <c r="AR787" t="s">
        <v>124</v>
      </c>
      <c r="AS787" t="s">
        <v>125</v>
      </c>
      <c r="AT787">
        <v>2</v>
      </c>
      <c r="AU787" t="s">
        <v>126</v>
      </c>
      <c r="AV787" t="s">
        <v>155</v>
      </c>
      <c r="AW787" t="s">
        <v>156</v>
      </c>
      <c r="AY787" t="s">
        <v>129</v>
      </c>
      <c r="AZ787">
        <v>40391.800000000003</v>
      </c>
      <c r="BC787">
        <v>105.0789</v>
      </c>
      <c r="BD787" t="s">
        <v>112</v>
      </c>
      <c r="BE787" t="s">
        <v>112</v>
      </c>
      <c r="BF787" t="s">
        <v>157</v>
      </c>
      <c r="BG787" t="s">
        <v>133</v>
      </c>
      <c r="BH787" t="s">
        <v>134</v>
      </c>
      <c r="BI787" t="s">
        <v>112</v>
      </c>
      <c r="BJ787" t="s">
        <v>112</v>
      </c>
      <c r="BK787" t="s">
        <v>112</v>
      </c>
      <c r="BL787" t="s">
        <v>169</v>
      </c>
      <c r="BM787" t="s">
        <v>159</v>
      </c>
      <c r="BN787" t="s">
        <v>212</v>
      </c>
      <c r="BO787" t="s">
        <v>161</v>
      </c>
      <c r="BQ787" t="s">
        <v>281</v>
      </c>
      <c r="BR787" s="45">
        <f>ISNUMBER(SEARCH($BR$1,Таблица1[[#This Row],[31_1 Описание и характеристика товара]]))*1</f>
        <v>1</v>
      </c>
      <c r="BT787" t="s">
        <v>150</v>
      </c>
      <c r="BU787">
        <v>33</v>
      </c>
      <c r="BV787">
        <v>0</v>
      </c>
      <c r="BW787">
        <v>0</v>
      </c>
      <c r="BY787">
        <v>0</v>
      </c>
      <c r="CA787" t="s">
        <v>106</v>
      </c>
      <c r="CB787" t="s">
        <v>142</v>
      </c>
      <c r="CC787" t="s">
        <v>112</v>
      </c>
      <c r="CD787" t="s">
        <v>112</v>
      </c>
      <c r="CE787" t="s">
        <v>121</v>
      </c>
      <c r="CF787">
        <v>16137.89</v>
      </c>
      <c r="CG787" t="s">
        <v>144</v>
      </c>
      <c r="CH787">
        <v>4000000</v>
      </c>
      <c r="CI787">
        <v>15900.29</v>
      </c>
      <c r="CJ787">
        <v>0</v>
      </c>
      <c r="CK787" t="s">
        <v>112</v>
      </c>
      <c r="CL787" t="s">
        <v>112</v>
      </c>
      <c r="CM787">
        <v>40391.800000000003</v>
      </c>
      <c r="CO787">
        <v>0</v>
      </c>
      <c r="CP787">
        <v>1</v>
      </c>
      <c r="CQ787">
        <v>4732942.8</v>
      </c>
      <c r="CR787">
        <v>48372.38</v>
      </c>
      <c r="CS787" t="s">
        <v>145</v>
      </c>
      <c r="CT787">
        <v>48336.881600000001</v>
      </c>
      <c r="CU787">
        <v>3.04</v>
      </c>
      <c r="CV787">
        <v>45</v>
      </c>
      <c r="CX787" t="s">
        <v>206</v>
      </c>
      <c r="CY787">
        <v>587</v>
      </c>
    </row>
    <row r="788" spans="1:103" x14ac:dyDescent="0.25">
      <c r="A788" t="s">
        <v>106</v>
      </c>
      <c r="B788" s="38">
        <v>45144</v>
      </c>
      <c r="C788" s="43">
        <f>IF(YEAR(Таблица1[[#This Row],[Дата]])=2023,MONTH(Таблица1[[#This Row],[Дата]]),0)</f>
        <v>8</v>
      </c>
      <c r="D788" t="s">
        <v>1888</v>
      </c>
      <c r="E788" t="s">
        <v>108</v>
      </c>
      <c r="F788" t="s">
        <v>1889</v>
      </c>
      <c r="G788" t="s">
        <v>110</v>
      </c>
      <c r="H788" t="s">
        <v>111</v>
      </c>
      <c r="I788" t="s">
        <v>112</v>
      </c>
      <c r="J788" t="s">
        <v>112</v>
      </c>
      <c r="K788" t="s">
        <v>112</v>
      </c>
      <c r="L788" t="s">
        <v>150</v>
      </c>
      <c r="M788" t="s">
        <v>151</v>
      </c>
      <c r="N788" t="s">
        <v>112</v>
      </c>
      <c r="O788" t="s">
        <v>112</v>
      </c>
      <c r="P788">
        <v>1</v>
      </c>
      <c r="R788">
        <v>1</v>
      </c>
      <c r="S788">
        <v>33</v>
      </c>
      <c r="T788" t="s">
        <v>112</v>
      </c>
      <c r="U788" t="s">
        <v>152</v>
      </c>
      <c r="V788" t="s">
        <v>153</v>
      </c>
      <c r="W788" t="s">
        <v>154</v>
      </c>
      <c r="X788" t="s">
        <v>119</v>
      </c>
      <c r="Y788" t="s">
        <v>112</v>
      </c>
      <c r="Z788" t="s">
        <v>112</v>
      </c>
      <c r="AA788" t="s">
        <v>152</v>
      </c>
      <c r="AB788" t="s">
        <v>153</v>
      </c>
      <c r="AC788" t="s">
        <v>154</v>
      </c>
      <c r="AD788" t="s">
        <v>119</v>
      </c>
      <c r="AE788" t="s">
        <v>112</v>
      </c>
      <c r="AF788" t="s">
        <v>121</v>
      </c>
      <c r="AG788" t="s">
        <v>122</v>
      </c>
      <c r="AH788">
        <v>5090093.37</v>
      </c>
      <c r="AI788" t="s">
        <v>112</v>
      </c>
      <c r="AJ788" t="s">
        <v>152</v>
      </c>
      <c r="AK788" t="s">
        <v>153</v>
      </c>
      <c r="AL788" t="s">
        <v>154</v>
      </c>
      <c r="AM788" t="s">
        <v>119</v>
      </c>
      <c r="AN788" t="s">
        <v>112</v>
      </c>
      <c r="AO788" t="s">
        <v>121</v>
      </c>
      <c r="AP788" t="s">
        <v>122</v>
      </c>
      <c r="AQ788" t="s">
        <v>122</v>
      </c>
      <c r="AR788" t="s">
        <v>124</v>
      </c>
      <c r="AS788" t="s">
        <v>125</v>
      </c>
      <c r="AT788">
        <v>2</v>
      </c>
      <c r="AU788" t="s">
        <v>126</v>
      </c>
      <c r="AV788" t="s">
        <v>155</v>
      </c>
      <c r="AW788" t="s">
        <v>156</v>
      </c>
      <c r="AY788" t="s">
        <v>129</v>
      </c>
      <c r="AZ788">
        <v>44310.68</v>
      </c>
      <c r="BC788">
        <v>105.0789</v>
      </c>
      <c r="BD788" t="s">
        <v>112</v>
      </c>
      <c r="BE788" t="s">
        <v>112</v>
      </c>
      <c r="BF788" t="s">
        <v>157</v>
      </c>
      <c r="BG788" t="s">
        <v>133</v>
      </c>
      <c r="BH788" t="s">
        <v>134</v>
      </c>
      <c r="BI788" t="s">
        <v>112</v>
      </c>
      <c r="BJ788" t="s">
        <v>112</v>
      </c>
      <c r="BK788" t="s">
        <v>112</v>
      </c>
      <c r="BL788" t="s">
        <v>169</v>
      </c>
      <c r="BM788" t="s">
        <v>159</v>
      </c>
      <c r="BN788" t="s">
        <v>212</v>
      </c>
      <c r="BO788" t="s">
        <v>161</v>
      </c>
      <c r="BQ788" t="s">
        <v>162</v>
      </c>
      <c r="BR788" s="45">
        <f>ISNUMBER(SEARCH($BR$1,Таблица1[[#This Row],[31_1 Описание и характеристика товара]]))*1</f>
        <v>1</v>
      </c>
      <c r="BT788" t="s">
        <v>150</v>
      </c>
      <c r="BU788">
        <v>33</v>
      </c>
      <c r="BV788">
        <v>0</v>
      </c>
      <c r="BW788">
        <v>0</v>
      </c>
      <c r="BY788">
        <v>0</v>
      </c>
      <c r="CA788" t="s">
        <v>106</v>
      </c>
      <c r="CB788" t="s">
        <v>142</v>
      </c>
      <c r="CC788" t="s">
        <v>112</v>
      </c>
      <c r="CD788" t="s">
        <v>112</v>
      </c>
      <c r="CE788" t="s">
        <v>121</v>
      </c>
      <c r="CF788">
        <v>16900.7</v>
      </c>
      <c r="CG788" t="s">
        <v>144</v>
      </c>
      <c r="CH788">
        <v>4000000</v>
      </c>
      <c r="CI788">
        <v>16846.7</v>
      </c>
      <c r="CJ788">
        <v>0</v>
      </c>
      <c r="CK788" t="s">
        <v>112</v>
      </c>
      <c r="CL788" t="s">
        <v>112</v>
      </c>
      <c r="CM788">
        <v>44310.68</v>
      </c>
      <c r="CO788">
        <v>0</v>
      </c>
      <c r="CP788">
        <v>1</v>
      </c>
      <c r="CQ788">
        <v>5090093.37</v>
      </c>
      <c r="CR788">
        <v>52022.59</v>
      </c>
      <c r="CS788" t="s">
        <v>145</v>
      </c>
      <c r="CT788">
        <v>52056.303</v>
      </c>
      <c r="CU788">
        <v>3.09</v>
      </c>
      <c r="CV788">
        <v>45</v>
      </c>
      <c r="CX788" t="s">
        <v>1140</v>
      </c>
      <c r="CY788">
        <v>68</v>
      </c>
    </row>
    <row r="789" spans="1:103" x14ac:dyDescent="0.25">
      <c r="A789" t="s">
        <v>106</v>
      </c>
      <c r="B789" s="38">
        <v>45253</v>
      </c>
      <c r="C789" s="43">
        <f>IF(YEAR(Таблица1[[#This Row],[Дата]])=2023,MONTH(Таблица1[[#This Row],[Дата]]),0)</f>
        <v>11</v>
      </c>
      <c r="D789" t="s">
        <v>1890</v>
      </c>
      <c r="E789" t="s">
        <v>108</v>
      </c>
      <c r="F789" t="s">
        <v>1891</v>
      </c>
      <c r="G789" t="s">
        <v>110</v>
      </c>
      <c r="H789" t="s">
        <v>111</v>
      </c>
      <c r="I789" t="s">
        <v>112</v>
      </c>
      <c r="J789" t="s">
        <v>112</v>
      </c>
      <c r="K789" t="s">
        <v>112</v>
      </c>
      <c r="L789" t="s">
        <v>150</v>
      </c>
      <c r="M789" t="s">
        <v>151</v>
      </c>
      <c r="N789" t="s">
        <v>112</v>
      </c>
      <c r="O789" t="s">
        <v>112</v>
      </c>
      <c r="P789">
        <v>1</v>
      </c>
      <c r="R789">
        <v>1</v>
      </c>
      <c r="S789">
        <v>33</v>
      </c>
      <c r="T789" t="s">
        <v>112</v>
      </c>
      <c r="U789" t="s">
        <v>152</v>
      </c>
      <c r="V789" t="s">
        <v>153</v>
      </c>
      <c r="W789" t="s">
        <v>154</v>
      </c>
      <c r="X789" t="s">
        <v>119</v>
      </c>
      <c r="Y789" t="s">
        <v>112</v>
      </c>
      <c r="Z789" t="s">
        <v>112</v>
      </c>
      <c r="AA789" t="s">
        <v>152</v>
      </c>
      <c r="AB789" t="s">
        <v>153</v>
      </c>
      <c r="AC789" t="s">
        <v>154</v>
      </c>
      <c r="AD789" t="s">
        <v>119</v>
      </c>
      <c r="AE789" t="s">
        <v>112</v>
      </c>
      <c r="AF789" t="s">
        <v>121</v>
      </c>
      <c r="AG789" t="s">
        <v>122</v>
      </c>
      <c r="AH789">
        <v>5036694.38</v>
      </c>
      <c r="AI789" t="s">
        <v>112</v>
      </c>
      <c r="AJ789" t="s">
        <v>152</v>
      </c>
      <c r="AK789" t="s">
        <v>153</v>
      </c>
      <c r="AL789" t="s">
        <v>154</v>
      </c>
      <c r="AM789" t="s">
        <v>119</v>
      </c>
      <c r="AN789" t="s">
        <v>112</v>
      </c>
      <c r="AO789" t="s">
        <v>121</v>
      </c>
      <c r="AP789" t="s">
        <v>122</v>
      </c>
      <c r="AQ789" t="s">
        <v>122</v>
      </c>
      <c r="AR789" t="s">
        <v>124</v>
      </c>
      <c r="AS789" t="s">
        <v>125</v>
      </c>
      <c r="AT789">
        <v>2</v>
      </c>
      <c r="AU789" t="s">
        <v>126</v>
      </c>
      <c r="AV789" t="s">
        <v>155</v>
      </c>
      <c r="AW789" t="s">
        <v>156</v>
      </c>
      <c r="AY789" t="s">
        <v>129</v>
      </c>
      <c r="AZ789">
        <v>43282.5</v>
      </c>
      <c r="BC789">
        <v>105.0789</v>
      </c>
      <c r="BD789" t="s">
        <v>112</v>
      </c>
      <c r="BE789" t="s">
        <v>112</v>
      </c>
      <c r="BF789" t="s">
        <v>157</v>
      </c>
      <c r="BG789" t="s">
        <v>133</v>
      </c>
      <c r="BH789" t="s">
        <v>167</v>
      </c>
      <c r="BI789" t="s">
        <v>112</v>
      </c>
      <c r="BJ789" t="s">
        <v>112</v>
      </c>
      <c r="BK789" t="s">
        <v>112</v>
      </c>
      <c r="BL789" t="s">
        <v>169</v>
      </c>
      <c r="BM789" t="s">
        <v>159</v>
      </c>
      <c r="BN789" t="s">
        <v>160</v>
      </c>
      <c r="BO789" t="s">
        <v>161</v>
      </c>
      <c r="BQ789" t="s">
        <v>162</v>
      </c>
      <c r="BR789" s="45">
        <f>ISNUMBER(SEARCH($BR$1,Таблица1[[#This Row],[31_1 Описание и характеристика товара]]))*1</f>
        <v>1</v>
      </c>
      <c r="BT789" t="s">
        <v>150</v>
      </c>
      <c r="BU789">
        <v>33</v>
      </c>
      <c r="BV789">
        <v>0</v>
      </c>
      <c r="BW789">
        <v>0</v>
      </c>
      <c r="BY789">
        <v>0</v>
      </c>
      <c r="CA789" t="s">
        <v>106</v>
      </c>
      <c r="CB789" t="s">
        <v>142</v>
      </c>
      <c r="CC789" t="s">
        <v>112</v>
      </c>
      <c r="CD789" t="s">
        <v>112</v>
      </c>
      <c r="CE789" t="s">
        <v>121</v>
      </c>
      <c r="CF789">
        <v>15367.33</v>
      </c>
      <c r="CG789" t="s">
        <v>144</v>
      </c>
      <c r="CH789">
        <v>4000000</v>
      </c>
      <c r="CI789">
        <v>15148.34</v>
      </c>
      <c r="CJ789">
        <v>0</v>
      </c>
      <c r="CK789" t="s">
        <v>112</v>
      </c>
      <c r="CL789" t="s">
        <v>112</v>
      </c>
      <c r="CM789">
        <v>43282.5</v>
      </c>
      <c r="CO789">
        <v>0</v>
      </c>
      <c r="CP789">
        <v>1</v>
      </c>
      <c r="CQ789">
        <v>5036694.38</v>
      </c>
      <c r="CR789">
        <v>51476.84</v>
      </c>
      <c r="CS789" t="s">
        <v>145</v>
      </c>
      <c r="CT789">
        <v>51504.356</v>
      </c>
      <c r="CU789">
        <v>3.4</v>
      </c>
      <c r="CV789">
        <v>45</v>
      </c>
      <c r="CX789" t="s">
        <v>233</v>
      </c>
      <c r="CY789">
        <v>205</v>
      </c>
    </row>
    <row r="790" spans="1:103" x14ac:dyDescent="0.25">
      <c r="A790" t="s">
        <v>106</v>
      </c>
      <c r="B790" s="38">
        <v>45042</v>
      </c>
      <c r="C790" s="43">
        <f>IF(YEAR(Таблица1[[#This Row],[Дата]])=2023,MONTH(Таблица1[[#This Row],[Дата]]),0)</f>
        <v>4</v>
      </c>
      <c r="D790" t="s">
        <v>1886</v>
      </c>
      <c r="E790" t="s">
        <v>108</v>
      </c>
      <c r="F790" t="s">
        <v>1887</v>
      </c>
      <c r="G790" t="s">
        <v>110</v>
      </c>
      <c r="H790" t="s">
        <v>111</v>
      </c>
      <c r="I790" t="s">
        <v>112</v>
      </c>
      <c r="J790" t="s">
        <v>112</v>
      </c>
      <c r="K790" t="s">
        <v>112</v>
      </c>
      <c r="L790" t="s">
        <v>150</v>
      </c>
      <c r="M790" t="s">
        <v>151</v>
      </c>
      <c r="N790" t="s">
        <v>112</v>
      </c>
      <c r="O790" t="s">
        <v>112</v>
      </c>
      <c r="P790">
        <v>1</v>
      </c>
      <c r="R790">
        <v>1</v>
      </c>
      <c r="S790">
        <v>33</v>
      </c>
      <c r="T790" t="s">
        <v>112</v>
      </c>
      <c r="U790" t="s">
        <v>152</v>
      </c>
      <c r="V790" t="s">
        <v>153</v>
      </c>
      <c r="W790" t="s">
        <v>154</v>
      </c>
      <c r="X790" t="s">
        <v>119</v>
      </c>
      <c r="Y790" t="s">
        <v>112</v>
      </c>
      <c r="Z790" t="s">
        <v>112</v>
      </c>
      <c r="AA790" t="s">
        <v>152</v>
      </c>
      <c r="AB790" t="s">
        <v>153</v>
      </c>
      <c r="AC790" t="s">
        <v>154</v>
      </c>
      <c r="AD790" t="s">
        <v>119</v>
      </c>
      <c r="AE790" t="s">
        <v>112</v>
      </c>
      <c r="AF790" t="s">
        <v>121</v>
      </c>
      <c r="AG790" t="s">
        <v>122</v>
      </c>
      <c r="AH790">
        <v>5039323.45</v>
      </c>
      <c r="AI790" t="s">
        <v>112</v>
      </c>
      <c r="AJ790" t="s">
        <v>152</v>
      </c>
      <c r="AK790" t="s">
        <v>153</v>
      </c>
      <c r="AL790" t="s">
        <v>154</v>
      </c>
      <c r="AM790" t="s">
        <v>119</v>
      </c>
      <c r="AN790" t="s">
        <v>112</v>
      </c>
      <c r="AO790" t="s">
        <v>121</v>
      </c>
      <c r="AP790" t="s">
        <v>122</v>
      </c>
      <c r="AQ790" t="s">
        <v>122</v>
      </c>
      <c r="AR790" t="s">
        <v>124</v>
      </c>
      <c r="AS790" t="s">
        <v>125</v>
      </c>
      <c r="AT790">
        <v>2</v>
      </c>
      <c r="AU790" t="s">
        <v>126</v>
      </c>
      <c r="AV790" t="s">
        <v>155</v>
      </c>
      <c r="AW790" t="s">
        <v>156</v>
      </c>
      <c r="AY790" t="s">
        <v>129</v>
      </c>
      <c r="AZ790">
        <v>43827.519999999997</v>
      </c>
      <c r="BC790">
        <v>105.0789</v>
      </c>
      <c r="BD790" t="s">
        <v>112</v>
      </c>
      <c r="BE790" t="s">
        <v>112</v>
      </c>
      <c r="BF790" t="s">
        <v>157</v>
      </c>
      <c r="BG790" t="s">
        <v>133</v>
      </c>
      <c r="BH790" t="s">
        <v>134</v>
      </c>
      <c r="BI790" t="s">
        <v>112</v>
      </c>
      <c r="BJ790" t="s">
        <v>112</v>
      </c>
      <c r="BK790" t="s">
        <v>112</v>
      </c>
      <c r="BL790" t="s">
        <v>169</v>
      </c>
      <c r="BM790" t="s">
        <v>159</v>
      </c>
      <c r="BN790" t="s">
        <v>212</v>
      </c>
      <c r="BO790" t="s">
        <v>161</v>
      </c>
      <c r="BQ790" t="s">
        <v>232</v>
      </c>
      <c r="BR790" s="45">
        <f>ISNUMBER(SEARCH($BR$1,Таблица1[[#This Row],[31_1 Описание и характеристика товара]]))*1</f>
        <v>1</v>
      </c>
      <c r="BT790" t="s">
        <v>150</v>
      </c>
      <c r="BU790">
        <v>33</v>
      </c>
      <c r="BV790">
        <v>0</v>
      </c>
      <c r="BW790">
        <v>0</v>
      </c>
      <c r="BY790">
        <v>0</v>
      </c>
      <c r="CA790" t="s">
        <v>106</v>
      </c>
      <c r="CB790" t="s">
        <v>142</v>
      </c>
      <c r="CC790" t="s">
        <v>112</v>
      </c>
      <c r="CD790" t="s">
        <v>112</v>
      </c>
      <c r="CE790" t="s">
        <v>121</v>
      </c>
      <c r="CF790">
        <v>16629.5</v>
      </c>
      <c r="CG790" t="s">
        <v>144</v>
      </c>
      <c r="CH790">
        <v>4000000</v>
      </c>
      <c r="CI790">
        <v>16593.5</v>
      </c>
      <c r="CJ790">
        <v>0</v>
      </c>
      <c r="CK790" t="s">
        <v>112</v>
      </c>
      <c r="CL790" t="s">
        <v>112</v>
      </c>
      <c r="CM790">
        <v>43827.519999999997</v>
      </c>
      <c r="CO790">
        <v>0</v>
      </c>
      <c r="CP790">
        <v>1</v>
      </c>
      <c r="CQ790">
        <v>5039323.45</v>
      </c>
      <c r="CR790">
        <v>51503.71</v>
      </c>
      <c r="CS790" t="s">
        <v>145</v>
      </c>
      <c r="CT790">
        <v>51439.85</v>
      </c>
      <c r="CU790">
        <v>3.1</v>
      </c>
      <c r="CV790">
        <v>45</v>
      </c>
      <c r="CX790" t="s">
        <v>206</v>
      </c>
      <c r="CY790">
        <v>342</v>
      </c>
    </row>
    <row r="791" spans="1:103" x14ac:dyDescent="0.25">
      <c r="A791" t="s">
        <v>106</v>
      </c>
      <c r="B791" s="38">
        <v>45144</v>
      </c>
      <c r="C791" s="43">
        <f>IF(YEAR(Таблица1[[#This Row],[Дата]])=2023,MONTH(Таблица1[[#This Row],[Дата]]),0)</f>
        <v>8</v>
      </c>
      <c r="D791" t="s">
        <v>1878</v>
      </c>
      <c r="E791" t="s">
        <v>108</v>
      </c>
      <c r="F791" t="s">
        <v>1879</v>
      </c>
      <c r="G791" t="s">
        <v>110</v>
      </c>
      <c r="H791" t="s">
        <v>111</v>
      </c>
      <c r="I791" t="s">
        <v>112</v>
      </c>
      <c r="J791" t="s">
        <v>112</v>
      </c>
      <c r="K791" t="s">
        <v>112</v>
      </c>
      <c r="L791" t="s">
        <v>150</v>
      </c>
      <c r="M791" t="s">
        <v>151</v>
      </c>
      <c r="N791" t="s">
        <v>112</v>
      </c>
      <c r="O791" t="s">
        <v>112</v>
      </c>
      <c r="P791">
        <v>1</v>
      </c>
      <c r="R791">
        <v>1</v>
      </c>
      <c r="S791">
        <v>33</v>
      </c>
      <c r="T791" t="s">
        <v>112</v>
      </c>
      <c r="U791" t="s">
        <v>152</v>
      </c>
      <c r="V791" t="s">
        <v>153</v>
      </c>
      <c r="W791" t="s">
        <v>154</v>
      </c>
      <c r="X791" t="s">
        <v>119</v>
      </c>
      <c r="Y791" t="s">
        <v>112</v>
      </c>
      <c r="Z791" t="s">
        <v>112</v>
      </c>
      <c r="AA791" t="s">
        <v>152</v>
      </c>
      <c r="AB791" t="s">
        <v>153</v>
      </c>
      <c r="AC791" t="s">
        <v>154</v>
      </c>
      <c r="AD791" t="s">
        <v>119</v>
      </c>
      <c r="AE791" t="s">
        <v>112</v>
      </c>
      <c r="AF791" t="s">
        <v>121</v>
      </c>
      <c r="AG791" t="s">
        <v>122</v>
      </c>
      <c r="AH791">
        <v>4978400.8099999996</v>
      </c>
      <c r="AI791" t="s">
        <v>112</v>
      </c>
      <c r="AJ791" t="s">
        <v>152</v>
      </c>
      <c r="AK791" t="s">
        <v>153</v>
      </c>
      <c r="AL791" t="s">
        <v>154</v>
      </c>
      <c r="AM791" t="s">
        <v>119</v>
      </c>
      <c r="AN791" t="s">
        <v>112</v>
      </c>
      <c r="AO791" t="s">
        <v>121</v>
      </c>
      <c r="AP791" t="s">
        <v>122</v>
      </c>
      <c r="AQ791" t="s">
        <v>122</v>
      </c>
      <c r="AR791" t="s">
        <v>124</v>
      </c>
      <c r="AS791" t="s">
        <v>125</v>
      </c>
      <c r="AT791">
        <v>2</v>
      </c>
      <c r="AU791" t="s">
        <v>126</v>
      </c>
      <c r="AV791" t="s">
        <v>155</v>
      </c>
      <c r="AW791" t="s">
        <v>156</v>
      </c>
      <c r="AY791" t="s">
        <v>129</v>
      </c>
      <c r="AZ791">
        <v>42547.74</v>
      </c>
      <c r="BC791">
        <v>105.0789</v>
      </c>
      <c r="BD791" t="s">
        <v>112</v>
      </c>
      <c r="BE791" t="s">
        <v>112</v>
      </c>
      <c r="BF791" t="s">
        <v>157</v>
      </c>
      <c r="BG791" t="s">
        <v>133</v>
      </c>
      <c r="BH791" t="s">
        <v>167</v>
      </c>
      <c r="BI791" t="s">
        <v>112</v>
      </c>
      <c r="BJ791" t="s">
        <v>112</v>
      </c>
      <c r="BK791" t="s">
        <v>112</v>
      </c>
      <c r="BL791" t="s">
        <v>169</v>
      </c>
      <c r="BM791" t="s">
        <v>159</v>
      </c>
      <c r="BN791" t="s">
        <v>160</v>
      </c>
      <c r="BO791" t="s">
        <v>161</v>
      </c>
      <c r="BQ791" t="s">
        <v>205</v>
      </c>
      <c r="BR791" s="45">
        <f>ISNUMBER(SEARCH($BR$1,Таблица1[[#This Row],[31_1 Описание и характеристика товара]]))*1</f>
        <v>1</v>
      </c>
      <c r="BT791" t="s">
        <v>150</v>
      </c>
      <c r="BU791">
        <v>33</v>
      </c>
      <c r="BV791">
        <v>0</v>
      </c>
      <c r="BW791">
        <v>0</v>
      </c>
      <c r="BY791">
        <v>0</v>
      </c>
      <c r="CA791" t="s">
        <v>106</v>
      </c>
      <c r="CB791" t="s">
        <v>142</v>
      </c>
      <c r="CC791" t="s">
        <v>112</v>
      </c>
      <c r="CD791" t="s">
        <v>112</v>
      </c>
      <c r="CE791" t="s">
        <v>121</v>
      </c>
      <c r="CF791">
        <v>14622.97</v>
      </c>
      <c r="CG791" t="s">
        <v>144</v>
      </c>
      <c r="CH791">
        <v>4000000</v>
      </c>
      <c r="CI791">
        <v>14365.57</v>
      </c>
      <c r="CJ791">
        <v>0</v>
      </c>
      <c r="CK791" t="s">
        <v>112</v>
      </c>
      <c r="CL791" t="s">
        <v>112</v>
      </c>
      <c r="CM791">
        <v>42547.74</v>
      </c>
      <c r="CO791">
        <v>0</v>
      </c>
      <c r="CP791">
        <v>1</v>
      </c>
      <c r="CQ791">
        <v>4978400.8099999996</v>
      </c>
      <c r="CR791">
        <v>50881.05</v>
      </c>
      <c r="CS791" t="s">
        <v>145</v>
      </c>
      <c r="CT791">
        <v>50854.1178</v>
      </c>
      <c r="CU791">
        <v>3.54</v>
      </c>
      <c r="CV791">
        <v>45</v>
      </c>
      <c r="CX791" t="s">
        <v>233</v>
      </c>
      <c r="CY791">
        <v>299</v>
      </c>
    </row>
    <row r="792" spans="1:103" x14ac:dyDescent="0.25">
      <c r="A792" t="s">
        <v>106</v>
      </c>
      <c r="B792" s="38">
        <v>45268</v>
      </c>
      <c r="C792" s="43">
        <f>IF(YEAR(Таблица1[[#This Row],[Дата]])=2023,MONTH(Таблица1[[#This Row],[Дата]]),0)</f>
        <v>12</v>
      </c>
      <c r="D792" t="s">
        <v>1674</v>
      </c>
      <c r="E792" t="s">
        <v>108</v>
      </c>
      <c r="F792" t="s">
        <v>1675</v>
      </c>
      <c r="G792" t="s">
        <v>110</v>
      </c>
      <c r="H792" t="s">
        <v>111</v>
      </c>
      <c r="I792" t="s">
        <v>112</v>
      </c>
      <c r="J792" t="s">
        <v>112</v>
      </c>
      <c r="K792" t="s">
        <v>112</v>
      </c>
      <c r="L792" t="s">
        <v>150</v>
      </c>
      <c r="M792" t="s">
        <v>151</v>
      </c>
      <c r="N792" t="s">
        <v>112</v>
      </c>
      <c r="O792" t="s">
        <v>112</v>
      </c>
      <c r="R792">
        <v>1</v>
      </c>
      <c r="S792">
        <v>33</v>
      </c>
      <c r="T792" t="s">
        <v>166</v>
      </c>
      <c r="U792" t="s">
        <v>152</v>
      </c>
      <c r="V792" t="s">
        <v>153</v>
      </c>
      <c r="W792" t="s">
        <v>154</v>
      </c>
      <c r="X792" t="s">
        <v>119</v>
      </c>
      <c r="Y792" t="s">
        <v>112</v>
      </c>
      <c r="Z792" t="s">
        <v>166</v>
      </c>
      <c r="AA792" t="s">
        <v>152</v>
      </c>
      <c r="AB792" t="s">
        <v>153</v>
      </c>
      <c r="AC792" t="s">
        <v>154</v>
      </c>
      <c r="AD792" t="s">
        <v>119</v>
      </c>
      <c r="AE792" t="s">
        <v>112</v>
      </c>
      <c r="AF792" t="s">
        <v>121</v>
      </c>
      <c r="AG792" t="s">
        <v>122</v>
      </c>
      <c r="AH792">
        <v>4867899.99</v>
      </c>
      <c r="AI792" t="s">
        <v>166</v>
      </c>
      <c r="AJ792" t="s">
        <v>152</v>
      </c>
      <c r="AK792" t="s">
        <v>153</v>
      </c>
      <c r="AL792" t="s">
        <v>154</v>
      </c>
      <c r="AM792" t="s">
        <v>119</v>
      </c>
      <c r="AN792" t="s">
        <v>112</v>
      </c>
      <c r="AO792" t="s">
        <v>121</v>
      </c>
      <c r="AP792" t="s">
        <v>122</v>
      </c>
      <c r="AQ792" t="s">
        <v>122</v>
      </c>
      <c r="AR792" t="s">
        <v>124</v>
      </c>
      <c r="AS792" t="s">
        <v>125</v>
      </c>
      <c r="AU792" t="s">
        <v>126</v>
      </c>
      <c r="AV792" t="s">
        <v>155</v>
      </c>
      <c r="AW792" t="s">
        <v>156</v>
      </c>
      <c r="AY792" t="s">
        <v>129</v>
      </c>
      <c r="AZ792">
        <v>42749.8</v>
      </c>
      <c r="BC792">
        <v>103.8379</v>
      </c>
      <c r="BD792" t="s">
        <v>112</v>
      </c>
      <c r="BE792" t="s">
        <v>112</v>
      </c>
      <c r="BF792" t="s">
        <v>112</v>
      </c>
      <c r="BG792" t="s">
        <v>133</v>
      </c>
      <c r="BH792" t="s">
        <v>134</v>
      </c>
      <c r="BI792" t="s">
        <v>112</v>
      </c>
      <c r="BJ792" t="s">
        <v>112</v>
      </c>
      <c r="BK792" t="s">
        <v>112</v>
      </c>
      <c r="BL792" t="s">
        <v>112</v>
      </c>
      <c r="BM792" t="s">
        <v>112</v>
      </c>
      <c r="BN792" t="s">
        <v>112</v>
      </c>
      <c r="BO792" t="s">
        <v>161</v>
      </c>
      <c r="BQ792" t="s">
        <v>205</v>
      </c>
      <c r="BR792" s="45">
        <f>ISNUMBER(SEARCH($BR$1,Таблица1[[#This Row],[31_1 Описание и характеристика товара]]))*1</f>
        <v>1</v>
      </c>
      <c r="BT792" t="s">
        <v>150</v>
      </c>
      <c r="BU792">
        <v>33</v>
      </c>
      <c r="BV792">
        <v>0</v>
      </c>
      <c r="BW792">
        <v>0</v>
      </c>
      <c r="CA792" t="s">
        <v>106</v>
      </c>
      <c r="CB792" t="s">
        <v>142</v>
      </c>
      <c r="CC792" t="s">
        <v>112</v>
      </c>
      <c r="CD792" t="s">
        <v>112</v>
      </c>
      <c r="CE792" t="s">
        <v>121</v>
      </c>
      <c r="CF792">
        <v>16106.4</v>
      </c>
      <c r="CG792" t="s">
        <v>144</v>
      </c>
      <c r="CH792">
        <v>4000000</v>
      </c>
      <c r="CI792">
        <v>15955.2</v>
      </c>
      <c r="CJ792">
        <v>0</v>
      </c>
      <c r="CK792" t="s">
        <v>112</v>
      </c>
      <c r="CL792" t="s">
        <v>112</v>
      </c>
      <c r="CM792">
        <v>42749.8</v>
      </c>
      <c r="CO792">
        <v>0</v>
      </c>
      <c r="CP792">
        <v>1</v>
      </c>
      <c r="CQ792">
        <v>4867899.99</v>
      </c>
      <c r="CR792">
        <v>51345.04</v>
      </c>
      <c r="CS792" t="s">
        <v>145</v>
      </c>
      <c r="CT792">
        <v>51375.744000000006</v>
      </c>
      <c r="CU792">
        <v>3.22</v>
      </c>
      <c r="CY792">
        <v>166</v>
      </c>
    </row>
    <row r="793" spans="1:103" x14ac:dyDescent="0.25">
      <c r="A793" t="s">
        <v>106</v>
      </c>
      <c r="B793" s="38">
        <v>45087</v>
      </c>
      <c r="C793" s="43">
        <f>IF(YEAR(Таблица1[[#This Row],[Дата]])=2023,MONTH(Таблица1[[#This Row],[Дата]]),0)</f>
        <v>6</v>
      </c>
      <c r="D793" t="s">
        <v>1672</v>
      </c>
      <c r="E793" t="s">
        <v>108</v>
      </c>
      <c r="F793" t="s">
        <v>1673</v>
      </c>
      <c r="G793" t="s">
        <v>110</v>
      </c>
      <c r="H793" t="s">
        <v>111</v>
      </c>
      <c r="I793" t="s">
        <v>112</v>
      </c>
      <c r="J793" t="s">
        <v>112</v>
      </c>
      <c r="K793" t="s">
        <v>112</v>
      </c>
      <c r="L793" t="s">
        <v>150</v>
      </c>
      <c r="M793" t="s">
        <v>151</v>
      </c>
      <c r="N793" t="s">
        <v>112</v>
      </c>
      <c r="O793" t="s">
        <v>112</v>
      </c>
      <c r="R793">
        <v>1</v>
      </c>
      <c r="S793">
        <v>33</v>
      </c>
      <c r="T793" t="s">
        <v>166</v>
      </c>
      <c r="U793" t="s">
        <v>152</v>
      </c>
      <c r="V793" t="s">
        <v>153</v>
      </c>
      <c r="W793" t="s">
        <v>154</v>
      </c>
      <c r="X793" t="s">
        <v>119</v>
      </c>
      <c r="Y793" t="s">
        <v>112</v>
      </c>
      <c r="Z793" t="s">
        <v>166</v>
      </c>
      <c r="AA793" t="s">
        <v>152</v>
      </c>
      <c r="AB793" t="s">
        <v>153</v>
      </c>
      <c r="AC793" t="s">
        <v>154</v>
      </c>
      <c r="AD793" t="s">
        <v>119</v>
      </c>
      <c r="AE793" t="s">
        <v>112</v>
      </c>
      <c r="AF793" t="s">
        <v>121</v>
      </c>
      <c r="AG793" t="s">
        <v>122</v>
      </c>
      <c r="AH793">
        <v>5179789.58</v>
      </c>
      <c r="AI793" t="s">
        <v>166</v>
      </c>
      <c r="AJ793" t="s">
        <v>152</v>
      </c>
      <c r="AK793" t="s">
        <v>153</v>
      </c>
      <c r="AL793" t="s">
        <v>154</v>
      </c>
      <c r="AM793" t="s">
        <v>119</v>
      </c>
      <c r="AN793" t="s">
        <v>112</v>
      </c>
      <c r="AO793" t="s">
        <v>121</v>
      </c>
      <c r="AP793" t="s">
        <v>122</v>
      </c>
      <c r="AQ793" t="s">
        <v>122</v>
      </c>
      <c r="AR793" t="s">
        <v>124</v>
      </c>
      <c r="AS793" t="s">
        <v>125</v>
      </c>
      <c r="AU793" t="s">
        <v>126</v>
      </c>
      <c r="AV793" t="s">
        <v>155</v>
      </c>
      <c r="AW793" t="s">
        <v>156</v>
      </c>
      <c r="AY793" t="s">
        <v>129</v>
      </c>
      <c r="AZ793">
        <v>45753.42</v>
      </c>
      <c r="BC793">
        <v>103.8379</v>
      </c>
      <c r="BD793" t="s">
        <v>112</v>
      </c>
      <c r="BE793" t="s">
        <v>112</v>
      </c>
      <c r="BF793" t="s">
        <v>112</v>
      </c>
      <c r="BG793" t="s">
        <v>133</v>
      </c>
      <c r="BH793" t="s">
        <v>167</v>
      </c>
      <c r="BI793" t="s">
        <v>112</v>
      </c>
      <c r="BJ793" t="s">
        <v>112</v>
      </c>
      <c r="BK793" t="s">
        <v>112</v>
      </c>
      <c r="BL793" t="s">
        <v>112</v>
      </c>
      <c r="BM793" t="s">
        <v>112</v>
      </c>
      <c r="BN793" t="s">
        <v>112</v>
      </c>
      <c r="BO793" t="s">
        <v>161</v>
      </c>
      <c r="BQ793" t="s">
        <v>205</v>
      </c>
      <c r="BR793" s="45">
        <f>ISNUMBER(SEARCH($BR$1,Таблица1[[#This Row],[31_1 Описание и характеристика товара]]))*1</f>
        <v>1</v>
      </c>
      <c r="BT793" t="s">
        <v>150</v>
      </c>
      <c r="BU793">
        <v>33</v>
      </c>
      <c r="BV793">
        <v>0</v>
      </c>
      <c r="BW793">
        <v>0</v>
      </c>
      <c r="CA793" t="s">
        <v>106</v>
      </c>
      <c r="CB793" t="s">
        <v>142</v>
      </c>
      <c r="CC793" t="s">
        <v>112</v>
      </c>
      <c r="CD793" t="s">
        <v>112</v>
      </c>
      <c r="CE793" t="s">
        <v>121</v>
      </c>
      <c r="CF793">
        <v>16125.5</v>
      </c>
      <c r="CG793" t="s">
        <v>144</v>
      </c>
      <c r="CH793">
        <v>4000000</v>
      </c>
      <c r="CI793">
        <v>15992.3</v>
      </c>
      <c r="CJ793">
        <v>0</v>
      </c>
      <c r="CK793" t="s">
        <v>112</v>
      </c>
      <c r="CL793" t="s">
        <v>112</v>
      </c>
      <c r="CM793">
        <v>45753.42</v>
      </c>
      <c r="CO793">
        <v>0</v>
      </c>
      <c r="CP793">
        <v>1</v>
      </c>
      <c r="CQ793">
        <v>5179789.58</v>
      </c>
      <c r="CR793">
        <v>54634.75</v>
      </c>
      <c r="CS793" t="s">
        <v>145</v>
      </c>
      <c r="CT793">
        <v>54693.665999999997</v>
      </c>
      <c r="CU793">
        <v>3.42</v>
      </c>
      <c r="CY793">
        <v>80</v>
      </c>
    </row>
    <row r="794" spans="1:103" x14ac:dyDescent="0.25">
      <c r="A794" t="s">
        <v>106</v>
      </c>
      <c r="B794" s="38">
        <v>45135</v>
      </c>
      <c r="C794" s="43">
        <f>IF(YEAR(Таблица1[[#This Row],[Дата]])=2023,MONTH(Таблица1[[#This Row],[Дата]]),0)</f>
        <v>7</v>
      </c>
      <c r="D794" t="s">
        <v>1670</v>
      </c>
      <c r="E794" t="s">
        <v>108</v>
      </c>
      <c r="F794" t="s">
        <v>1671</v>
      </c>
      <c r="G794" t="s">
        <v>110</v>
      </c>
      <c r="H794" t="s">
        <v>111</v>
      </c>
      <c r="I794" t="s">
        <v>112</v>
      </c>
      <c r="J794" t="s">
        <v>112</v>
      </c>
      <c r="K794" t="s">
        <v>112</v>
      </c>
      <c r="L794" t="s">
        <v>150</v>
      </c>
      <c r="M794" t="s">
        <v>151</v>
      </c>
      <c r="N794" t="s">
        <v>112</v>
      </c>
      <c r="O794" t="s">
        <v>112</v>
      </c>
      <c r="R794">
        <v>1</v>
      </c>
      <c r="S794">
        <v>33</v>
      </c>
      <c r="T794" t="s">
        <v>166</v>
      </c>
      <c r="U794" t="s">
        <v>152</v>
      </c>
      <c r="V794" t="s">
        <v>153</v>
      </c>
      <c r="W794" t="s">
        <v>154</v>
      </c>
      <c r="X794" t="s">
        <v>119</v>
      </c>
      <c r="Y794" t="s">
        <v>112</v>
      </c>
      <c r="Z794" t="s">
        <v>166</v>
      </c>
      <c r="AA794" t="s">
        <v>152</v>
      </c>
      <c r="AB794" t="s">
        <v>153</v>
      </c>
      <c r="AC794" t="s">
        <v>154</v>
      </c>
      <c r="AD794" t="s">
        <v>119</v>
      </c>
      <c r="AE794" t="s">
        <v>112</v>
      </c>
      <c r="AF794" t="s">
        <v>121</v>
      </c>
      <c r="AG794" t="s">
        <v>122</v>
      </c>
      <c r="AH794">
        <v>5021247.8</v>
      </c>
      <c r="AI794" t="s">
        <v>166</v>
      </c>
      <c r="AJ794" t="s">
        <v>152</v>
      </c>
      <c r="AK794" t="s">
        <v>153</v>
      </c>
      <c r="AL794" t="s">
        <v>154</v>
      </c>
      <c r="AM794" t="s">
        <v>119</v>
      </c>
      <c r="AN794" t="s">
        <v>112</v>
      </c>
      <c r="AO794" t="s">
        <v>121</v>
      </c>
      <c r="AP794" t="s">
        <v>122</v>
      </c>
      <c r="AQ794" t="s">
        <v>122</v>
      </c>
      <c r="AR794" t="s">
        <v>124</v>
      </c>
      <c r="AS794" t="s">
        <v>125</v>
      </c>
      <c r="AU794" t="s">
        <v>126</v>
      </c>
      <c r="AV794" t="s">
        <v>155</v>
      </c>
      <c r="AW794" t="s">
        <v>156</v>
      </c>
      <c r="AY794" t="s">
        <v>129</v>
      </c>
      <c r="AZ794">
        <v>44226.6</v>
      </c>
      <c r="BC794">
        <v>103.8379</v>
      </c>
      <c r="BD794" t="s">
        <v>112</v>
      </c>
      <c r="BE794" t="s">
        <v>112</v>
      </c>
      <c r="BF794" t="s">
        <v>112</v>
      </c>
      <c r="BG794" t="s">
        <v>133</v>
      </c>
      <c r="BH794" t="s">
        <v>134</v>
      </c>
      <c r="BI794" t="s">
        <v>112</v>
      </c>
      <c r="BJ794" t="s">
        <v>112</v>
      </c>
      <c r="BK794" t="s">
        <v>112</v>
      </c>
      <c r="BL794" t="s">
        <v>112</v>
      </c>
      <c r="BM794" t="s">
        <v>112</v>
      </c>
      <c r="BN794" t="s">
        <v>112</v>
      </c>
      <c r="BO794" t="s">
        <v>161</v>
      </c>
      <c r="BQ794" t="s">
        <v>205</v>
      </c>
      <c r="BR794" s="45">
        <f>ISNUMBER(SEARCH($BR$1,Таблица1[[#This Row],[31_1 Описание и характеристика товара]]))*1</f>
        <v>1</v>
      </c>
      <c r="BT794" t="s">
        <v>150</v>
      </c>
      <c r="BU794">
        <v>33</v>
      </c>
      <c r="BV794">
        <v>0</v>
      </c>
      <c r="BW794">
        <v>0</v>
      </c>
      <c r="CA794" t="s">
        <v>106</v>
      </c>
      <c r="CB794" t="s">
        <v>142</v>
      </c>
      <c r="CC794" t="s">
        <v>112</v>
      </c>
      <c r="CD794" t="s">
        <v>112</v>
      </c>
      <c r="CE794" t="s">
        <v>121</v>
      </c>
      <c r="CF794">
        <v>16140.1</v>
      </c>
      <c r="CG794" t="s">
        <v>144</v>
      </c>
      <c r="CH794">
        <v>4000000</v>
      </c>
      <c r="CI794">
        <v>15996.1</v>
      </c>
      <c r="CJ794">
        <v>0</v>
      </c>
      <c r="CK794" t="s">
        <v>112</v>
      </c>
      <c r="CL794" t="s">
        <v>112</v>
      </c>
      <c r="CM794">
        <v>44226.6</v>
      </c>
      <c r="CO794">
        <v>0</v>
      </c>
      <c r="CP794">
        <v>1</v>
      </c>
      <c r="CQ794">
        <v>5021247.8</v>
      </c>
      <c r="CR794">
        <v>52962.5</v>
      </c>
      <c r="CS794" t="s">
        <v>145</v>
      </c>
      <c r="CT794">
        <v>52947.091</v>
      </c>
      <c r="CU794">
        <v>3.31</v>
      </c>
      <c r="CY794">
        <v>124</v>
      </c>
    </row>
    <row r="795" spans="1:103" x14ac:dyDescent="0.25">
      <c r="A795" t="s">
        <v>106</v>
      </c>
      <c r="B795" s="38">
        <v>44932</v>
      </c>
      <c r="C795" s="43">
        <f>IF(YEAR(Таблица1[[#This Row],[Дата]])=2023,MONTH(Таблица1[[#This Row],[Дата]]),0)</f>
        <v>1</v>
      </c>
      <c r="D795" t="s">
        <v>1668</v>
      </c>
      <c r="E795" t="s">
        <v>108</v>
      </c>
      <c r="F795" t="s">
        <v>1669</v>
      </c>
      <c r="G795" t="s">
        <v>110</v>
      </c>
      <c r="H795" t="s">
        <v>111</v>
      </c>
      <c r="I795" t="s">
        <v>112</v>
      </c>
      <c r="J795" t="s">
        <v>112</v>
      </c>
      <c r="K795" t="s">
        <v>112</v>
      </c>
      <c r="L795" t="s">
        <v>150</v>
      </c>
      <c r="M795" t="s">
        <v>151</v>
      </c>
      <c r="N795" t="s">
        <v>112</v>
      </c>
      <c r="O795" t="s">
        <v>112</v>
      </c>
      <c r="R795">
        <v>1</v>
      </c>
      <c r="S795">
        <v>33</v>
      </c>
      <c r="T795" t="s">
        <v>166</v>
      </c>
      <c r="U795" t="s">
        <v>152</v>
      </c>
      <c r="V795" t="s">
        <v>153</v>
      </c>
      <c r="W795" t="s">
        <v>154</v>
      </c>
      <c r="X795" t="s">
        <v>119</v>
      </c>
      <c r="Y795" t="s">
        <v>112</v>
      </c>
      <c r="Z795" t="s">
        <v>166</v>
      </c>
      <c r="AA795" t="s">
        <v>152</v>
      </c>
      <c r="AB795" t="s">
        <v>153</v>
      </c>
      <c r="AC795" t="s">
        <v>154</v>
      </c>
      <c r="AD795" t="s">
        <v>119</v>
      </c>
      <c r="AE795" t="s">
        <v>112</v>
      </c>
      <c r="AF795" t="s">
        <v>121</v>
      </c>
      <c r="AG795" t="s">
        <v>122</v>
      </c>
      <c r="AH795">
        <v>4847489.6100000003</v>
      </c>
      <c r="AI795" t="s">
        <v>166</v>
      </c>
      <c r="AJ795" t="s">
        <v>152</v>
      </c>
      <c r="AK795" t="s">
        <v>153</v>
      </c>
      <c r="AL795" t="s">
        <v>154</v>
      </c>
      <c r="AM795" t="s">
        <v>119</v>
      </c>
      <c r="AN795" t="s">
        <v>112</v>
      </c>
      <c r="AO795" t="s">
        <v>121</v>
      </c>
      <c r="AP795" t="s">
        <v>122</v>
      </c>
      <c r="AQ795" t="s">
        <v>122</v>
      </c>
      <c r="AR795" t="s">
        <v>124</v>
      </c>
      <c r="AS795" t="s">
        <v>125</v>
      </c>
      <c r="AU795" t="s">
        <v>126</v>
      </c>
      <c r="AV795" t="s">
        <v>155</v>
      </c>
      <c r="AW795" t="s">
        <v>156</v>
      </c>
      <c r="AY795" t="s">
        <v>129</v>
      </c>
      <c r="AZ795">
        <v>42033.24</v>
      </c>
      <c r="BC795">
        <v>103.8379</v>
      </c>
      <c r="BD795" t="s">
        <v>112</v>
      </c>
      <c r="BE795" t="s">
        <v>112</v>
      </c>
      <c r="BF795" t="s">
        <v>112</v>
      </c>
      <c r="BG795" t="s">
        <v>133</v>
      </c>
      <c r="BH795" t="s">
        <v>134</v>
      </c>
      <c r="BI795" t="s">
        <v>112</v>
      </c>
      <c r="BJ795" t="s">
        <v>112</v>
      </c>
      <c r="BK795" t="s">
        <v>112</v>
      </c>
      <c r="BL795" t="s">
        <v>112</v>
      </c>
      <c r="BM795" t="s">
        <v>112</v>
      </c>
      <c r="BN795" t="s">
        <v>112</v>
      </c>
      <c r="BO795" t="s">
        <v>161</v>
      </c>
      <c r="BQ795" t="s">
        <v>205</v>
      </c>
      <c r="BR795" s="45">
        <f>ISNUMBER(SEARCH($BR$1,Таблица1[[#This Row],[31_1 Описание и характеристика товара]]))*1</f>
        <v>1</v>
      </c>
      <c r="BT795" t="s">
        <v>150</v>
      </c>
      <c r="BU795">
        <v>33</v>
      </c>
      <c r="BV795">
        <v>0</v>
      </c>
      <c r="BW795">
        <v>0</v>
      </c>
      <c r="CA795" t="s">
        <v>106</v>
      </c>
      <c r="CB795" t="s">
        <v>142</v>
      </c>
      <c r="CC795" t="s">
        <v>112</v>
      </c>
      <c r="CD795" t="s">
        <v>112</v>
      </c>
      <c r="CE795" t="s">
        <v>121</v>
      </c>
      <c r="CF795">
        <v>16268.05</v>
      </c>
      <c r="CG795" t="s">
        <v>144</v>
      </c>
      <c r="CH795">
        <v>4000000</v>
      </c>
      <c r="CI795">
        <v>16149.25</v>
      </c>
      <c r="CJ795">
        <v>0</v>
      </c>
      <c r="CK795" t="s">
        <v>112</v>
      </c>
      <c r="CL795" t="s">
        <v>112</v>
      </c>
      <c r="CM795">
        <v>42033.24</v>
      </c>
      <c r="CO795">
        <v>0</v>
      </c>
      <c r="CP795">
        <v>1</v>
      </c>
      <c r="CQ795">
        <v>4847489.6100000003</v>
      </c>
      <c r="CR795">
        <v>51129.760000000002</v>
      </c>
      <c r="CS795" t="s">
        <v>145</v>
      </c>
      <c r="CT795">
        <v>51193.122499999998</v>
      </c>
      <c r="CU795">
        <v>3.17</v>
      </c>
      <c r="CY795">
        <v>124</v>
      </c>
    </row>
    <row r="796" spans="1:103" x14ac:dyDescent="0.25">
      <c r="A796" t="s">
        <v>106</v>
      </c>
      <c r="B796" s="38">
        <v>45089</v>
      </c>
      <c r="C796" s="43">
        <f>IF(YEAR(Таблица1[[#This Row],[Дата]])=2023,MONTH(Таблица1[[#This Row],[Дата]]),0)</f>
        <v>6</v>
      </c>
      <c r="D796" t="s">
        <v>1666</v>
      </c>
      <c r="E796" t="s">
        <v>108</v>
      </c>
      <c r="F796" t="s">
        <v>1667</v>
      </c>
      <c r="G796" t="s">
        <v>110</v>
      </c>
      <c r="H796" t="s">
        <v>111</v>
      </c>
      <c r="I796" t="s">
        <v>112</v>
      </c>
      <c r="J796" t="s">
        <v>112</v>
      </c>
      <c r="K796" t="s">
        <v>112</v>
      </c>
      <c r="L796" t="s">
        <v>150</v>
      </c>
      <c r="M796" t="s">
        <v>151</v>
      </c>
      <c r="N796" t="s">
        <v>112</v>
      </c>
      <c r="O796" t="s">
        <v>112</v>
      </c>
      <c r="R796">
        <v>1</v>
      </c>
      <c r="S796">
        <v>33</v>
      </c>
      <c r="T796" t="s">
        <v>166</v>
      </c>
      <c r="U796" t="s">
        <v>152</v>
      </c>
      <c r="V796" t="s">
        <v>153</v>
      </c>
      <c r="W796" t="s">
        <v>154</v>
      </c>
      <c r="X796" t="s">
        <v>119</v>
      </c>
      <c r="Y796" t="s">
        <v>112</v>
      </c>
      <c r="Z796" t="s">
        <v>166</v>
      </c>
      <c r="AA796" t="s">
        <v>152</v>
      </c>
      <c r="AB796" t="s">
        <v>153</v>
      </c>
      <c r="AC796" t="s">
        <v>154</v>
      </c>
      <c r="AD796" t="s">
        <v>119</v>
      </c>
      <c r="AE796" t="s">
        <v>112</v>
      </c>
      <c r="AF796" t="s">
        <v>121</v>
      </c>
      <c r="AG796" t="s">
        <v>122</v>
      </c>
      <c r="AH796">
        <v>4925369.07</v>
      </c>
      <c r="AI796" t="s">
        <v>166</v>
      </c>
      <c r="AJ796" t="s">
        <v>152</v>
      </c>
      <c r="AK796" t="s">
        <v>153</v>
      </c>
      <c r="AL796" t="s">
        <v>154</v>
      </c>
      <c r="AM796" t="s">
        <v>119</v>
      </c>
      <c r="AN796" t="s">
        <v>112</v>
      </c>
      <c r="AO796" t="s">
        <v>121</v>
      </c>
      <c r="AP796" t="s">
        <v>122</v>
      </c>
      <c r="AQ796" t="s">
        <v>122</v>
      </c>
      <c r="AR796" t="s">
        <v>124</v>
      </c>
      <c r="AS796" t="s">
        <v>125</v>
      </c>
      <c r="AU796" t="s">
        <v>126</v>
      </c>
      <c r="AV796" t="s">
        <v>155</v>
      </c>
      <c r="AW796" t="s">
        <v>156</v>
      </c>
      <c r="AY796" t="s">
        <v>129</v>
      </c>
      <c r="AZ796">
        <v>43303.25</v>
      </c>
      <c r="BC796">
        <v>103.8379</v>
      </c>
      <c r="BD796" t="s">
        <v>112</v>
      </c>
      <c r="BE796" t="s">
        <v>112</v>
      </c>
      <c r="BF796" t="s">
        <v>112</v>
      </c>
      <c r="BG796" t="s">
        <v>133</v>
      </c>
      <c r="BH796" t="s">
        <v>134</v>
      </c>
      <c r="BI796" t="s">
        <v>112</v>
      </c>
      <c r="BJ796" t="s">
        <v>112</v>
      </c>
      <c r="BK796" t="s">
        <v>112</v>
      </c>
      <c r="BL796" t="s">
        <v>112</v>
      </c>
      <c r="BM796" t="s">
        <v>112</v>
      </c>
      <c r="BN796" t="s">
        <v>112</v>
      </c>
      <c r="BO796" t="s">
        <v>161</v>
      </c>
      <c r="BQ796" t="s">
        <v>162</v>
      </c>
      <c r="BR796" s="45">
        <f>ISNUMBER(SEARCH($BR$1,Таблица1[[#This Row],[31_1 Описание и характеристика товара]]))*1</f>
        <v>1</v>
      </c>
      <c r="BT796" t="s">
        <v>150</v>
      </c>
      <c r="BU796">
        <v>33</v>
      </c>
      <c r="BV796">
        <v>0</v>
      </c>
      <c r="BW796">
        <v>0</v>
      </c>
      <c r="CA796" t="s">
        <v>106</v>
      </c>
      <c r="CB796" t="s">
        <v>142</v>
      </c>
      <c r="CC796" t="s">
        <v>112</v>
      </c>
      <c r="CD796" t="s">
        <v>112</v>
      </c>
      <c r="CE796" t="s">
        <v>121</v>
      </c>
      <c r="CF796">
        <v>16580.23</v>
      </c>
      <c r="CG796" t="s">
        <v>144</v>
      </c>
      <c r="CH796">
        <v>4000000</v>
      </c>
      <c r="CI796">
        <v>16490.23</v>
      </c>
      <c r="CJ796">
        <v>0</v>
      </c>
      <c r="CK796" t="s">
        <v>112</v>
      </c>
      <c r="CL796" t="s">
        <v>112</v>
      </c>
      <c r="CM796">
        <v>43303.25</v>
      </c>
      <c r="CO796">
        <v>0</v>
      </c>
      <c r="CP796">
        <v>1</v>
      </c>
      <c r="CQ796">
        <v>4925369.07</v>
      </c>
      <c r="CR796">
        <v>51951.21</v>
      </c>
      <c r="CS796" t="s">
        <v>145</v>
      </c>
      <c r="CT796">
        <v>51944.224499999997</v>
      </c>
      <c r="CU796">
        <v>3.15</v>
      </c>
      <c r="CY796">
        <v>4</v>
      </c>
    </row>
    <row r="797" spans="1:103" x14ac:dyDescent="0.25">
      <c r="A797" t="s">
        <v>106</v>
      </c>
      <c r="B797" s="38">
        <v>45090</v>
      </c>
      <c r="C797" s="43">
        <f>IF(YEAR(Таблица1[[#This Row],[Дата]])=2023,MONTH(Таблица1[[#This Row],[Дата]]),0)</f>
        <v>6</v>
      </c>
      <c r="D797" t="s">
        <v>1664</v>
      </c>
      <c r="E797" t="s">
        <v>108</v>
      </c>
      <c r="F797" t="s">
        <v>1665</v>
      </c>
      <c r="G797" t="s">
        <v>110</v>
      </c>
      <c r="H797" t="s">
        <v>111</v>
      </c>
      <c r="I797" t="s">
        <v>112</v>
      </c>
      <c r="J797" t="s">
        <v>112</v>
      </c>
      <c r="K797" t="s">
        <v>112</v>
      </c>
      <c r="L797" t="s">
        <v>150</v>
      </c>
      <c r="M797" t="s">
        <v>151</v>
      </c>
      <c r="N797" t="s">
        <v>112</v>
      </c>
      <c r="O797" t="s">
        <v>112</v>
      </c>
      <c r="R797">
        <v>1</v>
      </c>
      <c r="S797">
        <v>33</v>
      </c>
      <c r="T797" t="s">
        <v>166</v>
      </c>
      <c r="U797" t="s">
        <v>152</v>
      </c>
      <c r="V797" t="s">
        <v>153</v>
      </c>
      <c r="W797" t="s">
        <v>154</v>
      </c>
      <c r="X797" t="s">
        <v>119</v>
      </c>
      <c r="Y797" t="s">
        <v>112</v>
      </c>
      <c r="Z797" t="s">
        <v>166</v>
      </c>
      <c r="AA797" t="s">
        <v>152</v>
      </c>
      <c r="AB797" t="s">
        <v>153</v>
      </c>
      <c r="AC797" t="s">
        <v>154</v>
      </c>
      <c r="AD797" t="s">
        <v>119</v>
      </c>
      <c r="AE797" t="s">
        <v>112</v>
      </c>
      <c r="AF797" t="s">
        <v>121</v>
      </c>
      <c r="AG797" t="s">
        <v>122</v>
      </c>
      <c r="AH797">
        <v>4182007.05</v>
      </c>
      <c r="AI797" t="s">
        <v>166</v>
      </c>
      <c r="AJ797" t="s">
        <v>152</v>
      </c>
      <c r="AK797" t="s">
        <v>153</v>
      </c>
      <c r="AL797" t="s">
        <v>154</v>
      </c>
      <c r="AM797" t="s">
        <v>119</v>
      </c>
      <c r="AN797" t="s">
        <v>112</v>
      </c>
      <c r="AO797" t="s">
        <v>121</v>
      </c>
      <c r="AP797" t="s">
        <v>122</v>
      </c>
      <c r="AQ797" t="s">
        <v>122</v>
      </c>
      <c r="AR797" t="s">
        <v>124</v>
      </c>
      <c r="AS797" t="s">
        <v>125</v>
      </c>
      <c r="AU797" t="s">
        <v>126</v>
      </c>
      <c r="AV797" t="s">
        <v>155</v>
      </c>
      <c r="AW797" t="s">
        <v>156</v>
      </c>
      <c r="AY797" t="s">
        <v>129</v>
      </c>
      <c r="AZ797">
        <v>36144.379999999997</v>
      </c>
      <c r="BC797">
        <v>103.8379</v>
      </c>
      <c r="BD797" t="s">
        <v>112</v>
      </c>
      <c r="BE797" t="s">
        <v>112</v>
      </c>
      <c r="BF797" t="s">
        <v>112</v>
      </c>
      <c r="BG797" t="s">
        <v>133</v>
      </c>
      <c r="BH797" t="s">
        <v>167</v>
      </c>
      <c r="BI797" t="s">
        <v>112</v>
      </c>
      <c r="BJ797" t="s">
        <v>112</v>
      </c>
      <c r="BK797" t="s">
        <v>112</v>
      </c>
      <c r="BL797" t="s">
        <v>112</v>
      </c>
      <c r="BM797" t="s">
        <v>112</v>
      </c>
      <c r="BN797" t="s">
        <v>112</v>
      </c>
      <c r="BO797" t="s">
        <v>161</v>
      </c>
      <c r="BQ797" t="s">
        <v>205</v>
      </c>
      <c r="BR797" s="45">
        <f>ISNUMBER(SEARCH($BR$1,Таблица1[[#This Row],[31_1 Описание и характеристика товара]]))*1</f>
        <v>1</v>
      </c>
      <c r="BT797" t="s">
        <v>150</v>
      </c>
      <c r="BU797">
        <v>33</v>
      </c>
      <c r="BV797">
        <v>0</v>
      </c>
      <c r="BW797">
        <v>0</v>
      </c>
      <c r="CA797" t="s">
        <v>106</v>
      </c>
      <c r="CB797" t="s">
        <v>142</v>
      </c>
      <c r="CC797" t="s">
        <v>112</v>
      </c>
      <c r="CD797" t="s">
        <v>112</v>
      </c>
      <c r="CE797" t="s">
        <v>121</v>
      </c>
      <c r="CF797">
        <v>16289.58</v>
      </c>
      <c r="CG797" t="s">
        <v>144</v>
      </c>
      <c r="CH797">
        <v>4000000</v>
      </c>
      <c r="CI797">
        <v>16192.38</v>
      </c>
      <c r="CJ797">
        <v>0</v>
      </c>
      <c r="CK797" t="s">
        <v>112</v>
      </c>
      <c r="CL797" t="s">
        <v>112</v>
      </c>
      <c r="CM797">
        <v>36144.379999999997</v>
      </c>
      <c r="CO797">
        <v>0</v>
      </c>
      <c r="CP797">
        <v>1</v>
      </c>
      <c r="CQ797">
        <v>4182007.05</v>
      </c>
      <c r="CR797">
        <v>44110.46</v>
      </c>
      <c r="CS797" t="s">
        <v>145</v>
      </c>
      <c r="CT797">
        <v>44043.2736</v>
      </c>
      <c r="CU797">
        <v>2.72</v>
      </c>
      <c r="CY797">
        <v>556</v>
      </c>
    </row>
    <row r="798" spans="1:103" x14ac:dyDescent="0.25">
      <c r="A798" t="s">
        <v>106</v>
      </c>
      <c r="B798" s="38">
        <v>45093</v>
      </c>
      <c r="C798" s="43">
        <f>IF(YEAR(Таблица1[[#This Row],[Дата]])=2023,MONTH(Таблица1[[#This Row],[Дата]]),0)</f>
        <v>6</v>
      </c>
      <c r="D798" t="s">
        <v>1662</v>
      </c>
      <c r="E798" t="s">
        <v>108</v>
      </c>
      <c r="F798" t="s">
        <v>1663</v>
      </c>
      <c r="G798" t="s">
        <v>110</v>
      </c>
      <c r="H798" t="s">
        <v>111</v>
      </c>
      <c r="I798" t="s">
        <v>112</v>
      </c>
      <c r="J798" t="s">
        <v>112</v>
      </c>
      <c r="K798" t="s">
        <v>112</v>
      </c>
      <c r="L798" t="s">
        <v>150</v>
      </c>
      <c r="M798" t="s">
        <v>151</v>
      </c>
      <c r="N798" t="s">
        <v>112</v>
      </c>
      <c r="O798" t="s">
        <v>112</v>
      </c>
      <c r="R798">
        <v>1</v>
      </c>
      <c r="S798">
        <v>33</v>
      </c>
      <c r="T798" t="s">
        <v>166</v>
      </c>
      <c r="U798" t="s">
        <v>152</v>
      </c>
      <c r="V798" t="s">
        <v>153</v>
      </c>
      <c r="W798" t="s">
        <v>154</v>
      </c>
      <c r="X798" t="s">
        <v>119</v>
      </c>
      <c r="Y798" t="s">
        <v>112</v>
      </c>
      <c r="Z798" t="s">
        <v>166</v>
      </c>
      <c r="AA798" t="s">
        <v>152</v>
      </c>
      <c r="AB798" t="s">
        <v>153</v>
      </c>
      <c r="AC798" t="s">
        <v>154</v>
      </c>
      <c r="AD798" t="s">
        <v>119</v>
      </c>
      <c r="AE798" t="s">
        <v>112</v>
      </c>
      <c r="AF798" t="s">
        <v>121</v>
      </c>
      <c r="AG798" t="s">
        <v>122</v>
      </c>
      <c r="AH798">
        <v>4944650.7300000004</v>
      </c>
      <c r="AI798" t="s">
        <v>166</v>
      </c>
      <c r="AJ798" t="s">
        <v>152</v>
      </c>
      <c r="AK798" t="s">
        <v>153</v>
      </c>
      <c r="AL798" t="s">
        <v>154</v>
      </c>
      <c r="AM798" t="s">
        <v>119</v>
      </c>
      <c r="AN798" t="s">
        <v>112</v>
      </c>
      <c r="AO798" t="s">
        <v>121</v>
      </c>
      <c r="AP798" t="s">
        <v>122</v>
      </c>
      <c r="AQ798" t="s">
        <v>122</v>
      </c>
      <c r="AR798" t="s">
        <v>124</v>
      </c>
      <c r="AS798" t="s">
        <v>125</v>
      </c>
      <c r="AU798" t="s">
        <v>126</v>
      </c>
      <c r="AV798" t="s">
        <v>155</v>
      </c>
      <c r="AW798" t="s">
        <v>156</v>
      </c>
      <c r="AY798" t="s">
        <v>129</v>
      </c>
      <c r="AZ798">
        <v>43488.94</v>
      </c>
      <c r="BC798">
        <v>103.8379</v>
      </c>
      <c r="BD798" t="s">
        <v>112</v>
      </c>
      <c r="BE798" t="s">
        <v>112</v>
      </c>
      <c r="BF798" t="s">
        <v>112</v>
      </c>
      <c r="BG798" t="s">
        <v>133</v>
      </c>
      <c r="BH798" t="s">
        <v>167</v>
      </c>
      <c r="BI798" t="s">
        <v>112</v>
      </c>
      <c r="BJ798" t="s">
        <v>112</v>
      </c>
      <c r="BK798" t="s">
        <v>112</v>
      </c>
      <c r="BL798" t="s">
        <v>112</v>
      </c>
      <c r="BM798" t="s">
        <v>112</v>
      </c>
      <c r="BN798" t="s">
        <v>112</v>
      </c>
      <c r="BO798" t="s">
        <v>161</v>
      </c>
      <c r="BQ798" t="s">
        <v>162</v>
      </c>
      <c r="BR798" s="45">
        <f>ISNUMBER(SEARCH($BR$1,Таблица1[[#This Row],[31_1 Описание и характеристика товара]]))*1</f>
        <v>1</v>
      </c>
      <c r="BT798" t="s">
        <v>150</v>
      </c>
      <c r="BU798">
        <v>33</v>
      </c>
      <c r="BV798">
        <v>0</v>
      </c>
      <c r="BW798">
        <v>0</v>
      </c>
      <c r="CA798" t="s">
        <v>106</v>
      </c>
      <c r="CB798" t="s">
        <v>142</v>
      </c>
      <c r="CC798" t="s">
        <v>112</v>
      </c>
      <c r="CD798" t="s">
        <v>112</v>
      </c>
      <c r="CE798" t="s">
        <v>121</v>
      </c>
      <c r="CF798">
        <v>16403.71</v>
      </c>
      <c r="CG798" t="s">
        <v>144</v>
      </c>
      <c r="CH798">
        <v>4000000</v>
      </c>
      <c r="CI798">
        <v>16252.51</v>
      </c>
      <c r="CJ798">
        <v>0</v>
      </c>
      <c r="CK798" t="s">
        <v>112</v>
      </c>
      <c r="CL798" t="s">
        <v>112</v>
      </c>
      <c r="CM798">
        <v>43488.94</v>
      </c>
      <c r="CO798">
        <v>0</v>
      </c>
      <c r="CP798">
        <v>1</v>
      </c>
      <c r="CQ798">
        <v>4944650.7300000004</v>
      </c>
      <c r="CR798">
        <v>52154.58</v>
      </c>
      <c r="CS798" t="s">
        <v>145</v>
      </c>
      <c r="CT798">
        <v>52170.557099999998</v>
      </c>
      <c r="CU798">
        <v>3.21</v>
      </c>
      <c r="CY798">
        <v>134</v>
      </c>
    </row>
    <row r="799" spans="1:103" x14ac:dyDescent="0.25">
      <c r="A799" t="s">
        <v>106</v>
      </c>
      <c r="B799" s="38">
        <v>45156</v>
      </c>
      <c r="C799" s="43">
        <f>IF(YEAR(Таблица1[[#This Row],[Дата]])=2023,MONTH(Таблица1[[#This Row],[Дата]]),0)</f>
        <v>8</v>
      </c>
      <c r="D799" t="s">
        <v>1660</v>
      </c>
      <c r="E799" t="s">
        <v>108</v>
      </c>
      <c r="F799" t="s">
        <v>1661</v>
      </c>
      <c r="G799" t="s">
        <v>110</v>
      </c>
      <c r="H799" t="s">
        <v>111</v>
      </c>
      <c r="I799" t="s">
        <v>112</v>
      </c>
      <c r="J799" t="s">
        <v>112</v>
      </c>
      <c r="K799" t="s">
        <v>112</v>
      </c>
      <c r="L799" t="s">
        <v>150</v>
      </c>
      <c r="M799" t="s">
        <v>151</v>
      </c>
      <c r="N799" t="s">
        <v>112</v>
      </c>
      <c r="O799" t="s">
        <v>112</v>
      </c>
      <c r="R799">
        <v>1</v>
      </c>
      <c r="S799">
        <v>33</v>
      </c>
      <c r="T799" t="s">
        <v>166</v>
      </c>
      <c r="U799" t="s">
        <v>152</v>
      </c>
      <c r="V799" t="s">
        <v>153</v>
      </c>
      <c r="W799" t="s">
        <v>154</v>
      </c>
      <c r="X799" t="s">
        <v>119</v>
      </c>
      <c r="Y799" t="s">
        <v>112</v>
      </c>
      <c r="Z799" t="s">
        <v>166</v>
      </c>
      <c r="AA799" t="s">
        <v>152</v>
      </c>
      <c r="AB799" t="s">
        <v>153</v>
      </c>
      <c r="AC799" t="s">
        <v>154</v>
      </c>
      <c r="AD799" t="s">
        <v>119</v>
      </c>
      <c r="AE799" t="s">
        <v>112</v>
      </c>
      <c r="AF799" t="s">
        <v>121</v>
      </c>
      <c r="AG799" t="s">
        <v>122</v>
      </c>
      <c r="AH799">
        <v>4820321.46</v>
      </c>
      <c r="AI799" t="s">
        <v>166</v>
      </c>
      <c r="AJ799" t="s">
        <v>152</v>
      </c>
      <c r="AK799" t="s">
        <v>153</v>
      </c>
      <c r="AL799" t="s">
        <v>154</v>
      </c>
      <c r="AM799" t="s">
        <v>119</v>
      </c>
      <c r="AN799" t="s">
        <v>112</v>
      </c>
      <c r="AO799" t="s">
        <v>121</v>
      </c>
      <c r="AP799" t="s">
        <v>122</v>
      </c>
      <c r="AQ799" t="s">
        <v>122</v>
      </c>
      <c r="AR799" t="s">
        <v>124</v>
      </c>
      <c r="AS799" t="s">
        <v>125</v>
      </c>
      <c r="AU799" t="s">
        <v>126</v>
      </c>
      <c r="AV799" t="s">
        <v>155</v>
      </c>
      <c r="AW799" t="s">
        <v>156</v>
      </c>
      <c r="AY799" t="s">
        <v>129</v>
      </c>
      <c r="AZ799">
        <v>41591.599999999999</v>
      </c>
      <c r="BC799">
        <v>103.8379</v>
      </c>
      <c r="BD799" t="s">
        <v>112</v>
      </c>
      <c r="BE799" t="s">
        <v>112</v>
      </c>
      <c r="BF799" t="s">
        <v>112</v>
      </c>
      <c r="BG799" t="s">
        <v>133</v>
      </c>
      <c r="BH799" t="s">
        <v>167</v>
      </c>
      <c r="BI799" t="s">
        <v>112</v>
      </c>
      <c r="BJ799" t="s">
        <v>112</v>
      </c>
      <c r="BK799" t="s">
        <v>112</v>
      </c>
      <c r="BL799" t="s">
        <v>112</v>
      </c>
      <c r="BM799" t="s">
        <v>112</v>
      </c>
      <c r="BN799" t="s">
        <v>112</v>
      </c>
      <c r="BO799" t="s">
        <v>161</v>
      </c>
      <c r="BQ799" t="s">
        <v>205</v>
      </c>
      <c r="BR799" s="45">
        <f>ISNUMBER(SEARCH($BR$1,Таблица1[[#This Row],[31_1 Описание и характеристика товара]]))*1</f>
        <v>1</v>
      </c>
      <c r="BT799" t="s">
        <v>150</v>
      </c>
      <c r="BU799">
        <v>33</v>
      </c>
      <c r="BV799">
        <v>0</v>
      </c>
      <c r="BW799">
        <v>0</v>
      </c>
      <c r="CA799" t="s">
        <v>106</v>
      </c>
      <c r="CB799" t="s">
        <v>142</v>
      </c>
      <c r="CC799" t="s">
        <v>112</v>
      </c>
      <c r="CD799" t="s">
        <v>112</v>
      </c>
      <c r="CE799" t="s">
        <v>121</v>
      </c>
      <c r="CF799">
        <v>16427.16</v>
      </c>
      <c r="CG799" t="s">
        <v>144</v>
      </c>
      <c r="CH799">
        <v>4000000</v>
      </c>
      <c r="CI799">
        <v>16319.22</v>
      </c>
      <c r="CJ799">
        <v>0</v>
      </c>
      <c r="CK799" t="s">
        <v>112</v>
      </c>
      <c r="CL799" t="s">
        <v>112</v>
      </c>
      <c r="CM799">
        <v>41591.599999999999</v>
      </c>
      <c r="CO799">
        <v>0</v>
      </c>
      <c r="CP799">
        <v>1</v>
      </c>
      <c r="CQ799">
        <v>4820321.46</v>
      </c>
      <c r="CR799">
        <v>50843.199999999997</v>
      </c>
      <c r="CS799" t="s">
        <v>145</v>
      </c>
      <c r="CT799">
        <v>50915.966399999998</v>
      </c>
      <c r="CU799">
        <v>3.12</v>
      </c>
      <c r="CY799">
        <v>75</v>
      </c>
    </row>
    <row r="800" spans="1:103" x14ac:dyDescent="0.25">
      <c r="A800" t="s">
        <v>106</v>
      </c>
      <c r="B800" s="38">
        <v>45225</v>
      </c>
      <c r="C800" s="43">
        <f>IF(YEAR(Таблица1[[#This Row],[Дата]])=2023,MONTH(Таблица1[[#This Row],[Дата]]),0)</f>
        <v>10</v>
      </c>
      <c r="D800" t="s">
        <v>1658</v>
      </c>
      <c r="E800" t="s">
        <v>108</v>
      </c>
      <c r="F800" t="s">
        <v>1659</v>
      </c>
      <c r="G800" t="s">
        <v>110</v>
      </c>
      <c r="H800" t="s">
        <v>111</v>
      </c>
      <c r="I800" t="s">
        <v>112</v>
      </c>
      <c r="J800" t="s">
        <v>112</v>
      </c>
      <c r="K800" t="s">
        <v>112</v>
      </c>
      <c r="L800" t="s">
        <v>150</v>
      </c>
      <c r="M800" t="s">
        <v>151</v>
      </c>
      <c r="N800" t="s">
        <v>112</v>
      </c>
      <c r="O800" t="s">
        <v>112</v>
      </c>
      <c r="R800">
        <v>1</v>
      </c>
      <c r="S800">
        <v>33</v>
      </c>
      <c r="T800" t="s">
        <v>166</v>
      </c>
      <c r="U800" t="s">
        <v>152</v>
      </c>
      <c r="V800" t="s">
        <v>153</v>
      </c>
      <c r="W800" t="s">
        <v>154</v>
      </c>
      <c r="X800" t="s">
        <v>119</v>
      </c>
      <c r="Y800" t="s">
        <v>112</v>
      </c>
      <c r="Z800" t="s">
        <v>166</v>
      </c>
      <c r="AA800" t="s">
        <v>152</v>
      </c>
      <c r="AB800" t="s">
        <v>153</v>
      </c>
      <c r="AC800" t="s">
        <v>154</v>
      </c>
      <c r="AD800" t="s">
        <v>119</v>
      </c>
      <c r="AE800" t="s">
        <v>112</v>
      </c>
      <c r="AF800" t="s">
        <v>121</v>
      </c>
      <c r="AG800" t="s">
        <v>122</v>
      </c>
      <c r="AH800">
        <v>4570188.42</v>
      </c>
      <c r="AI800" t="s">
        <v>166</v>
      </c>
      <c r="AJ800" t="s">
        <v>152</v>
      </c>
      <c r="AK800" t="s">
        <v>153</v>
      </c>
      <c r="AL800" t="s">
        <v>154</v>
      </c>
      <c r="AM800" t="s">
        <v>119</v>
      </c>
      <c r="AN800" t="s">
        <v>112</v>
      </c>
      <c r="AO800" t="s">
        <v>121</v>
      </c>
      <c r="AP800" t="s">
        <v>122</v>
      </c>
      <c r="AQ800" t="s">
        <v>122</v>
      </c>
      <c r="AR800" t="s">
        <v>124</v>
      </c>
      <c r="AS800" t="s">
        <v>125</v>
      </c>
      <c r="AU800" t="s">
        <v>126</v>
      </c>
      <c r="AV800" t="s">
        <v>155</v>
      </c>
      <c r="AW800" t="s">
        <v>156</v>
      </c>
      <c r="AY800" t="s">
        <v>129</v>
      </c>
      <c r="AZ800">
        <v>39882.720000000001</v>
      </c>
      <c r="BC800">
        <v>103.8379</v>
      </c>
      <c r="BD800" t="s">
        <v>112</v>
      </c>
      <c r="BE800" t="s">
        <v>112</v>
      </c>
      <c r="BF800" t="s">
        <v>112</v>
      </c>
      <c r="BG800" t="s">
        <v>133</v>
      </c>
      <c r="BH800" t="s">
        <v>167</v>
      </c>
      <c r="BI800" t="s">
        <v>112</v>
      </c>
      <c r="BJ800" t="s">
        <v>112</v>
      </c>
      <c r="BK800" t="s">
        <v>112</v>
      </c>
      <c r="BL800" t="s">
        <v>112</v>
      </c>
      <c r="BM800" t="s">
        <v>112</v>
      </c>
      <c r="BN800" t="s">
        <v>112</v>
      </c>
      <c r="BO800" t="s">
        <v>161</v>
      </c>
      <c r="BQ800" t="s">
        <v>162</v>
      </c>
      <c r="BR800" s="45">
        <f>ISNUMBER(SEARCH($BR$1,Таблица1[[#This Row],[31_1 Описание и характеристика товара]]))*1</f>
        <v>1</v>
      </c>
      <c r="BT800" t="s">
        <v>150</v>
      </c>
      <c r="BU800">
        <v>33</v>
      </c>
      <c r="BV800">
        <v>0</v>
      </c>
      <c r="BW800">
        <v>0</v>
      </c>
      <c r="CA800" t="s">
        <v>106</v>
      </c>
      <c r="CB800" t="s">
        <v>142</v>
      </c>
      <c r="CC800" t="s">
        <v>112</v>
      </c>
      <c r="CD800" t="s">
        <v>112</v>
      </c>
      <c r="CE800" t="s">
        <v>121</v>
      </c>
      <c r="CF800">
        <v>16471.14</v>
      </c>
      <c r="CG800" t="s">
        <v>144</v>
      </c>
      <c r="CH800">
        <v>4000000</v>
      </c>
      <c r="CI800">
        <v>16319.94</v>
      </c>
      <c r="CJ800">
        <v>0</v>
      </c>
      <c r="CK800" t="s">
        <v>112</v>
      </c>
      <c r="CL800" t="s">
        <v>112</v>
      </c>
      <c r="CM800">
        <v>39882.720000000001</v>
      </c>
      <c r="CO800">
        <v>0</v>
      </c>
      <c r="CP800">
        <v>1</v>
      </c>
      <c r="CQ800">
        <v>4570188.42</v>
      </c>
      <c r="CR800">
        <v>48204.87</v>
      </c>
      <c r="CS800" t="s">
        <v>145</v>
      </c>
      <c r="CT800">
        <v>48143.823000000004</v>
      </c>
      <c r="CU800">
        <v>2.95</v>
      </c>
      <c r="CY800">
        <v>21</v>
      </c>
    </row>
    <row r="801" spans="1:103" x14ac:dyDescent="0.25">
      <c r="A801" t="s">
        <v>106</v>
      </c>
      <c r="B801" s="38">
        <v>45200</v>
      </c>
      <c r="C801" s="43">
        <f>IF(YEAR(Таблица1[[#This Row],[Дата]])=2023,MONTH(Таблица1[[#This Row],[Дата]]),0)</f>
        <v>10</v>
      </c>
      <c r="D801" t="s">
        <v>1656</v>
      </c>
      <c r="E801" t="s">
        <v>108</v>
      </c>
      <c r="F801" t="s">
        <v>1657</v>
      </c>
      <c r="G801" t="s">
        <v>110</v>
      </c>
      <c r="H801" t="s">
        <v>111</v>
      </c>
      <c r="I801" t="s">
        <v>112</v>
      </c>
      <c r="J801" t="s">
        <v>112</v>
      </c>
      <c r="K801" t="s">
        <v>112</v>
      </c>
      <c r="L801" t="s">
        <v>150</v>
      </c>
      <c r="M801" t="s">
        <v>151</v>
      </c>
      <c r="N801" t="s">
        <v>112</v>
      </c>
      <c r="O801" t="s">
        <v>112</v>
      </c>
      <c r="R801">
        <v>1</v>
      </c>
      <c r="S801">
        <v>33</v>
      </c>
      <c r="T801" t="s">
        <v>166</v>
      </c>
      <c r="U801" t="s">
        <v>152</v>
      </c>
      <c r="V801" t="s">
        <v>153</v>
      </c>
      <c r="W801" t="s">
        <v>154</v>
      </c>
      <c r="X801" t="s">
        <v>119</v>
      </c>
      <c r="Y801" t="s">
        <v>112</v>
      </c>
      <c r="Z801" t="s">
        <v>166</v>
      </c>
      <c r="AA801" t="s">
        <v>152</v>
      </c>
      <c r="AB801" t="s">
        <v>153</v>
      </c>
      <c r="AC801" t="s">
        <v>154</v>
      </c>
      <c r="AD801" t="s">
        <v>119</v>
      </c>
      <c r="AE801" t="s">
        <v>112</v>
      </c>
      <c r="AF801" t="s">
        <v>121</v>
      </c>
      <c r="AG801" t="s">
        <v>122</v>
      </c>
      <c r="AH801">
        <v>4385884.46</v>
      </c>
      <c r="AI801" t="s">
        <v>166</v>
      </c>
      <c r="AJ801" t="s">
        <v>152</v>
      </c>
      <c r="AK801" t="s">
        <v>153</v>
      </c>
      <c r="AL801" t="s">
        <v>154</v>
      </c>
      <c r="AM801" t="s">
        <v>119</v>
      </c>
      <c r="AN801" t="s">
        <v>112</v>
      </c>
      <c r="AO801" t="s">
        <v>121</v>
      </c>
      <c r="AP801" t="s">
        <v>122</v>
      </c>
      <c r="AQ801" t="s">
        <v>122</v>
      </c>
      <c r="AR801" t="s">
        <v>124</v>
      </c>
      <c r="AS801" t="s">
        <v>125</v>
      </c>
      <c r="AU801" t="s">
        <v>126</v>
      </c>
      <c r="AV801" t="s">
        <v>155</v>
      </c>
      <c r="AW801" t="s">
        <v>156</v>
      </c>
      <c r="AY801" t="s">
        <v>129</v>
      </c>
      <c r="AZ801">
        <v>38107.800000000003</v>
      </c>
      <c r="BC801">
        <v>103.8379</v>
      </c>
      <c r="BD801" t="s">
        <v>112</v>
      </c>
      <c r="BE801" t="s">
        <v>112</v>
      </c>
      <c r="BF801" t="s">
        <v>112</v>
      </c>
      <c r="BG801" t="s">
        <v>133</v>
      </c>
      <c r="BH801" t="s">
        <v>167</v>
      </c>
      <c r="BI801" t="s">
        <v>112</v>
      </c>
      <c r="BJ801" t="s">
        <v>112</v>
      </c>
      <c r="BK801" t="s">
        <v>112</v>
      </c>
      <c r="BL801" t="s">
        <v>112</v>
      </c>
      <c r="BM801" t="s">
        <v>112</v>
      </c>
      <c r="BN801" t="s">
        <v>112</v>
      </c>
      <c r="BO801" t="s">
        <v>161</v>
      </c>
      <c r="BQ801" t="s">
        <v>205</v>
      </c>
      <c r="BR801" s="45">
        <f>ISNUMBER(SEARCH($BR$1,Таблица1[[#This Row],[31_1 Описание и характеристика товара]]))*1</f>
        <v>1</v>
      </c>
      <c r="BT801" t="s">
        <v>150</v>
      </c>
      <c r="BU801">
        <v>33</v>
      </c>
      <c r="BV801">
        <v>0</v>
      </c>
      <c r="BW801">
        <v>0</v>
      </c>
      <c r="CA801" t="s">
        <v>106</v>
      </c>
      <c r="CB801" t="s">
        <v>142</v>
      </c>
      <c r="CC801" t="s">
        <v>112</v>
      </c>
      <c r="CD801" t="s">
        <v>112</v>
      </c>
      <c r="CE801" t="s">
        <v>121</v>
      </c>
      <c r="CF801">
        <v>15835.08</v>
      </c>
      <c r="CG801" t="s">
        <v>144</v>
      </c>
      <c r="CH801">
        <v>4000000</v>
      </c>
      <c r="CI801">
        <v>15705.48</v>
      </c>
      <c r="CJ801">
        <v>0</v>
      </c>
      <c r="CK801" t="s">
        <v>112</v>
      </c>
      <c r="CL801" t="s">
        <v>112</v>
      </c>
      <c r="CM801">
        <v>38107.800000000003</v>
      </c>
      <c r="CO801">
        <v>0</v>
      </c>
      <c r="CP801">
        <v>1</v>
      </c>
      <c r="CQ801">
        <v>4385884.46</v>
      </c>
      <c r="CR801">
        <v>46260.9</v>
      </c>
      <c r="CS801" t="s">
        <v>145</v>
      </c>
      <c r="CT801">
        <v>46331.166000000005</v>
      </c>
      <c r="CU801">
        <v>2.95</v>
      </c>
      <c r="CY801">
        <v>9</v>
      </c>
    </row>
    <row r="802" spans="1:103" x14ac:dyDescent="0.25">
      <c r="A802" t="s">
        <v>106</v>
      </c>
      <c r="B802" s="38">
        <v>45094</v>
      </c>
      <c r="C802" s="43">
        <f>IF(YEAR(Таблица1[[#This Row],[Дата]])=2023,MONTH(Таблица1[[#This Row],[Дата]]),0)</f>
        <v>6</v>
      </c>
      <c r="D802" t="s">
        <v>1434</v>
      </c>
      <c r="E802" t="s">
        <v>108</v>
      </c>
      <c r="F802" t="s">
        <v>1435</v>
      </c>
      <c r="G802" t="s">
        <v>110</v>
      </c>
      <c r="H802" t="s">
        <v>111</v>
      </c>
      <c r="I802" t="s">
        <v>112</v>
      </c>
      <c r="J802" t="s">
        <v>112</v>
      </c>
      <c r="K802" t="s">
        <v>112</v>
      </c>
      <c r="L802" t="s">
        <v>150</v>
      </c>
      <c r="M802" t="s">
        <v>1405</v>
      </c>
      <c r="N802" t="s">
        <v>112</v>
      </c>
      <c r="O802" t="s">
        <v>112</v>
      </c>
      <c r="P802">
        <v>1</v>
      </c>
      <c r="R802">
        <v>1</v>
      </c>
      <c r="S802">
        <v>33</v>
      </c>
      <c r="T802" t="s">
        <v>166</v>
      </c>
      <c r="U802" t="s">
        <v>152</v>
      </c>
      <c r="V802" t="s">
        <v>153</v>
      </c>
      <c r="W802" t="s">
        <v>154</v>
      </c>
      <c r="X802" t="s">
        <v>119</v>
      </c>
      <c r="Y802" t="s">
        <v>112</v>
      </c>
      <c r="Z802" t="s">
        <v>166</v>
      </c>
      <c r="AA802" t="s">
        <v>152</v>
      </c>
      <c r="AB802" t="s">
        <v>153</v>
      </c>
      <c r="AC802" t="s">
        <v>154</v>
      </c>
      <c r="AD802" t="s">
        <v>119</v>
      </c>
      <c r="AE802" t="s">
        <v>112</v>
      </c>
      <c r="AF802" t="s">
        <v>121</v>
      </c>
      <c r="AG802" t="s">
        <v>122</v>
      </c>
      <c r="AH802">
        <v>4831755.72</v>
      </c>
      <c r="AI802" t="s">
        <v>166</v>
      </c>
      <c r="AJ802" t="s">
        <v>152</v>
      </c>
      <c r="AK802" t="s">
        <v>153</v>
      </c>
      <c r="AL802" t="s">
        <v>154</v>
      </c>
      <c r="AM802" t="s">
        <v>119</v>
      </c>
      <c r="AN802" t="s">
        <v>112</v>
      </c>
      <c r="AO802" t="s">
        <v>121</v>
      </c>
      <c r="AP802" t="s">
        <v>122</v>
      </c>
      <c r="AQ802" t="s">
        <v>122</v>
      </c>
      <c r="AR802" t="s">
        <v>124</v>
      </c>
      <c r="AS802" t="s">
        <v>125</v>
      </c>
      <c r="AT802">
        <v>2</v>
      </c>
      <c r="AU802" t="s">
        <v>126</v>
      </c>
      <c r="AV802" t="s">
        <v>155</v>
      </c>
      <c r="AW802" t="s">
        <v>156</v>
      </c>
      <c r="AX802">
        <v>1</v>
      </c>
      <c r="AY802" t="s">
        <v>129</v>
      </c>
      <c r="AZ802">
        <v>43323.92</v>
      </c>
      <c r="BA802">
        <v>4363425</v>
      </c>
      <c r="BB802">
        <v>52195.98</v>
      </c>
      <c r="BC802">
        <v>100.7163</v>
      </c>
      <c r="BD802" t="s">
        <v>130</v>
      </c>
      <c r="BE802" t="s">
        <v>112</v>
      </c>
      <c r="BF802" t="s">
        <v>157</v>
      </c>
      <c r="BG802" t="s">
        <v>133</v>
      </c>
      <c r="BH802" t="s">
        <v>134</v>
      </c>
      <c r="BI802" t="s">
        <v>112</v>
      </c>
      <c r="BJ802" t="s">
        <v>112</v>
      </c>
      <c r="BK802" t="s">
        <v>112</v>
      </c>
      <c r="BL802" t="s">
        <v>169</v>
      </c>
      <c r="BM802" t="s">
        <v>159</v>
      </c>
      <c r="BN802" t="s">
        <v>722</v>
      </c>
      <c r="BO802" t="s">
        <v>161</v>
      </c>
      <c r="BP802">
        <v>1</v>
      </c>
      <c r="BQ802" t="s">
        <v>1436</v>
      </c>
      <c r="BR802" s="45">
        <f>ISNUMBER(SEARCH($BR$1,Таблица1[[#This Row],[31_1 Описание и характеристика товара]]))*1</f>
        <v>1</v>
      </c>
      <c r="BT802" t="s">
        <v>150</v>
      </c>
      <c r="BU802">
        <v>33</v>
      </c>
      <c r="CA802" t="s">
        <v>106</v>
      </c>
      <c r="CB802" t="s">
        <v>142</v>
      </c>
      <c r="CC802" t="s">
        <v>112</v>
      </c>
      <c r="CD802" t="s">
        <v>112</v>
      </c>
      <c r="CE802" t="s">
        <v>121</v>
      </c>
      <c r="CF802">
        <v>16131.58</v>
      </c>
      <c r="CG802" t="s">
        <v>144</v>
      </c>
      <c r="CH802">
        <v>4000000</v>
      </c>
      <c r="CI802">
        <v>15944.38</v>
      </c>
      <c r="CK802" t="s">
        <v>112</v>
      </c>
      <c r="CL802" t="s">
        <v>112</v>
      </c>
      <c r="CM802">
        <v>43323.92</v>
      </c>
      <c r="CN802">
        <v>4363425</v>
      </c>
      <c r="CO802">
        <v>0</v>
      </c>
      <c r="CP802">
        <v>1</v>
      </c>
      <c r="CQ802">
        <v>4831755.72</v>
      </c>
      <c r="CR802">
        <v>52195.98</v>
      </c>
      <c r="CS802" t="s">
        <v>145</v>
      </c>
      <c r="CT802">
        <v>52138.122599999995</v>
      </c>
      <c r="CU802">
        <v>3.27</v>
      </c>
      <c r="CV802">
        <v>45</v>
      </c>
      <c r="CW802" t="s">
        <v>171</v>
      </c>
      <c r="CX802" t="s">
        <v>463</v>
      </c>
      <c r="CY802">
        <v>368</v>
      </c>
    </row>
    <row r="803" spans="1:103" x14ac:dyDescent="0.25">
      <c r="A803" t="s">
        <v>106</v>
      </c>
      <c r="B803" s="38">
        <v>44999</v>
      </c>
      <c r="C803" s="43">
        <f>IF(YEAR(Таблица1[[#This Row],[Дата]])=2023,MONTH(Таблица1[[#This Row],[Дата]]),0)</f>
        <v>3</v>
      </c>
      <c r="D803" t="s">
        <v>1288</v>
      </c>
      <c r="E803" t="s">
        <v>108</v>
      </c>
      <c r="F803" t="s">
        <v>1289</v>
      </c>
      <c r="G803" t="s">
        <v>110</v>
      </c>
      <c r="H803" t="s">
        <v>111</v>
      </c>
      <c r="I803" t="s">
        <v>112</v>
      </c>
      <c r="J803" t="s">
        <v>112</v>
      </c>
      <c r="K803" t="s">
        <v>112</v>
      </c>
      <c r="L803" t="s">
        <v>150</v>
      </c>
      <c r="M803" t="s">
        <v>1036</v>
      </c>
      <c r="N803" t="s">
        <v>112</v>
      </c>
      <c r="O803" t="s">
        <v>112</v>
      </c>
      <c r="P803">
        <v>1</v>
      </c>
      <c r="Q803">
        <v>0</v>
      </c>
      <c r="R803">
        <v>1</v>
      </c>
      <c r="S803">
        <v>33</v>
      </c>
      <c r="T803" t="s">
        <v>166</v>
      </c>
      <c r="U803" t="s">
        <v>152</v>
      </c>
      <c r="V803" t="s">
        <v>153</v>
      </c>
      <c r="W803" t="s">
        <v>154</v>
      </c>
      <c r="X803" t="s">
        <v>119</v>
      </c>
      <c r="Y803" t="s">
        <v>112</v>
      </c>
      <c r="Z803" t="s">
        <v>166</v>
      </c>
      <c r="AA803" t="s">
        <v>152</v>
      </c>
      <c r="AB803" t="s">
        <v>153</v>
      </c>
      <c r="AC803" t="s">
        <v>154</v>
      </c>
      <c r="AD803" t="s">
        <v>119</v>
      </c>
      <c r="AE803" t="s">
        <v>112</v>
      </c>
      <c r="AF803" t="s">
        <v>121</v>
      </c>
      <c r="AG803" t="s">
        <v>122</v>
      </c>
      <c r="AH803">
        <v>4402465.13</v>
      </c>
      <c r="AI803" t="s">
        <v>166</v>
      </c>
      <c r="AJ803" t="s">
        <v>152</v>
      </c>
      <c r="AK803" t="s">
        <v>153</v>
      </c>
      <c r="AL803" t="s">
        <v>154</v>
      </c>
      <c r="AM803" t="s">
        <v>119</v>
      </c>
      <c r="AN803" t="s">
        <v>112</v>
      </c>
      <c r="AO803" t="s">
        <v>121</v>
      </c>
      <c r="AP803" t="s">
        <v>122</v>
      </c>
      <c r="AQ803" t="s">
        <v>122</v>
      </c>
      <c r="AR803" t="s">
        <v>124</v>
      </c>
      <c r="AS803" t="s">
        <v>125</v>
      </c>
      <c r="AT803">
        <v>2</v>
      </c>
      <c r="AU803" t="s">
        <v>126</v>
      </c>
      <c r="AV803" t="s">
        <v>155</v>
      </c>
      <c r="AW803" t="s">
        <v>156</v>
      </c>
      <c r="AX803">
        <v>1</v>
      </c>
      <c r="AY803" t="s">
        <v>129</v>
      </c>
      <c r="AZ803">
        <v>46501.04</v>
      </c>
      <c r="BA803">
        <v>4043354</v>
      </c>
      <c r="BB803">
        <v>54184.05</v>
      </c>
      <c r="BC803">
        <v>86.951899999999995</v>
      </c>
      <c r="BD803" t="s">
        <v>130</v>
      </c>
      <c r="BE803" t="s">
        <v>112</v>
      </c>
      <c r="BF803" t="s">
        <v>157</v>
      </c>
      <c r="BG803" t="s">
        <v>133</v>
      </c>
      <c r="BH803" t="s">
        <v>134</v>
      </c>
      <c r="BI803" t="s">
        <v>112</v>
      </c>
      <c r="BJ803" t="s">
        <v>112</v>
      </c>
      <c r="BK803" t="s">
        <v>112</v>
      </c>
      <c r="BL803" t="s">
        <v>169</v>
      </c>
      <c r="BM803" t="s">
        <v>159</v>
      </c>
      <c r="BN803" t="s">
        <v>722</v>
      </c>
      <c r="BO803" t="s">
        <v>161</v>
      </c>
      <c r="BP803">
        <v>1</v>
      </c>
      <c r="BQ803" t="s">
        <v>162</v>
      </c>
      <c r="BR803" s="45">
        <f>ISNUMBER(SEARCH($BR$1,Таблица1[[#This Row],[31_1 Описание и характеристика товара]]))*1</f>
        <v>1</v>
      </c>
      <c r="BT803" t="s">
        <v>150</v>
      </c>
      <c r="BU803">
        <v>33</v>
      </c>
      <c r="BV803">
        <v>0</v>
      </c>
      <c r="BW803">
        <v>0</v>
      </c>
      <c r="BY803">
        <v>0</v>
      </c>
      <c r="CA803" t="s">
        <v>106</v>
      </c>
      <c r="CB803" t="s">
        <v>142</v>
      </c>
      <c r="CC803" t="s">
        <v>112</v>
      </c>
      <c r="CD803" t="s">
        <v>112</v>
      </c>
      <c r="CE803" t="s">
        <v>121</v>
      </c>
      <c r="CF803">
        <v>16936.36</v>
      </c>
      <c r="CG803" t="s">
        <v>144</v>
      </c>
      <c r="CH803">
        <v>4000000</v>
      </c>
      <c r="CI803">
        <v>16936.36</v>
      </c>
      <c r="CJ803">
        <v>0</v>
      </c>
      <c r="CK803" t="s">
        <v>112</v>
      </c>
      <c r="CL803" t="s">
        <v>112</v>
      </c>
      <c r="CM803">
        <v>46501.04</v>
      </c>
      <c r="CN803">
        <v>4043354</v>
      </c>
      <c r="CO803">
        <v>0</v>
      </c>
      <c r="CP803">
        <v>1</v>
      </c>
      <c r="CQ803">
        <v>4402465.13</v>
      </c>
      <c r="CR803">
        <v>54184.05</v>
      </c>
      <c r="CS803" t="s">
        <v>145</v>
      </c>
      <c r="CT803">
        <v>54196.352000000006</v>
      </c>
      <c r="CU803">
        <v>3.2</v>
      </c>
      <c r="CV803">
        <v>45</v>
      </c>
      <c r="CW803" t="s">
        <v>171</v>
      </c>
      <c r="CX803" t="s">
        <v>372</v>
      </c>
      <c r="CY803">
        <v>71</v>
      </c>
    </row>
    <row r="804" spans="1:103" x14ac:dyDescent="0.25">
      <c r="A804" t="s">
        <v>106</v>
      </c>
      <c r="B804" s="38">
        <v>45186</v>
      </c>
      <c r="C804" s="43">
        <f>IF(YEAR(Таблица1[[#This Row],[Дата]])=2023,MONTH(Таблица1[[#This Row],[Дата]]),0)</f>
        <v>9</v>
      </c>
      <c r="D804" t="s">
        <v>1279</v>
      </c>
      <c r="E804" t="s">
        <v>108</v>
      </c>
      <c r="F804" t="s">
        <v>1280</v>
      </c>
      <c r="G804" t="s">
        <v>110</v>
      </c>
      <c r="H804" t="s">
        <v>111</v>
      </c>
      <c r="I804" t="s">
        <v>112</v>
      </c>
      <c r="J804" t="s">
        <v>112</v>
      </c>
      <c r="K804" t="s">
        <v>112</v>
      </c>
      <c r="L804" t="s">
        <v>150</v>
      </c>
      <c r="M804" t="s">
        <v>1036</v>
      </c>
      <c r="N804" t="s">
        <v>112</v>
      </c>
      <c r="O804" t="s">
        <v>112</v>
      </c>
      <c r="P804">
        <v>1</v>
      </c>
      <c r="Q804">
        <v>0</v>
      </c>
      <c r="R804">
        <v>1</v>
      </c>
      <c r="S804">
        <v>33</v>
      </c>
      <c r="T804" t="s">
        <v>166</v>
      </c>
      <c r="U804" t="s">
        <v>152</v>
      </c>
      <c r="V804" t="s">
        <v>153</v>
      </c>
      <c r="W804" t="s">
        <v>154</v>
      </c>
      <c r="X804" t="s">
        <v>119</v>
      </c>
      <c r="Y804" t="s">
        <v>112</v>
      </c>
      <c r="Z804" t="s">
        <v>166</v>
      </c>
      <c r="AA804" t="s">
        <v>152</v>
      </c>
      <c r="AB804" t="s">
        <v>153</v>
      </c>
      <c r="AC804" t="s">
        <v>154</v>
      </c>
      <c r="AD804" t="s">
        <v>119</v>
      </c>
      <c r="AE804" t="s">
        <v>112</v>
      </c>
      <c r="AF804" t="s">
        <v>121</v>
      </c>
      <c r="AG804" t="s">
        <v>122</v>
      </c>
      <c r="AH804">
        <v>4039920.92</v>
      </c>
      <c r="AI804" t="s">
        <v>166</v>
      </c>
      <c r="AJ804" t="s">
        <v>152</v>
      </c>
      <c r="AK804" t="s">
        <v>153</v>
      </c>
      <c r="AL804" t="s">
        <v>154</v>
      </c>
      <c r="AM804" t="s">
        <v>119</v>
      </c>
      <c r="AN804" t="s">
        <v>112</v>
      </c>
      <c r="AO804" t="s">
        <v>121</v>
      </c>
      <c r="AP804" t="s">
        <v>122</v>
      </c>
      <c r="AQ804" t="s">
        <v>122</v>
      </c>
      <c r="AR804" t="s">
        <v>124</v>
      </c>
      <c r="AS804" t="s">
        <v>125</v>
      </c>
      <c r="AT804">
        <v>2</v>
      </c>
      <c r="AU804" t="s">
        <v>126</v>
      </c>
      <c r="AV804" t="s">
        <v>155</v>
      </c>
      <c r="AW804" t="s">
        <v>156</v>
      </c>
      <c r="AX804">
        <v>1</v>
      </c>
      <c r="AY804" t="s">
        <v>129</v>
      </c>
      <c r="AZ804">
        <v>42331.56</v>
      </c>
      <c r="BA804">
        <v>3680810</v>
      </c>
      <c r="BB804">
        <v>49721.98</v>
      </c>
      <c r="BC804">
        <v>86.951899999999995</v>
      </c>
      <c r="BD804" t="s">
        <v>130</v>
      </c>
      <c r="BE804" t="s">
        <v>112</v>
      </c>
      <c r="BF804" t="s">
        <v>157</v>
      </c>
      <c r="BG804" t="s">
        <v>133</v>
      </c>
      <c r="BH804" t="s">
        <v>134</v>
      </c>
      <c r="BI804" t="s">
        <v>112</v>
      </c>
      <c r="BJ804" t="s">
        <v>112</v>
      </c>
      <c r="BK804" t="s">
        <v>112</v>
      </c>
      <c r="BL804" t="s">
        <v>169</v>
      </c>
      <c r="BM804" t="s">
        <v>159</v>
      </c>
      <c r="BN804" t="s">
        <v>722</v>
      </c>
      <c r="BO804" t="s">
        <v>161</v>
      </c>
      <c r="BP804">
        <v>1</v>
      </c>
      <c r="BQ804" t="s">
        <v>1281</v>
      </c>
      <c r="BR804" s="45">
        <f>ISNUMBER(SEARCH($BR$1,Таблица1[[#This Row],[31_1 Описание и характеристика товара]]))*1</f>
        <v>1</v>
      </c>
      <c r="BT804" t="s">
        <v>150</v>
      </c>
      <c r="BU804">
        <v>33</v>
      </c>
      <c r="BV804">
        <v>0</v>
      </c>
      <c r="BW804">
        <v>0</v>
      </c>
      <c r="BY804">
        <v>0</v>
      </c>
      <c r="CA804" t="s">
        <v>106</v>
      </c>
      <c r="CB804" t="s">
        <v>142</v>
      </c>
      <c r="CC804" t="s">
        <v>112</v>
      </c>
      <c r="CD804" t="s">
        <v>112</v>
      </c>
      <c r="CE804" t="s">
        <v>121</v>
      </c>
      <c r="CF804">
        <v>17066.21</v>
      </c>
      <c r="CG804" t="s">
        <v>144</v>
      </c>
      <c r="CH804">
        <v>4000000</v>
      </c>
      <c r="CI804">
        <v>17066.21</v>
      </c>
      <c r="CJ804">
        <v>0</v>
      </c>
      <c r="CK804" t="s">
        <v>112</v>
      </c>
      <c r="CL804" t="s">
        <v>112</v>
      </c>
      <c r="CM804">
        <v>42331.56</v>
      </c>
      <c r="CN804">
        <v>3680810</v>
      </c>
      <c r="CO804">
        <v>0</v>
      </c>
      <c r="CP804">
        <v>1</v>
      </c>
      <c r="CQ804">
        <v>4039920.92</v>
      </c>
      <c r="CR804">
        <v>49721.98</v>
      </c>
      <c r="CS804" t="s">
        <v>145</v>
      </c>
      <c r="CT804">
        <v>49662.6711</v>
      </c>
      <c r="CU804">
        <v>2.91</v>
      </c>
      <c r="CV804">
        <v>45</v>
      </c>
      <c r="CW804" t="s">
        <v>171</v>
      </c>
      <c r="CX804" t="s">
        <v>463</v>
      </c>
      <c r="CY804">
        <v>153</v>
      </c>
    </row>
    <row r="805" spans="1:103" x14ac:dyDescent="0.25">
      <c r="A805" t="s">
        <v>106</v>
      </c>
      <c r="B805" s="38">
        <v>45008</v>
      </c>
      <c r="C805" s="43">
        <f>IF(YEAR(Таблица1[[#This Row],[Дата]])=2023,MONTH(Таблица1[[#This Row],[Дата]]),0)</f>
        <v>3</v>
      </c>
      <c r="D805" t="s">
        <v>1277</v>
      </c>
      <c r="E805" t="s">
        <v>108</v>
      </c>
      <c r="F805" t="s">
        <v>1278</v>
      </c>
      <c r="G805" t="s">
        <v>110</v>
      </c>
      <c r="H805" t="s">
        <v>111</v>
      </c>
      <c r="I805" t="s">
        <v>112</v>
      </c>
      <c r="J805" t="s">
        <v>112</v>
      </c>
      <c r="K805" t="s">
        <v>112</v>
      </c>
      <c r="L805" t="s">
        <v>150</v>
      </c>
      <c r="M805" t="s">
        <v>1036</v>
      </c>
      <c r="N805" t="s">
        <v>112</v>
      </c>
      <c r="O805" t="s">
        <v>112</v>
      </c>
      <c r="P805">
        <v>1</v>
      </c>
      <c r="Q805">
        <v>0</v>
      </c>
      <c r="R805">
        <v>1</v>
      </c>
      <c r="S805">
        <v>33</v>
      </c>
      <c r="T805" t="s">
        <v>166</v>
      </c>
      <c r="U805" t="s">
        <v>152</v>
      </c>
      <c r="V805" t="s">
        <v>153</v>
      </c>
      <c r="W805" t="s">
        <v>154</v>
      </c>
      <c r="X805" t="s">
        <v>119</v>
      </c>
      <c r="Y805" t="s">
        <v>112</v>
      </c>
      <c r="Z805" t="s">
        <v>166</v>
      </c>
      <c r="AA805" t="s">
        <v>152</v>
      </c>
      <c r="AB805" t="s">
        <v>153</v>
      </c>
      <c r="AC805" t="s">
        <v>154</v>
      </c>
      <c r="AD805" t="s">
        <v>119</v>
      </c>
      <c r="AE805" t="s">
        <v>112</v>
      </c>
      <c r="AF805" t="s">
        <v>121</v>
      </c>
      <c r="AG805" t="s">
        <v>122</v>
      </c>
      <c r="AH805">
        <v>3966560.48</v>
      </c>
      <c r="AI805" t="s">
        <v>166</v>
      </c>
      <c r="AJ805" t="s">
        <v>152</v>
      </c>
      <c r="AK805" t="s">
        <v>153</v>
      </c>
      <c r="AL805" t="s">
        <v>154</v>
      </c>
      <c r="AM805" t="s">
        <v>119</v>
      </c>
      <c r="AN805" t="s">
        <v>112</v>
      </c>
      <c r="AO805" t="s">
        <v>121</v>
      </c>
      <c r="AP805" t="s">
        <v>122</v>
      </c>
      <c r="AQ805" t="s">
        <v>122</v>
      </c>
      <c r="AR805" t="s">
        <v>124</v>
      </c>
      <c r="AS805" t="s">
        <v>125</v>
      </c>
      <c r="AT805">
        <v>2</v>
      </c>
      <c r="AU805" t="s">
        <v>126</v>
      </c>
      <c r="AV805" t="s">
        <v>155</v>
      </c>
      <c r="AW805" t="s">
        <v>156</v>
      </c>
      <c r="AX805">
        <v>1</v>
      </c>
      <c r="AY805" t="s">
        <v>129</v>
      </c>
      <c r="AZ805">
        <v>40967.870000000003</v>
      </c>
      <c r="BA805">
        <v>3562234</v>
      </c>
      <c r="BB805">
        <v>48819.09</v>
      </c>
      <c r="BC805">
        <v>86.951899999999995</v>
      </c>
      <c r="BD805" t="s">
        <v>130</v>
      </c>
      <c r="BE805" t="s">
        <v>112</v>
      </c>
      <c r="BF805" t="s">
        <v>157</v>
      </c>
      <c r="BG805" t="s">
        <v>133</v>
      </c>
      <c r="BH805" t="s">
        <v>134</v>
      </c>
      <c r="BI805" t="s">
        <v>112</v>
      </c>
      <c r="BJ805" t="s">
        <v>112</v>
      </c>
      <c r="BK805" t="s">
        <v>112</v>
      </c>
      <c r="BL805" t="s">
        <v>169</v>
      </c>
      <c r="BM805" t="s">
        <v>159</v>
      </c>
      <c r="BN805" t="s">
        <v>722</v>
      </c>
      <c r="BO805" t="s">
        <v>161</v>
      </c>
      <c r="BP805">
        <v>1</v>
      </c>
      <c r="BQ805" t="s">
        <v>834</v>
      </c>
      <c r="BR805" s="45">
        <f>ISNUMBER(SEARCH($BR$1,Таблица1[[#This Row],[31_1 Описание и характеристика товара]]))*1</f>
        <v>1</v>
      </c>
      <c r="BT805" t="s">
        <v>150</v>
      </c>
      <c r="BU805">
        <v>33</v>
      </c>
      <c r="BV805">
        <v>0</v>
      </c>
      <c r="BW805">
        <v>0</v>
      </c>
      <c r="BY805">
        <v>0</v>
      </c>
      <c r="CA805" t="s">
        <v>106</v>
      </c>
      <c r="CB805" t="s">
        <v>142</v>
      </c>
      <c r="CC805" t="s">
        <v>112</v>
      </c>
      <c r="CD805" t="s">
        <v>112</v>
      </c>
      <c r="CE805" t="s">
        <v>121</v>
      </c>
      <c r="CF805">
        <v>15782.83</v>
      </c>
      <c r="CG805" t="s">
        <v>144</v>
      </c>
      <c r="CH805">
        <v>4000000</v>
      </c>
      <c r="CI805">
        <v>15566.83</v>
      </c>
      <c r="CJ805">
        <v>0</v>
      </c>
      <c r="CK805" t="s">
        <v>112</v>
      </c>
      <c r="CL805" t="s">
        <v>112</v>
      </c>
      <c r="CM805">
        <v>40967.870000000003</v>
      </c>
      <c r="CN805">
        <v>3562234</v>
      </c>
      <c r="CO805">
        <v>0</v>
      </c>
      <c r="CP805">
        <v>1</v>
      </c>
      <c r="CQ805">
        <v>3966560.48</v>
      </c>
      <c r="CR805">
        <v>48819.09</v>
      </c>
      <c r="CS805" t="s">
        <v>145</v>
      </c>
      <c r="CT805">
        <v>48879.8462</v>
      </c>
      <c r="CU805">
        <v>3.14</v>
      </c>
      <c r="CV805">
        <v>45</v>
      </c>
      <c r="CW805" t="s">
        <v>171</v>
      </c>
      <c r="CX805" t="s">
        <v>463</v>
      </c>
      <c r="CY805">
        <v>365</v>
      </c>
    </row>
    <row r="806" spans="1:103" x14ac:dyDescent="0.25">
      <c r="A806" t="s">
        <v>106</v>
      </c>
      <c r="B806" s="38">
        <v>45031</v>
      </c>
      <c r="C806" s="43">
        <f>IF(YEAR(Таблица1[[#This Row],[Дата]])=2023,MONTH(Таблица1[[#This Row],[Дата]]),0)</f>
        <v>4</v>
      </c>
      <c r="D806" t="s">
        <v>1006</v>
      </c>
      <c r="E806" t="s">
        <v>108</v>
      </c>
      <c r="F806" t="s">
        <v>1007</v>
      </c>
      <c r="G806" t="s">
        <v>110</v>
      </c>
      <c r="H806" t="s">
        <v>111</v>
      </c>
      <c r="I806" t="s">
        <v>112</v>
      </c>
      <c r="J806" t="s">
        <v>112</v>
      </c>
      <c r="K806" t="s">
        <v>112</v>
      </c>
      <c r="L806" t="s">
        <v>150</v>
      </c>
      <c r="M806" t="s">
        <v>151</v>
      </c>
      <c r="N806" t="s">
        <v>112</v>
      </c>
      <c r="O806" t="s">
        <v>112</v>
      </c>
      <c r="P806">
        <v>1</v>
      </c>
      <c r="Q806">
        <v>0</v>
      </c>
      <c r="R806">
        <v>1</v>
      </c>
      <c r="S806">
        <v>33</v>
      </c>
      <c r="T806" t="s">
        <v>166</v>
      </c>
      <c r="U806" t="s">
        <v>152</v>
      </c>
      <c r="V806" t="s">
        <v>153</v>
      </c>
      <c r="W806" t="s">
        <v>154</v>
      </c>
      <c r="X806" t="s">
        <v>119</v>
      </c>
      <c r="Y806" t="s">
        <v>112</v>
      </c>
      <c r="Z806" t="s">
        <v>166</v>
      </c>
      <c r="AA806" t="s">
        <v>152</v>
      </c>
      <c r="AB806" t="s">
        <v>153</v>
      </c>
      <c r="AC806" t="s">
        <v>154</v>
      </c>
      <c r="AD806" t="s">
        <v>119</v>
      </c>
      <c r="AE806" t="s">
        <v>112</v>
      </c>
      <c r="AF806" t="s">
        <v>121</v>
      </c>
      <c r="AG806" t="s">
        <v>122</v>
      </c>
      <c r="AH806">
        <v>4245038.09</v>
      </c>
      <c r="AI806" t="s">
        <v>166</v>
      </c>
      <c r="AJ806" t="s">
        <v>152</v>
      </c>
      <c r="AK806" t="s">
        <v>153</v>
      </c>
      <c r="AL806" t="s">
        <v>154</v>
      </c>
      <c r="AM806" t="s">
        <v>119</v>
      </c>
      <c r="AN806" t="s">
        <v>112</v>
      </c>
      <c r="AO806" t="s">
        <v>121</v>
      </c>
      <c r="AP806" t="s">
        <v>122</v>
      </c>
      <c r="AQ806" t="s">
        <v>122</v>
      </c>
      <c r="AR806" t="s">
        <v>124</v>
      </c>
      <c r="AS806" t="s">
        <v>125</v>
      </c>
      <c r="AT806">
        <v>2</v>
      </c>
      <c r="AU806" t="s">
        <v>126</v>
      </c>
      <c r="AV806" t="s">
        <v>155</v>
      </c>
      <c r="AW806" t="s">
        <v>156</v>
      </c>
      <c r="AX806">
        <v>1</v>
      </c>
      <c r="AY806" t="s">
        <v>129</v>
      </c>
      <c r="AZ806">
        <v>43118.239999999998</v>
      </c>
      <c r="BA806">
        <v>3799985</v>
      </c>
      <c r="BB806">
        <v>52621.42</v>
      </c>
      <c r="BC806">
        <v>88.129400000000004</v>
      </c>
      <c r="BD806" t="s">
        <v>130</v>
      </c>
      <c r="BE806" t="s">
        <v>112</v>
      </c>
      <c r="BF806" t="s">
        <v>157</v>
      </c>
      <c r="BG806" t="s">
        <v>133</v>
      </c>
      <c r="BH806" t="s">
        <v>134</v>
      </c>
      <c r="BI806" t="s">
        <v>112</v>
      </c>
      <c r="BJ806" t="s">
        <v>112</v>
      </c>
      <c r="BK806" t="s">
        <v>112</v>
      </c>
      <c r="BL806" t="s">
        <v>169</v>
      </c>
      <c r="BM806" t="s">
        <v>159</v>
      </c>
      <c r="BN806" t="s">
        <v>722</v>
      </c>
      <c r="BO806" t="s">
        <v>161</v>
      </c>
      <c r="BP806">
        <v>1</v>
      </c>
      <c r="BQ806" t="s">
        <v>232</v>
      </c>
      <c r="BR806" s="45">
        <f>ISNUMBER(SEARCH($BR$1,Таблица1[[#This Row],[31_1 Описание и характеристика товара]]))*1</f>
        <v>1</v>
      </c>
      <c r="BT806" t="s">
        <v>150</v>
      </c>
      <c r="BU806">
        <v>33</v>
      </c>
      <c r="BV806">
        <v>0</v>
      </c>
      <c r="BW806">
        <v>0</v>
      </c>
      <c r="BY806">
        <v>0</v>
      </c>
      <c r="CA806" t="s">
        <v>106</v>
      </c>
      <c r="CB806" t="s">
        <v>142</v>
      </c>
      <c r="CC806" t="s">
        <v>112</v>
      </c>
      <c r="CD806" t="s">
        <v>112</v>
      </c>
      <c r="CE806" t="s">
        <v>121</v>
      </c>
      <c r="CF806">
        <v>16459.93</v>
      </c>
      <c r="CG806" t="s">
        <v>144</v>
      </c>
      <c r="CH806">
        <v>4000000</v>
      </c>
      <c r="CI806">
        <v>16337.53</v>
      </c>
      <c r="CJ806">
        <v>0</v>
      </c>
      <c r="CK806" t="s">
        <v>112</v>
      </c>
      <c r="CL806" t="s">
        <v>112</v>
      </c>
      <c r="CM806">
        <v>43118.239999999998</v>
      </c>
      <c r="CN806">
        <v>3799985</v>
      </c>
      <c r="CO806">
        <v>0</v>
      </c>
      <c r="CP806">
        <v>1</v>
      </c>
      <c r="CQ806">
        <v>4245038.09</v>
      </c>
      <c r="CR806">
        <v>52621.42</v>
      </c>
      <c r="CS806" t="s">
        <v>145</v>
      </c>
      <c r="CT806">
        <v>52621.550377</v>
      </c>
      <c r="CU806">
        <v>3.2208999999999999</v>
      </c>
      <c r="CV806">
        <v>45</v>
      </c>
      <c r="CW806" t="s">
        <v>171</v>
      </c>
      <c r="CX806" t="s">
        <v>350</v>
      </c>
      <c r="CY806">
        <v>213</v>
      </c>
    </row>
    <row r="807" spans="1:103" x14ac:dyDescent="0.25">
      <c r="A807" t="s">
        <v>106</v>
      </c>
      <c r="B807" s="38">
        <v>45070</v>
      </c>
      <c r="C807" s="43">
        <f>IF(YEAR(Таблица1[[#This Row],[Дата]])=2023,MONTH(Таблица1[[#This Row],[Дата]]),0)</f>
        <v>5</v>
      </c>
      <c r="D807" t="s">
        <v>1016</v>
      </c>
      <c r="E807" t="s">
        <v>108</v>
      </c>
      <c r="F807" t="s">
        <v>1017</v>
      </c>
      <c r="G807" t="s">
        <v>110</v>
      </c>
      <c r="H807" t="s">
        <v>111</v>
      </c>
      <c r="I807" t="s">
        <v>112</v>
      </c>
      <c r="J807" t="s">
        <v>112</v>
      </c>
      <c r="K807" t="s">
        <v>112</v>
      </c>
      <c r="L807" t="s">
        <v>150</v>
      </c>
      <c r="M807" t="s">
        <v>151</v>
      </c>
      <c r="N807" t="s">
        <v>112</v>
      </c>
      <c r="O807" t="s">
        <v>112</v>
      </c>
      <c r="P807">
        <v>1</v>
      </c>
      <c r="Q807">
        <v>0</v>
      </c>
      <c r="R807">
        <v>1</v>
      </c>
      <c r="S807">
        <v>33</v>
      </c>
      <c r="T807" t="s">
        <v>166</v>
      </c>
      <c r="U807" t="s">
        <v>152</v>
      </c>
      <c r="V807" t="s">
        <v>153</v>
      </c>
      <c r="W807" t="s">
        <v>154</v>
      </c>
      <c r="X807" t="s">
        <v>119</v>
      </c>
      <c r="Y807" t="s">
        <v>112</v>
      </c>
      <c r="Z807" t="s">
        <v>166</v>
      </c>
      <c r="AA807" t="s">
        <v>152</v>
      </c>
      <c r="AB807" t="s">
        <v>153</v>
      </c>
      <c r="AC807" t="s">
        <v>154</v>
      </c>
      <c r="AD807" t="s">
        <v>119</v>
      </c>
      <c r="AE807" t="s">
        <v>112</v>
      </c>
      <c r="AF807" t="s">
        <v>121</v>
      </c>
      <c r="AG807" t="s">
        <v>122</v>
      </c>
      <c r="AH807">
        <v>3909932.22</v>
      </c>
      <c r="AI807" t="s">
        <v>166</v>
      </c>
      <c r="AJ807" t="s">
        <v>152</v>
      </c>
      <c r="AK807" t="s">
        <v>153</v>
      </c>
      <c r="AL807" t="s">
        <v>154</v>
      </c>
      <c r="AM807" t="s">
        <v>119</v>
      </c>
      <c r="AN807" t="s">
        <v>112</v>
      </c>
      <c r="AO807" t="s">
        <v>121</v>
      </c>
      <c r="AP807" t="s">
        <v>122</v>
      </c>
      <c r="AQ807" t="s">
        <v>122</v>
      </c>
      <c r="AR807" t="s">
        <v>124</v>
      </c>
      <c r="AS807" t="s">
        <v>125</v>
      </c>
      <c r="AT807">
        <v>2</v>
      </c>
      <c r="AU807" t="s">
        <v>126</v>
      </c>
      <c r="AV807" t="s">
        <v>155</v>
      </c>
      <c r="AW807" t="s">
        <v>156</v>
      </c>
      <c r="AX807">
        <v>1</v>
      </c>
      <c r="AY807" t="s">
        <v>129</v>
      </c>
      <c r="AZ807">
        <v>40015.81</v>
      </c>
      <c r="BA807">
        <v>3526569</v>
      </c>
      <c r="BB807">
        <v>48467.45</v>
      </c>
      <c r="BC807">
        <v>88.129400000000004</v>
      </c>
      <c r="BD807" t="s">
        <v>130</v>
      </c>
      <c r="BE807" t="s">
        <v>112</v>
      </c>
      <c r="BF807" t="s">
        <v>157</v>
      </c>
      <c r="BG807" t="s">
        <v>133</v>
      </c>
      <c r="BH807" t="s">
        <v>134</v>
      </c>
      <c r="BI807" t="s">
        <v>112</v>
      </c>
      <c r="BJ807" t="s">
        <v>112</v>
      </c>
      <c r="BK807" t="s">
        <v>112</v>
      </c>
      <c r="BL807" t="s">
        <v>169</v>
      </c>
      <c r="BM807" t="s">
        <v>159</v>
      </c>
      <c r="BN807" t="s">
        <v>722</v>
      </c>
      <c r="BO807" t="s">
        <v>161</v>
      </c>
      <c r="BP807">
        <v>1</v>
      </c>
      <c r="BQ807" t="s">
        <v>232</v>
      </c>
      <c r="BR807" s="45">
        <f>ISNUMBER(SEARCH($BR$1,Таблица1[[#This Row],[31_1 Описание и характеристика товара]]))*1</f>
        <v>1</v>
      </c>
      <c r="BT807" t="s">
        <v>150</v>
      </c>
      <c r="BU807">
        <v>33</v>
      </c>
      <c r="BV807">
        <v>0</v>
      </c>
      <c r="BW807">
        <v>0</v>
      </c>
      <c r="BY807">
        <v>0</v>
      </c>
      <c r="CA807" t="s">
        <v>106</v>
      </c>
      <c r="CB807" t="s">
        <v>142</v>
      </c>
      <c r="CC807" t="s">
        <v>112</v>
      </c>
      <c r="CD807" t="s">
        <v>112</v>
      </c>
      <c r="CE807" t="s">
        <v>121</v>
      </c>
      <c r="CF807">
        <v>16914.919999999998</v>
      </c>
      <c r="CG807" t="s">
        <v>144</v>
      </c>
      <c r="CH807">
        <v>4000000</v>
      </c>
      <c r="CI807">
        <v>16873.52</v>
      </c>
      <c r="CJ807">
        <v>0</v>
      </c>
      <c r="CK807" t="s">
        <v>112</v>
      </c>
      <c r="CL807" t="s">
        <v>112</v>
      </c>
      <c r="CM807">
        <v>40015.81</v>
      </c>
      <c r="CN807">
        <v>3526569</v>
      </c>
      <c r="CO807">
        <v>0</v>
      </c>
      <c r="CP807">
        <v>1</v>
      </c>
      <c r="CQ807">
        <v>3909932.22</v>
      </c>
      <c r="CR807">
        <v>48467.45</v>
      </c>
      <c r="CS807" t="s">
        <v>145</v>
      </c>
      <c r="CT807">
        <v>48467.498847999996</v>
      </c>
      <c r="CU807">
        <v>2.8723999999999998</v>
      </c>
      <c r="CV807">
        <v>45</v>
      </c>
      <c r="CW807" t="s">
        <v>171</v>
      </c>
      <c r="CX807" t="s">
        <v>372</v>
      </c>
      <c r="CY807">
        <v>320</v>
      </c>
    </row>
    <row r="808" spans="1:103" x14ac:dyDescent="0.25">
      <c r="A808" t="s">
        <v>106</v>
      </c>
      <c r="B808" s="38">
        <v>45183</v>
      </c>
      <c r="C808" s="43">
        <f>IF(YEAR(Таблица1[[#This Row],[Дата]])=2023,MONTH(Таблица1[[#This Row],[Дата]]),0)</f>
        <v>9</v>
      </c>
      <c r="D808" t="s">
        <v>1010</v>
      </c>
      <c r="E808" t="s">
        <v>108</v>
      </c>
      <c r="F808" t="s">
        <v>1011</v>
      </c>
      <c r="G808" t="s">
        <v>110</v>
      </c>
      <c r="H808" t="s">
        <v>111</v>
      </c>
      <c r="I808" t="s">
        <v>112</v>
      </c>
      <c r="J808" t="s">
        <v>112</v>
      </c>
      <c r="K808" t="s">
        <v>112</v>
      </c>
      <c r="L808" t="s">
        <v>150</v>
      </c>
      <c r="M808" t="s">
        <v>151</v>
      </c>
      <c r="N808" t="s">
        <v>112</v>
      </c>
      <c r="O808" t="s">
        <v>112</v>
      </c>
      <c r="P808">
        <v>1</v>
      </c>
      <c r="Q808">
        <v>0</v>
      </c>
      <c r="R808">
        <v>1</v>
      </c>
      <c r="S808">
        <v>33</v>
      </c>
      <c r="T808" t="s">
        <v>166</v>
      </c>
      <c r="U808" t="s">
        <v>152</v>
      </c>
      <c r="V808" t="s">
        <v>153</v>
      </c>
      <c r="W808" t="s">
        <v>154</v>
      </c>
      <c r="X808" t="s">
        <v>119</v>
      </c>
      <c r="Y808" t="s">
        <v>112</v>
      </c>
      <c r="Z808" t="s">
        <v>166</v>
      </c>
      <c r="AA808" t="s">
        <v>152</v>
      </c>
      <c r="AB808" t="s">
        <v>153</v>
      </c>
      <c r="AC808" t="s">
        <v>154</v>
      </c>
      <c r="AD808" t="s">
        <v>119</v>
      </c>
      <c r="AE808" t="s">
        <v>112</v>
      </c>
      <c r="AF808" t="s">
        <v>121</v>
      </c>
      <c r="AG808" t="s">
        <v>122</v>
      </c>
      <c r="AH808">
        <v>4258761.5999999996</v>
      </c>
      <c r="AI808" t="s">
        <v>166</v>
      </c>
      <c r="AJ808" t="s">
        <v>152</v>
      </c>
      <c r="AK808" t="s">
        <v>153</v>
      </c>
      <c r="AL808" t="s">
        <v>154</v>
      </c>
      <c r="AM808" t="s">
        <v>119</v>
      </c>
      <c r="AN808" t="s">
        <v>112</v>
      </c>
      <c r="AO808" t="s">
        <v>121</v>
      </c>
      <c r="AP808" t="s">
        <v>122</v>
      </c>
      <c r="AQ808" t="s">
        <v>122</v>
      </c>
      <c r="AR808" t="s">
        <v>124</v>
      </c>
      <c r="AS808" t="s">
        <v>125</v>
      </c>
      <c r="AT808">
        <v>2</v>
      </c>
      <c r="AU808" t="s">
        <v>126</v>
      </c>
      <c r="AV808" t="s">
        <v>155</v>
      </c>
      <c r="AW808" t="s">
        <v>156</v>
      </c>
      <c r="AX808">
        <v>1</v>
      </c>
      <c r="AY808" t="s">
        <v>129</v>
      </c>
      <c r="AZ808">
        <v>43473.96</v>
      </c>
      <c r="BA808">
        <v>3831334</v>
      </c>
      <c r="BB808">
        <v>52791.53</v>
      </c>
      <c r="BC808">
        <v>88.129400000000004</v>
      </c>
      <c r="BD808" t="s">
        <v>130</v>
      </c>
      <c r="BE808" t="s">
        <v>112</v>
      </c>
      <c r="BF808" t="s">
        <v>157</v>
      </c>
      <c r="BG808" t="s">
        <v>133</v>
      </c>
      <c r="BH808" t="s">
        <v>134</v>
      </c>
      <c r="BI808" t="s">
        <v>112</v>
      </c>
      <c r="BJ808" t="s">
        <v>112</v>
      </c>
      <c r="BK808" t="s">
        <v>112</v>
      </c>
      <c r="BL808" t="s">
        <v>169</v>
      </c>
      <c r="BM808" t="s">
        <v>159</v>
      </c>
      <c r="BN808" t="s">
        <v>722</v>
      </c>
      <c r="BO808" t="s">
        <v>161</v>
      </c>
      <c r="BP808">
        <v>1</v>
      </c>
      <c r="BQ808" t="s">
        <v>205</v>
      </c>
      <c r="BR808" s="45">
        <f>ISNUMBER(SEARCH($BR$1,Таблица1[[#This Row],[31_1 Описание и характеристика товара]]))*1</f>
        <v>1</v>
      </c>
      <c r="BT808" t="s">
        <v>150</v>
      </c>
      <c r="BU808">
        <v>33</v>
      </c>
      <c r="BV808">
        <v>0</v>
      </c>
      <c r="BW808">
        <v>0</v>
      </c>
      <c r="BY808">
        <v>0</v>
      </c>
      <c r="CA808" t="s">
        <v>106</v>
      </c>
      <c r="CB808" t="s">
        <v>142</v>
      </c>
      <c r="CC808" t="s">
        <v>112</v>
      </c>
      <c r="CD808" t="s">
        <v>112</v>
      </c>
      <c r="CE808" t="s">
        <v>121</v>
      </c>
      <c r="CF808">
        <v>16246.57</v>
      </c>
      <c r="CG808" t="s">
        <v>144</v>
      </c>
      <c r="CH808">
        <v>4000000</v>
      </c>
      <c r="CI808">
        <v>16246.57</v>
      </c>
      <c r="CJ808">
        <v>0</v>
      </c>
      <c r="CK808" t="s">
        <v>112</v>
      </c>
      <c r="CL808" t="s">
        <v>112</v>
      </c>
      <c r="CM808">
        <v>43473.96</v>
      </c>
      <c r="CN808">
        <v>3831334</v>
      </c>
      <c r="CO808">
        <v>0</v>
      </c>
      <c r="CP808">
        <v>1</v>
      </c>
      <c r="CQ808">
        <v>4258761.5999999996</v>
      </c>
      <c r="CR808">
        <v>52791.53</v>
      </c>
      <c r="CS808" t="s">
        <v>145</v>
      </c>
      <c r="CT808">
        <v>52791.604557999999</v>
      </c>
      <c r="CU808">
        <v>3.2494000000000001</v>
      </c>
      <c r="CV808">
        <v>45</v>
      </c>
      <c r="CW808" t="s">
        <v>171</v>
      </c>
      <c r="CX808" t="s">
        <v>369</v>
      </c>
      <c r="CY808">
        <v>365</v>
      </c>
    </row>
    <row r="809" spans="1:103" x14ac:dyDescent="0.25">
      <c r="A809" t="s">
        <v>106</v>
      </c>
      <c r="B809" s="38">
        <v>45082</v>
      </c>
      <c r="C809" s="43">
        <f>IF(YEAR(Таблица1[[#This Row],[Дата]])=2023,MONTH(Таблица1[[#This Row],[Дата]]),0)</f>
        <v>6</v>
      </c>
      <c r="D809" t="s">
        <v>839</v>
      </c>
      <c r="E809" t="s">
        <v>108</v>
      </c>
      <c r="F809" t="s">
        <v>840</v>
      </c>
      <c r="G809" t="s">
        <v>110</v>
      </c>
      <c r="H809" t="s">
        <v>111</v>
      </c>
      <c r="I809" t="s">
        <v>112</v>
      </c>
      <c r="J809" t="s">
        <v>112</v>
      </c>
      <c r="K809" t="s">
        <v>112</v>
      </c>
      <c r="L809" t="s">
        <v>150</v>
      </c>
      <c r="M809" t="s">
        <v>151</v>
      </c>
      <c r="N809" t="s">
        <v>112</v>
      </c>
      <c r="O809" t="s">
        <v>112</v>
      </c>
      <c r="P809">
        <v>1</v>
      </c>
      <c r="Q809">
        <v>0</v>
      </c>
      <c r="R809">
        <v>1</v>
      </c>
      <c r="S809">
        <v>38</v>
      </c>
      <c r="T809" t="s">
        <v>166</v>
      </c>
      <c r="U809" t="s">
        <v>152</v>
      </c>
      <c r="V809" t="s">
        <v>153</v>
      </c>
      <c r="W809" t="s">
        <v>154</v>
      </c>
      <c r="X809" t="s">
        <v>119</v>
      </c>
      <c r="Y809" t="s">
        <v>112</v>
      </c>
      <c r="Z809" t="s">
        <v>166</v>
      </c>
      <c r="AA809" t="s">
        <v>152</v>
      </c>
      <c r="AB809" t="s">
        <v>153</v>
      </c>
      <c r="AC809" t="s">
        <v>154</v>
      </c>
      <c r="AD809" t="s">
        <v>119</v>
      </c>
      <c r="AE809" t="s">
        <v>112</v>
      </c>
      <c r="AF809" t="s">
        <v>121</v>
      </c>
      <c r="AG809" t="s">
        <v>122</v>
      </c>
      <c r="AH809">
        <v>4108430.09</v>
      </c>
      <c r="AI809" t="s">
        <v>166</v>
      </c>
      <c r="AJ809" t="s">
        <v>152</v>
      </c>
      <c r="AK809" t="s">
        <v>153</v>
      </c>
      <c r="AL809" t="s">
        <v>154</v>
      </c>
      <c r="AM809" t="s">
        <v>119</v>
      </c>
      <c r="AN809" t="s">
        <v>112</v>
      </c>
      <c r="AO809" t="s">
        <v>121</v>
      </c>
      <c r="AP809" t="s">
        <v>122</v>
      </c>
      <c r="AQ809" t="s">
        <v>122</v>
      </c>
      <c r="AR809" t="s">
        <v>124</v>
      </c>
      <c r="AS809" t="s">
        <v>125</v>
      </c>
      <c r="AT809">
        <v>2</v>
      </c>
      <c r="AU809" t="s">
        <v>126</v>
      </c>
      <c r="AV809" t="s">
        <v>155</v>
      </c>
      <c r="AW809" t="s">
        <v>156</v>
      </c>
      <c r="AX809">
        <v>1</v>
      </c>
      <c r="AY809" t="s">
        <v>129</v>
      </c>
      <c r="AZ809">
        <v>46854.77</v>
      </c>
      <c r="BA809">
        <v>3759407</v>
      </c>
      <c r="BB809">
        <v>54435.9</v>
      </c>
      <c r="BC809">
        <v>80.235299999999995</v>
      </c>
      <c r="BD809" t="s">
        <v>130</v>
      </c>
      <c r="BE809" t="s">
        <v>112</v>
      </c>
      <c r="BF809" t="s">
        <v>157</v>
      </c>
      <c r="BG809" t="s">
        <v>133</v>
      </c>
      <c r="BH809" t="s">
        <v>134</v>
      </c>
      <c r="BI809" t="s">
        <v>112</v>
      </c>
      <c r="BJ809" t="s">
        <v>112</v>
      </c>
      <c r="BK809" t="s">
        <v>112</v>
      </c>
      <c r="BL809" t="s">
        <v>169</v>
      </c>
      <c r="BM809" t="s">
        <v>159</v>
      </c>
      <c r="BN809" t="s">
        <v>212</v>
      </c>
      <c r="BO809" t="s">
        <v>161</v>
      </c>
      <c r="BP809">
        <v>1</v>
      </c>
      <c r="BQ809" t="s">
        <v>841</v>
      </c>
      <c r="BR809" s="45">
        <f>ISNUMBER(SEARCH($BR$1,Таблица1[[#This Row],[31_1 Описание и характеристика товара]]))*1</f>
        <v>1</v>
      </c>
      <c r="BT809" t="s">
        <v>150</v>
      </c>
      <c r="BU809">
        <v>38</v>
      </c>
      <c r="BV809">
        <v>0</v>
      </c>
      <c r="BW809">
        <v>0</v>
      </c>
      <c r="BY809">
        <v>0</v>
      </c>
      <c r="CA809" t="s">
        <v>106</v>
      </c>
      <c r="CB809" t="s">
        <v>142</v>
      </c>
      <c r="CC809" t="s">
        <v>112</v>
      </c>
      <c r="CD809" t="s">
        <v>112</v>
      </c>
      <c r="CE809" t="s">
        <v>121</v>
      </c>
      <c r="CF809">
        <v>19595.650000000001</v>
      </c>
      <c r="CG809" t="s">
        <v>144</v>
      </c>
      <c r="CH809">
        <v>4000000</v>
      </c>
      <c r="CI809">
        <v>19595.650000000001</v>
      </c>
      <c r="CJ809">
        <v>0</v>
      </c>
      <c r="CK809" t="s">
        <v>112</v>
      </c>
      <c r="CL809" t="s">
        <v>112</v>
      </c>
      <c r="CM809">
        <v>46854.77</v>
      </c>
      <c r="CN809">
        <v>3759407</v>
      </c>
      <c r="CO809">
        <v>0</v>
      </c>
      <c r="CP809">
        <v>1</v>
      </c>
      <c r="CQ809">
        <v>4108430.09</v>
      </c>
      <c r="CR809">
        <v>54435.9</v>
      </c>
      <c r="CS809" t="s">
        <v>145</v>
      </c>
      <c r="CT809">
        <v>54436.715700000008</v>
      </c>
      <c r="CU809">
        <v>2.778</v>
      </c>
      <c r="CV809">
        <v>45</v>
      </c>
      <c r="CW809" t="s">
        <v>171</v>
      </c>
      <c r="CX809" t="s">
        <v>372</v>
      </c>
      <c r="CY809">
        <v>252</v>
      </c>
    </row>
    <row r="810" spans="1:103" x14ac:dyDescent="0.25">
      <c r="A810" t="s">
        <v>106</v>
      </c>
      <c r="B810" s="38">
        <v>45024</v>
      </c>
      <c r="C810" s="43">
        <f>IF(YEAR(Таблица1[[#This Row],[Дата]])=2023,MONTH(Таблица1[[#This Row],[Дата]]),0)</f>
        <v>4</v>
      </c>
      <c r="D810" t="s">
        <v>848</v>
      </c>
      <c r="E810" t="s">
        <v>108</v>
      </c>
      <c r="F810" t="s">
        <v>849</v>
      </c>
      <c r="G810" t="s">
        <v>110</v>
      </c>
      <c r="H810" t="s">
        <v>111</v>
      </c>
      <c r="I810" t="s">
        <v>112</v>
      </c>
      <c r="J810" t="s">
        <v>112</v>
      </c>
      <c r="K810" t="s">
        <v>112</v>
      </c>
      <c r="L810" t="s">
        <v>150</v>
      </c>
      <c r="M810" t="s">
        <v>151</v>
      </c>
      <c r="N810" t="s">
        <v>112</v>
      </c>
      <c r="O810" t="s">
        <v>112</v>
      </c>
      <c r="P810">
        <v>1</v>
      </c>
      <c r="Q810">
        <v>0</v>
      </c>
      <c r="R810">
        <v>1</v>
      </c>
      <c r="S810">
        <v>33</v>
      </c>
      <c r="T810" t="s">
        <v>166</v>
      </c>
      <c r="U810" t="s">
        <v>152</v>
      </c>
      <c r="V810" t="s">
        <v>153</v>
      </c>
      <c r="W810" t="s">
        <v>154</v>
      </c>
      <c r="X810" t="s">
        <v>119</v>
      </c>
      <c r="Y810" t="s">
        <v>112</v>
      </c>
      <c r="Z810" t="s">
        <v>166</v>
      </c>
      <c r="AA810" t="s">
        <v>152</v>
      </c>
      <c r="AB810" t="s">
        <v>153</v>
      </c>
      <c r="AC810" t="s">
        <v>154</v>
      </c>
      <c r="AD810" t="s">
        <v>119</v>
      </c>
      <c r="AE810" t="s">
        <v>112</v>
      </c>
      <c r="AF810" t="s">
        <v>121</v>
      </c>
      <c r="AG810" t="s">
        <v>122</v>
      </c>
      <c r="AH810">
        <v>3820840.29</v>
      </c>
      <c r="AI810" t="s">
        <v>166</v>
      </c>
      <c r="AJ810" t="s">
        <v>152</v>
      </c>
      <c r="AK810" t="s">
        <v>153</v>
      </c>
      <c r="AL810" t="s">
        <v>154</v>
      </c>
      <c r="AM810" t="s">
        <v>119</v>
      </c>
      <c r="AN810" t="s">
        <v>112</v>
      </c>
      <c r="AO810" t="s">
        <v>121</v>
      </c>
      <c r="AP810" t="s">
        <v>122</v>
      </c>
      <c r="AQ810" t="s">
        <v>122</v>
      </c>
      <c r="AR810" t="s">
        <v>124</v>
      </c>
      <c r="AS810" t="s">
        <v>125</v>
      </c>
      <c r="AT810">
        <v>2</v>
      </c>
      <c r="AU810" t="s">
        <v>126</v>
      </c>
      <c r="AV810" t="s">
        <v>155</v>
      </c>
      <c r="AW810" t="s">
        <v>156</v>
      </c>
      <c r="AX810">
        <v>1</v>
      </c>
      <c r="AY810" t="s">
        <v>129</v>
      </c>
      <c r="AZ810">
        <v>43270.44</v>
      </c>
      <c r="BA810">
        <v>3471817</v>
      </c>
      <c r="BB810">
        <v>50625.39</v>
      </c>
      <c r="BC810">
        <v>80.235299999999995</v>
      </c>
      <c r="BD810" t="s">
        <v>130</v>
      </c>
      <c r="BE810" t="s">
        <v>112</v>
      </c>
      <c r="BF810" t="s">
        <v>157</v>
      </c>
      <c r="BG810" t="s">
        <v>133</v>
      </c>
      <c r="BH810" t="s">
        <v>134</v>
      </c>
      <c r="BI810" t="s">
        <v>112</v>
      </c>
      <c r="BJ810" t="s">
        <v>112</v>
      </c>
      <c r="BK810" t="s">
        <v>112</v>
      </c>
      <c r="BL810" t="s">
        <v>169</v>
      </c>
      <c r="BM810" t="s">
        <v>159</v>
      </c>
      <c r="BN810" t="s">
        <v>212</v>
      </c>
      <c r="BO810" t="s">
        <v>161</v>
      </c>
      <c r="BP810">
        <v>1</v>
      </c>
      <c r="BQ810" t="s">
        <v>579</v>
      </c>
      <c r="BR810" s="45">
        <f>ISNUMBER(SEARCH($BR$1,Таблица1[[#This Row],[31_1 Описание и характеристика товара]]))*1</f>
        <v>1</v>
      </c>
      <c r="BT810" t="s">
        <v>150</v>
      </c>
      <c r="BU810">
        <v>33</v>
      </c>
      <c r="BV810">
        <v>0</v>
      </c>
      <c r="BW810">
        <v>0</v>
      </c>
      <c r="BY810">
        <v>0</v>
      </c>
      <c r="CA810" t="s">
        <v>106</v>
      </c>
      <c r="CB810" t="s">
        <v>142</v>
      </c>
      <c r="CC810" t="s">
        <v>112</v>
      </c>
      <c r="CD810" t="s">
        <v>112</v>
      </c>
      <c r="CE810" t="s">
        <v>121</v>
      </c>
      <c r="CF810">
        <v>16199.89</v>
      </c>
      <c r="CG810" t="s">
        <v>144</v>
      </c>
      <c r="CH810">
        <v>4000000</v>
      </c>
      <c r="CI810">
        <v>16084.69</v>
      </c>
      <c r="CJ810">
        <v>0</v>
      </c>
      <c r="CK810" t="s">
        <v>112</v>
      </c>
      <c r="CL810" t="s">
        <v>112</v>
      </c>
      <c r="CM810">
        <v>43270.44</v>
      </c>
      <c r="CN810">
        <v>3471817</v>
      </c>
      <c r="CO810">
        <v>0</v>
      </c>
      <c r="CP810">
        <v>1</v>
      </c>
      <c r="CQ810">
        <v>3820840.29</v>
      </c>
      <c r="CR810">
        <v>50625.39</v>
      </c>
      <c r="CS810" t="s">
        <v>145</v>
      </c>
      <c r="CT810">
        <v>50624.953306000003</v>
      </c>
      <c r="CU810">
        <v>3.1474000000000002</v>
      </c>
      <c r="CV810">
        <v>45</v>
      </c>
      <c r="CW810" t="s">
        <v>171</v>
      </c>
      <c r="CX810" t="s">
        <v>463</v>
      </c>
      <c r="CY810">
        <v>570</v>
      </c>
    </row>
    <row r="811" spans="1:103" x14ac:dyDescent="0.25">
      <c r="A811" t="s">
        <v>106</v>
      </c>
      <c r="B811" s="38">
        <v>44986</v>
      </c>
      <c r="C811" s="43">
        <f>IF(YEAR(Таблица1[[#This Row],[Дата]])=2023,MONTH(Таблица1[[#This Row],[Дата]]),0)</f>
        <v>3</v>
      </c>
      <c r="D811" t="s">
        <v>852</v>
      </c>
      <c r="E811" t="s">
        <v>108</v>
      </c>
      <c r="F811" t="s">
        <v>853</v>
      </c>
      <c r="G811" t="s">
        <v>110</v>
      </c>
      <c r="H811" t="s">
        <v>111</v>
      </c>
      <c r="I811" t="s">
        <v>112</v>
      </c>
      <c r="J811" t="s">
        <v>112</v>
      </c>
      <c r="K811" t="s">
        <v>112</v>
      </c>
      <c r="L811" t="s">
        <v>175</v>
      </c>
      <c r="M811" t="s">
        <v>448</v>
      </c>
      <c r="N811" t="s">
        <v>112</v>
      </c>
      <c r="O811" t="s">
        <v>112</v>
      </c>
      <c r="P811">
        <v>1</v>
      </c>
      <c r="Q811">
        <v>0</v>
      </c>
      <c r="R811">
        <v>1</v>
      </c>
      <c r="S811">
        <v>33</v>
      </c>
      <c r="T811" t="s">
        <v>166</v>
      </c>
      <c r="U811" t="s">
        <v>152</v>
      </c>
      <c r="V811" t="s">
        <v>153</v>
      </c>
      <c r="W811" t="s">
        <v>154</v>
      </c>
      <c r="X811" t="s">
        <v>119</v>
      </c>
      <c r="Y811" t="s">
        <v>112</v>
      </c>
      <c r="Z811" t="s">
        <v>166</v>
      </c>
      <c r="AA811" t="s">
        <v>152</v>
      </c>
      <c r="AB811" t="s">
        <v>153</v>
      </c>
      <c r="AC811" t="s">
        <v>154</v>
      </c>
      <c r="AD811" t="s">
        <v>119</v>
      </c>
      <c r="AE811" t="s">
        <v>112</v>
      </c>
      <c r="AF811" t="s">
        <v>121</v>
      </c>
      <c r="AG811" t="s">
        <v>122</v>
      </c>
      <c r="AH811">
        <v>3829184.77</v>
      </c>
      <c r="AI811" t="s">
        <v>166</v>
      </c>
      <c r="AJ811" t="s">
        <v>152</v>
      </c>
      <c r="AK811" t="s">
        <v>153</v>
      </c>
      <c r="AL811" t="s">
        <v>154</v>
      </c>
      <c r="AM811" t="s">
        <v>119</v>
      </c>
      <c r="AN811" t="s">
        <v>112</v>
      </c>
      <c r="AO811" t="s">
        <v>121</v>
      </c>
      <c r="AP811" t="s">
        <v>122</v>
      </c>
      <c r="AQ811" t="s">
        <v>122</v>
      </c>
      <c r="AR811" t="s">
        <v>124</v>
      </c>
      <c r="AS811" t="s">
        <v>125</v>
      </c>
      <c r="AT811">
        <v>2</v>
      </c>
      <c r="AU811" t="s">
        <v>126</v>
      </c>
      <c r="AV811" t="s">
        <v>155</v>
      </c>
      <c r="AW811" t="s">
        <v>156</v>
      </c>
      <c r="AX811">
        <v>1</v>
      </c>
      <c r="AY811" t="s">
        <v>129</v>
      </c>
      <c r="AZ811">
        <v>42674.44</v>
      </c>
      <c r="BA811">
        <v>3423996</v>
      </c>
      <c r="BB811">
        <v>50735.96</v>
      </c>
      <c r="BC811">
        <v>80.235299999999995</v>
      </c>
      <c r="BD811" t="s">
        <v>130</v>
      </c>
      <c r="BE811" t="s">
        <v>112</v>
      </c>
      <c r="BF811" t="s">
        <v>157</v>
      </c>
      <c r="BG811" t="s">
        <v>133</v>
      </c>
      <c r="BH811" t="s">
        <v>134</v>
      </c>
      <c r="BI811" t="s">
        <v>112</v>
      </c>
      <c r="BJ811" t="s">
        <v>112</v>
      </c>
      <c r="BK811" t="s">
        <v>112</v>
      </c>
      <c r="BL811" t="s">
        <v>169</v>
      </c>
      <c r="BM811" t="s">
        <v>159</v>
      </c>
      <c r="BN811" t="s">
        <v>212</v>
      </c>
      <c r="BO811" t="s">
        <v>161</v>
      </c>
      <c r="BP811">
        <v>1</v>
      </c>
      <c r="BQ811" t="s">
        <v>466</v>
      </c>
      <c r="BR811" s="45">
        <f>ISNUMBER(SEARCH($BR$1,Таблица1[[#This Row],[31_1 Описание и характеристика товара]]))*1</f>
        <v>1</v>
      </c>
      <c r="BT811" t="s">
        <v>150</v>
      </c>
      <c r="BU811">
        <v>33</v>
      </c>
      <c r="BV811">
        <v>0</v>
      </c>
      <c r="BW811">
        <v>0</v>
      </c>
      <c r="BY811">
        <v>0</v>
      </c>
      <c r="CA811" t="s">
        <v>106</v>
      </c>
      <c r="CB811" t="s">
        <v>142</v>
      </c>
      <c r="CC811" t="s">
        <v>112</v>
      </c>
      <c r="CD811" t="s">
        <v>112</v>
      </c>
      <c r="CE811" t="s">
        <v>121</v>
      </c>
      <c r="CF811">
        <v>16777.330000000002</v>
      </c>
      <c r="CG811" t="s">
        <v>144</v>
      </c>
      <c r="CH811">
        <v>4000000</v>
      </c>
      <c r="CI811">
        <v>16777.330000000002</v>
      </c>
      <c r="CJ811">
        <v>0</v>
      </c>
      <c r="CK811" t="s">
        <v>112</v>
      </c>
      <c r="CL811" t="s">
        <v>112</v>
      </c>
      <c r="CM811">
        <v>42674.44</v>
      </c>
      <c r="CN811">
        <v>3423996</v>
      </c>
      <c r="CO811">
        <v>0</v>
      </c>
      <c r="CP811">
        <v>1</v>
      </c>
      <c r="CQ811">
        <v>3829184.77</v>
      </c>
      <c r="CR811">
        <v>50735.96</v>
      </c>
      <c r="CS811" t="s">
        <v>145</v>
      </c>
      <c r="CT811">
        <v>50736.323652999999</v>
      </c>
      <c r="CU811">
        <v>3.0240999999999998</v>
      </c>
      <c r="CV811">
        <v>45</v>
      </c>
      <c r="CW811" t="s">
        <v>171</v>
      </c>
      <c r="CX811" t="s">
        <v>369</v>
      </c>
      <c r="CY811">
        <v>131</v>
      </c>
    </row>
    <row r="812" spans="1:103" x14ac:dyDescent="0.25">
      <c r="A812" t="s">
        <v>106</v>
      </c>
      <c r="B812" s="38">
        <v>45120</v>
      </c>
      <c r="C812" s="43">
        <f>IF(YEAR(Таблица1[[#This Row],[Дата]])=2023,MONTH(Таблица1[[#This Row],[Дата]]),0)</f>
        <v>7</v>
      </c>
      <c r="D812" t="s">
        <v>844</v>
      </c>
      <c r="E812" t="s">
        <v>108</v>
      </c>
      <c r="F812" t="s">
        <v>845</v>
      </c>
      <c r="G812" t="s">
        <v>110</v>
      </c>
      <c r="H812" t="s">
        <v>111</v>
      </c>
      <c r="I812" t="s">
        <v>112</v>
      </c>
      <c r="J812" t="s">
        <v>112</v>
      </c>
      <c r="K812" t="s">
        <v>112</v>
      </c>
      <c r="L812" t="s">
        <v>150</v>
      </c>
      <c r="M812" t="s">
        <v>151</v>
      </c>
      <c r="N812" t="s">
        <v>112</v>
      </c>
      <c r="O812" t="s">
        <v>112</v>
      </c>
      <c r="P812">
        <v>1</v>
      </c>
      <c r="Q812">
        <v>0</v>
      </c>
      <c r="R812">
        <v>1</v>
      </c>
      <c r="S812">
        <v>33</v>
      </c>
      <c r="T812" t="s">
        <v>166</v>
      </c>
      <c r="U812" t="s">
        <v>152</v>
      </c>
      <c r="V812" t="s">
        <v>153</v>
      </c>
      <c r="W812" t="s">
        <v>154</v>
      </c>
      <c r="X812" t="s">
        <v>119</v>
      </c>
      <c r="Y812" t="s">
        <v>112</v>
      </c>
      <c r="Z812" t="s">
        <v>166</v>
      </c>
      <c r="AA812" t="s">
        <v>152</v>
      </c>
      <c r="AB812" t="s">
        <v>153</v>
      </c>
      <c r="AC812" t="s">
        <v>154</v>
      </c>
      <c r="AD812" t="s">
        <v>119</v>
      </c>
      <c r="AE812" t="s">
        <v>112</v>
      </c>
      <c r="AF812" t="s">
        <v>121</v>
      </c>
      <c r="AG812" t="s">
        <v>122</v>
      </c>
      <c r="AH812">
        <v>3876655.18</v>
      </c>
      <c r="AI812" t="s">
        <v>166</v>
      </c>
      <c r="AJ812" t="s">
        <v>152</v>
      </c>
      <c r="AK812" t="s">
        <v>153</v>
      </c>
      <c r="AL812" t="s">
        <v>154</v>
      </c>
      <c r="AM812" t="s">
        <v>119</v>
      </c>
      <c r="AN812" t="s">
        <v>112</v>
      </c>
      <c r="AO812" t="s">
        <v>121</v>
      </c>
      <c r="AP812" t="s">
        <v>122</v>
      </c>
      <c r="AQ812" t="s">
        <v>122</v>
      </c>
      <c r="AR812" t="s">
        <v>124</v>
      </c>
      <c r="AS812" t="s">
        <v>125</v>
      </c>
      <c r="AT812">
        <v>2</v>
      </c>
      <c r="AU812" t="s">
        <v>126</v>
      </c>
      <c r="AV812" t="s">
        <v>155</v>
      </c>
      <c r="AW812" t="s">
        <v>156</v>
      </c>
      <c r="AX812">
        <v>1</v>
      </c>
      <c r="AY812" t="s">
        <v>129</v>
      </c>
      <c r="AZ812">
        <v>43966.080000000002</v>
      </c>
      <c r="BA812">
        <v>3527632</v>
      </c>
      <c r="BB812">
        <v>51364.93</v>
      </c>
      <c r="BC812">
        <v>80.235299999999995</v>
      </c>
      <c r="BD812" t="s">
        <v>130</v>
      </c>
      <c r="BE812" t="s">
        <v>112</v>
      </c>
      <c r="BF812" t="s">
        <v>157</v>
      </c>
      <c r="BG812" t="s">
        <v>133</v>
      </c>
      <c r="BH812" t="s">
        <v>134</v>
      </c>
      <c r="BI812" t="s">
        <v>112</v>
      </c>
      <c r="BJ812" t="s">
        <v>112</v>
      </c>
      <c r="BK812" t="s">
        <v>112</v>
      </c>
      <c r="BL812" t="s">
        <v>169</v>
      </c>
      <c r="BM812" t="s">
        <v>159</v>
      </c>
      <c r="BN812" t="s">
        <v>212</v>
      </c>
      <c r="BO812" t="s">
        <v>161</v>
      </c>
      <c r="BP812">
        <v>1</v>
      </c>
      <c r="BQ812" t="s">
        <v>205</v>
      </c>
      <c r="BR812" s="45">
        <f>ISNUMBER(SEARCH($BR$1,Таблица1[[#This Row],[31_1 Описание и характеристика товара]]))*1</f>
        <v>1</v>
      </c>
      <c r="BT812" t="s">
        <v>150</v>
      </c>
      <c r="BU812">
        <v>33</v>
      </c>
      <c r="BV812">
        <v>0</v>
      </c>
      <c r="BW812">
        <v>0</v>
      </c>
      <c r="BY812">
        <v>0</v>
      </c>
      <c r="CA812" t="s">
        <v>106</v>
      </c>
      <c r="CB812" t="s">
        <v>142</v>
      </c>
      <c r="CC812" t="s">
        <v>112</v>
      </c>
      <c r="CD812" t="s">
        <v>112</v>
      </c>
      <c r="CE812" t="s">
        <v>121</v>
      </c>
      <c r="CF812">
        <v>16739.96</v>
      </c>
      <c r="CG812" t="s">
        <v>144</v>
      </c>
      <c r="CH812">
        <v>4000000</v>
      </c>
      <c r="CI812">
        <v>16685.96</v>
      </c>
      <c r="CJ812">
        <v>0</v>
      </c>
      <c r="CK812" t="s">
        <v>112</v>
      </c>
      <c r="CL812" t="s">
        <v>112</v>
      </c>
      <c r="CM812">
        <v>43966.080000000002</v>
      </c>
      <c r="CN812">
        <v>3527632</v>
      </c>
      <c r="CO812">
        <v>0</v>
      </c>
      <c r="CP812">
        <v>1</v>
      </c>
      <c r="CQ812">
        <v>3876655.18</v>
      </c>
      <c r="CR812">
        <v>51364.93</v>
      </c>
      <c r="CS812" t="s">
        <v>145</v>
      </c>
      <c r="CT812">
        <v>51364.390668</v>
      </c>
      <c r="CU812">
        <v>3.0783</v>
      </c>
      <c r="CV812">
        <v>45</v>
      </c>
      <c r="CW812" t="s">
        <v>171</v>
      </c>
      <c r="CX812" t="s">
        <v>172</v>
      </c>
      <c r="CY812">
        <v>166</v>
      </c>
    </row>
    <row r="813" spans="1:103" x14ac:dyDescent="0.25">
      <c r="A813" t="s">
        <v>106</v>
      </c>
      <c r="B813" s="38">
        <v>44959</v>
      </c>
      <c r="C813" s="43">
        <f>IF(YEAR(Таблица1[[#This Row],[Дата]])=2023,MONTH(Таблица1[[#This Row],[Дата]]),0)</f>
        <v>2</v>
      </c>
      <c r="D813" t="s">
        <v>479</v>
      </c>
      <c r="E813" t="s">
        <v>108</v>
      </c>
      <c r="F813" t="s">
        <v>480</v>
      </c>
      <c r="G813" t="s">
        <v>110</v>
      </c>
      <c r="H813" t="s">
        <v>111</v>
      </c>
      <c r="I813" t="s">
        <v>112</v>
      </c>
      <c r="J813" t="s">
        <v>112</v>
      </c>
      <c r="K813" t="s">
        <v>112</v>
      </c>
      <c r="L813" t="s">
        <v>150</v>
      </c>
      <c r="M813" t="s">
        <v>151</v>
      </c>
      <c r="N813" t="s">
        <v>112</v>
      </c>
      <c r="O813" t="s">
        <v>112</v>
      </c>
      <c r="P813">
        <v>1</v>
      </c>
      <c r="Q813">
        <v>0</v>
      </c>
      <c r="R813">
        <v>1</v>
      </c>
      <c r="S813">
        <v>33</v>
      </c>
      <c r="T813" t="s">
        <v>166</v>
      </c>
      <c r="U813" t="s">
        <v>152</v>
      </c>
      <c r="V813" t="s">
        <v>153</v>
      </c>
      <c r="W813" t="s">
        <v>154</v>
      </c>
      <c r="X813" t="s">
        <v>119</v>
      </c>
      <c r="Y813" t="s">
        <v>112</v>
      </c>
      <c r="Z813" t="s">
        <v>166</v>
      </c>
      <c r="AA813" t="s">
        <v>152</v>
      </c>
      <c r="AB813" t="s">
        <v>153</v>
      </c>
      <c r="AC813" t="s">
        <v>154</v>
      </c>
      <c r="AD813" t="s">
        <v>119</v>
      </c>
      <c r="AE813" t="s">
        <v>112</v>
      </c>
      <c r="AF813" t="s">
        <v>121</v>
      </c>
      <c r="AG813" t="s">
        <v>122</v>
      </c>
      <c r="AH813">
        <v>3767841.78</v>
      </c>
      <c r="AI813" t="s">
        <v>166</v>
      </c>
      <c r="AJ813" t="s">
        <v>152</v>
      </c>
      <c r="AK813" t="s">
        <v>153</v>
      </c>
      <c r="AL813" t="s">
        <v>154</v>
      </c>
      <c r="AM813" t="s">
        <v>119</v>
      </c>
      <c r="AN813" t="s">
        <v>112</v>
      </c>
      <c r="AO813" t="s">
        <v>121</v>
      </c>
      <c r="AP813" t="s">
        <v>122</v>
      </c>
      <c r="AQ813" t="s">
        <v>122</v>
      </c>
      <c r="AR813" t="s">
        <v>124</v>
      </c>
      <c r="AS813" t="s">
        <v>125</v>
      </c>
      <c r="AT813">
        <v>2</v>
      </c>
      <c r="AU813" t="s">
        <v>126</v>
      </c>
      <c r="AV813" t="s">
        <v>155</v>
      </c>
      <c r="AW813" t="s">
        <v>156</v>
      </c>
      <c r="AX813">
        <v>1</v>
      </c>
      <c r="AY813" t="s">
        <v>129</v>
      </c>
      <c r="AZ813">
        <v>45204.24</v>
      </c>
      <c r="BA813">
        <v>3437091</v>
      </c>
      <c r="BB813">
        <v>53369.54</v>
      </c>
      <c r="BC813">
        <v>76.034700000000001</v>
      </c>
      <c r="BD813" t="s">
        <v>130</v>
      </c>
      <c r="BE813" t="s">
        <v>112</v>
      </c>
      <c r="BF813" t="s">
        <v>157</v>
      </c>
      <c r="BG813" t="s">
        <v>133</v>
      </c>
      <c r="BH813" t="s">
        <v>134</v>
      </c>
      <c r="BI813" t="s">
        <v>112</v>
      </c>
      <c r="BJ813" t="s">
        <v>112</v>
      </c>
      <c r="BK813" t="s">
        <v>112</v>
      </c>
      <c r="BL813" t="s">
        <v>169</v>
      </c>
      <c r="BM813" t="s">
        <v>159</v>
      </c>
      <c r="BN813" t="s">
        <v>212</v>
      </c>
      <c r="BO813" t="s">
        <v>161</v>
      </c>
      <c r="BP813">
        <v>1</v>
      </c>
      <c r="BQ813" t="s">
        <v>205</v>
      </c>
      <c r="BR813" s="45">
        <f>ISNUMBER(SEARCH($BR$1,Таблица1[[#This Row],[31_1 Описание и характеристика товара]]))*1</f>
        <v>1</v>
      </c>
      <c r="BT813" t="s">
        <v>150</v>
      </c>
      <c r="BU813">
        <v>33</v>
      </c>
      <c r="BV813">
        <v>0</v>
      </c>
      <c r="BW813">
        <v>0</v>
      </c>
      <c r="BY813">
        <v>0</v>
      </c>
      <c r="CA813" t="s">
        <v>106</v>
      </c>
      <c r="CB813" t="s">
        <v>142</v>
      </c>
      <c r="CC813" t="s">
        <v>112</v>
      </c>
      <c r="CD813" t="s">
        <v>112</v>
      </c>
      <c r="CE813" t="s">
        <v>121</v>
      </c>
      <c r="CF813">
        <v>16644.009999999998</v>
      </c>
      <c r="CG813" t="s">
        <v>144</v>
      </c>
      <c r="CH813">
        <v>4000000</v>
      </c>
      <c r="CI813">
        <v>16572.009999999998</v>
      </c>
      <c r="CJ813">
        <v>0</v>
      </c>
      <c r="CK813" t="s">
        <v>112</v>
      </c>
      <c r="CL813" t="s">
        <v>112</v>
      </c>
      <c r="CM813">
        <v>45204.24</v>
      </c>
      <c r="CN813">
        <v>3437091</v>
      </c>
      <c r="CO813">
        <v>0</v>
      </c>
      <c r="CP813">
        <v>1</v>
      </c>
      <c r="CQ813">
        <v>3767841.78</v>
      </c>
      <c r="CR813">
        <v>53369.54</v>
      </c>
      <c r="CS813" t="s">
        <v>145</v>
      </c>
      <c r="CT813">
        <v>53370.158204999992</v>
      </c>
      <c r="CU813">
        <v>3.2204999999999999</v>
      </c>
      <c r="CV813">
        <v>45</v>
      </c>
      <c r="CW813" t="s">
        <v>171</v>
      </c>
      <c r="CX813" t="s">
        <v>463</v>
      </c>
      <c r="CY813">
        <v>544</v>
      </c>
    </row>
    <row r="814" spans="1:103" x14ac:dyDescent="0.25">
      <c r="A814" t="s">
        <v>106</v>
      </c>
      <c r="B814" s="38">
        <v>45069</v>
      </c>
      <c r="C814" s="43">
        <f>IF(YEAR(Таблица1[[#This Row],[Дата]])=2023,MONTH(Таблица1[[#This Row],[Дата]]),0)</f>
        <v>5</v>
      </c>
      <c r="D814" t="s">
        <v>473</v>
      </c>
      <c r="E814" t="s">
        <v>108</v>
      </c>
      <c r="F814" t="s">
        <v>474</v>
      </c>
      <c r="G814" t="s">
        <v>110</v>
      </c>
      <c r="H814" t="s">
        <v>111</v>
      </c>
      <c r="I814" t="s">
        <v>112</v>
      </c>
      <c r="J814" t="s">
        <v>112</v>
      </c>
      <c r="K814" t="s">
        <v>112</v>
      </c>
      <c r="L814" t="s">
        <v>175</v>
      </c>
      <c r="M814" t="s">
        <v>448</v>
      </c>
      <c r="N814" t="s">
        <v>112</v>
      </c>
      <c r="O814" t="s">
        <v>112</v>
      </c>
      <c r="P814">
        <v>1</v>
      </c>
      <c r="Q814">
        <v>0</v>
      </c>
      <c r="R814">
        <v>1</v>
      </c>
      <c r="S814">
        <v>33</v>
      </c>
      <c r="T814" t="s">
        <v>166</v>
      </c>
      <c r="U814" t="s">
        <v>152</v>
      </c>
      <c r="V814" t="s">
        <v>153</v>
      </c>
      <c r="W814" t="s">
        <v>154</v>
      </c>
      <c r="X814" t="s">
        <v>119</v>
      </c>
      <c r="Y814" t="s">
        <v>112</v>
      </c>
      <c r="Z814" t="s">
        <v>166</v>
      </c>
      <c r="AA814" t="s">
        <v>152</v>
      </c>
      <c r="AB814" t="s">
        <v>153</v>
      </c>
      <c r="AC814" t="s">
        <v>154</v>
      </c>
      <c r="AD814" t="s">
        <v>119</v>
      </c>
      <c r="AE814" t="s">
        <v>112</v>
      </c>
      <c r="AF814" t="s">
        <v>121</v>
      </c>
      <c r="AG814" t="s">
        <v>122</v>
      </c>
      <c r="AH814">
        <v>3768495.68</v>
      </c>
      <c r="AI814" t="s">
        <v>166</v>
      </c>
      <c r="AJ814" t="s">
        <v>152</v>
      </c>
      <c r="AK814" t="s">
        <v>153</v>
      </c>
      <c r="AL814" t="s">
        <v>154</v>
      </c>
      <c r="AM814" t="s">
        <v>119</v>
      </c>
      <c r="AN814" t="s">
        <v>112</v>
      </c>
      <c r="AO814" t="s">
        <v>121</v>
      </c>
      <c r="AP814" t="s">
        <v>122</v>
      </c>
      <c r="AQ814" t="s">
        <v>122</v>
      </c>
      <c r="AR814" t="s">
        <v>124</v>
      </c>
      <c r="AS814" t="s">
        <v>125</v>
      </c>
      <c r="AT814">
        <v>2</v>
      </c>
      <c r="AU814" t="s">
        <v>126</v>
      </c>
      <c r="AV814" t="s">
        <v>155</v>
      </c>
      <c r="AW814" t="s">
        <v>156</v>
      </c>
      <c r="AX814">
        <v>1</v>
      </c>
      <c r="AY814" t="s">
        <v>129</v>
      </c>
      <c r="AZ814">
        <v>45212.84</v>
      </c>
      <c r="BA814">
        <v>3437745</v>
      </c>
      <c r="BB814">
        <v>53378.81</v>
      </c>
      <c r="BC814">
        <v>76.034700000000001</v>
      </c>
      <c r="BD814" t="s">
        <v>130</v>
      </c>
      <c r="BE814" t="s">
        <v>112</v>
      </c>
      <c r="BF814" t="s">
        <v>157</v>
      </c>
      <c r="BG814" t="s">
        <v>133</v>
      </c>
      <c r="BH814" t="s">
        <v>134</v>
      </c>
      <c r="BI814" t="s">
        <v>112</v>
      </c>
      <c r="BJ814" t="s">
        <v>112</v>
      </c>
      <c r="BK814" t="s">
        <v>112</v>
      </c>
      <c r="BL814" t="s">
        <v>169</v>
      </c>
      <c r="BM814" t="s">
        <v>159</v>
      </c>
      <c r="BN814" t="s">
        <v>212</v>
      </c>
      <c r="BO814" t="s">
        <v>161</v>
      </c>
      <c r="BP814">
        <v>1</v>
      </c>
      <c r="BQ814" t="s">
        <v>475</v>
      </c>
      <c r="BR814" s="45">
        <f>ISNUMBER(SEARCH($BR$1,Таблица1[[#This Row],[31_1 Описание и характеристика товара]]))*1</f>
        <v>1</v>
      </c>
      <c r="BT814" t="s">
        <v>150</v>
      </c>
      <c r="BU814">
        <v>33</v>
      </c>
      <c r="BV814">
        <v>0</v>
      </c>
      <c r="BW814">
        <v>0</v>
      </c>
      <c r="BY814">
        <v>0</v>
      </c>
      <c r="CA814" t="s">
        <v>106</v>
      </c>
      <c r="CB814" t="s">
        <v>142</v>
      </c>
      <c r="CC814" t="s">
        <v>112</v>
      </c>
      <c r="CD814" t="s">
        <v>112</v>
      </c>
      <c r="CE814" t="s">
        <v>121</v>
      </c>
      <c r="CF814">
        <v>15574.73</v>
      </c>
      <c r="CG814" t="s">
        <v>144</v>
      </c>
      <c r="CH814">
        <v>4000000</v>
      </c>
      <c r="CI814">
        <v>15268.73</v>
      </c>
      <c r="CJ814">
        <v>0</v>
      </c>
      <c r="CK814" t="s">
        <v>112</v>
      </c>
      <c r="CL814" t="s">
        <v>112</v>
      </c>
      <c r="CM814">
        <v>45212.84</v>
      </c>
      <c r="CN814">
        <v>3437745</v>
      </c>
      <c r="CO814">
        <v>0</v>
      </c>
      <c r="CP814">
        <v>1</v>
      </c>
      <c r="CQ814">
        <v>3768495.68</v>
      </c>
      <c r="CR814">
        <v>53378.81</v>
      </c>
      <c r="CS814" t="s">
        <v>145</v>
      </c>
      <c r="CT814">
        <v>53379.480080000001</v>
      </c>
      <c r="CU814">
        <v>3.496</v>
      </c>
      <c r="CV814">
        <v>45</v>
      </c>
      <c r="CW814" t="s">
        <v>171</v>
      </c>
      <c r="CX814" t="s">
        <v>372</v>
      </c>
      <c r="CY814">
        <v>189</v>
      </c>
    </row>
    <row r="815" spans="1:103" x14ac:dyDescent="0.25">
      <c r="A815" t="s">
        <v>106</v>
      </c>
      <c r="B815" s="38">
        <v>45026</v>
      </c>
      <c r="C815" s="43">
        <f>IF(YEAR(Таблица1[[#This Row],[Дата]])=2023,MONTH(Таблица1[[#This Row],[Дата]]),0)</f>
        <v>4</v>
      </c>
      <c r="D815" t="s">
        <v>476</v>
      </c>
      <c r="E815" t="s">
        <v>108</v>
      </c>
      <c r="F815" t="s">
        <v>477</v>
      </c>
      <c r="G815" t="s">
        <v>110</v>
      </c>
      <c r="H815" t="s">
        <v>111</v>
      </c>
      <c r="I815" t="s">
        <v>112</v>
      </c>
      <c r="J815" t="s">
        <v>112</v>
      </c>
      <c r="K815" t="s">
        <v>112</v>
      </c>
      <c r="L815" t="s">
        <v>150</v>
      </c>
      <c r="M815" t="s">
        <v>151</v>
      </c>
      <c r="N815" t="s">
        <v>112</v>
      </c>
      <c r="O815" t="s">
        <v>112</v>
      </c>
      <c r="P815">
        <v>1</v>
      </c>
      <c r="Q815">
        <v>0</v>
      </c>
      <c r="R815">
        <v>1</v>
      </c>
      <c r="S815">
        <v>33</v>
      </c>
      <c r="T815" t="s">
        <v>166</v>
      </c>
      <c r="U815" t="s">
        <v>152</v>
      </c>
      <c r="V815" t="s">
        <v>153</v>
      </c>
      <c r="W815" t="s">
        <v>154</v>
      </c>
      <c r="X815" t="s">
        <v>119</v>
      </c>
      <c r="Y815" t="s">
        <v>112</v>
      </c>
      <c r="Z815" t="s">
        <v>166</v>
      </c>
      <c r="AA815" t="s">
        <v>152</v>
      </c>
      <c r="AB815" t="s">
        <v>153</v>
      </c>
      <c r="AC815" t="s">
        <v>154</v>
      </c>
      <c r="AD815" t="s">
        <v>119</v>
      </c>
      <c r="AE815" t="s">
        <v>112</v>
      </c>
      <c r="AF815" t="s">
        <v>121</v>
      </c>
      <c r="AG815" t="s">
        <v>122</v>
      </c>
      <c r="AH815">
        <v>4031466.25</v>
      </c>
      <c r="AI815" t="s">
        <v>166</v>
      </c>
      <c r="AJ815" t="s">
        <v>152</v>
      </c>
      <c r="AK815" t="s">
        <v>153</v>
      </c>
      <c r="AL815" t="s">
        <v>154</v>
      </c>
      <c r="AM815" t="s">
        <v>119</v>
      </c>
      <c r="AN815" t="s">
        <v>112</v>
      </c>
      <c r="AO815" t="s">
        <v>121</v>
      </c>
      <c r="AP815" t="s">
        <v>122</v>
      </c>
      <c r="AQ815" t="s">
        <v>122</v>
      </c>
      <c r="AR815" t="s">
        <v>124</v>
      </c>
      <c r="AS815" t="s">
        <v>125</v>
      </c>
      <c r="AT815">
        <v>2</v>
      </c>
      <c r="AU815" t="s">
        <v>126</v>
      </c>
      <c r="AV815" t="s">
        <v>155</v>
      </c>
      <c r="AW815" t="s">
        <v>156</v>
      </c>
      <c r="AX815">
        <v>1</v>
      </c>
      <c r="AY815" t="s">
        <v>129</v>
      </c>
      <c r="AZ815">
        <v>48671.4</v>
      </c>
      <c r="BA815">
        <v>3700715</v>
      </c>
      <c r="BB815">
        <v>57103.65</v>
      </c>
      <c r="BC815">
        <v>76.034700000000001</v>
      </c>
      <c r="BD815" t="s">
        <v>130</v>
      </c>
      <c r="BE815" t="s">
        <v>112</v>
      </c>
      <c r="BF815" t="s">
        <v>157</v>
      </c>
      <c r="BG815" t="s">
        <v>133</v>
      </c>
      <c r="BH815" t="s">
        <v>134</v>
      </c>
      <c r="BI815" t="s">
        <v>112</v>
      </c>
      <c r="BJ815" t="s">
        <v>112</v>
      </c>
      <c r="BK815" t="s">
        <v>112</v>
      </c>
      <c r="BL815" t="s">
        <v>169</v>
      </c>
      <c r="BM815" t="s">
        <v>159</v>
      </c>
      <c r="BN815" t="s">
        <v>212</v>
      </c>
      <c r="BO815" t="s">
        <v>161</v>
      </c>
      <c r="BP815">
        <v>1</v>
      </c>
      <c r="BQ815" t="s">
        <v>478</v>
      </c>
      <c r="BR815" s="45">
        <f>ISNUMBER(SEARCH($BR$1,Таблица1[[#This Row],[31_1 Описание и характеристика товара]]))*1</f>
        <v>1</v>
      </c>
      <c r="BT815" t="s">
        <v>150</v>
      </c>
      <c r="BU815">
        <v>33</v>
      </c>
      <c r="BV815">
        <v>0</v>
      </c>
      <c r="BW815">
        <v>0</v>
      </c>
      <c r="BY815">
        <v>0</v>
      </c>
      <c r="CA815" t="s">
        <v>106</v>
      </c>
      <c r="CB815" t="s">
        <v>142</v>
      </c>
      <c r="CC815" t="s">
        <v>112</v>
      </c>
      <c r="CD815" t="s">
        <v>112</v>
      </c>
      <c r="CE815" t="s">
        <v>121</v>
      </c>
      <c r="CF815">
        <v>16822.68</v>
      </c>
      <c r="CG815" t="s">
        <v>144</v>
      </c>
      <c r="CH815">
        <v>4000000</v>
      </c>
      <c r="CI815">
        <v>16714.68</v>
      </c>
      <c r="CJ815">
        <v>0</v>
      </c>
      <c r="CK815" t="s">
        <v>112</v>
      </c>
      <c r="CL815" t="s">
        <v>112</v>
      </c>
      <c r="CM815">
        <v>48671.4</v>
      </c>
      <c r="CN815">
        <v>3700715</v>
      </c>
      <c r="CO815">
        <v>0</v>
      </c>
      <c r="CP815">
        <v>1</v>
      </c>
      <c r="CQ815">
        <v>4031466.25</v>
      </c>
      <c r="CR815">
        <v>57103.65</v>
      </c>
      <c r="CS815" t="s">
        <v>145</v>
      </c>
      <c r="CT815">
        <v>57104.032751999999</v>
      </c>
      <c r="CU815">
        <v>3.4163999999999999</v>
      </c>
      <c r="CV815">
        <v>45</v>
      </c>
      <c r="CW815" t="s">
        <v>171</v>
      </c>
      <c r="CX815" t="s">
        <v>172</v>
      </c>
      <c r="CY815">
        <v>201</v>
      </c>
    </row>
    <row r="816" spans="1:103" x14ac:dyDescent="0.25">
      <c r="A816" t="s">
        <v>106</v>
      </c>
      <c r="B816" s="38">
        <v>44952</v>
      </c>
      <c r="C816" s="43">
        <f>IF(YEAR(Таблица1[[#This Row],[Дата]])=2023,MONTH(Таблица1[[#This Row],[Дата]]),0)</f>
        <v>1</v>
      </c>
      <c r="D816" t="s">
        <v>994</v>
      </c>
      <c r="E816" t="s">
        <v>108</v>
      </c>
      <c r="F816" t="s">
        <v>995</v>
      </c>
      <c r="G816" t="s">
        <v>110</v>
      </c>
      <c r="H816" t="s">
        <v>111</v>
      </c>
      <c r="I816" t="s">
        <v>112</v>
      </c>
      <c r="J816" t="s">
        <v>112</v>
      </c>
      <c r="K816" t="s">
        <v>112</v>
      </c>
      <c r="L816" t="s">
        <v>150</v>
      </c>
      <c r="M816" t="s">
        <v>151</v>
      </c>
      <c r="N816" t="s">
        <v>112</v>
      </c>
      <c r="O816" t="s">
        <v>112</v>
      </c>
      <c r="P816">
        <v>1</v>
      </c>
      <c r="R816">
        <v>1</v>
      </c>
      <c r="S816">
        <v>33</v>
      </c>
      <c r="T816" t="s">
        <v>112</v>
      </c>
      <c r="U816" t="s">
        <v>152</v>
      </c>
      <c r="V816" t="s">
        <v>153</v>
      </c>
      <c r="W816" t="s">
        <v>154</v>
      </c>
      <c r="X816" t="s">
        <v>119</v>
      </c>
      <c r="Y816" t="s">
        <v>112</v>
      </c>
      <c r="Z816" t="s">
        <v>112</v>
      </c>
      <c r="AA816" t="s">
        <v>152</v>
      </c>
      <c r="AB816" t="s">
        <v>153</v>
      </c>
      <c r="AC816" t="s">
        <v>154</v>
      </c>
      <c r="AD816" t="s">
        <v>119</v>
      </c>
      <c r="AE816" t="s">
        <v>112</v>
      </c>
      <c r="AF816" t="s">
        <v>121</v>
      </c>
      <c r="AG816" t="s">
        <v>122</v>
      </c>
      <c r="AH816">
        <v>4505164.46</v>
      </c>
      <c r="AI816" t="s">
        <v>112</v>
      </c>
      <c r="AJ816" t="s">
        <v>152</v>
      </c>
      <c r="AK816" t="s">
        <v>153</v>
      </c>
      <c r="AL816" t="s">
        <v>154</v>
      </c>
      <c r="AM816" t="s">
        <v>119</v>
      </c>
      <c r="AN816" t="s">
        <v>112</v>
      </c>
      <c r="AO816" t="s">
        <v>121</v>
      </c>
      <c r="AP816" t="s">
        <v>122</v>
      </c>
      <c r="AQ816" t="s">
        <v>122</v>
      </c>
      <c r="AR816" t="s">
        <v>124</v>
      </c>
      <c r="AS816" t="s">
        <v>125</v>
      </c>
      <c r="AT816">
        <v>2</v>
      </c>
      <c r="AU816" t="s">
        <v>126</v>
      </c>
      <c r="AV816" t="s">
        <v>155</v>
      </c>
      <c r="AW816" t="s">
        <v>156</v>
      </c>
      <c r="AY816" t="s">
        <v>129</v>
      </c>
      <c r="AZ816">
        <v>41455.199999999997</v>
      </c>
      <c r="BC816">
        <v>99.134</v>
      </c>
      <c r="BD816" t="s">
        <v>112</v>
      </c>
      <c r="BE816" t="s">
        <v>112</v>
      </c>
      <c r="BF816" t="s">
        <v>157</v>
      </c>
      <c r="BG816" t="s">
        <v>133</v>
      </c>
      <c r="BH816" t="s">
        <v>134</v>
      </c>
      <c r="BI816" t="s">
        <v>112</v>
      </c>
      <c r="BJ816" t="s">
        <v>112</v>
      </c>
      <c r="BK816" t="s">
        <v>112</v>
      </c>
      <c r="BL816" t="s">
        <v>158</v>
      </c>
      <c r="BM816" t="s">
        <v>159</v>
      </c>
      <c r="BN816" t="s">
        <v>212</v>
      </c>
      <c r="BO816" t="s">
        <v>161</v>
      </c>
      <c r="BQ816" t="s">
        <v>162</v>
      </c>
      <c r="BR816" s="45">
        <f>ISNUMBER(SEARCH($BR$1,Таблица1[[#This Row],[31_1 Описание и характеристика товара]]))*1</f>
        <v>1</v>
      </c>
      <c r="BT816" t="s">
        <v>150</v>
      </c>
      <c r="BU816">
        <v>33</v>
      </c>
      <c r="BV816">
        <v>0</v>
      </c>
      <c r="BW816">
        <v>0</v>
      </c>
      <c r="BY816">
        <v>0</v>
      </c>
      <c r="CA816" t="s">
        <v>106</v>
      </c>
      <c r="CB816" t="s">
        <v>142</v>
      </c>
      <c r="CC816" t="s">
        <v>112</v>
      </c>
      <c r="CD816" t="s">
        <v>112</v>
      </c>
      <c r="CE816" t="s">
        <v>121</v>
      </c>
      <c r="CF816">
        <v>17227.32</v>
      </c>
      <c r="CG816" t="s">
        <v>144</v>
      </c>
      <c r="CH816">
        <v>4000000</v>
      </c>
      <c r="CI816">
        <v>17209.32</v>
      </c>
      <c r="CJ816">
        <v>0</v>
      </c>
      <c r="CK816" t="s">
        <v>112</v>
      </c>
      <c r="CL816" t="s">
        <v>112</v>
      </c>
      <c r="CM816">
        <v>41455.199999999997</v>
      </c>
      <c r="CO816">
        <v>0</v>
      </c>
      <c r="CP816">
        <v>1</v>
      </c>
      <c r="CQ816">
        <v>4505164.46</v>
      </c>
      <c r="CR816">
        <v>49192.52</v>
      </c>
      <c r="CS816" t="s">
        <v>145</v>
      </c>
      <c r="CT816">
        <v>49218.655199999994</v>
      </c>
      <c r="CU816">
        <v>2.86</v>
      </c>
      <c r="CV816">
        <v>45</v>
      </c>
      <c r="CX816" t="s">
        <v>163</v>
      </c>
      <c r="CY816">
        <v>9</v>
      </c>
    </row>
    <row r="817" spans="1:103" x14ac:dyDescent="0.25">
      <c r="A817" t="s">
        <v>106</v>
      </c>
      <c r="B817" s="38">
        <v>45203</v>
      </c>
      <c r="C817" s="43">
        <f>IF(YEAR(Таблица1[[#This Row],[Дата]])=2023,MONTH(Таблица1[[#This Row],[Дата]]),0)</f>
        <v>10</v>
      </c>
      <c r="D817" t="s">
        <v>1044</v>
      </c>
      <c r="E817" t="s">
        <v>108</v>
      </c>
      <c r="F817" t="s">
        <v>1045</v>
      </c>
      <c r="G817" t="s">
        <v>110</v>
      </c>
      <c r="H817" t="s">
        <v>111</v>
      </c>
      <c r="I817" t="s">
        <v>112</v>
      </c>
      <c r="J817" t="s">
        <v>112</v>
      </c>
      <c r="K817" t="s">
        <v>112</v>
      </c>
      <c r="L817" t="s">
        <v>150</v>
      </c>
      <c r="M817" t="s">
        <v>151</v>
      </c>
      <c r="N817" t="s">
        <v>112</v>
      </c>
      <c r="O817" t="s">
        <v>112</v>
      </c>
      <c r="P817">
        <v>1</v>
      </c>
      <c r="R817">
        <v>1</v>
      </c>
      <c r="S817">
        <v>33</v>
      </c>
      <c r="T817" t="s">
        <v>112</v>
      </c>
      <c r="U817" t="s">
        <v>152</v>
      </c>
      <c r="V817" t="s">
        <v>153</v>
      </c>
      <c r="W817" t="s">
        <v>154</v>
      </c>
      <c r="X817" t="s">
        <v>119</v>
      </c>
      <c r="Y817" t="s">
        <v>112</v>
      </c>
      <c r="Z817" t="s">
        <v>112</v>
      </c>
      <c r="AA817" t="s">
        <v>152</v>
      </c>
      <c r="AB817" t="s">
        <v>153</v>
      </c>
      <c r="AC817" t="s">
        <v>154</v>
      </c>
      <c r="AD817" t="s">
        <v>119</v>
      </c>
      <c r="AE817" t="s">
        <v>112</v>
      </c>
      <c r="AF817" t="s">
        <v>121</v>
      </c>
      <c r="AG817" t="s">
        <v>122</v>
      </c>
      <c r="AH817">
        <v>4502678.18</v>
      </c>
      <c r="AI817" t="s">
        <v>112</v>
      </c>
      <c r="AJ817" t="s">
        <v>152</v>
      </c>
      <c r="AK817" t="s">
        <v>153</v>
      </c>
      <c r="AL817" t="s">
        <v>154</v>
      </c>
      <c r="AM817" t="s">
        <v>119</v>
      </c>
      <c r="AN817" t="s">
        <v>112</v>
      </c>
      <c r="AO817" t="s">
        <v>121</v>
      </c>
      <c r="AP817" t="s">
        <v>122</v>
      </c>
      <c r="AQ817" t="s">
        <v>122</v>
      </c>
      <c r="AR817" t="s">
        <v>124</v>
      </c>
      <c r="AS817" t="s">
        <v>125</v>
      </c>
      <c r="AT817">
        <v>2</v>
      </c>
      <c r="AU817" t="s">
        <v>126</v>
      </c>
      <c r="AV817" t="s">
        <v>155</v>
      </c>
      <c r="AW817" t="s">
        <v>156</v>
      </c>
      <c r="AY817" t="s">
        <v>129</v>
      </c>
      <c r="AZ817">
        <v>41430.120000000003</v>
      </c>
      <c r="BC817">
        <v>99.134</v>
      </c>
      <c r="BD817" t="s">
        <v>112</v>
      </c>
      <c r="BE817" t="s">
        <v>112</v>
      </c>
      <c r="BF817" t="s">
        <v>157</v>
      </c>
      <c r="BG817" t="s">
        <v>133</v>
      </c>
      <c r="BH817" t="s">
        <v>134</v>
      </c>
      <c r="BI817" t="s">
        <v>112</v>
      </c>
      <c r="BJ817" t="s">
        <v>112</v>
      </c>
      <c r="BK817" t="s">
        <v>112</v>
      </c>
      <c r="BL817" t="s">
        <v>158</v>
      </c>
      <c r="BM817" t="s">
        <v>159</v>
      </c>
      <c r="BN817" t="s">
        <v>212</v>
      </c>
      <c r="BO817" t="s">
        <v>161</v>
      </c>
      <c r="BQ817" t="s">
        <v>162</v>
      </c>
      <c r="BR817" s="45">
        <f>ISNUMBER(SEARCH($BR$1,Таблица1[[#This Row],[31_1 Описание и характеристика товара]]))*1</f>
        <v>1</v>
      </c>
      <c r="BT817" t="s">
        <v>150</v>
      </c>
      <c r="BU817">
        <v>33</v>
      </c>
      <c r="BV817">
        <v>0</v>
      </c>
      <c r="BW817">
        <v>0</v>
      </c>
      <c r="BY817">
        <v>0</v>
      </c>
      <c r="CA817" t="s">
        <v>106</v>
      </c>
      <c r="CB817" t="s">
        <v>142</v>
      </c>
      <c r="CC817" t="s">
        <v>112</v>
      </c>
      <c r="CD817" t="s">
        <v>112</v>
      </c>
      <c r="CE817" t="s">
        <v>121</v>
      </c>
      <c r="CF817">
        <v>16950.759999999998</v>
      </c>
      <c r="CG817" t="s">
        <v>144</v>
      </c>
      <c r="CH817">
        <v>4000000</v>
      </c>
      <c r="CI817">
        <v>16950.759999999998</v>
      </c>
      <c r="CJ817">
        <v>0</v>
      </c>
      <c r="CK817" t="s">
        <v>112</v>
      </c>
      <c r="CL817" t="s">
        <v>112</v>
      </c>
      <c r="CM817">
        <v>41430.120000000003</v>
      </c>
      <c r="CO817">
        <v>0</v>
      </c>
      <c r="CP817">
        <v>1</v>
      </c>
      <c r="CQ817">
        <v>4502678.18</v>
      </c>
      <c r="CR817">
        <v>49165.38</v>
      </c>
      <c r="CS817" t="s">
        <v>145</v>
      </c>
      <c r="CT817">
        <v>49157.203999999991</v>
      </c>
      <c r="CU817">
        <v>2.9</v>
      </c>
      <c r="CV817">
        <v>45</v>
      </c>
      <c r="CX817" t="s">
        <v>163</v>
      </c>
      <c r="CY817">
        <v>544</v>
      </c>
    </row>
    <row r="818" spans="1:103" x14ac:dyDescent="0.25">
      <c r="A818" t="s">
        <v>106</v>
      </c>
      <c r="B818" s="38">
        <v>45271</v>
      </c>
      <c r="C818" s="43">
        <f>IF(YEAR(Таблица1[[#This Row],[Дата]])=2023,MONTH(Таблица1[[#This Row],[Дата]]),0)</f>
        <v>12</v>
      </c>
      <c r="D818" t="s">
        <v>1008</v>
      </c>
      <c r="E818" t="s">
        <v>108</v>
      </c>
      <c r="F818" t="s">
        <v>1009</v>
      </c>
      <c r="G818" t="s">
        <v>110</v>
      </c>
      <c r="H818" t="s">
        <v>111</v>
      </c>
      <c r="I818" t="s">
        <v>112</v>
      </c>
      <c r="J818" t="s">
        <v>112</v>
      </c>
      <c r="K818" t="s">
        <v>112</v>
      </c>
      <c r="L818" t="s">
        <v>150</v>
      </c>
      <c r="M818" t="s">
        <v>151</v>
      </c>
      <c r="N818" t="s">
        <v>112</v>
      </c>
      <c r="O818" t="s">
        <v>112</v>
      </c>
      <c r="P818">
        <v>1</v>
      </c>
      <c r="R818">
        <v>1</v>
      </c>
      <c r="S818">
        <v>33</v>
      </c>
      <c r="T818" t="s">
        <v>112</v>
      </c>
      <c r="U818" t="s">
        <v>152</v>
      </c>
      <c r="V818" t="s">
        <v>153</v>
      </c>
      <c r="W818" t="s">
        <v>154</v>
      </c>
      <c r="X818" t="s">
        <v>119</v>
      </c>
      <c r="Y818" t="s">
        <v>112</v>
      </c>
      <c r="Z818" t="s">
        <v>112</v>
      </c>
      <c r="AA818" t="s">
        <v>152</v>
      </c>
      <c r="AB818" t="s">
        <v>153</v>
      </c>
      <c r="AC818" t="s">
        <v>154</v>
      </c>
      <c r="AD818" t="s">
        <v>119</v>
      </c>
      <c r="AE818" t="s">
        <v>112</v>
      </c>
      <c r="AF818" t="s">
        <v>121</v>
      </c>
      <c r="AG818" t="s">
        <v>122</v>
      </c>
      <c r="AH818">
        <v>4674917.55</v>
      </c>
      <c r="AI818" t="s">
        <v>112</v>
      </c>
      <c r="AJ818" t="s">
        <v>152</v>
      </c>
      <c r="AK818" t="s">
        <v>153</v>
      </c>
      <c r="AL818" t="s">
        <v>154</v>
      </c>
      <c r="AM818" t="s">
        <v>119</v>
      </c>
      <c r="AN818" t="s">
        <v>112</v>
      </c>
      <c r="AO818" t="s">
        <v>121</v>
      </c>
      <c r="AP818" t="s">
        <v>122</v>
      </c>
      <c r="AQ818" t="s">
        <v>122</v>
      </c>
      <c r="AR818" t="s">
        <v>124</v>
      </c>
      <c r="AS818" t="s">
        <v>125</v>
      </c>
      <c r="AT818">
        <v>2</v>
      </c>
      <c r="AU818" t="s">
        <v>126</v>
      </c>
      <c r="AV818" t="s">
        <v>155</v>
      </c>
      <c r="AW818" t="s">
        <v>156</v>
      </c>
      <c r="AY818" t="s">
        <v>129</v>
      </c>
      <c r="AZ818">
        <v>42467.56</v>
      </c>
      <c r="BC818">
        <v>99.134</v>
      </c>
      <c r="BD818" t="s">
        <v>112</v>
      </c>
      <c r="BE818" t="s">
        <v>112</v>
      </c>
      <c r="BF818" t="s">
        <v>157</v>
      </c>
      <c r="BG818" t="s">
        <v>133</v>
      </c>
      <c r="BH818" t="s">
        <v>134</v>
      </c>
      <c r="BI818" t="s">
        <v>112</v>
      </c>
      <c r="BJ818" t="s">
        <v>112</v>
      </c>
      <c r="BK818" t="s">
        <v>112</v>
      </c>
      <c r="BL818" t="s">
        <v>158</v>
      </c>
      <c r="BM818" t="s">
        <v>159</v>
      </c>
      <c r="BN818" t="s">
        <v>212</v>
      </c>
      <c r="BO818" t="s">
        <v>161</v>
      </c>
      <c r="BQ818" t="s">
        <v>205</v>
      </c>
      <c r="BR818" s="45">
        <f>ISNUMBER(SEARCH($BR$1,Таблица1[[#This Row],[31_1 Описание и характеристика товара]]))*1</f>
        <v>1</v>
      </c>
      <c r="BT818" t="s">
        <v>150</v>
      </c>
      <c r="BU818">
        <v>33</v>
      </c>
      <c r="BV818">
        <v>0</v>
      </c>
      <c r="BW818">
        <v>0</v>
      </c>
      <c r="BY818">
        <v>0</v>
      </c>
      <c r="CA818" t="s">
        <v>106</v>
      </c>
      <c r="CB818" t="s">
        <v>142</v>
      </c>
      <c r="CC818" t="s">
        <v>112</v>
      </c>
      <c r="CD818" t="s">
        <v>112</v>
      </c>
      <c r="CE818" t="s">
        <v>121</v>
      </c>
      <c r="CF818">
        <v>17508.71</v>
      </c>
      <c r="CG818" t="s">
        <v>144</v>
      </c>
      <c r="CH818">
        <v>4000000</v>
      </c>
      <c r="CI818">
        <v>17508.71</v>
      </c>
      <c r="CJ818">
        <v>0</v>
      </c>
      <c r="CK818" t="s">
        <v>112</v>
      </c>
      <c r="CL818" t="s">
        <v>112</v>
      </c>
      <c r="CM818">
        <v>42467.56</v>
      </c>
      <c r="CO818">
        <v>0</v>
      </c>
      <c r="CP818">
        <v>1</v>
      </c>
      <c r="CQ818">
        <v>4674917.55</v>
      </c>
      <c r="CR818">
        <v>51046.080000000002</v>
      </c>
      <c r="CS818" t="s">
        <v>145</v>
      </c>
      <c r="CT818">
        <v>51125.433199999999</v>
      </c>
      <c r="CU818">
        <v>2.92</v>
      </c>
      <c r="CV818">
        <v>45</v>
      </c>
      <c r="CX818" t="s">
        <v>729</v>
      </c>
      <c r="CY818">
        <v>551</v>
      </c>
    </row>
    <row r="819" spans="1:103" x14ac:dyDescent="0.25">
      <c r="A819" t="s">
        <v>106</v>
      </c>
      <c r="B819" s="38">
        <v>44958</v>
      </c>
      <c r="C819" s="43">
        <f>IF(YEAR(Таблица1[[#This Row],[Дата]])=2023,MONTH(Таблица1[[#This Row],[Дата]]),0)</f>
        <v>2</v>
      </c>
      <c r="D819" t="s">
        <v>1014</v>
      </c>
      <c r="E819" t="s">
        <v>108</v>
      </c>
      <c r="F819" t="s">
        <v>1015</v>
      </c>
      <c r="G819" t="s">
        <v>110</v>
      </c>
      <c r="H819" t="s">
        <v>111</v>
      </c>
      <c r="I819" t="s">
        <v>112</v>
      </c>
      <c r="J819" t="s">
        <v>112</v>
      </c>
      <c r="K819" t="s">
        <v>112</v>
      </c>
      <c r="L819" t="s">
        <v>150</v>
      </c>
      <c r="M819" t="s">
        <v>151</v>
      </c>
      <c r="N819" t="s">
        <v>112</v>
      </c>
      <c r="O819" t="s">
        <v>112</v>
      </c>
      <c r="P819">
        <v>1</v>
      </c>
      <c r="R819">
        <v>1</v>
      </c>
      <c r="S819">
        <v>33</v>
      </c>
      <c r="T819" t="s">
        <v>112</v>
      </c>
      <c r="U819" t="s">
        <v>152</v>
      </c>
      <c r="V819" t="s">
        <v>153</v>
      </c>
      <c r="W819" t="s">
        <v>154</v>
      </c>
      <c r="X819" t="s">
        <v>119</v>
      </c>
      <c r="Y819" t="s">
        <v>112</v>
      </c>
      <c r="Z819" t="s">
        <v>112</v>
      </c>
      <c r="AA819" t="s">
        <v>152</v>
      </c>
      <c r="AB819" t="s">
        <v>153</v>
      </c>
      <c r="AC819" t="s">
        <v>154</v>
      </c>
      <c r="AD819" t="s">
        <v>119</v>
      </c>
      <c r="AE819" t="s">
        <v>112</v>
      </c>
      <c r="AF819" t="s">
        <v>121</v>
      </c>
      <c r="AG819" t="s">
        <v>122</v>
      </c>
      <c r="AH819">
        <v>4348393.95</v>
      </c>
      <c r="AI819" t="s">
        <v>112</v>
      </c>
      <c r="AJ819" t="s">
        <v>152</v>
      </c>
      <c r="AK819" t="s">
        <v>153</v>
      </c>
      <c r="AL819" t="s">
        <v>154</v>
      </c>
      <c r="AM819" t="s">
        <v>119</v>
      </c>
      <c r="AN819" t="s">
        <v>112</v>
      </c>
      <c r="AO819" t="s">
        <v>121</v>
      </c>
      <c r="AP819" t="s">
        <v>122</v>
      </c>
      <c r="AQ819" t="s">
        <v>122</v>
      </c>
      <c r="AR819" t="s">
        <v>124</v>
      </c>
      <c r="AS819" t="s">
        <v>125</v>
      </c>
      <c r="AT819">
        <v>2</v>
      </c>
      <c r="AU819" t="s">
        <v>126</v>
      </c>
      <c r="AV819" t="s">
        <v>155</v>
      </c>
      <c r="AW819" t="s">
        <v>156</v>
      </c>
      <c r="AY819" t="s">
        <v>129</v>
      </c>
      <c r="AZ819">
        <v>39343.800000000003</v>
      </c>
      <c r="BC819">
        <v>99.134</v>
      </c>
      <c r="BD819" t="s">
        <v>112</v>
      </c>
      <c r="BE819" t="s">
        <v>112</v>
      </c>
      <c r="BF819" t="s">
        <v>157</v>
      </c>
      <c r="BG819" t="s">
        <v>133</v>
      </c>
      <c r="BH819" t="s">
        <v>134</v>
      </c>
      <c r="BI819" t="s">
        <v>112</v>
      </c>
      <c r="BJ819" t="s">
        <v>112</v>
      </c>
      <c r="BK819" t="s">
        <v>112</v>
      </c>
      <c r="BL819" t="s">
        <v>158</v>
      </c>
      <c r="BM819" t="s">
        <v>159</v>
      </c>
      <c r="BN819" t="s">
        <v>212</v>
      </c>
      <c r="BO819" t="s">
        <v>161</v>
      </c>
      <c r="BQ819" t="s">
        <v>232</v>
      </c>
      <c r="BR819" s="45">
        <f>ISNUMBER(SEARCH($BR$1,Таблица1[[#This Row],[31_1 Описание и характеристика товара]]))*1</f>
        <v>1</v>
      </c>
      <c r="BT819" t="s">
        <v>150</v>
      </c>
      <c r="BU819">
        <v>33</v>
      </c>
      <c r="BV819">
        <v>0</v>
      </c>
      <c r="BW819">
        <v>0</v>
      </c>
      <c r="BY819">
        <v>0</v>
      </c>
      <c r="CA819" t="s">
        <v>106</v>
      </c>
      <c r="CB819" t="s">
        <v>142</v>
      </c>
      <c r="CC819" t="s">
        <v>112</v>
      </c>
      <c r="CD819" t="s">
        <v>112</v>
      </c>
      <c r="CE819" t="s">
        <v>121</v>
      </c>
      <c r="CF819">
        <v>16980.78</v>
      </c>
      <c r="CG819" t="s">
        <v>144</v>
      </c>
      <c r="CH819">
        <v>4000000</v>
      </c>
      <c r="CI819">
        <v>16959.18</v>
      </c>
      <c r="CJ819">
        <v>0</v>
      </c>
      <c r="CK819" t="s">
        <v>112</v>
      </c>
      <c r="CL819" t="s">
        <v>112</v>
      </c>
      <c r="CM819">
        <v>39343.800000000003</v>
      </c>
      <c r="CO819">
        <v>0</v>
      </c>
      <c r="CP819">
        <v>1</v>
      </c>
      <c r="CQ819">
        <v>4348393.95</v>
      </c>
      <c r="CR819">
        <v>47480.72</v>
      </c>
      <c r="CS819" t="s">
        <v>145</v>
      </c>
      <c r="CT819">
        <v>47485.703999999998</v>
      </c>
      <c r="CU819">
        <v>2.8</v>
      </c>
      <c r="CV819">
        <v>45</v>
      </c>
      <c r="CX819" t="s">
        <v>233</v>
      </c>
      <c r="CY819">
        <v>296</v>
      </c>
    </row>
    <row r="820" spans="1:103" x14ac:dyDescent="0.25">
      <c r="A820" t="s">
        <v>106</v>
      </c>
      <c r="B820" s="38">
        <v>45241</v>
      </c>
      <c r="C820" s="43">
        <f>IF(YEAR(Таблица1[[#This Row],[Дата]])=2023,MONTH(Таблица1[[#This Row],[Дата]]),0)</f>
        <v>11</v>
      </c>
      <c r="D820" t="s">
        <v>885</v>
      </c>
      <c r="E820" t="s">
        <v>108</v>
      </c>
      <c r="F820" t="s">
        <v>886</v>
      </c>
      <c r="G820" t="s">
        <v>110</v>
      </c>
      <c r="H820" t="s">
        <v>111</v>
      </c>
      <c r="I820" t="s">
        <v>112</v>
      </c>
      <c r="J820" t="s">
        <v>112</v>
      </c>
      <c r="K820" t="s">
        <v>112</v>
      </c>
      <c r="L820" t="s">
        <v>150</v>
      </c>
      <c r="M820" t="s">
        <v>151</v>
      </c>
      <c r="N820" t="s">
        <v>112</v>
      </c>
      <c r="O820" t="s">
        <v>112</v>
      </c>
      <c r="P820">
        <v>1</v>
      </c>
      <c r="R820">
        <v>1</v>
      </c>
      <c r="S820">
        <v>33</v>
      </c>
      <c r="T820" t="s">
        <v>112</v>
      </c>
      <c r="U820" t="s">
        <v>152</v>
      </c>
      <c r="V820" t="s">
        <v>153</v>
      </c>
      <c r="W820" t="s">
        <v>154</v>
      </c>
      <c r="X820" t="s">
        <v>119</v>
      </c>
      <c r="Y820" t="s">
        <v>112</v>
      </c>
      <c r="Z820" t="s">
        <v>112</v>
      </c>
      <c r="AA820" t="s">
        <v>152</v>
      </c>
      <c r="AB820" t="s">
        <v>153</v>
      </c>
      <c r="AC820" t="s">
        <v>154</v>
      </c>
      <c r="AD820" t="s">
        <v>119</v>
      </c>
      <c r="AE820" t="s">
        <v>112</v>
      </c>
      <c r="AF820" t="s">
        <v>121</v>
      </c>
      <c r="AG820" t="s">
        <v>122</v>
      </c>
      <c r="AH820">
        <v>4822876.04</v>
      </c>
      <c r="AI820" t="s">
        <v>112</v>
      </c>
      <c r="AJ820" t="s">
        <v>152</v>
      </c>
      <c r="AK820" t="s">
        <v>153</v>
      </c>
      <c r="AL820" t="s">
        <v>154</v>
      </c>
      <c r="AM820" t="s">
        <v>119</v>
      </c>
      <c r="AN820" t="s">
        <v>112</v>
      </c>
      <c r="AO820" t="s">
        <v>121</v>
      </c>
      <c r="AP820" t="s">
        <v>122</v>
      </c>
      <c r="AQ820" t="s">
        <v>122</v>
      </c>
      <c r="AR820" t="s">
        <v>124</v>
      </c>
      <c r="AS820" t="s">
        <v>125</v>
      </c>
      <c r="AT820">
        <v>2</v>
      </c>
      <c r="AU820" t="s">
        <v>126</v>
      </c>
      <c r="AV820" t="s">
        <v>155</v>
      </c>
      <c r="AW820" t="s">
        <v>156</v>
      </c>
      <c r="AY820" t="s">
        <v>129</v>
      </c>
      <c r="AZ820">
        <v>44660.07</v>
      </c>
      <c r="BC820">
        <v>99.134</v>
      </c>
      <c r="BD820" t="s">
        <v>112</v>
      </c>
      <c r="BE820" t="s">
        <v>112</v>
      </c>
      <c r="BF820" t="s">
        <v>157</v>
      </c>
      <c r="BG820" t="s">
        <v>133</v>
      </c>
      <c r="BH820" t="s">
        <v>134</v>
      </c>
      <c r="BI820" t="s">
        <v>112</v>
      </c>
      <c r="BJ820" t="s">
        <v>112</v>
      </c>
      <c r="BK820" t="s">
        <v>112</v>
      </c>
      <c r="BL820" t="s">
        <v>158</v>
      </c>
      <c r="BM820" t="s">
        <v>159</v>
      </c>
      <c r="BN820" t="s">
        <v>212</v>
      </c>
      <c r="BO820" t="s">
        <v>161</v>
      </c>
      <c r="BQ820" t="s">
        <v>232</v>
      </c>
      <c r="BR820" s="45">
        <f>ISNUMBER(SEARCH($BR$1,Таблица1[[#This Row],[31_1 Описание и характеристика товара]]))*1</f>
        <v>1</v>
      </c>
      <c r="BT820" t="s">
        <v>150</v>
      </c>
      <c r="BU820">
        <v>33</v>
      </c>
      <c r="BV820">
        <v>0</v>
      </c>
      <c r="BW820">
        <v>0</v>
      </c>
      <c r="BY820">
        <v>0</v>
      </c>
      <c r="CA820" t="s">
        <v>106</v>
      </c>
      <c r="CB820" t="s">
        <v>142</v>
      </c>
      <c r="CC820" t="s">
        <v>112</v>
      </c>
      <c r="CD820" t="s">
        <v>112</v>
      </c>
      <c r="CE820" t="s">
        <v>121</v>
      </c>
      <c r="CF820">
        <v>17213.28</v>
      </c>
      <c r="CG820" t="s">
        <v>144</v>
      </c>
      <c r="CH820">
        <v>4000000</v>
      </c>
      <c r="CI820">
        <v>17213.28</v>
      </c>
      <c r="CJ820">
        <v>0</v>
      </c>
      <c r="CK820" t="s">
        <v>112</v>
      </c>
      <c r="CL820" t="s">
        <v>112</v>
      </c>
      <c r="CM820">
        <v>44660.07</v>
      </c>
      <c r="CO820">
        <v>0</v>
      </c>
      <c r="CP820">
        <v>1</v>
      </c>
      <c r="CQ820">
        <v>4822876.04</v>
      </c>
      <c r="CR820">
        <v>52661.66</v>
      </c>
      <c r="CS820" t="s">
        <v>145</v>
      </c>
      <c r="CT820">
        <v>52672.6368</v>
      </c>
      <c r="CU820">
        <v>3.06</v>
      </c>
      <c r="CV820">
        <v>45</v>
      </c>
      <c r="CX820" t="s">
        <v>233</v>
      </c>
      <c r="CY820">
        <v>88</v>
      </c>
    </row>
    <row r="821" spans="1:103" x14ac:dyDescent="0.25">
      <c r="A821" t="s">
        <v>106</v>
      </c>
      <c r="B821" s="38">
        <v>45201</v>
      </c>
      <c r="C821" s="43">
        <f>IF(YEAR(Таблица1[[#This Row],[Дата]])=2023,MONTH(Таблица1[[#This Row],[Дата]]),0)</f>
        <v>10</v>
      </c>
      <c r="D821" t="s">
        <v>1862</v>
      </c>
      <c r="E821" t="s">
        <v>108</v>
      </c>
      <c r="F821" t="s">
        <v>1863</v>
      </c>
      <c r="G821" t="s">
        <v>110</v>
      </c>
      <c r="H821" t="s">
        <v>111</v>
      </c>
      <c r="I821" t="s">
        <v>112</v>
      </c>
      <c r="J821" t="s">
        <v>112</v>
      </c>
      <c r="K821" t="s">
        <v>112</v>
      </c>
      <c r="L821" t="s">
        <v>150</v>
      </c>
      <c r="M821" t="s">
        <v>151</v>
      </c>
      <c r="N821" t="s">
        <v>112</v>
      </c>
      <c r="O821" t="s">
        <v>112</v>
      </c>
      <c r="P821">
        <v>1</v>
      </c>
      <c r="R821">
        <v>1</v>
      </c>
      <c r="S821">
        <v>33</v>
      </c>
      <c r="T821" t="s">
        <v>112</v>
      </c>
      <c r="U821" t="s">
        <v>152</v>
      </c>
      <c r="V821" t="s">
        <v>153</v>
      </c>
      <c r="W821" t="s">
        <v>154</v>
      </c>
      <c r="X821" t="s">
        <v>119</v>
      </c>
      <c r="Y821" t="s">
        <v>112</v>
      </c>
      <c r="Z821" t="s">
        <v>112</v>
      </c>
      <c r="AA821" t="s">
        <v>152</v>
      </c>
      <c r="AB821" t="s">
        <v>153</v>
      </c>
      <c r="AC821" t="s">
        <v>154</v>
      </c>
      <c r="AD821" t="s">
        <v>119</v>
      </c>
      <c r="AE821" t="s">
        <v>112</v>
      </c>
      <c r="AF821" t="s">
        <v>121</v>
      </c>
      <c r="AG821" t="s">
        <v>122</v>
      </c>
      <c r="AH821">
        <v>4757989.08</v>
      </c>
      <c r="AI821" t="s">
        <v>112</v>
      </c>
      <c r="AJ821" t="s">
        <v>152</v>
      </c>
      <c r="AK821" t="s">
        <v>153</v>
      </c>
      <c r="AL821" t="s">
        <v>154</v>
      </c>
      <c r="AM821" t="s">
        <v>119</v>
      </c>
      <c r="AN821" t="s">
        <v>112</v>
      </c>
      <c r="AO821" t="s">
        <v>121</v>
      </c>
      <c r="AP821" t="s">
        <v>122</v>
      </c>
      <c r="AQ821" t="s">
        <v>122</v>
      </c>
      <c r="AR821" t="s">
        <v>124</v>
      </c>
      <c r="AS821" t="s">
        <v>125</v>
      </c>
      <c r="AT821">
        <v>2</v>
      </c>
      <c r="AU821" t="s">
        <v>126</v>
      </c>
      <c r="AV821" t="s">
        <v>155</v>
      </c>
      <c r="AW821" t="s">
        <v>156</v>
      </c>
      <c r="AY821" t="s">
        <v>129</v>
      </c>
      <c r="AZ821">
        <v>41225.519999999997</v>
      </c>
      <c r="BC821">
        <v>104.90430000000001</v>
      </c>
      <c r="BD821" t="s">
        <v>112</v>
      </c>
      <c r="BE821" t="s">
        <v>112</v>
      </c>
      <c r="BF821" t="s">
        <v>157</v>
      </c>
      <c r="BG821" t="s">
        <v>133</v>
      </c>
      <c r="BH821" t="s">
        <v>167</v>
      </c>
      <c r="BI821" t="s">
        <v>112</v>
      </c>
      <c r="BJ821" t="s">
        <v>112</v>
      </c>
      <c r="BK821" t="s">
        <v>112</v>
      </c>
      <c r="BL821" t="s">
        <v>169</v>
      </c>
      <c r="BM821" t="s">
        <v>159</v>
      </c>
      <c r="BN821" t="s">
        <v>160</v>
      </c>
      <c r="BO821" t="s">
        <v>161</v>
      </c>
      <c r="BQ821" t="s">
        <v>162</v>
      </c>
      <c r="BR821" s="45">
        <f>ISNUMBER(SEARCH($BR$1,Таблица1[[#This Row],[31_1 Описание и характеристика товара]]))*1</f>
        <v>1</v>
      </c>
      <c r="BT821" t="s">
        <v>150</v>
      </c>
      <c r="BU821">
        <v>33</v>
      </c>
      <c r="BV821">
        <v>0</v>
      </c>
      <c r="BW821">
        <v>0</v>
      </c>
      <c r="BY821">
        <v>0</v>
      </c>
      <c r="CA821" t="s">
        <v>106</v>
      </c>
      <c r="CB821" t="s">
        <v>142</v>
      </c>
      <c r="CC821" t="s">
        <v>112</v>
      </c>
      <c r="CD821" t="s">
        <v>112</v>
      </c>
      <c r="CE821" t="s">
        <v>121</v>
      </c>
      <c r="CF821">
        <v>16921.48</v>
      </c>
      <c r="CG821" t="s">
        <v>144</v>
      </c>
      <c r="CH821">
        <v>4000000</v>
      </c>
      <c r="CI821">
        <v>16921.48</v>
      </c>
      <c r="CJ821">
        <v>0</v>
      </c>
      <c r="CK821" t="s">
        <v>112</v>
      </c>
      <c r="CL821" t="s">
        <v>112</v>
      </c>
      <c r="CM821">
        <v>41225.519999999997</v>
      </c>
      <c r="CO821">
        <v>0</v>
      </c>
      <c r="CP821">
        <v>1</v>
      </c>
      <c r="CQ821">
        <v>4757989.08</v>
      </c>
      <c r="CR821">
        <v>48780.73</v>
      </c>
      <c r="CS821" t="s">
        <v>145</v>
      </c>
      <c r="CT821">
        <v>48733.862399999998</v>
      </c>
      <c r="CU821">
        <v>2.88</v>
      </c>
      <c r="CV821">
        <v>45</v>
      </c>
      <c r="CX821" t="s">
        <v>163</v>
      </c>
      <c r="CY821">
        <v>582</v>
      </c>
    </row>
    <row r="822" spans="1:103" x14ac:dyDescent="0.25">
      <c r="A822" t="s">
        <v>106</v>
      </c>
      <c r="B822" s="38">
        <v>45269</v>
      </c>
      <c r="C822" s="43">
        <f>IF(YEAR(Таблица1[[#This Row],[Дата]])=2023,MONTH(Таблица1[[#This Row],[Дата]]),0)</f>
        <v>12</v>
      </c>
      <c r="D822" t="s">
        <v>1866</v>
      </c>
      <c r="E822" t="s">
        <v>108</v>
      </c>
      <c r="F822" t="s">
        <v>1867</v>
      </c>
      <c r="G822" t="s">
        <v>110</v>
      </c>
      <c r="H822" t="s">
        <v>111</v>
      </c>
      <c r="I822" t="s">
        <v>112</v>
      </c>
      <c r="J822" t="s">
        <v>112</v>
      </c>
      <c r="K822" t="s">
        <v>112</v>
      </c>
      <c r="L822" t="s">
        <v>150</v>
      </c>
      <c r="M822" t="s">
        <v>151</v>
      </c>
      <c r="N822" t="s">
        <v>112</v>
      </c>
      <c r="O822" t="s">
        <v>112</v>
      </c>
      <c r="P822">
        <v>1</v>
      </c>
      <c r="R822">
        <v>1</v>
      </c>
      <c r="S822">
        <v>33</v>
      </c>
      <c r="T822" t="s">
        <v>112</v>
      </c>
      <c r="U822" t="s">
        <v>152</v>
      </c>
      <c r="V822" t="s">
        <v>153</v>
      </c>
      <c r="W822" t="s">
        <v>154</v>
      </c>
      <c r="X822" t="s">
        <v>119</v>
      </c>
      <c r="Y822" t="s">
        <v>112</v>
      </c>
      <c r="Z822" t="s">
        <v>112</v>
      </c>
      <c r="AA822" t="s">
        <v>152</v>
      </c>
      <c r="AB822" t="s">
        <v>153</v>
      </c>
      <c r="AC822" t="s">
        <v>154</v>
      </c>
      <c r="AD822" t="s">
        <v>119</v>
      </c>
      <c r="AE822" t="s">
        <v>112</v>
      </c>
      <c r="AF822" t="s">
        <v>121</v>
      </c>
      <c r="AG822" t="s">
        <v>122</v>
      </c>
      <c r="AH822">
        <v>4690829.34</v>
      </c>
      <c r="AI822" t="s">
        <v>112</v>
      </c>
      <c r="AJ822" t="s">
        <v>152</v>
      </c>
      <c r="AK822" t="s">
        <v>153</v>
      </c>
      <c r="AL822" t="s">
        <v>154</v>
      </c>
      <c r="AM822" t="s">
        <v>119</v>
      </c>
      <c r="AN822" t="s">
        <v>112</v>
      </c>
      <c r="AO822" t="s">
        <v>121</v>
      </c>
      <c r="AP822" t="s">
        <v>122</v>
      </c>
      <c r="AQ822" t="s">
        <v>122</v>
      </c>
      <c r="AR822" t="s">
        <v>124</v>
      </c>
      <c r="AS822" t="s">
        <v>125</v>
      </c>
      <c r="AT822">
        <v>2</v>
      </c>
      <c r="AU822" t="s">
        <v>126</v>
      </c>
      <c r="AV822" t="s">
        <v>155</v>
      </c>
      <c r="AW822" t="s">
        <v>156</v>
      </c>
      <c r="AY822" t="s">
        <v>129</v>
      </c>
      <c r="AZ822">
        <v>40585.32</v>
      </c>
      <c r="BC822">
        <v>104.90430000000001</v>
      </c>
      <c r="BD822" t="s">
        <v>112</v>
      </c>
      <c r="BE822" t="s">
        <v>112</v>
      </c>
      <c r="BF822" t="s">
        <v>157</v>
      </c>
      <c r="BG822" t="s">
        <v>133</v>
      </c>
      <c r="BH822" t="s">
        <v>134</v>
      </c>
      <c r="BI822" t="s">
        <v>112</v>
      </c>
      <c r="BJ822" t="s">
        <v>112</v>
      </c>
      <c r="BK822" t="s">
        <v>112</v>
      </c>
      <c r="BL822" t="s">
        <v>169</v>
      </c>
      <c r="BM822" t="s">
        <v>159</v>
      </c>
      <c r="BN822" t="s">
        <v>212</v>
      </c>
      <c r="BO822" t="s">
        <v>161</v>
      </c>
      <c r="BQ822" t="s">
        <v>162</v>
      </c>
      <c r="BR822" s="45">
        <f>ISNUMBER(SEARCH($BR$1,Таблица1[[#This Row],[31_1 Описание и характеристика товара]]))*1</f>
        <v>1</v>
      </c>
      <c r="BT822" t="s">
        <v>150</v>
      </c>
      <c r="BU822">
        <v>33</v>
      </c>
      <c r="BV822">
        <v>0</v>
      </c>
      <c r="BW822">
        <v>0</v>
      </c>
      <c r="BY822">
        <v>0</v>
      </c>
      <c r="CA822" t="s">
        <v>106</v>
      </c>
      <c r="CB822" t="s">
        <v>142</v>
      </c>
      <c r="CC822" t="s">
        <v>112</v>
      </c>
      <c r="CD822" t="s">
        <v>112</v>
      </c>
      <c r="CE822" t="s">
        <v>121</v>
      </c>
      <c r="CF822">
        <v>15579.46</v>
      </c>
      <c r="CG822" t="s">
        <v>144</v>
      </c>
      <c r="CH822">
        <v>4000000</v>
      </c>
      <c r="CI822">
        <v>15371.86</v>
      </c>
      <c r="CJ822">
        <v>0</v>
      </c>
      <c r="CK822" t="s">
        <v>112</v>
      </c>
      <c r="CL822" t="s">
        <v>112</v>
      </c>
      <c r="CM822">
        <v>40585.32</v>
      </c>
      <c r="CO822">
        <v>0</v>
      </c>
      <c r="CP822">
        <v>1</v>
      </c>
      <c r="CQ822">
        <v>4690829.34</v>
      </c>
      <c r="CR822">
        <v>48092.18</v>
      </c>
      <c r="CS822" t="s">
        <v>145</v>
      </c>
      <c r="CT822">
        <v>48113.921800000004</v>
      </c>
      <c r="CU822">
        <v>3.13</v>
      </c>
      <c r="CV822">
        <v>45</v>
      </c>
      <c r="CX822" t="s">
        <v>163</v>
      </c>
      <c r="CY822">
        <v>157</v>
      </c>
    </row>
    <row r="823" spans="1:103" x14ac:dyDescent="0.25">
      <c r="A823" t="s">
        <v>106</v>
      </c>
      <c r="B823" s="38">
        <v>45270</v>
      </c>
      <c r="C823" s="43">
        <f>IF(YEAR(Таблица1[[#This Row],[Дата]])=2023,MONTH(Таблица1[[#This Row],[Дата]]),0)</f>
        <v>12</v>
      </c>
      <c r="D823" t="s">
        <v>1874</v>
      </c>
      <c r="E823" t="s">
        <v>108</v>
      </c>
      <c r="F823" t="s">
        <v>1875</v>
      </c>
      <c r="G823" t="s">
        <v>110</v>
      </c>
      <c r="H823" t="s">
        <v>111</v>
      </c>
      <c r="I823" t="s">
        <v>112</v>
      </c>
      <c r="J823" t="s">
        <v>112</v>
      </c>
      <c r="K823" t="s">
        <v>112</v>
      </c>
      <c r="L823" t="s">
        <v>150</v>
      </c>
      <c r="M823" t="s">
        <v>151</v>
      </c>
      <c r="N823" t="s">
        <v>112</v>
      </c>
      <c r="O823" t="s">
        <v>112</v>
      </c>
      <c r="P823">
        <v>1</v>
      </c>
      <c r="R823">
        <v>1</v>
      </c>
      <c r="S823">
        <v>33</v>
      </c>
      <c r="T823" t="s">
        <v>112</v>
      </c>
      <c r="U823" t="s">
        <v>152</v>
      </c>
      <c r="V823" t="s">
        <v>153</v>
      </c>
      <c r="W823" t="s">
        <v>154</v>
      </c>
      <c r="X823" t="s">
        <v>119</v>
      </c>
      <c r="Y823" t="s">
        <v>112</v>
      </c>
      <c r="Z823" t="s">
        <v>112</v>
      </c>
      <c r="AA823" t="s">
        <v>152</v>
      </c>
      <c r="AB823" t="s">
        <v>153</v>
      </c>
      <c r="AC823" t="s">
        <v>154</v>
      </c>
      <c r="AD823" t="s">
        <v>119</v>
      </c>
      <c r="AE823" t="s">
        <v>112</v>
      </c>
      <c r="AF823" t="s">
        <v>121</v>
      </c>
      <c r="AG823" t="s">
        <v>122</v>
      </c>
      <c r="AH823">
        <v>4643697.9400000004</v>
      </c>
      <c r="AI823" t="s">
        <v>112</v>
      </c>
      <c r="AJ823" t="s">
        <v>152</v>
      </c>
      <c r="AK823" t="s">
        <v>153</v>
      </c>
      <c r="AL823" t="s">
        <v>154</v>
      </c>
      <c r="AM823" t="s">
        <v>119</v>
      </c>
      <c r="AN823" t="s">
        <v>112</v>
      </c>
      <c r="AO823" t="s">
        <v>121</v>
      </c>
      <c r="AP823" t="s">
        <v>122</v>
      </c>
      <c r="AQ823" t="s">
        <v>122</v>
      </c>
      <c r="AR823" t="s">
        <v>124</v>
      </c>
      <c r="AS823" t="s">
        <v>125</v>
      </c>
      <c r="AT823">
        <v>2</v>
      </c>
      <c r="AU823" t="s">
        <v>126</v>
      </c>
      <c r="AV823" t="s">
        <v>155</v>
      </c>
      <c r="AW823" t="s">
        <v>156</v>
      </c>
      <c r="AY823" t="s">
        <v>129</v>
      </c>
      <c r="AZ823">
        <v>40136.04</v>
      </c>
      <c r="BC823">
        <v>104.90430000000001</v>
      </c>
      <c r="BD823" t="s">
        <v>112</v>
      </c>
      <c r="BE823" t="s">
        <v>112</v>
      </c>
      <c r="BF823" t="s">
        <v>157</v>
      </c>
      <c r="BG823" t="s">
        <v>133</v>
      </c>
      <c r="BH823" t="s">
        <v>167</v>
      </c>
      <c r="BI823" t="s">
        <v>112</v>
      </c>
      <c r="BJ823" t="s">
        <v>112</v>
      </c>
      <c r="BK823" t="s">
        <v>112</v>
      </c>
      <c r="BL823" t="s">
        <v>169</v>
      </c>
      <c r="BM823" t="s">
        <v>159</v>
      </c>
      <c r="BN823" t="s">
        <v>160</v>
      </c>
      <c r="BO823" t="s">
        <v>161</v>
      </c>
      <c r="BQ823" t="s">
        <v>162</v>
      </c>
      <c r="BR823" s="45">
        <f>ISNUMBER(SEARCH($BR$1,Таблица1[[#This Row],[31_1 Описание и характеристика товара]]))*1</f>
        <v>1</v>
      </c>
      <c r="BT823" t="s">
        <v>150</v>
      </c>
      <c r="BU823">
        <v>33</v>
      </c>
      <c r="BV823">
        <v>0</v>
      </c>
      <c r="BW823">
        <v>0</v>
      </c>
      <c r="BY823">
        <v>0</v>
      </c>
      <c r="CA823" t="s">
        <v>106</v>
      </c>
      <c r="CB823" t="s">
        <v>142</v>
      </c>
      <c r="CC823" t="s">
        <v>112</v>
      </c>
      <c r="CD823" t="s">
        <v>112</v>
      </c>
      <c r="CE823" t="s">
        <v>121</v>
      </c>
      <c r="CF823">
        <v>17176.57</v>
      </c>
      <c r="CG823" t="s">
        <v>144</v>
      </c>
      <c r="CH823">
        <v>4000000</v>
      </c>
      <c r="CI823">
        <v>17154.97</v>
      </c>
      <c r="CJ823">
        <v>0</v>
      </c>
      <c r="CK823" t="s">
        <v>112</v>
      </c>
      <c r="CL823" t="s">
        <v>112</v>
      </c>
      <c r="CM823">
        <v>40136.04</v>
      </c>
      <c r="CO823">
        <v>0</v>
      </c>
      <c r="CP823">
        <v>1</v>
      </c>
      <c r="CQ823">
        <v>4643697.9400000004</v>
      </c>
      <c r="CR823">
        <v>47608.97</v>
      </c>
      <c r="CS823" t="s">
        <v>145</v>
      </c>
      <c r="CT823">
        <v>47690.816599999998</v>
      </c>
      <c r="CU823">
        <v>2.78</v>
      </c>
      <c r="CV823">
        <v>45</v>
      </c>
      <c r="CX823" t="s">
        <v>163</v>
      </c>
      <c r="CY823">
        <v>557</v>
      </c>
    </row>
    <row r="824" spans="1:103" x14ac:dyDescent="0.25">
      <c r="A824" t="s">
        <v>106</v>
      </c>
      <c r="B824" s="38">
        <v>45010</v>
      </c>
      <c r="C824" s="43">
        <f>IF(YEAR(Таблица1[[#This Row],[Дата]])=2023,MONTH(Таблица1[[#This Row],[Дата]]),0)</f>
        <v>3</v>
      </c>
      <c r="D824" t="s">
        <v>1868</v>
      </c>
      <c r="E824" t="s">
        <v>108</v>
      </c>
      <c r="F824" t="s">
        <v>1869</v>
      </c>
      <c r="G824" t="s">
        <v>110</v>
      </c>
      <c r="H824" t="s">
        <v>111</v>
      </c>
      <c r="I824" t="s">
        <v>112</v>
      </c>
      <c r="J824" t="s">
        <v>112</v>
      </c>
      <c r="K824" t="s">
        <v>112</v>
      </c>
      <c r="L824" t="s">
        <v>150</v>
      </c>
      <c r="M824" t="s">
        <v>151</v>
      </c>
      <c r="N824" t="s">
        <v>112</v>
      </c>
      <c r="O824" t="s">
        <v>112</v>
      </c>
      <c r="P824">
        <v>1</v>
      </c>
      <c r="R824">
        <v>1</v>
      </c>
      <c r="S824">
        <v>33</v>
      </c>
      <c r="T824" t="s">
        <v>112</v>
      </c>
      <c r="U824" t="s">
        <v>152</v>
      </c>
      <c r="V824" t="s">
        <v>153</v>
      </c>
      <c r="W824" t="s">
        <v>154</v>
      </c>
      <c r="X824" t="s">
        <v>119</v>
      </c>
      <c r="Y824" t="s">
        <v>112</v>
      </c>
      <c r="Z824" t="s">
        <v>112</v>
      </c>
      <c r="AA824" t="s">
        <v>152</v>
      </c>
      <c r="AB824" t="s">
        <v>153</v>
      </c>
      <c r="AC824" t="s">
        <v>154</v>
      </c>
      <c r="AD824" t="s">
        <v>119</v>
      </c>
      <c r="AE824" t="s">
        <v>112</v>
      </c>
      <c r="AF824" t="s">
        <v>121</v>
      </c>
      <c r="AG824" t="s">
        <v>122</v>
      </c>
      <c r="AH824">
        <v>4605395.28</v>
      </c>
      <c r="AI824" t="s">
        <v>112</v>
      </c>
      <c r="AJ824" t="s">
        <v>152</v>
      </c>
      <c r="AK824" t="s">
        <v>153</v>
      </c>
      <c r="AL824" t="s">
        <v>154</v>
      </c>
      <c r="AM824" t="s">
        <v>119</v>
      </c>
      <c r="AN824" t="s">
        <v>112</v>
      </c>
      <c r="AO824" t="s">
        <v>121</v>
      </c>
      <c r="AP824" t="s">
        <v>122</v>
      </c>
      <c r="AQ824" t="s">
        <v>122</v>
      </c>
      <c r="AR824" t="s">
        <v>124</v>
      </c>
      <c r="AS824" t="s">
        <v>125</v>
      </c>
      <c r="AT824">
        <v>2</v>
      </c>
      <c r="AU824" t="s">
        <v>126</v>
      </c>
      <c r="AV824" t="s">
        <v>155</v>
      </c>
      <c r="AW824" t="s">
        <v>156</v>
      </c>
      <c r="AY824" t="s">
        <v>129</v>
      </c>
      <c r="AZ824">
        <v>39770.92</v>
      </c>
      <c r="BC824">
        <v>104.90430000000001</v>
      </c>
      <c r="BD824" t="s">
        <v>112</v>
      </c>
      <c r="BE824" t="s">
        <v>112</v>
      </c>
      <c r="BF824" t="s">
        <v>157</v>
      </c>
      <c r="BG824" t="s">
        <v>133</v>
      </c>
      <c r="BH824" t="s">
        <v>167</v>
      </c>
      <c r="BI824" t="s">
        <v>112</v>
      </c>
      <c r="BJ824" t="s">
        <v>112</v>
      </c>
      <c r="BK824" t="s">
        <v>112</v>
      </c>
      <c r="BL824" t="s">
        <v>169</v>
      </c>
      <c r="BM824" t="s">
        <v>159</v>
      </c>
      <c r="BN824" t="s">
        <v>160</v>
      </c>
      <c r="BO824" t="s">
        <v>161</v>
      </c>
      <c r="BQ824" t="s">
        <v>205</v>
      </c>
      <c r="BR824" s="45">
        <f>ISNUMBER(SEARCH($BR$1,Таблица1[[#This Row],[31_1 Описание и характеристика товара]]))*1</f>
        <v>1</v>
      </c>
      <c r="BT824" t="s">
        <v>150</v>
      </c>
      <c r="BU824">
        <v>33</v>
      </c>
      <c r="BV824">
        <v>0</v>
      </c>
      <c r="BW824">
        <v>0</v>
      </c>
      <c r="BY824">
        <v>0</v>
      </c>
      <c r="CA824" t="s">
        <v>106</v>
      </c>
      <c r="CB824" t="s">
        <v>142</v>
      </c>
      <c r="CC824" t="s">
        <v>112</v>
      </c>
      <c r="CD824" t="s">
        <v>112</v>
      </c>
      <c r="CE824" t="s">
        <v>121</v>
      </c>
      <c r="CF824">
        <v>16759.71</v>
      </c>
      <c r="CG824" t="s">
        <v>144</v>
      </c>
      <c r="CH824">
        <v>4000000</v>
      </c>
      <c r="CI824">
        <v>16694.91</v>
      </c>
      <c r="CJ824">
        <v>0</v>
      </c>
      <c r="CK824" t="s">
        <v>112</v>
      </c>
      <c r="CL824" t="s">
        <v>112</v>
      </c>
      <c r="CM824">
        <v>39770.92</v>
      </c>
      <c r="CO824">
        <v>0</v>
      </c>
      <c r="CP824">
        <v>1</v>
      </c>
      <c r="CQ824">
        <v>4605395.28</v>
      </c>
      <c r="CR824">
        <v>47216.28</v>
      </c>
      <c r="CS824" t="s">
        <v>145</v>
      </c>
      <c r="CT824">
        <v>47246.595300000001</v>
      </c>
      <c r="CU824">
        <v>2.83</v>
      </c>
      <c r="CV824">
        <v>45</v>
      </c>
      <c r="CX824" t="s">
        <v>233</v>
      </c>
      <c r="CY824">
        <v>299</v>
      </c>
    </row>
    <row r="825" spans="1:103" x14ac:dyDescent="0.25">
      <c r="A825" t="s">
        <v>106</v>
      </c>
      <c r="B825" s="38">
        <v>45030</v>
      </c>
      <c r="C825" s="43">
        <f>IF(YEAR(Таблица1[[#This Row],[Дата]])=2023,MONTH(Таблица1[[#This Row],[Дата]]),0)</f>
        <v>4</v>
      </c>
      <c r="D825" t="s">
        <v>1421</v>
      </c>
      <c r="E825" t="s">
        <v>108</v>
      </c>
      <c r="F825" t="s">
        <v>1422</v>
      </c>
      <c r="G825" t="s">
        <v>110</v>
      </c>
      <c r="H825" t="s">
        <v>111</v>
      </c>
      <c r="I825" t="s">
        <v>112</v>
      </c>
      <c r="J825" t="s">
        <v>112</v>
      </c>
      <c r="K825" t="s">
        <v>112</v>
      </c>
      <c r="L825" t="s">
        <v>150</v>
      </c>
      <c r="M825" t="s">
        <v>1405</v>
      </c>
      <c r="N825" t="s">
        <v>112</v>
      </c>
      <c r="O825" t="s">
        <v>112</v>
      </c>
      <c r="P825">
        <v>1</v>
      </c>
      <c r="R825">
        <v>1</v>
      </c>
      <c r="S825">
        <v>33</v>
      </c>
      <c r="T825" t="s">
        <v>166</v>
      </c>
      <c r="U825" t="s">
        <v>152</v>
      </c>
      <c r="V825" t="s">
        <v>153</v>
      </c>
      <c r="W825" t="s">
        <v>154</v>
      </c>
      <c r="X825" t="s">
        <v>119</v>
      </c>
      <c r="Y825" t="s">
        <v>112</v>
      </c>
      <c r="Z825" t="s">
        <v>166</v>
      </c>
      <c r="AA825" t="s">
        <v>152</v>
      </c>
      <c r="AB825" t="s">
        <v>153</v>
      </c>
      <c r="AC825" t="s">
        <v>154</v>
      </c>
      <c r="AD825" t="s">
        <v>119</v>
      </c>
      <c r="AE825" t="s">
        <v>112</v>
      </c>
      <c r="AF825" t="s">
        <v>121</v>
      </c>
      <c r="AG825" t="s">
        <v>122</v>
      </c>
      <c r="AH825">
        <v>5233012.51</v>
      </c>
      <c r="AI825" t="s">
        <v>166</v>
      </c>
      <c r="AJ825" t="s">
        <v>152</v>
      </c>
      <c r="AK825" t="s">
        <v>153</v>
      </c>
      <c r="AL825" t="s">
        <v>154</v>
      </c>
      <c r="AM825" t="s">
        <v>119</v>
      </c>
      <c r="AN825" t="s">
        <v>112</v>
      </c>
      <c r="AO825" t="s">
        <v>121</v>
      </c>
      <c r="AP825" t="s">
        <v>122</v>
      </c>
      <c r="AQ825" t="s">
        <v>122</v>
      </c>
      <c r="AR825" t="s">
        <v>124</v>
      </c>
      <c r="AS825" t="s">
        <v>125</v>
      </c>
      <c r="AT825">
        <v>2</v>
      </c>
      <c r="AU825" t="s">
        <v>126</v>
      </c>
      <c r="AV825" t="s">
        <v>155</v>
      </c>
      <c r="AW825" t="s">
        <v>156</v>
      </c>
      <c r="AX825">
        <v>1</v>
      </c>
      <c r="AY825" t="s">
        <v>129</v>
      </c>
      <c r="AZ825">
        <v>49043.24</v>
      </c>
      <c r="BA825">
        <v>4826561</v>
      </c>
      <c r="BB825">
        <v>57927.040000000001</v>
      </c>
      <c r="BC825">
        <v>98.414400000000001</v>
      </c>
      <c r="BD825" t="s">
        <v>130</v>
      </c>
      <c r="BE825" t="s">
        <v>112</v>
      </c>
      <c r="BF825" t="s">
        <v>157</v>
      </c>
      <c r="BG825" t="s">
        <v>133</v>
      </c>
      <c r="BH825" t="s">
        <v>134</v>
      </c>
      <c r="BI825" t="s">
        <v>112</v>
      </c>
      <c r="BJ825" t="s">
        <v>112</v>
      </c>
      <c r="BK825" t="s">
        <v>112</v>
      </c>
      <c r="BL825" t="s">
        <v>169</v>
      </c>
      <c r="BM825" t="s">
        <v>159</v>
      </c>
      <c r="BN825" t="s">
        <v>726</v>
      </c>
      <c r="BO825" t="s">
        <v>161</v>
      </c>
      <c r="BP825">
        <v>1</v>
      </c>
      <c r="BQ825" t="s">
        <v>1423</v>
      </c>
      <c r="BR825" s="45">
        <f>ISNUMBER(SEARCH($BR$1,Таблица1[[#This Row],[31_1 Описание и характеристика товара]]))*1</f>
        <v>1</v>
      </c>
      <c r="BT825" t="s">
        <v>150</v>
      </c>
      <c r="BU825">
        <v>33</v>
      </c>
      <c r="CA825" t="s">
        <v>106</v>
      </c>
      <c r="CB825" t="s">
        <v>142</v>
      </c>
      <c r="CC825" t="s">
        <v>112</v>
      </c>
      <c r="CD825" t="s">
        <v>112</v>
      </c>
      <c r="CE825" t="s">
        <v>121</v>
      </c>
      <c r="CF825">
        <v>16292.48</v>
      </c>
      <c r="CG825" t="s">
        <v>144</v>
      </c>
      <c r="CH825">
        <v>4000000</v>
      </c>
      <c r="CI825">
        <v>16202.49</v>
      </c>
      <c r="CK825" t="s">
        <v>112</v>
      </c>
      <c r="CL825" t="s">
        <v>112</v>
      </c>
      <c r="CM825">
        <v>49043.24</v>
      </c>
      <c r="CN825">
        <v>4826561</v>
      </c>
      <c r="CO825">
        <v>0</v>
      </c>
      <c r="CP825">
        <v>1</v>
      </c>
      <c r="CQ825">
        <v>5233012.51</v>
      </c>
      <c r="CR825">
        <v>57927.040000000001</v>
      </c>
      <c r="CS825" t="s">
        <v>145</v>
      </c>
      <c r="CT825">
        <v>58004.914199999999</v>
      </c>
      <c r="CU825">
        <v>3.58</v>
      </c>
      <c r="CV825">
        <v>45</v>
      </c>
      <c r="CW825" t="s">
        <v>171</v>
      </c>
      <c r="CX825" t="s">
        <v>172</v>
      </c>
      <c r="CY825">
        <v>109</v>
      </c>
    </row>
    <row r="826" spans="1:103" x14ac:dyDescent="0.25">
      <c r="A826" t="s">
        <v>106</v>
      </c>
      <c r="B826" s="38">
        <v>45105</v>
      </c>
      <c r="C826" s="43">
        <f>IF(YEAR(Таблица1[[#This Row],[Дата]])=2023,MONTH(Таблица1[[#This Row],[Дата]]),0)</f>
        <v>6</v>
      </c>
      <c r="D826" t="s">
        <v>1427</v>
      </c>
      <c r="E826" t="s">
        <v>108</v>
      </c>
      <c r="F826" t="s">
        <v>1428</v>
      </c>
      <c r="G826" t="s">
        <v>110</v>
      </c>
      <c r="H826" t="s">
        <v>111</v>
      </c>
      <c r="I826" t="s">
        <v>112</v>
      </c>
      <c r="J826" t="s">
        <v>112</v>
      </c>
      <c r="K826" t="s">
        <v>112</v>
      </c>
      <c r="L826" t="s">
        <v>150</v>
      </c>
      <c r="M826" t="s">
        <v>1405</v>
      </c>
      <c r="N826" t="s">
        <v>112</v>
      </c>
      <c r="O826" t="s">
        <v>112</v>
      </c>
      <c r="P826">
        <v>1</v>
      </c>
      <c r="Q826">
        <v>0</v>
      </c>
      <c r="R826">
        <v>1</v>
      </c>
      <c r="S826">
        <v>33</v>
      </c>
      <c r="T826" t="s">
        <v>166</v>
      </c>
      <c r="U826" t="s">
        <v>152</v>
      </c>
      <c r="V826" t="s">
        <v>153</v>
      </c>
      <c r="W826" t="s">
        <v>154</v>
      </c>
      <c r="X826" t="s">
        <v>119</v>
      </c>
      <c r="Y826" t="s">
        <v>112</v>
      </c>
      <c r="Z826" t="s">
        <v>166</v>
      </c>
      <c r="AA826" t="s">
        <v>152</v>
      </c>
      <c r="AB826" t="s">
        <v>153</v>
      </c>
      <c r="AC826" t="s">
        <v>154</v>
      </c>
      <c r="AD826" t="s">
        <v>119</v>
      </c>
      <c r="AE826" t="s">
        <v>112</v>
      </c>
      <c r="AF826" t="s">
        <v>121</v>
      </c>
      <c r="AG826" t="s">
        <v>122</v>
      </c>
      <c r="AH826">
        <v>4655229.4400000004</v>
      </c>
      <c r="AI826" t="s">
        <v>166</v>
      </c>
      <c r="AJ826" t="s">
        <v>152</v>
      </c>
      <c r="AK826" t="s">
        <v>153</v>
      </c>
      <c r="AL826" t="s">
        <v>154</v>
      </c>
      <c r="AM826" t="s">
        <v>119</v>
      </c>
      <c r="AN826" t="s">
        <v>112</v>
      </c>
      <c r="AO826" t="s">
        <v>121</v>
      </c>
      <c r="AP826" t="s">
        <v>122</v>
      </c>
      <c r="AQ826" t="s">
        <v>122</v>
      </c>
      <c r="AR826" t="s">
        <v>124</v>
      </c>
      <c r="AS826" t="s">
        <v>125</v>
      </c>
      <c r="AT826">
        <v>2</v>
      </c>
      <c r="AU826" t="s">
        <v>126</v>
      </c>
      <c r="AV826" t="s">
        <v>155</v>
      </c>
      <c r="AW826" t="s">
        <v>156</v>
      </c>
      <c r="AX826">
        <v>1</v>
      </c>
      <c r="AY826" t="s">
        <v>129</v>
      </c>
      <c r="AZ826">
        <v>42472.32</v>
      </c>
      <c r="BA826">
        <v>4179888</v>
      </c>
      <c r="BB826">
        <v>51531.24</v>
      </c>
      <c r="BC826">
        <v>98.414400000000001</v>
      </c>
      <c r="BD826" t="s">
        <v>130</v>
      </c>
      <c r="BE826" t="s">
        <v>112</v>
      </c>
      <c r="BF826" t="s">
        <v>157</v>
      </c>
      <c r="BG826" t="s">
        <v>133</v>
      </c>
      <c r="BH826" t="s">
        <v>134</v>
      </c>
      <c r="BI826" t="s">
        <v>112</v>
      </c>
      <c r="BJ826" t="s">
        <v>112</v>
      </c>
      <c r="BK826" t="s">
        <v>112</v>
      </c>
      <c r="BL826" t="s">
        <v>169</v>
      </c>
      <c r="BM826" t="s">
        <v>159</v>
      </c>
      <c r="BN826" t="s">
        <v>722</v>
      </c>
      <c r="BO826" t="s">
        <v>161</v>
      </c>
      <c r="BP826">
        <v>1</v>
      </c>
      <c r="BQ826" t="s">
        <v>1429</v>
      </c>
      <c r="BR826" s="45">
        <f>ISNUMBER(SEARCH($BR$1,Таблица1[[#This Row],[31_1 Описание и характеристика товара]]))*1</f>
        <v>1</v>
      </c>
      <c r="BT826" t="s">
        <v>150</v>
      </c>
      <c r="BU826">
        <v>33</v>
      </c>
      <c r="BV826">
        <v>0</v>
      </c>
      <c r="BW826">
        <v>0</v>
      </c>
      <c r="BY826">
        <v>0</v>
      </c>
      <c r="CA826" t="s">
        <v>106</v>
      </c>
      <c r="CB826" t="s">
        <v>142</v>
      </c>
      <c r="CC826" t="s">
        <v>112</v>
      </c>
      <c r="CD826" t="s">
        <v>112</v>
      </c>
      <c r="CE826" t="s">
        <v>121</v>
      </c>
      <c r="CF826">
        <v>16646.95</v>
      </c>
      <c r="CG826" t="s">
        <v>144</v>
      </c>
      <c r="CH826">
        <v>4000000</v>
      </c>
      <c r="CI826">
        <v>16571.349999999999</v>
      </c>
      <c r="CJ826">
        <v>0</v>
      </c>
      <c r="CK826" t="s">
        <v>112</v>
      </c>
      <c r="CL826" t="s">
        <v>112</v>
      </c>
      <c r="CM826">
        <v>42472.32</v>
      </c>
      <c r="CN826">
        <v>4179888</v>
      </c>
      <c r="CO826">
        <v>0</v>
      </c>
      <c r="CP826">
        <v>1</v>
      </c>
      <c r="CQ826">
        <v>4655229.4400000004</v>
      </c>
      <c r="CR826">
        <v>51531.24</v>
      </c>
      <c r="CS826" t="s">
        <v>145</v>
      </c>
      <c r="CT826">
        <v>51536.898499999996</v>
      </c>
      <c r="CU826">
        <v>3.11</v>
      </c>
      <c r="CV826">
        <v>45</v>
      </c>
      <c r="CW826" t="s">
        <v>171</v>
      </c>
      <c r="CX826" t="s">
        <v>463</v>
      </c>
      <c r="CY826">
        <v>278</v>
      </c>
    </row>
    <row r="827" spans="1:103" x14ac:dyDescent="0.25">
      <c r="A827" t="s">
        <v>106</v>
      </c>
      <c r="B827" s="38">
        <v>45111</v>
      </c>
      <c r="C827" s="43">
        <f>IF(YEAR(Таблица1[[#This Row],[Дата]])=2023,MONTH(Таблица1[[#This Row],[Дата]]),0)</f>
        <v>7</v>
      </c>
      <c r="D827" t="s">
        <v>1430</v>
      </c>
      <c r="E827" t="s">
        <v>108</v>
      </c>
      <c r="F827" t="s">
        <v>1431</v>
      </c>
      <c r="G827" t="s">
        <v>110</v>
      </c>
      <c r="H827" t="s">
        <v>111</v>
      </c>
      <c r="I827" t="s">
        <v>112</v>
      </c>
      <c r="J827" t="s">
        <v>112</v>
      </c>
      <c r="K827" t="s">
        <v>112</v>
      </c>
      <c r="L827" t="s">
        <v>150</v>
      </c>
      <c r="M827" t="s">
        <v>1405</v>
      </c>
      <c r="N827" t="s">
        <v>112</v>
      </c>
      <c r="O827" t="s">
        <v>112</v>
      </c>
      <c r="P827">
        <v>1</v>
      </c>
      <c r="Q827">
        <v>0</v>
      </c>
      <c r="R827">
        <v>1</v>
      </c>
      <c r="S827">
        <v>33</v>
      </c>
      <c r="T827" t="s">
        <v>166</v>
      </c>
      <c r="U827" t="s">
        <v>152</v>
      </c>
      <c r="V827" t="s">
        <v>153</v>
      </c>
      <c r="W827" t="s">
        <v>154</v>
      </c>
      <c r="X827" t="s">
        <v>119</v>
      </c>
      <c r="Y827" t="s">
        <v>112</v>
      </c>
      <c r="Z827" t="s">
        <v>166</v>
      </c>
      <c r="AA827" t="s">
        <v>152</v>
      </c>
      <c r="AB827" t="s">
        <v>153</v>
      </c>
      <c r="AC827" t="s">
        <v>154</v>
      </c>
      <c r="AD827" t="s">
        <v>119</v>
      </c>
      <c r="AE827" t="s">
        <v>112</v>
      </c>
      <c r="AF827" t="s">
        <v>121</v>
      </c>
      <c r="AG827" t="s">
        <v>122</v>
      </c>
      <c r="AH827">
        <v>4877051.5599999996</v>
      </c>
      <c r="AI827" t="s">
        <v>166</v>
      </c>
      <c r="AJ827" t="s">
        <v>152</v>
      </c>
      <c r="AK827" t="s">
        <v>153</v>
      </c>
      <c r="AL827" t="s">
        <v>154</v>
      </c>
      <c r="AM827" t="s">
        <v>119</v>
      </c>
      <c r="AN827" t="s">
        <v>112</v>
      </c>
      <c r="AO827" t="s">
        <v>121</v>
      </c>
      <c r="AP827" t="s">
        <v>122</v>
      </c>
      <c r="AQ827" t="s">
        <v>122</v>
      </c>
      <c r="AR827" t="s">
        <v>124</v>
      </c>
      <c r="AS827" t="s">
        <v>125</v>
      </c>
      <c r="AT827">
        <v>2</v>
      </c>
      <c r="AU827" t="s">
        <v>126</v>
      </c>
      <c r="AV827" t="s">
        <v>155</v>
      </c>
      <c r="AW827" t="s">
        <v>156</v>
      </c>
      <c r="AX827">
        <v>1</v>
      </c>
      <c r="AY827" t="s">
        <v>129</v>
      </c>
      <c r="AZ827">
        <v>45426.28</v>
      </c>
      <c r="BA827">
        <v>4470600</v>
      </c>
      <c r="BB827">
        <v>53986.71</v>
      </c>
      <c r="BC827">
        <v>98.414400000000001</v>
      </c>
      <c r="BD827" t="s">
        <v>130</v>
      </c>
      <c r="BE827" t="s">
        <v>112</v>
      </c>
      <c r="BF827" t="s">
        <v>157</v>
      </c>
      <c r="BG827" t="s">
        <v>133</v>
      </c>
      <c r="BH827" t="s">
        <v>134</v>
      </c>
      <c r="BI827" t="s">
        <v>112</v>
      </c>
      <c r="BJ827" t="s">
        <v>112</v>
      </c>
      <c r="BK827" t="s">
        <v>112</v>
      </c>
      <c r="BL827" t="s">
        <v>169</v>
      </c>
      <c r="BM827" t="s">
        <v>159</v>
      </c>
      <c r="BN827" t="s">
        <v>722</v>
      </c>
      <c r="BO827" t="s">
        <v>161</v>
      </c>
      <c r="BP827">
        <v>1</v>
      </c>
      <c r="BQ827" t="s">
        <v>1281</v>
      </c>
      <c r="BR827" s="45">
        <f>ISNUMBER(SEARCH($BR$1,Таблица1[[#This Row],[31_1 Описание и характеристика товара]]))*1</f>
        <v>1</v>
      </c>
      <c r="BT827" t="s">
        <v>150</v>
      </c>
      <c r="BU827">
        <v>33</v>
      </c>
      <c r="BV827">
        <v>0</v>
      </c>
      <c r="BW827">
        <v>0</v>
      </c>
      <c r="BY827">
        <v>0</v>
      </c>
      <c r="CA827" t="s">
        <v>106</v>
      </c>
      <c r="CB827" t="s">
        <v>142</v>
      </c>
      <c r="CC827" t="s">
        <v>112</v>
      </c>
      <c r="CD827" t="s">
        <v>112</v>
      </c>
      <c r="CE827" t="s">
        <v>121</v>
      </c>
      <c r="CF827">
        <v>16250.78</v>
      </c>
      <c r="CG827" t="s">
        <v>144</v>
      </c>
      <c r="CH827">
        <v>4000000</v>
      </c>
      <c r="CI827">
        <v>16106.78</v>
      </c>
      <c r="CJ827">
        <v>0</v>
      </c>
      <c r="CK827" t="s">
        <v>112</v>
      </c>
      <c r="CL827" t="s">
        <v>112</v>
      </c>
      <c r="CM827">
        <v>45426.28</v>
      </c>
      <c r="CN827">
        <v>4470600</v>
      </c>
      <c r="CO827">
        <v>0</v>
      </c>
      <c r="CP827">
        <v>1</v>
      </c>
      <c r="CQ827">
        <v>4877051.5599999996</v>
      </c>
      <c r="CR827">
        <v>53986.71</v>
      </c>
      <c r="CS827" t="s">
        <v>145</v>
      </c>
      <c r="CT827">
        <v>53957.713000000003</v>
      </c>
      <c r="CU827">
        <v>3.35</v>
      </c>
      <c r="CV827">
        <v>45</v>
      </c>
      <c r="CW827" t="s">
        <v>171</v>
      </c>
      <c r="CX827" t="s">
        <v>372</v>
      </c>
      <c r="CY827">
        <v>236</v>
      </c>
    </row>
    <row r="828" spans="1:103" x14ac:dyDescent="0.25">
      <c r="A828" t="s">
        <v>106</v>
      </c>
      <c r="B828" s="38">
        <v>44951</v>
      </c>
      <c r="C828" s="43">
        <f>IF(YEAR(Таблица1[[#This Row],[Дата]])=2023,MONTH(Таблица1[[#This Row],[Дата]]),0)</f>
        <v>1</v>
      </c>
      <c r="D828" t="s">
        <v>1263</v>
      </c>
      <c r="E828" t="s">
        <v>108</v>
      </c>
      <c r="F828" t="s">
        <v>1264</v>
      </c>
      <c r="G828" t="s">
        <v>110</v>
      </c>
      <c r="H828" t="s">
        <v>111</v>
      </c>
      <c r="I828" t="s">
        <v>112</v>
      </c>
      <c r="J828" t="s">
        <v>112</v>
      </c>
      <c r="K828" t="s">
        <v>112</v>
      </c>
      <c r="L828" t="s">
        <v>150</v>
      </c>
      <c r="M828" t="s">
        <v>1036</v>
      </c>
      <c r="N828" t="s">
        <v>112</v>
      </c>
      <c r="O828" t="s">
        <v>112</v>
      </c>
      <c r="P828">
        <v>1</v>
      </c>
      <c r="Q828">
        <v>0</v>
      </c>
      <c r="R828">
        <v>1</v>
      </c>
      <c r="S828">
        <v>33</v>
      </c>
      <c r="T828" t="s">
        <v>166</v>
      </c>
      <c r="U828" t="s">
        <v>152</v>
      </c>
      <c r="V828" t="s">
        <v>153</v>
      </c>
      <c r="W828" t="s">
        <v>154</v>
      </c>
      <c r="X828" t="s">
        <v>119</v>
      </c>
      <c r="Y828" t="s">
        <v>112</v>
      </c>
      <c r="Z828" t="s">
        <v>166</v>
      </c>
      <c r="AA828" t="s">
        <v>152</v>
      </c>
      <c r="AB828" t="s">
        <v>153</v>
      </c>
      <c r="AC828" t="s">
        <v>154</v>
      </c>
      <c r="AD828" t="s">
        <v>119</v>
      </c>
      <c r="AE828" t="s">
        <v>112</v>
      </c>
      <c r="AF828" t="s">
        <v>121</v>
      </c>
      <c r="AG828" t="s">
        <v>122</v>
      </c>
      <c r="AH828">
        <v>3786057.36</v>
      </c>
      <c r="AI828" t="s">
        <v>166</v>
      </c>
      <c r="AJ828" t="s">
        <v>152</v>
      </c>
      <c r="AK828" t="s">
        <v>153</v>
      </c>
      <c r="AL828" t="s">
        <v>154</v>
      </c>
      <c r="AM828" t="s">
        <v>119</v>
      </c>
      <c r="AN828" t="s">
        <v>112</v>
      </c>
      <c r="AO828" t="s">
        <v>121</v>
      </c>
      <c r="AP828" t="s">
        <v>122</v>
      </c>
      <c r="AQ828" t="s">
        <v>122</v>
      </c>
      <c r="AR828" t="s">
        <v>124</v>
      </c>
      <c r="AS828" t="s">
        <v>125</v>
      </c>
      <c r="AT828">
        <v>2</v>
      </c>
      <c r="AU828" t="s">
        <v>126</v>
      </c>
      <c r="AV828" t="s">
        <v>155</v>
      </c>
      <c r="AW828" t="s">
        <v>156</v>
      </c>
      <c r="AX828">
        <v>1</v>
      </c>
      <c r="AY828" t="s">
        <v>129</v>
      </c>
      <c r="AZ828">
        <v>39372</v>
      </c>
      <c r="BA828">
        <v>3426616</v>
      </c>
      <c r="BB828">
        <v>46552.14</v>
      </c>
      <c r="BC828">
        <v>87.031800000000004</v>
      </c>
      <c r="BD828" t="s">
        <v>130</v>
      </c>
      <c r="BE828" t="s">
        <v>112</v>
      </c>
      <c r="BF828" t="s">
        <v>157</v>
      </c>
      <c r="BG828" t="s">
        <v>133</v>
      </c>
      <c r="BH828" t="s">
        <v>134</v>
      </c>
      <c r="BI828" t="s">
        <v>112</v>
      </c>
      <c r="BJ828" t="s">
        <v>112</v>
      </c>
      <c r="BK828" t="s">
        <v>112</v>
      </c>
      <c r="BL828" t="s">
        <v>169</v>
      </c>
      <c r="BM828" t="s">
        <v>159</v>
      </c>
      <c r="BN828" t="s">
        <v>722</v>
      </c>
      <c r="BO828" t="s">
        <v>161</v>
      </c>
      <c r="BP828">
        <v>1</v>
      </c>
      <c r="BQ828" t="s">
        <v>162</v>
      </c>
      <c r="BR828" s="45">
        <f>ISNUMBER(SEARCH($BR$1,Таблица1[[#This Row],[31_1 Описание и характеристика товара]]))*1</f>
        <v>1</v>
      </c>
      <c r="BT828" t="s">
        <v>150</v>
      </c>
      <c r="BU828">
        <v>33</v>
      </c>
      <c r="BV828">
        <v>0</v>
      </c>
      <c r="BW828">
        <v>0</v>
      </c>
      <c r="BY828">
        <v>0</v>
      </c>
      <c r="CA828" t="s">
        <v>106</v>
      </c>
      <c r="CB828" t="s">
        <v>142</v>
      </c>
      <c r="CC828" t="s">
        <v>112</v>
      </c>
      <c r="CD828" t="s">
        <v>112</v>
      </c>
      <c r="CE828" t="s">
        <v>121</v>
      </c>
      <c r="CF828">
        <v>16497.849999999999</v>
      </c>
      <c r="CG828" t="s">
        <v>144</v>
      </c>
      <c r="CH828">
        <v>4000000</v>
      </c>
      <c r="CI828">
        <v>16411.46</v>
      </c>
      <c r="CJ828">
        <v>0</v>
      </c>
      <c r="CK828" t="s">
        <v>112</v>
      </c>
      <c r="CL828" t="s">
        <v>112</v>
      </c>
      <c r="CM828">
        <v>39372</v>
      </c>
      <c r="CN828">
        <v>3426616</v>
      </c>
      <c r="CO828">
        <v>0</v>
      </c>
      <c r="CP828">
        <v>1</v>
      </c>
      <c r="CQ828">
        <v>3786057.36</v>
      </c>
      <c r="CR828">
        <v>46552.14</v>
      </c>
      <c r="CS828" t="s">
        <v>145</v>
      </c>
      <c r="CT828">
        <v>46608.546399999992</v>
      </c>
      <c r="CU828">
        <v>2.84</v>
      </c>
      <c r="CV828">
        <v>45</v>
      </c>
      <c r="CW828" t="s">
        <v>171</v>
      </c>
      <c r="CX828" t="s">
        <v>350</v>
      </c>
      <c r="CY828">
        <v>34</v>
      </c>
    </row>
    <row r="829" spans="1:103" x14ac:dyDescent="0.25">
      <c r="A829" t="s">
        <v>106</v>
      </c>
      <c r="B829" s="38">
        <v>45046</v>
      </c>
      <c r="C829" s="43">
        <f>IF(YEAR(Таблица1[[#This Row],[Дата]])=2023,MONTH(Таблица1[[#This Row],[Дата]]),0)</f>
        <v>4</v>
      </c>
      <c r="D829" t="s">
        <v>1270</v>
      </c>
      <c r="E829" t="s">
        <v>108</v>
      </c>
      <c r="F829" t="s">
        <v>1271</v>
      </c>
      <c r="G829" t="s">
        <v>110</v>
      </c>
      <c r="H829" t="s">
        <v>111</v>
      </c>
      <c r="I829" t="s">
        <v>112</v>
      </c>
      <c r="J829" t="s">
        <v>112</v>
      </c>
      <c r="K829" t="s">
        <v>112</v>
      </c>
      <c r="L829" t="s">
        <v>150</v>
      </c>
      <c r="M829" t="s">
        <v>1036</v>
      </c>
      <c r="N829" t="s">
        <v>112</v>
      </c>
      <c r="O829" t="s">
        <v>112</v>
      </c>
      <c r="P829">
        <v>1</v>
      </c>
      <c r="Q829">
        <v>0</v>
      </c>
      <c r="R829">
        <v>1</v>
      </c>
      <c r="S829">
        <v>33</v>
      </c>
      <c r="T829" t="s">
        <v>166</v>
      </c>
      <c r="U829" t="s">
        <v>152</v>
      </c>
      <c r="V829" t="s">
        <v>153</v>
      </c>
      <c r="W829" t="s">
        <v>154</v>
      </c>
      <c r="X829" t="s">
        <v>119</v>
      </c>
      <c r="Y829" t="s">
        <v>112</v>
      </c>
      <c r="Z829" t="s">
        <v>166</v>
      </c>
      <c r="AA829" t="s">
        <v>152</v>
      </c>
      <c r="AB829" t="s">
        <v>153</v>
      </c>
      <c r="AC829" t="s">
        <v>154</v>
      </c>
      <c r="AD829" t="s">
        <v>119</v>
      </c>
      <c r="AE829" t="s">
        <v>112</v>
      </c>
      <c r="AF829" t="s">
        <v>121</v>
      </c>
      <c r="AG829" t="s">
        <v>122</v>
      </c>
      <c r="AH829">
        <v>4063361.56</v>
      </c>
      <c r="AI829" t="s">
        <v>166</v>
      </c>
      <c r="AJ829" t="s">
        <v>152</v>
      </c>
      <c r="AK829" t="s">
        <v>153</v>
      </c>
      <c r="AL829" t="s">
        <v>154</v>
      </c>
      <c r="AM829" t="s">
        <v>119</v>
      </c>
      <c r="AN829" t="s">
        <v>112</v>
      </c>
      <c r="AO829" t="s">
        <v>121</v>
      </c>
      <c r="AP829" t="s">
        <v>122</v>
      </c>
      <c r="AQ829" t="s">
        <v>122</v>
      </c>
      <c r="AR829" t="s">
        <v>124</v>
      </c>
      <c r="AS829" t="s">
        <v>125</v>
      </c>
      <c r="AT829">
        <v>2</v>
      </c>
      <c r="AU829" t="s">
        <v>126</v>
      </c>
      <c r="AV829" t="s">
        <v>155</v>
      </c>
      <c r="AW829" t="s">
        <v>156</v>
      </c>
      <c r="AX829">
        <v>1</v>
      </c>
      <c r="AY829" t="s">
        <v>129</v>
      </c>
      <c r="AZ829">
        <v>42558.239999999998</v>
      </c>
      <c r="BA829">
        <v>3703920</v>
      </c>
      <c r="BB829">
        <v>49961.78</v>
      </c>
      <c r="BC829">
        <v>87.031800000000004</v>
      </c>
      <c r="BD829" t="s">
        <v>130</v>
      </c>
      <c r="BE829" t="s">
        <v>112</v>
      </c>
      <c r="BF829" t="s">
        <v>157</v>
      </c>
      <c r="BG829" t="s">
        <v>133</v>
      </c>
      <c r="BH829" t="s">
        <v>134</v>
      </c>
      <c r="BI829" t="s">
        <v>112</v>
      </c>
      <c r="BJ829" t="s">
        <v>112</v>
      </c>
      <c r="BK829" t="s">
        <v>112</v>
      </c>
      <c r="BL829" t="s">
        <v>169</v>
      </c>
      <c r="BM829" t="s">
        <v>159</v>
      </c>
      <c r="BN829" t="s">
        <v>722</v>
      </c>
      <c r="BO829" t="s">
        <v>161</v>
      </c>
      <c r="BP829">
        <v>1</v>
      </c>
      <c r="BQ829" t="s">
        <v>162</v>
      </c>
      <c r="BR829" s="45">
        <f>ISNUMBER(SEARCH($BR$1,Таблица1[[#This Row],[31_1 Описание и характеристика товара]]))*1</f>
        <v>1</v>
      </c>
      <c r="BT829" t="s">
        <v>150</v>
      </c>
      <c r="BU829">
        <v>33</v>
      </c>
      <c r="BV829">
        <v>0</v>
      </c>
      <c r="BW829">
        <v>0</v>
      </c>
      <c r="BY829">
        <v>0</v>
      </c>
      <c r="CA829" t="s">
        <v>106</v>
      </c>
      <c r="CB829" t="s">
        <v>142</v>
      </c>
      <c r="CC829" t="s">
        <v>112</v>
      </c>
      <c r="CD829" t="s">
        <v>112</v>
      </c>
      <c r="CE829" t="s">
        <v>121</v>
      </c>
      <c r="CF829">
        <v>16972.39</v>
      </c>
      <c r="CG829" t="s">
        <v>144</v>
      </c>
      <c r="CH829">
        <v>4000000</v>
      </c>
      <c r="CI829">
        <v>16972.39</v>
      </c>
      <c r="CJ829">
        <v>0</v>
      </c>
      <c r="CK829" t="s">
        <v>112</v>
      </c>
      <c r="CL829" t="s">
        <v>112</v>
      </c>
      <c r="CM829">
        <v>42558.239999999998</v>
      </c>
      <c r="CN829">
        <v>3703920</v>
      </c>
      <c r="CO829">
        <v>0</v>
      </c>
      <c r="CP829">
        <v>1</v>
      </c>
      <c r="CQ829">
        <v>4063361.56</v>
      </c>
      <c r="CR829">
        <v>49961.78</v>
      </c>
      <c r="CS829" t="s">
        <v>145</v>
      </c>
      <c r="CT829">
        <v>49898.8266</v>
      </c>
      <c r="CU829">
        <v>2.94</v>
      </c>
      <c r="CV829">
        <v>45</v>
      </c>
      <c r="CW829" t="s">
        <v>171</v>
      </c>
      <c r="CX829" t="s">
        <v>350</v>
      </c>
      <c r="CY829">
        <v>319</v>
      </c>
    </row>
    <row r="830" spans="1:103" x14ac:dyDescent="0.25">
      <c r="A830" t="s">
        <v>106</v>
      </c>
      <c r="B830" s="38">
        <v>45072</v>
      </c>
      <c r="C830" s="43">
        <f>IF(YEAR(Таблица1[[#This Row],[Дата]])=2023,MONTH(Таблица1[[#This Row],[Дата]]),0)</f>
        <v>5</v>
      </c>
      <c r="D830" t="s">
        <v>1267</v>
      </c>
      <c r="E830" t="s">
        <v>108</v>
      </c>
      <c r="F830" t="s">
        <v>1268</v>
      </c>
      <c r="G830" t="s">
        <v>110</v>
      </c>
      <c r="H830" t="s">
        <v>111</v>
      </c>
      <c r="I830" t="s">
        <v>112</v>
      </c>
      <c r="J830" t="s">
        <v>112</v>
      </c>
      <c r="K830" t="s">
        <v>112</v>
      </c>
      <c r="L830" t="s">
        <v>150</v>
      </c>
      <c r="M830" t="s">
        <v>1036</v>
      </c>
      <c r="N830" t="s">
        <v>112</v>
      </c>
      <c r="O830" t="s">
        <v>112</v>
      </c>
      <c r="P830">
        <v>1</v>
      </c>
      <c r="Q830">
        <v>0</v>
      </c>
      <c r="R830">
        <v>1</v>
      </c>
      <c r="S830">
        <v>33</v>
      </c>
      <c r="T830" t="s">
        <v>166</v>
      </c>
      <c r="U830" t="s">
        <v>152</v>
      </c>
      <c r="V830" t="s">
        <v>153</v>
      </c>
      <c r="W830" t="s">
        <v>154</v>
      </c>
      <c r="X830" t="s">
        <v>119</v>
      </c>
      <c r="Y830" t="s">
        <v>112</v>
      </c>
      <c r="Z830" t="s">
        <v>166</v>
      </c>
      <c r="AA830" t="s">
        <v>152</v>
      </c>
      <c r="AB830" t="s">
        <v>153</v>
      </c>
      <c r="AC830" t="s">
        <v>154</v>
      </c>
      <c r="AD830" t="s">
        <v>119</v>
      </c>
      <c r="AE830" t="s">
        <v>112</v>
      </c>
      <c r="AF830" t="s">
        <v>121</v>
      </c>
      <c r="AG830" t="s">
        <v>122</v>
      </c>
      <c r="AH830">
        <v>4036238.97</v>
      </c>
      <c r="AI830" t="s">
        <v>166</v>
      </c>
      <c r="AJ830" t="s">
        <v>152</v>
      </c>
      <c r="AK830" t="s">
        <v>153</v>
      </c>
      <c r="AL830" t="s">
        <v>154</v>
      </c>
      <c r="AM830" t="s">
        <v>119</v>
      </c>
      <c r="AN830" t="s">
        <v>112</v>
      </c>
      <c r="AO830" t="s">
        <v>121</v>
      </c>
      <c r="AP830" t="s">
        <v>122</v>
      </c>
      <c r="AQ830" t="s">
        <v>122</v>
      </c>
      <c r="AR830" t="s">
        <v>124</v>
      </c>
      <c r="AS830" t="s">
        <v>125</v>
      </c>
      <c r="AT830">
        <v>2</v>
      </c>
      <c r="AU830" t="s">
        <v>126</v>
      </c>
      <c r="AV830" t="s">
        <v>155</v>
      </c>
      <c r="AW830" t="s">
        <v>156</v>
      </c>
      <c r="AX830">
        <v>1</v>
      </c>
      <c r="AY830" t="s">
        <v>129</v>
      </c>
      <c r="AZ830">
        <v>42246.6</v>
      </c>
      <c r="BA830">
        <v>3676798</v>
      </c>
      <c r="BB830">
        <v>49628.29</v>
      </c>
      <c r="BC830">
        <v>87.031800000000004</v>
      </c>
      <c r="BD830" t="s">
        <v>130</v>
      </c>
      <c r="BE830" t="s">
        <v>112</v>
      </c>
      <c r="BF830" t="s">
        <v>157</v>
      </c>
      <c r="BG830" t="s">
        <v>133</v>
      </c>
      <c r="BH830" t="s">
        <v>134</v>
      </c>
      <c r="BI830" t="s">
        <v>112</v>
      </c>
      <c r="BJ830" t="s">
        <v>112</v>
      </c>
      <c r="BK830" t="s">
        <v>112</v>
      </c>
      <c r="BL830" t="s">
        <v>169</v>
      </c>
      <c r="BM830" t="s">
        <v>159</v>
      </c>
      <c r="BN830" t="s">
        <v>722</v>
      </c>
      <c r="BO830" t="s">
        <v>161</v>
      </c>
      <c r="BP830">
        <v>1</v>
      </c>
      <c r="BQ830" t="s">
        <v>1269</v>
      </c>
      <c r="BR830" s="45">
        <f>ISNUMBER(SEARCH($BR$1,Таблица1[[#This Row],[31_1 Описание и характеристика товара]]))*1</f>
        <v>1</v>
      </c>
      <c r="BT830" t="s">
        <v>150</v>
      </c>
      <c r="BU830">
        <v>33</v>
      </c>
      <c r="BV830">
        <v>0</v>
      </c>
      <c r="BW830">
        <v>0</v>
      </c>
      <c r="BY830">
        <v>0</v>
      </c>
      <c r="CA830" t="s">
        <v>106</v>
      </c>
      <c r="CB830" t="s">
        <v>142</v>
      </c>
      <c r="CC830" t="s">
        <v>112</v>
      </c>
      <c r="CD830" t="s">
        <v>112</v>
      </c>
      <c r="CE830" t="s">
        <v>121</v>
      </c>
      <c r="CF830">
        <v>17019.96</v>
      </c>
      <c r="CG830" t="s">
        <v>144</v>
      </c>
      <c r="CH830">
        <v>4000000</v>
      </c>
      <c r="CI830">
        <v>17019.96</v>
      </c>
      <c r="CJ830">
        <v>0</v>
      </c>
      <c r="CK830" t="s">
        <v>112</v>
      </c>
      <c r="CL830" t="s">
        <v>112</v>
      </c>
      <c r="CM830">
        <v>42246.6</v>
      </c>
      <c r="CN830">
        <v>3676798</v>
      </c>
      <c r="CO830">
        <v>0</v>
      </c>
      <c r="CP830">
        <v>1</v>
      </c>
      <c r="CQ830">
        <v>4036238.97</v>
      </c>
      <c r="CR830">
        <v>49628.29</v>
      </c>
      <c r="CS830" t="s">
        <v>145</v>
      </c>
      <c r="CT830">
        <v>49698.283199999998</v>
      </c>
      <c r="CU830">
        <v>2.92</v>
      </c>
      <c r="CV830">
        <v>45</v>
      </c>
      <c r="CW830" t="s">
        <v>171</v>
      </c>
      <c r="CX830" t="s">
        <v>372</v>
      </c>
      <c r="CY830">
        <v>298</v>
      </c>
    </row>
    <row r="831" spans="1:103" x14ac:dyDescent="0.25">
      <c r="A831" t="s">
        <v>106</v>
      </c>
      <c r="B831" s="38">
        <v>45231</v>
      </c>
      <c r="C831" s="43">
        <f>IF(YEAR(Таблица1[[#This Row],[Дата]])=2023,MONTH(Таблица1[[#This Row],[Дата]]),0)</f>
        <v>11</v>
      </c>
      <c r="D831" t="s">
        <v>1265</v>
      </c>
      <c r="E831" t="s">
        <v>108</v>
      </c>
      <c r="F831" t="s">
        <v>1266</v>
      </c>
      <c r="G831" t="s">
        <v>110</v>
      </c>
      <c r="H831" t="s">
        <v>111</v>
      </c>
      <c r="I831" t="s">
        <v>112</v>
      </c>
      <c r="J831" t="s">
        <v>112</v>
      </c>
      <c r="K831" t="s">
        <v>112</v>
      </c>
      <c r="L831" t="s">
        <v>150</v>
      </c>
      <c r="M831" t="s">
        <v>1036</v>
      </c>
      <c r="N831" t="s">
        <v>112</v>
      </c>
      <c r="O831" t="s">
        <v>112</v>
      </c>
      <c r="P831">
        <v>1</v>
      </c>
      <c r="Q831">
        <v>0</v>
      </c>
      <c r="R831">
        <v>1</v>
      </c>
      <c r="S831">
        <v>33</v>
      </c>
      <c r="T831" t="s">
        <v>166</v>
      </c>
      <c r="U831" t="s">
        <v>152</v>
      </c>
      <c r="V831" t="s">
        <v>153</v>
      </c>
      <c r="W831" t="s">
        <v>154</v>
      </c>
      <c r="X831" t="s">
        <v>119</v>
      </c>
      <c r="Y831" t="s">
        <v>112</v>
      </c>
      <c r="Z831" t="s">
        <v>166</v>
      </c>
      <c r="AA831" t="s">
        <v>152</v>
      </c>
      <c r="AB831" t="s">
        <v>153</v>
      </c>
      <c r="AC831" t="s">
        <v>154</v>
      </c>
      <c r="AD831" t="s">
        <v>119</v>
      </c>
      <c r="AE831" t="s">
        <v>112</v>
      </c>
      <c r="AF831" t="s">
        <v>121</v>
      </c>
      <c r="AG831" t="s">
        <v>122</v>
      </c>
      <c r="AH831">
        <v>4129651.94</v>
      </c>
      <c r="AI831" t="s">
        <v>166</v>
      </c>
      <c r="AJ831" t="s">
        <v>152</v>
      </c>
      <c r="AK831" t="s">
        <v>153</v>
      </c>
      <c r="AL831" t="s">
        <v>154</v>
      </c>
      <c r="AM831" t="s">
        <v>119</v>
      </c>
      <c r="AN831" t="s">
        <v>112</v>
      </c>
      <c r="AO831" t="s">
        <v>121</v>
      </c>
      <c r="AP831" t="s">
        <v>122</v>
      </c>
      <c r="AQ831" t="s">
        <v>122</v>
      </c>
      <c r="AR831" t="s">
        <v>124</v>
      </c>
      <c r="AS831" t="s">
        <v>125</v>
      </c>
      <c r="AT831">
        <v>2</v>
      </c>
      <c r="AU831" t="s">
        <v>126</v>
      </c>
      <c r="AV831" t="s">
        <v>155</v>
      </c>
      <c r="AW831" t="s">
        <v>156</v>
      </c>
      <c r="AX831">
        <v>1</v>
      </c>
      <c r="AY831" t="s">
        <v>129</v>
      </c>
      <c r="AZ831">
        <v>43319.92</v>
      </c>
      <c r="BA831">
        <v>3770211</v>
      </c>
      <c r="BB831">
        <v>50776.86</v>
      </c>
      <c r="BC831">
        <v>87.031800000000004</v>
      </c>
      <c r="BD831" t="s">
        <v>130</v>
      </c>
      <c r="BE831" t="s">
        <v>112</v>
      </c>
      <c r="BF831" t="s">
        <v>157</v>
      </c>
      <c r="BG831" t="s">
        <v>133</v>
      </c>
      <c r="BH831" t="s">
        <v>134</v>
      </c>
      <c r="BI831" t="s">
        <v>112</v>
      </c>
      <c r="BJ831" t="s">
        <v>112</v>
      </c>
      <c r="BK831" t="s">
        <v>112</v>
      </c>
      <c r="BL831" t="s">
        <v>169</v>
      </c>
      <c r="BM831" t="s">
        <v>159</v>
      </c>
      <c r="BN831" t="s">
        <v>722</v>
      </c>
      <c r="BO831" t="s">
        <v>161</v>
      </c>
      <c r="BP831">
        <v>1</v>
      </c>
      <c r="BQ831" t="s">
        <v>536</v>
      </c>
      <c r="BR831" s="45">
        <f>ISNUMBER(SEARCH($BR$1,Таблица1[[#This Row],[31_1 Описание и характеристика товара]]))*1</f>
        <v>1</v>
      </c>
      <c r="BT831" t="s">
        <v>150</v>
      </c>
      <c r="BU831">
        <v>33</v>
      </c>
      <c r="BV831">
        <v>0</v>
      </c>
      <c r="BW831">
        <v>0</v>
      </c>
      <c r="BY831">
        <v>0</v>
      </c>
      <c r="CA831" t="s">
        <v>106</v>
      </c>
      <c r="CB831" t="s">
        <v>142</v>
      </c>
      <c r="CC831" t="s">
        <v>112</v>
      </c>
      <c r="CD831" t="s">
        <v>112</v>
      </c>
      <c r="CE831" t="s">
        <v>121</v>
      </c>
      <c r="CF831">
        <v>16699.78</v>
      </c>
      <c r="CG831" t="s">
        <v>144</v>
      </c>
      <c r="CH831">
        <v>4000000</v>
      </c>
      <c r="CI831">
        <v>16699.78</v>
      </c>
      <c r="CJ831">
        <v>0</v>
      </c>
      <c r="CK831" t="s">
        <v>112</v>
      </c>
      <c r="CL831" t="s">
        <v>112</v>
      </c>
      <c r="CM831">
        <v>43319.92</v>
      </c>
      <c r="CN831">
        <v>3770211</v>
      </c>
      <c r="CO831">
        <v>0</v>
      </c>
      <c r="CP831">
        <v>1</v>
      </c>
      <c r="CQ831">
        <v>4129651.94</v>
      </c>
      <c r="CR831">
        <v>50776.86</v>
      </c>
      <c r="CS831" t="s">
        <v>145</v>
      </c>
      <c r="CT831">
        <v>50767.331200000001</v>
      </c>
      <c r="CU831">
        <v>3.04</v>
      </c>
      <c r="CV831">
        <v>45</v>
      </c>
      <c r="CW831" t="s">
        <v>171</v>
      </c>
      <c r="CX831" t="s">
        <v>350</v>
      </c>
      <c r="CY831">
        <v>205</v>
      </c>
    </row>
    <row r="832" spans="1:103" x14ac:dyDescent="0.25">
      <c r="A832" t="s">
        <v>106</v>
      </c>
      <c r="B832" s="38">
        <v>45200</v>
      </c>
      <c r="C832" s="43">
        <f>IF(YEAR(Таблица1[[#This Row],[Дата]])=2023,MONTH(Таблица1[[#This Row],[Дата]]),0)</f>
        <v>10</v>
      </c>
      <c r="D832" t="s">
        <v>1275</v>
      </c>
      <c r="E832" t="s">
        <v>108</v>
      </c>
      <c r="F832" t="s">
        <v>1276</v>
      </c>
      <c r="G832" t="s">
        <v>110</v>
      </c>
      <c r="H832" t="s">
        <v>111</v>
      </c>
      <c r="I832" t="s">
        <v>112</v>
      </c>
      <c r="J832" t="s">
        <v>112</v>
      </c>
      <c r="K832" t="s">
        <v>112</v>
      </c>
      <c r="L832" t="s">
        <v>150</v>
      </c>
      <c r="M832" t="s">
        <v>1036</v>
      </c>
      <c r="N832" t="s">
        <v>112</v>
      </c>
      <c r="O832" t="s">
        <v>112</v>
      </c>
      <c r="P832">
        <v>1</v>
      </c>
      <c r="Q832">
        <v>0</v>
      </c>
      <c r="R832">
        <v>1</v>
      </c>
      <c r="S832">
        <v>33</v>
      </c>
      <c r="T832" t="s">
        <v>166</v>
      </c>
      <c r="U832" t="s">
        <v>152</v>
      </c>
      <c r="V832" t="s">
        <v>153</v>
      </c>
      <c r="W832" t="s">
        <v>154</v>
      </c>
      <c r="X832" t="s">
        <v>119</v>
      </c>
      <c r="Y832" t="s">
        <v>112</v>
      </c>
      <c r="Z832" t="s">
        <v>166</v>
      </c>
      <c r="AA832" t="s">
        <v>152</v>
      </c>
      <c r="AB832" t="s">
        <v>153</v>
      </c>
      <c r="AC832" t="s">
        <v>154</v>
      </c>
      <c r="AD832" t="s">
        <v>119</v>
      </c>
      <c r="AE832" t="s">
        <v>112</v>
      </c>
      <c r="AF832" t="s">
        <v>121</v>
      </c>
      <c r="AG832" t="s">
        <v>122</v>
      </c>
      <c r="AH832">
        <v>3968075.67</v>
      </c>
      <c r="AI832" t="s">
        <v>166</v>
      </c>
      <c r="AJ832" t="s">
        <v>152</v>
      </c>
      <c r="AK832" t="s">
        <v>153</v>
      </c>
      <c r="AL832" t="s">
        <v>154</v>
      </c>
      <c r="AM832" t="s">
        <v>119</v>
      </c>
      <c r="AN832" t="s">
        <v>112</v>
      </c>
      <c r="AO832" t="s">
        <v>121</v>
      </c>
      <c r="AP832" t="s">
        <v>122</v>
      </c>
      <c r="AQ832" t="s">
        <v>122</v>
      </c>
      <c r="AR832" t="s">
        <v>124</v>
      </c>
      <c r="AS832" t="s">
        <v>125</v>
      </c>
      <c r="AT832">
        <v>2</v>
      </c>
      <c r="AU832" t="s">
        <v>126</v>
      </c>
      <c r="AV832" t="s">
        <v>155</v>
      </c>
      <c r="AW832" t="s">
        <v>156</v>
      </c>
      <c r="AX832">
        <v>1</v>
      </c>
      <c r="AY832" t="s">
        <v>129</v>
      </c>
      <c r="AZ832">
        <v>40943.4</v>
      </c>
      <c r="BA832">
        <v>3563378</v>
      </c>
      <c r="BB832">
        <v>48790.18</v>
      </c>
      <c r="BC832">
        <v>87.031800000000004</v>
      </c>
      <c r="BD832" t="s">
        <v>130</v>
      </c>
      <c r="BE832" t="s">
        <v>112</v>
      </c>
      <c r="BF832" t="s">
        <v>157</v>
      </c>
      <c r="BG832" t="s">
        <v>133</v>
      </c>
      <c r="BH832" t="s">
        <v>134</v>
      </c>
      <c r="BI832" t="s">
        <v>112</v>
      </c>
      <c r="BJ832" t="s">
        <v>112</v>
      </c>
      <c r="BK832" t="s">
        <v>112</v>
      </c>
      <c r="BL832" t="s">
        <v>169</v>
      </c>
      <c r="BM832" t="s">
        <v>159</v>
      </c>
      <c r="BN832" t="s">
        <v>722</v>
      </c>
      <c r="BO832" t="s">
        <v>161</v>
      </c>
      <c r="BP832">
        <v>1</v>
      </c>
      <c r="BQ832" t="s">
        <v>162</v>
      </c>
      <c r="BR832" s="45">
        <f>ISNUMBER(SEARCH($BR$1,Таблица1[[#This Row],[31_1 Описание и характеристика товара]]))*1</f>
        <v>1</v>
      </c>
      <c r="BT832" t="s">
        <v>150</v>
      </c>
      <c r="BU832">
        <v>33</v>
      </c>
      <c r="BV832">
        <v>0</v>
      </c>
      <c r="BW832">
        <v>0</v>
      </c>
      <c r="BY832">
        <v>0</v>
      </c>
      <c r="CA832" t="s">
        <v>106</v>
      </c>
      <c r="CB832" t="s">
        <v>142</v>
      </c>
      <c r="CC832" t="s">
        <v>112</v>
      </c>
      <c r="CD832" t="s">
        <v>112</v>
      </c>
      <c r="CE832" t="s">
        <v>121</v>
      </c>
      <c r="CF832">
        <v>17014.560000000001</v>
      </c>
      <c r="CG832" t="s">
        <v>144</v>
      </c>
      <c r="CH832">
        <v>4000000</v>
      </c>
      <c r="CI832">
        <v>17014.560000000001</v>
      </c>
      <c r="CJ832">
        <v>0</v>
      </c>
      <c r="CK832" t="s">
        <v>112</v>
      </c>
      <c r="CL832" t="s">
        <v>112</v>
      </c>
      <c r="CM832">
        <v>40943.4</v>
      </c>
      <c r="CN832">
        <v>3563378</v>
      </c>
      <c r="CO832">
        <v>0</v>
      </c>
      <c r="CP832">
        <v>1</v>
      </c>
      <c r="CQ832">
        <v>3968075.67</v>
      </c>
      <c r="CR832">
        <v>48790.18</v>
      </c>
      <c r="CS832" t="s">
        <v>145</v>
      </c>
      <c r="CT832">
        <v>48831.787200000006</v>
      </c>
      <c r="CU832">
        <v>2.87</v>
      </c>
      <c r="CV832">
        <v>45</v>
      </c>
      <c r="CW832" t="s">
        <v>171</v>
      </c>
      <c r="CX832" t="s">
        <v>350</v>
      </c>
      <c r="CY832">
        <v>546</v>
      </c>
    </row>
    <row r="833" spans="1:103" x14ac:dyDescent="0.25">
      <c r="A833" t="s">
        <v>106</v>
      </c>
      <c r="B833" s="38">
        <v>45202</v>
      </c>
      <c r="C833" s="43">
        <f>IF(YEAR(Таблица1[[#This Row],[Дата]])=2023,MONTH(Таблица1[[#This Row],[Дата]]),0)</f>
        <v>10</v>
      </c>
      <c r="D833" t="s">
        <v>1272</v>
      </c>
      <c r="E833" t="s">
        <v>108</v>
      </c>
      <c r="F833" t="s">
        <v>1273</v>
      </c>
      <c r="G833" t="s">
        <v>110</v>
      </c>
      <c r="H833" t="s">
        <v>111</v>
      </c>
      <c r="I833" t="s">
        <v>112</v>
      </c>
      <c r="J833" t="s">
        <v>112</v>
      </c>
      <c r="K833" t="s">
        <v>112</v>
      </c>
      <c r="L833" t="s">
        <v>175</v>
      </c>
      <c r="M833" t="s">
        <v>1274</v>
      </c>
      <c r="N833" t="s">
        <v>112</v>
      </c>
      <c r="O833" t="s">
        <v>112</v>
      </c>
      <c r="P833">
        <v>1</v>
      </c>
      <c r="Q833">
        <v>0</v>
      </c>
      <c r="R833">
        <v>1</v>
      </c>
      <c r="S833">
        <v>33</v>
      </c>
      <c r="T833" t="s">
        <v>166</v>
      </c>
      <c r="U833" t="s">
        <v>152</v>
      </c>
      <c r="V833" t="s">
        <v>153</v>
      </c>
      <c r="W833" t="s">
        <v>154</v>
      </c>
      <c r="X833" t="s">
        <v>119</v>
      </c>
      <c r="Y833" t="s">
        <v>112</v>
      </c>
      <c r="Z833" t="s">
        <v>166</v>
      </c>
      <c r="AA833" t="s">
        <v>152</v>
      </c>
      <c r="AB833" t="s">
        <v>153</v>
      </c>
      <c r="AC833" t="s">
        <v>154</v>
      </c>
      <c r="AD833" t="s">
        <v>119</v>
      </c>
      <c r="AE833" t="s">
        <v>112</v>
      </c>
      <c r="AF833" t="s">
        <v>121</v>
      </c>
      <c r="AG833" t="s">
        <v>122</v>
      </c>
      <c r="AH833">
        <v>4127034.9</v>
      </c>
      <c r="AI833" t="s">
        <v>166</v>
      </c>
      <c r="AJ833" t="s">
        <v>152</v>
      </c>
      <c r="AK833" t="s">
        <v>153</v>
      </c>
      <c r="AL833" t="s">
        <v>154</v>
      </c>
      <c r="AM833" t="s">
        <v>119</v>
      </c>
      <c r="AN833" t="s">
        <v>112</v>
      </c>
      <c r="AO833" t="s">
        <v>121</v>
      </c>
      <c r="AP833" t="s">
        <v>122</v>
      </c>
      <c r="AQ833" t="s">
        <v>122</v>
      </c>
      <c r="AR833" t="s">
        <v>124</v>
      </c>
      <c r="AS833" t="s">
        <v>125</v>
      </c>
      <c r="AT833">
        <v>2</v>
      </c>
      <c r="AU833" t="s">
        <v>126</v>
      </c>
      <c r="AV833" t="s">
        <v>155</v>
      </c>
      <c r="AW833" t="s">
        <v>156</v>
      </c>
      <c r="AX833">
        <v>1</v>
      </c>
      <c r="AY833" t="s">
        <v>129</v>
      </c>
      <c r="AZ833">
        <v>42769.85</v>
      </c>
      <c r="BA833">
        <v>3722337</v>
      </c>
      <c r="BB833">
        <v>50744.69</v>
      </c>
      <c r="BC833">
        <v>87.031800000000004</v>
      </c>
      <c r="BD833" t="s">
        <v>130</v>
      </c>
      <c r="BE833" t="s">
        <v>112</v>
      </c>
      <c r="BF833" t="s">
        <v>157</v>
      </c>
      <c r="BG833" t="s">
        <v>133</v>
      </c>
      <c r="BH833" t="s">
        <v>134</v>
      </c>
      <c r="BI833" t="s">
        <v>112</v>
      </c>
      <c r="BJ833" t="s">
        <v>112</v>
      </c>
      <c r="BK833" t="s">
        <v>112</v>
      </c>
      <c r="BL833" t="s">
        <v>169</v>
      </c>
      <c r="BM833" t="s">
        <v>159</v>
      </c>
      <c r="BN833" t="s">
        <v>722</v>
      </c>
      <c r="BO833" t="s">
        <v>161</v>
      </c>
      <c r="BP833">
        <v>1</v>
      </c>
      <c r="BQ833" t="s">
        <v>658</v>
      </c>
      <c r="BR833" s="45">
        <f>ISNUMBER(SEARCH($BR$1,Таблица1[[#This Row],[31_1 Описание и характеристика товара]]))*1</f>
        <v>1</v>
      </c>
      <c r="BT833" t="s">
        <v>150</v>
      </c>
      <c r="BU833">
        <v>33</v>
      </c>
      <c r="BV833">
        <v>0</v>
      </c>
      <c r="BW833">
        <v>0</v>
      </c>
      <c r="BY833">
        <v>0</v>
      </c>
      <c r="CA833" t="s">
        <v>106</v>
      </c>
      <c r="CB833" t="s">
        <v>142</v>
      </c>
      <c r="CC833" t="s">
        <v>112</v>
      </c>
      <c r="CD833" t="s">
        <v>112</v>
      </c>
      <c r="CE833" t="s">
        <v>121</v>
      </c>
      <c r="CF833">
        <v>16899.89</v>
      </c>
      <c r="CG833" t="s">
        <v>144</v>
      </c>
      <c r="CH833">
        <v>4000000</v>
      </c>
      <c r="CI833">
        <v>16899.89</v>
      </c>
      <c r="CJ833">
        <v>0</v>
      </c>
      <c r="CK833" t="s">
        <v>112</v>
      </c>
      <c r="CL833" t="s">
        <v>112</v>
      </c>
      <c r="CM833">
        <v>42769.85</v>
      </c>
      <c r="CN833">
        <v>3722337</v>
      </c>
      <c r="CO833">
        <v>0</v>
      </c>
      <c r="CP833">
        <v>1</v>
      </c>
      <c r="CQ833">
        <v>4127034.9</v>
      </c>
      <c r="CR833">
        <v>50744.69</v>
      </c>
      <c r="CS833" t="s">
        <v>145</v>
      </c>
      <c r="CT833">
        <v>50699.67</v>
      </c>
      <c r="CU833">
        <v>3</v>
      </c>
      <c r="CV833">
        <v>45</v>
      </c>
      <c r="CW833" t="s">
        <v>171</v>
      </c>
      <c r="CX833" t="s">
        <v>463</v>
      </c>
      <c r="CY833">
        <v>248</v>
      </c>
    </row>
    <row r="834" spans="1:103" x14ac:dyDescent="0.25">
      <c r="A834" t="s">
        <v>106</v>
      </c>
      <c r="B834" s="38">
        <v>45127</v>
      </c>
      <c r="C834" s="43">
        <f>IF(YEAR(Таблица1[[#This Row],[Дата]])=2023,MONTH(Таблица1[[#This Row],[Дата]]),0)</f>
        <v>7</v>
      </c>
      <c r="D834" t="s">
        <v>823</v>
      </c>
      <c r="E834" t="s">
        <v>108</v>
      </c>
      <c r="F834" t="s">
        <v>824</v>
      </c>
      <c r="G834" t="s">
        <v>110</v>
      </c>
      <c r="H834" t="s">
        <v>111</v>
      </c>
      <c r="I834" t="s">
        <v>112</v>
      </c>
      <c r="J834" t="s">
        <v>112</v>
      </c>
      <c r="K834" t="s">
        <v>112</v>
      </c>
      <c r="L834" t="s">
        <v>150</v>
      </c>
      <c r="M834" t="s">
        <v>151</v>
      </c>
      <c r="N834" t="s">
        <v>112</v>
      </c>
      <c r="O834" t="s">
        <v>112</v>
      </c>
      <c r="P834">
        <v>1</v>
      </c>
      <c r="Q834">
        <v>0</v>
      </c>
      <c r="R834">
        <v>1</v>
      </c>
      <c r="S834">
        <v>33</v>
      </c>
      <c r="T834" t="s">
        <v>166</v>
      </c>
      <c r="U834" t="s">
        <v>152</v>
      </c>
      <c r="V834" t="s">
        <v>153</v>
      </c>
      <c r="W834" t="s">
        <v>154</v>
      </c>
      <c r="X834" t="s">
        <v>119</v>
      </c>
      <c r="Y834" t="s">
        <v>112</v>
      </c>
      <c r="Z834" t="s">
        <v>166</v>
      </c>
      <c r="AA834" t="s">
        <v>152</v>
      </c>
      <c r="AB834" t="s">
        <v>153</v>
      </c>
      <c r="AC834" t="s">
        <v>154</v>
      </c>
      <c r="AD834" t="s">
        <v>119</v>
      </c>
      <c r="AE834" t="s">
        <v>112</v>
      </c>
      <c r="AF834" t="s">
        <v>121</v>
      </c>
      <c r="AG834" t="s">
        <v>122</v>
      </c>
      <c r="AH834">
        <v>3437210.69</v>
      </c>
      <c r="AI834" t="s">
        <v>166</v>
      </c>
      <c r="AJ834" t="s">
        <v>152</v>
      </c>
      <c r="AK834" t="s">
        <v>153</v>
      </c>
      <c r="AL834" t="s">
        <v>154</v>
      </c>
      <c r="AM834" t="s">
        <v>119</v>
      </c>
      <c r="AN834" t="s">
        <v>112</v>
      </c>
      <c r="AO834" t="s">
        <v>121</v>
      </c>
      <c r="AP834" t="s">
        <v>122</v>
      </c>
      <c r="AQ834" t="s">
        <v>122</v>
      </c>
      <c r="AR834" t="s">
        <v>124</v>
      </c>
      <c r="AS834" t="s">
        <v>125</v>
      </c>
      <c r="AT834">
        <v>2</v>
      </c>
      <c r="AU834" t="s">
        <v>126</v>
      </c>
      <c r="AV834" t="s">
        <v>155</v>
      </c>
      <c r="AW834" t="s">
        <v>156</v>
      </c>
      <c r="AX834">
        <v>1</v>
      </c>
      <c r="AY834" t="s">
        <v>129</v>
      </c>
      <c r="AZ834">
        <v>38589.96</v>
      </c>
      <c r="BA834">
        <v>3089007</v>
      </c>
      <c r="BB834">
        <v>45550.58</v>
      </c>
      <c r="BC834">
        <v>80.046899999999994</v>
      </c>
      <c r="BD834" t="s">
        <v>130</v>
      </c>
      <c r="BE834" t="s">
        <v>112</v>
      </c>
      <c r="BF834" t="s">
        <v>157</v>
      </c>
      <c r="BG834" t="s">
        <v>133</v>
      </c>
      <c r="BH834" t="s">
        <v>167</v>
      </c>
      <c r="BI834" t="s">
        <v>168</v>
      </c>
      <c r="BJ834" t="s">
        <v>112</v>
      </c>
      <c r="BK834" t="s">
        <v>112</v>
      </c>
      <c r="BL834" t="s">
        <v>169</v>
      </c>
      <c r="BM834" t="s">
        <v>159</v>
      </c>
      <c r="BN834" t="s">
        <v>160</v>
      </c>
      <c r="BO834" t="s">
        <v>161</v>
      </c>
      <c r="BP834">
        <v>1</v>
      </c>
      <c r="BQ834" t="s">
        <v>213</v>
      </c>
      <c r="BR834" s="45">
        <f>ISNUMBER(SEARCH($BR$1,Таблица1[[#This Row],[31_1 Описание и характеристика товара]]))*1</f>
        <v>1</v>
      </c>
      <c r="BT834" t="s">
        <v>150</v>
      </c>
      <c r="BU834">
        <v>33</v>
      </c>
      <c r="BV834">
        <v>0</v>
      </c>
      <c r="BW834">
        <v>0</v>
      </c>
      <c r="BY834">
        <v>0</v>
      </c>
      <c r="CA834" t="s">
        <v>106</v>
      </c>
      <c r="CB834" t="s">
        <v>142</v>
      </c>
      <c r="CC834" t="s">
        <v>112</v>
      </c>
      <c r="CD834" t="s">
        <v>112</v>
      </c>
      <c r="CE834" t="s">
        <v>121</v>
      </c>
      <c r="CF834">
        <v>15007.01</v>
      </c>
      <c r="CG834" t="s">
        <v>144</v>
      </c>
      <c r="CH834">
        <v>4000000</v>
      </c>
      <c r="CI834">
        <v>14596.61</v>
      </c>
      <c r="CJ834">
        <v>0</v>
      </c>
      <c r="CK834" t="s">
        <v>112</v>
      </c>
      <c r="CL834" t="s">
        <v>112</v>
      </c>
      <c r="CM834">
        <v>38589.96</v>
      </c>
      <c r="CN834">
        <v>3089007</v>
      </c>
      <c r="CO834">
        <v>0</v>
      </c>
      <c r="CP834">
        <v>1</v>
      </c>
      <c r="CQ834">
        <v>3437210.69</v>
      </c>
      <c r="CR834">
        <v>45550.58</v>
      </c>
      <c r="CS834" t="s">
        <v>145</v>
      </c>
      <c r="CT834">
        <v>45550.181166000002</v>
      </c>
      <c r="CU834">
        <v>3.1206</v>
      </c>
      <c r="CV834">
        <v>45</v>
      </c>
      <c r="CW834" t="s">
        <v>171</v>
      </c>
      <c r="CX834" t="s">
        <v>463</v>
      </c>
      <c r="CY834">
        <v>88</v>
      </c>
    </row>
    <row r="835" spans="1:103" x14ac:dyDescent="0.25">
      <c r="A835" t="s">
        <v>106</v>
      </c>
      <c r="B835" s="38">
        <v>44990</v>
      </c>
      <c r="C835" s="43">
        <f>IF(YEAR(Таблица1[[#This Row],[Дата]])=2023,MONTH(Таблица1[[#This Row],[Дата]]),0)</f>
        <v>3</v>
      </c>
      <c r="D835" t="s">
        <v>827</v>
      </c>
      <c r="E835" t="s">
        <v>108</v>
      </c>
      <c r="F835" t="s">
        <v>828</v>
      </c>
      <c r="G835" t="s">
        <v>110</v>
      </c>
      <c r="H835" t="s">
        <v>111</v>
      </c>
      <c r="I835" t="s">
        <v>112</v>
      </c>
      <c r="J835" t="s">
        <v>112</v>
      </c>
      <c r="K835" t="s">
        <v>112</v>
      </c>
      <c r="L835" t="s">
        <v>150</v>
      </c>
      <c r="M835" t="s">
        <v>151</v>
      </c>
      <c r="N835" t="s">
        <v>112</v>
      </c>
      <c r="O835" t="s">
        <v>112</v>
      </c>
      <c r="P835">
        <v>1</v>
      </c>
      <c r="Q835">
        <v>0</v>
      </c>
      <c r="R835">
        <v>1</v>
      </c>
      <c r="S835">
        <v>38</v>
      </c>
      <c r="T835" t="s">
        <v>166</v>
      </c>
      <c r="U835" t="s">
        <v>152</v>
      </c>
      <c r="V835" t="s">
        <v>153</v>
      </c>
      <c r="W835" t="s">
        <v>154</v>
      </c>
      <c r="X835" t="s">
        <v>119</v>
      </c>
      <c r="Y835" t="s">
        <v>112</v>
      </c>
      <c r="Z835" t="s">
        <v>166</v>
      </c>
      <c r="AA835" t="s">
        <v>152</v>
      </c>
      <c r="AB835" t="s">
        <v>153</v>
      </c>
      <c r="AC835" t="s">
        <v>154</v>
      </c>
      <c r="AD835" t="s">
        <v>119</v>
      </c>
      <c r="AE835" t="s">
        <v>112</v>
      </c>
      <c r="AF835" t="s">
        <v>121</v>
      </c>
      <c r="AG835" t="s">
        <v>122</v>
      </c>
      <c r="AH835">
        <v>4439773.3</v>
      </c>
      <c r="AI835" t="s">
        <v>166</v>
      </c>
      <c r="AJ835" t="s">
        <v>152</v>
      </c>
      <c r="AK835" t="s">
        <v>153</v>
      </c>
      <c r="AL835" t="s">
        <v>154</v>
      </c>
      <c r="AM835" t="s">
        <v>119</v>
      </c>
      <c r="AN835" t="s">
        <v>112</v>
      </c>
      <c r="AO835" t="s">
        <v>121</v>
      </c>
      <c r="AP835" t="s">
        <v>122</v>
      </c>
      <c r="AQ835" t="s">
        <v>122</v>
      </c>
      <c r="AR835" t="s">
        <v>124</v>
      </c>
      <c r="AS835" t="s">
        <v>125</v>
      </c>
      <c r="AT835">
        <v>2</v>
      </c>
      <c r="AU835" t="s">
        <v>126</v>
      </c>
      <c r="AV835" t="s">
        <v>155</v>
      </c>
      <c r="AW835" t="s">
        <v>156</v>
      </c>
      <c r="AX835">
        <v>1</v>
      </c>
      <c r="AY835" t="s">
        <v>129</v>
      </c>
      <c r="AZ835">
        <v>51114.65</v>
      </c>
      <c r="BA835">
        <v>4091569</v>
      </c>
      <c r="BB835">
        <v>58836.74</v>
      </c>
      <c r="BC835">
        <v>80.046899999999994</v>
      </c>
      <c r="BD835" t="s">
        <v>130</v>
      </c>
      <c r="BE835" t="s">
        <v>112</v>
      </c>
      <c r="BF835" t="s">
        <v>157</v>
      </c>
      <c r="BG835" t="s">
        <v>133</v>
      </c>
      <c r="BH835" t="s">
        <v>167</v>
      </c>
      <c r="BI835" t="s">
        <v>168</v>
      </c>
      <c r="BJ835" t="s">
        <v>112</v>
      </c>
      <c r="BK835" t="s">
        <v>112</v>
      </c>
      <c r="BL835" t="s">
        <v>169</v>
      </c>
      <c r="BM835" t="s">
        <v>159</v>
      </c>
      <c r="BN835" t="s">
        <v>160</v>
      </c>
      <c r="BO835" t="s">
        <v>161</v>
      </c>
      <c r="BP835">
        <v>1</v>
      </c>
      <c r="BQ835" t="s">
        <v>829</v>
      </c>
      <c r="BR835" s="45">
        <f>ISNUMBER(SEARCH($BR$1,Таблица1[[#This Row],[31_1 Описание и характеристика товара]]))*1</f>
        <v>1</v>
      </c>
      <c r="BT835" t="s">
        <v>150</v>
      </c>
      <c r="BU835">
        <v>38</v>
      </c>
      <c r="BV835">
        <v>0</v>
      </c>
      <c r="BW835">
        <v>0</v>
      </c>
      <c r="BY835">
        <v>0</v>
      </c>
      <c r="CA835" t="s">
        <v>106</v>
      </c>
      <c r="CB835" t="s">
        <v>142</v>
      </c>
      <c r="CC835" t="s">
        <v>112</v>
      </c>
      <c r="CD835" t="s">
        <v>112</v>
      </c>
      <c r="CE835" t="s">
        <v>121</v>
      </c>
      <c r="CF835">
        <v>18734.419999999998</v>
      </c>
      <c r="CG835" t="s">
        <v>144</v>
      </c>
      <c r="CH835">
        <v>4000000</v>
      </c>
      <c r="CI835">
        <v>18554.419999999998</v>
      </c>
      <c r="CJ835">
        <v>0</v>
      </c>
      <c r="CK835" t="s">
        <v>112</v>
      </c>
      <c r="CL835" t="s">
        <v>112</v>
      </c>
      <c r="CM835">
        <v>51114.65</v>
      </c>
      <c r="CN835">
        <v>4091569</v>
      </c>
      <c r="CO835">
        <v>0</v>
      </c>
      <c r="CP835">
        <v>1</v>
      </c>
      <c r="CQ835">
        <v>4439773.3</v>
      </c>
      <c r="CR835">
        <v>58836.74</v>
      </c>
      <c r="CS835" t="s">
        <v>145</v>
      </c>
      <c r="CT835">
        <v>58836.065819999989</v>
      </c>
      <c r="CU835">
        <v>3.1709999999999998</v>
      </c>
      <c r="CV835">
        <v>45</v>
      </c>
      <c r="CW835" t="s">
        <v>171</v>
      </c>
      <c r="CX835" t="s">
        <v>372</v>
      </c>
      <c r="CY835">
        <v>54</v>
      </c>
    </row>
    <row r="836" spans="1:103" x14ac:dyDescent="0.25">
      <c r="A836" t="s">
        <v>106</v>
      </c>
      <c r="B836" s="38">
        <v>45139</v>
      </c>
      <c r="C836" s="43">
        <f>IF(YEAR(Таблица1[[#This Row],[Дата]])=2023,MONTH(Таблица1[[#This Row],[Дата]]),0)</f>
        <v>8</v>
      </c>
      <c r="D836" t="s">
        <v>832</v>
      </c>
      <c r="E836" t="s">
        <v>108</v>
      </c>
      <c r="F836" t="s">
        <v>833</v>
      </c>
      <c r="G836" t="s">
        <v>110</v>
      </c>
      <c r="H836" t="s">
        <v>111</v>
      </c>
      <c r="I836" t="s">
        <v>112</v>
      </c>
      <c r="J836" t="s">
        <v>112</v>
      </c>
      <c r="K836" t="s">
        <v>112</v>
      </c>
      <c r="L836" t="s">
        <v>150</v>
      </c>
      <c r="M836" t="s">
        <v>151</v>
      </c>
      <c r="N836" t="s">
        <v>112</v>
      </c>
      <c r="O836" t="s">
        <v>112</v>
      </c>
      <c r="P836">
        <v>1</v>
      </c>
      <c r="Q836">
        <v>0</v>
      </c>
      <c r="R836">
        <v>1</v>
      </c>
      <c r="S836">
        <v>33</v>
      </c>
      <c r="T836" t="s">
        <v>166</v>
      </c>
      <c r="U836" t="s">
        <v>152</v>
      </c>
      <c r="V836" t="s">
        <v>153</v>
      </c>
      <c r="W836" t="s">
        <v>154</v>
      </c>
      <c r="X836" t="s">
        <v>119</v>
      </c>
      <c r="Y836" t="s">
        <v>112</v>
      </c>
      <c r="Z836" t="s">
        <v>166</v>
      </c>
      <c r="AA836" t="s">
        <v>152</v>
      </c>
      <c r="AB836" t="s">
        <v>153</v>
      </c>
      <c r="AC836" t="s">
        <v>154</v>
      </c>
      <c r="AD836" t="s">
        <v>119</v>
      </c>
      <c r="AE836" t="s">
        <v>112</v>
      </c>
      <c r="AF836" t="s">
        <v>121</v>
      </c>
      <c r="AG836" t="s">
        <v>122</v>
      </c>
      <c r="AH836">
        <v>3934449.22</v>
      </c>
      <c r="AI836" t="s">
        <v>166</v>
      </c>
      <c r="AJ836" t="s">
        <v>152</v>
      </c>
      <c r="AK836" t="s">
        <v>153</v>
      </c>
      <c r="AL836" t="s">
        <v>154</v>
      </c>
      <c r="AM836" t="s">
        <v>119</v>
      </c>
      <c r="AN836" t="s">
        <v>112</v>
      </c>
      <c r="AO836" t="s">
        <v>121</v>
      </c>
      <c r="AP836" t="s">
        <v>122</v>
      </c>
      <c r="AQ836" t="s">
        <v>122</v>
      </c>
      <c r="AR836" t="s">
        <v>124</v>
      </c>
      <c r="AS836" t="s">
        <v>125</v>
      </c>
      <c r="AT836">
        <v>2</v>
      </c>
      <c r="AU836" t="s">
        <v>126</v>
      </c>
      <c r="AV836" t="s">
        <v>155</v>
      </c>
      <c r="AW836" t="s">
        <v>156</v>
      </c>
      <c r="AX836">
        <v>1</v>
      </c>
      <c r="AY836" t="s">
        <v>129</v>
      </c>
      <c r="AZ836">
        <v>44801.8</v>
      </c>
      <c r="BA836">
        <v>3586245</v>
      </c>
      <c r="BB836">
        <v>52140.09</v>
      </c>
      <c r="BC836">
        <v>80.046899999999994</v>
      </c>
      <c r="BD836" t="s">
        <v>130</v>
      </c>
      <c r="BE836" t="s">
        <v>112</v>
      </c>
      <c r="BF836" t="s">
        <v>157</v>
      </c>
      <c r="BG836" t="s">
        <v>133</v>
      </c>
      <c r="BH836" t="s">
        <v>167</v>
      </c>
      <c r="BI836" t="s">
        <v>168</v>
      </c>
      <c r="BJ836" t="s">
        <v>112</v>
      </c>
      <c r="BK836" t="s">
        <v>112</v>
      </c>
      <c r="BL836" t="s">
        <v>169</v>
      </c>
      <c r="BM836" t="s">
        <v>159</v>
      </c>
      <c r="BN836" t="s">
        <v>160</v>
      </c>
      <c r="BO836" t="s">
        <v>161</v>
      </c>
      <c r="BP836">
        <v>1</v>
      </c>
      <c r="BQ836" t="s">
        <v>834</v>
      </c>
      <c r="BR836" s="45">
        <f>ISNUMBER(SEARCH($BR$1,Таблица1[[#This Row],[31_1 Описание и характеристика товара]]))*1</f>
        <v>1</v>
      </c>
      <c r="BT836" t="s">
        <v>150</v>
      </c>
      <c r="BU836">
        <v>33</v>
      </c>
      <c r="BV836">
        <v>0</v>
      </c>
      <c r="BW836">
        <v>0</v>
      </c>
      <c r="BY836">
        <v>0</v>
      </c>
      <c r="CA836" t="s">
        <v>106</v>
      </c>
      <c r="CB836" t="s">
        <v>142</v>
      </c>
      <c r="CC836" t="s">
        <v>112</v>
      </c>
      <c r="CD836" t="s">
        <v>112</v>
      </c>
      <c r="CE836" t="s">
        <v>121</v>
      </c>
      <c r="CF836">
        <v>16776.900000000001</v>
      </c>
      <c r="CG836" t="s">
        <v>144</v>
      </c>
      <c r="CH836">
        <v>4000000</v>
      </c>
      <c r="CI836">
        <v>16719.3</v>
      </c>
      <c r="CJ836">
        <v>0</v>
      </c>
      <c r="CK836" t="s">
        <v>112</v>
      </c>
      <c r="CL836" t="s">
        <v>112</v>
      </c>
      <c r="CM836">
        <v>44801.8</v>
      </c>
      <c r="CN836">
        <v>3586245</v>
      </c>
      <c r="CO836">
        <v>0</v>
      </c>
      <c r="CP836">
        <v>1</v>
      </c>
      <c r="CQ836">
        <v>3934449.22</v>
      </c>
      <c r="CR836">
        <v>52140.09</v>
      </c>
      <c r="CS836" t="s">
        <v>145</v>
      </c>
      <c r="CT836">
        <v>52140.808979999994</v>
      </c>
      <c r="CU836">
        <v>3.1185999999999998</v>
      </c>
      <c r="CV836">
        <v>45</v>
      </c>
      <c r="CW836" t="s">
        <v>171</v>
      </c>
      <c r="CX836" t="s">
        <v>350</v>
      </c>
      <c r="CY836">
        <v>144</v>
      </c>
    </row>
    <row r="837" spans="1:103" x14ac:dyDescent="0.25">
      <c r="A837" t="s">
        <v>106</v>
      </c>
      <c r="B837" s="38">
        <v>45045</v>
      </c>
      <c r="C837" s="43">
        <f>IF(YEAR(Таблица1[[#This Row],[Дата]])=2023,MONTH(Таблица1[[#This Row],[Дата]]),0)</f>
        <v>4</v>
      </c>
      <c r="D837" t="s">
        <v>835</v>
      </c>
      <c r="E837" t="s">
        <v>108</v>
      </c>
      <c r="F837" t="s">
        <v>836</v>
      </c>
      <c r="G837" t="s">
        <v>110</v>
      </c>
      <c r="H837" t="s">
        <v>111</v>
      </c>
      <c r="I837" t="s">
        <v>112</v>
      </c>
      <c r="J837" t="s">
        <v>112</v>
      </c>
      <c r="K837" t="s">
        <v>112</v>
      </c>
      <c r="L837" t="s">
        <v>150</v>
      </c>
      <c r="M837" t="s">
        <v>151</v>
      </c>
      <c r="N837" t="s">
        <v>112</v>
      </c>
      <c r="O837" t="s">
        <v>112</v>
      </c>
      <c r="P837">
        <v>1</v>
      </c>
      <c r="Q837">
        <v>0</v>
      </c>
      <c r="R837">
        <v>1</v>
      </c>
      <c r="S837">
        <v>33</v>
      </c>
      <c r="T837" t="s">
        <v>166</v>
      </c>
      <c r="U837" t="s">
        <v>152</v>
      </c>
      <c r="V837" t="s">
        <v>153</v>
      </c>
      <c r="W837" t="s">
        <v>154</v>
      </c>
      <c r="X837" t="s">
        <v>119</v>
      </c>
      <c r="Y837" t="s">
        <v>112</v>
      </c>
      <c r="Z837" t="s">
        <v>166</v>
      </c>
      <c r="AA837" t="s">
        <v>152</v>
      </c>
      <c r="AB837" t="s">
        <v>153</v>
      </c>
      <c r="AC837" t="s">
        <v>154</v>
      </c>
      <c r="AD837" t="s">
        <v>119</v>
      </c>
      <c r="AE837" t="s">
        <v>112</v>
      </c>
      <c r="AF837" t="s">
        <v>121</v>
      </c>
      <c r="AG837" t="s">
        <v>122</v>
      </c>
      <c r="AH837">
        <v>3608664.75</v>
      </c>
      <c r="AI837" t="s">
        <v>166</v>
      </c>
      <c r="AJ837" t="s">
        <v>152</v>
      </c>
      <c r="AK837" t="s">
        <v>153</v>
      </c>
      <c r="AL837" t="s">
        <v>154</v>
      </c>
      <c r="AM837" t="s">
        <v>119</v>
      </c>
      <c r="AN837" t="s">
        <v>112</v>
      </c>
      <c r="AO837" t="s">
        <v>121</v>
      </c>
      <c r="AP837" t="s">
        <v>122</v>
      </c>
      <c r="AQ837" t="s">
        <v>122</v>
      </c>
      <c r="AR837" t="s">
        <v>124</v>
      </c>
      <c r="AS837" t="s">
        <v>125</v>
      </c>
      <c r="AT837">
        <v>2</v>
      </c>
      <c r="AU837" t="s">
        <v>126</v>
      </c>
      <c r="AV837" t="s">
        <v>155</v>
      </c>
      <c r="AW837" t="s">
        <v>156</v>
      </c>
      <c r="AX837">
        <v>1</v>
      </c>
      <c r="AY837" t="s">
        <v>129</v>
      </c>
      <c r="AZ837">
        <v>40731.879999999997</v>
      </c>
      <c r="BA837">
        <v>3260461</v>
      </c>
      <c r="BB837">
        <v>47822.73</v>
      </c>
      <c r="BC837">
        <v>80.046899999999994</v>
      </c>
      <c r="BD837" t="s">
        <v>130</v>
      </c>
      <c r="BE837" t="s">
        <v>112</v>
      </c>
      <c r="BF837" t="s">
        <v>157</v>
      </c>
      <c r="BG837" t="s">
        <v>133</v>
      </c>
      <c r="BH837" t="s">
        <v>134</v>
      </c>
      <c r="BI837" t="s">
        <v>112</v>
      </c>
      <c r="BJ837" t="s">
        <v>112</v>
      </c>
      <c r="BK837" t="s">
        <v>112</v>
      </c>
      <c r="BL837" t="s">
        <v>169</v>
      </c>
      <c r="BM837" t="s">
        <v>159</v>
      </c>
      <c r="BN837" t="s">
        <v>212</v>
      </c>
      <c r="BO837" t="s">
        <v>161</v>
      </c>
      <c r="BP837">
        <v>1</v>
      </c>
      <c r="BQ837" t="s">
        <v>205</v>
      </c>
      <c r="BR837" s="45">
        <f>ISNUMBER(SEARCH($BR$1,Таблица1[[#This Row],[31_1 Описание и характеристика товара]]))*1</f>
        <v>1</v>
      </c>
      <c r="BT837" t="s">
        <v>150</v>
      </c>
      <c r="BU837">
        <v>33</v>
      </c>
      <c r="BV837">
        <v>0</v>
      </c>
      <c r="BW837">
        <v>0</v>
      </c>
      <c r="BY837">
        <v>0</v>
      </c>
      <c r="CA837" t="s">
        <v>106</v>
      </c>
      <c r="CB837" t="s">
        <v>142</v>
      </c>
      <c r="CC837" t="s">
        <v>112</v>
      </c>
      <c r="CD837" t="s">
        <v>112</v>
      </c>
      <c r="CE837" t="s">
        <v>121</v>
      </c>
      <c r="CF837">
        <v>16643.419999999998</v>
      </c>
      <c r="CG837" t="s">
        <v>144</v>
      </c>
      <c r="CH837">
        <v>4000000</v>
      </c>
      <c r="CI837">
        <v>16571.419999999998</v>
      </c>
      <c r="CJ837">
        <v>0</v>
      </c>
      <c r="CK837" t="s">
        <v>112</v>
      </c>
      <c r="CL837" t="s">
        <v>112</v>
      </c>
      <c r="CM837">
        <v>40731.879999999997</v>
      </c>
      <c r="CN837">
        <v>3260461</v>
      </c>
      <c r="CO837">
        <v>0</v>
      </c>
      <c r="CP837">
        <v>1</v>
      </c>
      <c r="CQ837">
        <v>3608664.75</v>
      </c>
      <c r="CR837">
        <v>47822.73</v>
      </c>
      <c r="CS837" t="s">
        <v>145</v>
      </c>
      <c r="CT837">
        <v>47823.460977999996</v>
      </c>
      <c r="CU837">
        <v>2.8858999999999999</v>
      </c>
      <c r="CV837">
        <v>45</v>
      </c>
      <c r="CW837" t="s">
        <v>171</v>
      </c>
      <c r="CX837" t="s">
        <v>350</v>
      </c>
      <c r="CY837">
        <v>270</v>
      </c>
    </row>
    <row r="838" spans="1:103" x14ac:dyDescent="0.25">
      <c r="A838" t="s">
        <v>106</v>
      </c>
      <c r="B838" s="38">
        <v>44987</v>
      </c>
      <c r="C838" s="43">
        <f>IF(YEAR(Таблица1[[#This Row],[Дата]])=2023,MONTH(Таблица1[[#This Row],[Дата]]),0)</f>
        <v>3</v>
      </c>
      <c r="D838" t="s">
        <v>825</v>
      </c>
      <c r="E838" t="s">
        <v>108</v>
      </c>
      <c r="F838" t="s">
        <v>826</v>
      </c>
      <c r="G838" t="s">
        <v>110</v>
      </c>
      <c r="H838" t="s">
        <v>111</v>
      </c>
      <c r="I838" t="s">
        <v>112</v>
      </c>
      <c r="J838" t="s">
        <v>112</v>
      </c>
      <c r="K838" t="s">
        <v>112</v>
      </c>
      <c r="L838" t="s">
        <v>150</v>
      </c>
      <c r="M838" t="s">
        <v>151</v>
      </c>
      <c r="N838" t="s">
        <v>112</v>
      </c>
      <c r="O838" t="s">
        <v>112</v>
      </c>
      <c r="P838">
        <v>1</v>
      </c>
      <c r="Q838">
        <v>0</v>
      </c>
      <c r="R838">
        <v>1</v>
      </c>
      <c r="S838">
        <v>33</v>
      </c>
      <c r="T838" t="s">
        <v>166</v>
      </c>
      <c r="U838" t="s">
        <v>152</v>
      </c>
      <c r="V838" t="s">
        <v>153</v>
      </c>
      <c r="W838" t="s">
        <v>154</v>
      </c>
      <c r="X838" t="s">
        <v>119</v>
      </c>
      <c r="Y838" t="s">
        <v>112</v>
      </c>
      <c r="Z838" t="s">
        <v>166</v>
      </c>
      <c r="AA838" t="s">
        <v>152</v>
      </c>
      <c r="AB838" t="s">
        <v>153</v>
      </c>
      <c r="AC838" t="s">
        <v>154</v>
      </c>
      <c r="AD838" t="s">
        <v>119</v>
      </c>
      <c r="AE838" t="s">
        <v>112</v>
      </c>
      <c r="AF838" t="s">
        <v>121</v>
      </c>
      <c r="AG838" t="s">
        <v>122</v>
      </c>
      <c r="AH838">
        <v>3316059.71</v>
      </c>
      <c r="AI838" t="s">
        <v>166</v>
      </c>
      <c r="AJ838" t="s">
        <v>152</v>
      </c>
      <c r="AK838" t="s">
        <v>153</v>
      </c>
      <c r="AL838" t="s">
        <v>154</v>
      </c>
      <c r="AM838" t="s">
        <v>119</v>
      </c>
      <c r="AN838" t="s">
        <v>112</v>
      </c>
      <c r="AO838" t="s">
        <v>121</v>
      </c>
      <c r="AP838" t="s">
        <v>122</v>
      </c>
      <c r="AQ838" t="s">
        <v>122</v>
      </c>
      <c r="AR838" t="s">
        <v>124</v>
      </c>
      <c r="AS838" t="s">
        <v>125</v>
      </c>
      <c r="AT838">
        <v>2</v>
      </c>
      <c r="AU838" t="s">
        <v>126</v>
      </c>
      <c r="AV838" t="s">
        <v>155</v>
      </c>
      <c r="AW838" t="s">
        <v>156</v>
      </c>
      <c r="AX838">
        <v>1</v>
      </c>
      <c r="AY838" t="s">
        <v>129</v>
      </c>
      <c r="AZ838">
        <v>37076.46</v>
      </c>
      <c r="BA838">
        <v>2967856</v>
      </c>
      <c r="BB838">
        <v>43945.07</v>
      </c>
      <c r="BC838">
        <v>80.046899999999994</v>
      </c>
      <c r="BD838" t="s">
        <v>130</v>
      </c>
      <c r="BE838" t="s">
        <v>112</v>
      </c>
      <c r="BF838" t="s">
        <v>157</v>
      </c>
      <c r="BG838" t="s">
        <v>133</v>
      </c>
      <c r="BH838" t="s">
        <v>167</v>
      </c>
      <c r="BI838" t="s">
        <v>168</v>
      </c>
      <c r="BJ838" t="s">
        <v>112</v>
      </c>
      <c r="BK838" t="s">
        <v>112</v>
      </c>
      <c r="BL838" t="s">
        <v>169</v>
      </c>
      <c r="BM838" t="s">
        <v>159</v>
      </c>
      <c r="BN838" t="s">
        <v>160</v>
      </c>
      <c r="BO838" t="s">
        <v>161</v>
      </c>
      <c r="BP838">
        <v>1</v>
      </c>
      <c r="BQ838" t="s">
        <v>707</v>
      </c>
      <c r="BR838" s="45">
        <f>ISNUMBER(SEARCH($BR$1,Таблица1[[#This Row],[31_1 Описание и характеристика товара]]))*1</f>
        <v>1</v>
      </c>
      <c r="BT838" t="s">
        <v>150</v>
      </c>
      <c r="BU838">
        <v>33</v>
      </c>
      <c r="BV838">
        <v>0</v>
      </c>
      <c r="BW838">
        <v>0</v>
      </c>
      <c r="BY838">
        <v>0</v>
      </c>
      <c r="CA838" t="s">
        <v>106</v>
      </c>
      <c r="CB838" t="s">
        <v>142</v>
      </c>
      <c r="CC838" t="s">
        <v>112</v>
      </c>
      <c r="CD838" t="s">
        <v>112</v>
      </c>
      <c r="CE838" t="s">
        <v>121</v>
      </c>
      <c r="CF838">
        <v>16334.03</v>
      </c>
      <c r="CG838" t="s">
        <v>144</v>
      </c>
      <c r="CH838">
        <v>4000000</v>
      </c>
      <c r="CI838">
        <v>16279.43</v>
      </c>
      <c r="CJ838">
        <v>0</v>
      </c>
      <c r="CK838" t="s">
        <v>112</v>
      </c>
      <c r="CL838" t="s">
        <v>112</v>
      </c>
      <c r="CM838">
        <v>37076.46</v>
      </c>
      <c r="CN838">
        <v>2967856</v>
      </c>
      <c r="CO838">
        <v>0</v>
      </c>
      <c r="CP838">
        <v>1</v>
      </c>
      <c r="CQ838">
        <v>3316059.71</v>
      </c>
      <c r="CR838">
        <v>43945.07</v>
      </c>
      <c r="CS838" t="s">
        <v>145</v>
      </c>
      <c r="CT838">
        <v>43944.693341999999</v>
      </c>
      <c r="CU838">
        <v>2.6993999999999998</v>
      </c>
      <c r="CV838">
        <v>45</v>
      </c>
      <c r="CW838" t="s">
        <v>171</v>
      </c>
      <c r="CX838" t="s">
        <v>369</v>
      </c>
      <c r="CY838">
        <v>270</v>
      </c>
    </row>
    <row r="839" spans="1:103" x14ac:dyDescent="0.25">
      <c r="A839" t="s">
        <v>106</v>
      </c>
      <c r="B839" s="38">
        <v>45111</v>
      </c>
      <c r="C839" s="43">
        <f>IF(YEAR(Таблица1[[#This Row],[Дата]])=2023,MONTH(Таблица1[[#This Row],[Дата]]),0)</f>
        <v>7</v>
      </c>
      <c r="D839" t="s">
        <v>460</v>
      </c>
      <c r="E839" t="s">
        <v>108</v>
      </c>
      <c r="F839" t="s">
        <v>461</v>
      </c>
      <c r="G839" t="s">
        <v>110</v>
      </c>
      <c r="H839" t="s">
        <v>111</v>
      </c>
      <c r="I839" t="s">
        <v>112</v>
      </c>
      <c r="J839" t="s">
        <v>112</v>
      </c>
      <c r="K839" t="s">
        <v>112</v>
      </c>
      <c r="L839" t="s">
        <v>150</v>
      </c>
      <c r="M839" t="s">
        <v>151</v>
      </c>
      <c r="N839" t="s">
        <v>112</v>
      </c>
      <c r="O839" t="s">
        <v>112</v>
      </c>
      <c r="P839">
        <v>1</v>
      </c>
      <c r="Q839">
        <v>0</v>
      </c>
      <c r="R839">
        <v>1</v>
      </c>
      <c r="S839">
        <v>33</v>
      </c>
      <c r="T839" t="s">
        <v>166</v>
      </c>
      <c r="U839" t="s">
        <v>152</v>
      </c>
      <c r="V839" t="s">
        <v>153</v>
      </c>
      <c r="W839" t="s">
        <v>154</v>
      </c>
      <c r="X839" t="s">
        <v>119</v>
      </c>
      <c r="Y839" t="s">
        <v>112</v>
      </c>
      <c r="Z839" t="s">
        <v>166</v>
      </c>
      <c r="AA839" t="s">
        <v>152</v>
      </c>
      <c r="AB839" t="s">
        <v>153</v>
      </c>
      <c r="AC839" t="s">
        <v>154</v>
      </c>
      <c r="AD839" t="s">
        <v>119</v>
      </c>
      <c r="AE839" t="s">
        <v>112</v>
      </c>
      <c r="AF839" t="s">
        <v>121</v>
      </c>
      <c r="AG839" t="s">
        <v>122</v>
      </c>
      <c r="AH839">
        <v>3856186.75</v>
      </c>
      <c r="AI839" t="s">
        <v>166</v>
      </c>
      <c r="AJ839" t="s">
        <v>152</v>
      </c>
      <c r="AK839" t="s">
        <v>153</v>
      </c>
      <c r="AL839" t="s">
        <v>154</v>
      </c>
      <c r="AM839" t="s">
        <v>119</v>
      </c>
      <c r="AN839" t="s">
        <v>112</v>
      </c>
      <c r="AO839" t="s">
        <v>121</v>
      </c>
      <c r="AP839" t="s">
        <v>122</v>
      </c>
      <c r="AQ839" t="s">
        <v>122</v>
      </c>
      <c r="AR839" t="s">
        <v>124</v>
      </c>
      <c r="AS839" t="s">
        <v>125</v>
      </c>
      <c r="AT839">
        <v>2</v>
      </c>
      <c r="AU839" t="s">
        <v>126</v>
      </c>
      <c r="AV839" t="s">
        <v>155</v>
      </c>
      <c r="AW839" t="s">
        <v>156</v>
      </c>
      <c r="AX839">
        <v>1</v>
      </c>
      <c r="AY839" t="s">
        <v>129</v>
      </c>
      <c r="AZ839">
        <v>45903.69</v>
      </c>
      <c r="BA839">
        <v>3522392</v>
      </c>
      <c r="BB839">
        <v>54787.29</v>
      </c>
      <c r="BC839">
        <v>76.734399999999994</v>
      </c>
      <c r="BD839" t="s">
        <v>130</v>
      </c>
      <c r="BE839" t="s">
        <v>112</v>
      </c>
      <c r="BF839" t="s">
        <v>157</v>
      </c>
      <c r="BG839" t="s">
        <v>133</v>
      </c>
      <c r="BH839" t="s">
        <v>134</v>
      </c>
      <c r="BI839" t="s">
        <v>112</v>
      </c>
      <c r="BJ839" t="s">
        <v>112</v>
      </c>
      <c r="BK839" t="s">
        <v>112</v>
      </c>
      <c r="BL839" t="s">
        <v>169</v>
      </c>
      <c r="BM839" t="s">
        <v>159</v>
      </c>
      <c r="BN839" t="s">
        <v>212</v>
      </c>
      <c r="BO839" t="s">
        <v>161</v>
      </c>
      <c r="BP839">
        <v>1</v>
      </c>
      <c r="BQ839" t="s">
        <v>462</v>
      </c>
      <c r="BR839" s="45">
        <f>ISNUMBER(SEARCH($BR$1,Таблица1[[#This Row],[31_1 Описание и характеристика товара]]))*1</f>
        <v>1</v>
      </c>
      <c r="BT839" t="s">
        <v>150</v>
      </c>
      <c r="BU839">
        <v>33</v>
      </c>
      <c r="BV839">
        <v>0</v>
      </c>
      <c r="BW839">
        <v>0</v>
      </c>
      <c r="BY839">
        <v>0</v>
      </c>
      <c r="CA839" t="s">
        <v>106</v>
      </c>
      <c r="CB839" t="s">
        <v>142</v>
      </c>
      <c r="CC839" t="s">
        <v>112</v>
      </c>
      <c r="CD839" t="s">
        <v>112</v>
      </c>
      <c r="CE839" t="s">
        <v>121</v>
      </c>
      <c r="CF839">
        <v>16918.599999999999</v>
      </c>
      <c r="CG839" t="s">
        <v>144</v>
      </c>
      <c r="CH839">
        <v>4000000</v>
      </c>
      <c r="CI839">
        <v>16882.599999999999</v>
      </c>
      <c r="CJ839">
        <v>0</v>
      </c>
      <c r="CK839" t="s">
        <v>112</v>
      </c>
      <c r="CL839" t="s">
        <v>112</v>
      </c>
      <c r="CM839">
        <v>45903.69</v>
      </c>
      <c r="CN839">
        <v>3522392</v>
      </c>
      <c r="CO839">
        <v>0</v>
      </c>
      <c r="CP839">
        <v>1</v>
      </c>
      <c r="CQ839">
        <v>3856186.75</v>
      </c>
      <c r="CR839">
        <v>54787.29</v>
      </c>
      <c r="CS839" t="s">
        <v>145</v>
      </c>
      <c r="CT839">
        <v>54787.413519999995</v>
      </c>
      <c r="CU839">
        <v>3.2452000000000001</v>
      </c>
      <c r="CV839">
        <v>45</v>
      </c>
      <c r="CW839" t="s">
        <v>171</v>
      </c>
      <c r="CX839" t="s">
        <v>463</v>
      </c>
      <c r="CY839">
        <v>549</v>
      </c>
    </row>
    <row r="840" spans="1:103" x14ac:dyDescent="0.25">
      <c r="A840" t="s">
        <v>106</v>
      </c>
      <c r="B840" s="38">
        <v>45086</v>
      </c>
      <c r="C840" s="43">
        <f>IF(YEAR(Таблица1[[#This Row],[Дата]])=2023,MONTH(Таблица1[[#This Row],[Дата]]),0)</f>
        <v>6</v>
      </c>
      <c r="D840" t="s">
        <v>467</v>
      </c>
      <c r="E840" t="s">
        <v>108</v>
      </c>
      <c r="F840" t="s">
        <v>468</v>
      </c>
      <c r="G840" t="s">
        <v>110</v>
      </c>
      <c r="H840" t="s">
        <v>111</v>
      </c>
      <c r="I840" t="s">
        <v>112</v>
      </c>
      <c r="J840" t="s">
        <v>112</v>
      </c>
      <c r="K840" t="s">
        <v>112</v>
      </c>
      <c r="L840" t="s">
        <v>469</v>
      </c>
      <c r="M840" t="s">
        <v>448</v>
      </c>
      <c r="N840" t="s">
        <v>112</v>
      </c>
      <c r="O840" t="s">
        <v>112</v>
      </c>
      <c r="P840">
        <v>1</v>
      </c>
      <c r="Q840">
        <v>0</v>
      </c>
      <c r="R840">
        <v>1</v>
      </c>
      <c r="S840">
        <v>33</v>
      </c>
      <c r="T840" t="s">
        <v>166</v>
      </c>
      <c r="U840" t="s">
        <v>152</v>
      </c>
      <c r="V840" t="s">
        <v>153</v>
      </c>
      <c r="W840" t="s">
        <v>154</v>
      </c>
      <c r="X840" t="s">
        <v>119</v>
      </c>
      <c r="Y840" t="s">
        <v>112</v>
      </c>
      <c r="Z840" t="s">
        <v>166</v>
      </c>
      <c r="AA840" t="s">
        <v>152</v>
      </c>
      <c r="AB840" t="s">
        <v>153</v>
      </c>
      <c r="AC840" t="s">
        <v>154</v>
      </c>
      <c r="AD840" t="s">
        <v>119</v>
      </c>
      <c r="AE840" t="s">
        <v>112</v>
      </c>
      <c r="AF840" t="s">
        <v>121</v>
      </c>
      <c r="AG840" t="s">
        <v>122</v>
      </c>
      <c r="AH840">
        <v>3270751.62</v>
      </c>
      <c r="AI840" t="s">
        <v>166</v>
      </c>
      <c r="AJ840" t="s">
        <v>152</v>
      </c>
      <c r="AK840" t="s">
        <v>153</v>
      </c>
      <c r="AL840" t="s">
        <v>154</v>
      </c>
      <c r="AM840" t="s">
        <v>119</v>
      </c>
      <c r="AN840" t="s">
        <v>112</v>
      </c>
      <c r="AO840" t="s">
        <v>121</v>
      </c>
      <c r="AP840" t="s">
        <v>122</v>
      </c>
      <c r="AQ840" t="s">
        <v>122</v>
      </c>
      <c r="AR840" t="s">
        <v>124</v>
      </c>
      <c r="AS840" t="s">
        <v>125</v>
      </c>
      <c r="AT840">
        <v>2</v>
      </c>
      <c r="AU840" t="s">
        <v>126</v>
      </c>
      <c r="AV840" t="s">
        <v>155</v>
      </c>
      <c r="AW840" t="s">
        <v>156</v>
      </c>
      <c r="AX840">
        <v>1</v>
      </c>
      <c r="AY840" t="s">
        <v>129</v>
      </c>
      <c r="AZ840">
        <v>38274.32</v>
      </c>
      <c r="BA840">
        <v>2936957</v>
      </c>
      <c r="BB840">
        <v>46469.64</v>
      </c>
      <c r="BC840">
        <v>76.734399999999994</v>
      </c>
      <c r="BD840" t="s">
        <v>130</v>
      </c>
      <c r="BE840" t="s">
        <v>112</v>
      </c>
      <c r="BF840" t="s">
        <v>157</v>
      </c>
      <c r="BG840" t="s">
        <v>133</v>
      </c>
      <c r="BH840" t="s">
        <v>134</v>
      </c>
      <c r="BI840" t="s">
        <v>112</v>
      </c>
      <c r="BJ840" t="s">
        <v>112</v>
      </c>
      <c r="BK840" t="s">
        <v>112</v>
      </c>
      <c r="BL840" t="s">
        <v>169</v>
      </c>
      <c r="BM840" t="s">
        <v>159</v>
      </c>
      <c r="BN840" t="s">
        <v>212</v>
      </c>
      <c r="BO840" t="s">
        <v>161</v>
      </c>
      <c r="BP840">
        <v>1</v>
      </c>
      <c r="BQ840" t="s">
        <v>470</v>
      </c>
      <c r="BR840" s="45">
        <f>ISNUMBER(SEARCH($BR$1,Таблица1[[#This Row],[31_1 Описание и характеристика товара]]))*1</f>
        <v>1</v>
      </c>
      <c r="BT840" t="s">
        <v>150</v>
      </c>
      <c r="BU840">
        <v>33</v>
      </c>
      <c r="BV840">
        <v>0</v>
      </c>
      <c r="BW840">
        <v>0</v>
      </c>
      <c r="BY840">
        <v>0</v>
      </c>
      <c r="CA840" t="s">
        <v>106</v>
      </c>
      <c r="CB840" t="s">
        <v>142</v>
      </c>
      <c r="CC840" t="s">
        <v>112</v>
      </c>
      <c r="CD840" t="s">
        <v>112</v>
      </c>
      <c r="CE840" t="s">
        <v>121</v>
      </c>
      <c r="CF840">
        <v>16395.240000000002</v>
      </c>
      <c r="CG840" t="s">
        <v>144</v>
      </c>
      <c r="CH840">
        <v>4000000</v>
      </c>
      <c r="CI840">
        <v>16290.84</v>
      </c>
      <c r="CJ840">
        <v>0</v>
      </c>
      <c r="CK840" t="s">
        <v>112</v>
      </c>
      <c r="CL840" t="s">
        <v>112</v>
      </c>
      <c r="CM840">
        <v>38274.32</v>
      </c>
      <c r="CN840">
        <v>2936957</v>
      </c>
      <c r="CO840">
        <v>0</v>
      </c>
      <c r="CP840">
        <v>1</v>
      </c>
      <c r="CQ840">
        <v>3270751.62</v>
      </c>
      <c r="CR840">
        <v>46469.64</v>
      </c>
      <c r="CS840" t="s">
        <v>145</v>
      </c>
      <c r="CT840">
        <v>46469.621100000004</v>
      </c>
      <c r="CU840">
        <v>2.8525</v>
      </c>
      <c r="CV840">
        <v>45</v>
      </c>
      <c r="CW840" t="s">
        <v>171</v>
      </c>
      <c r="CX840" t="s">
        <v>372</v>
      </c>
      <c r="CY840">
        <v>152</v>
      </c>
    </row>
    <row r="841" spans="1:103" x14ac:dyDescent="0.25">
      <c r="A841" t="s">
        <v>106</v>
      </c>
      <c r="B841" s="38">
        <v>44993</v>
      </c>
      <c r="C841" s="43">
        <f>IF(YEAR(Таблица1[[#This Row],[Дата]])=2023,MONTH(Таблица1[[#This Row],[Дата]]),0)</f>
        <v>3</v>
      </c>
      <c r="D841" t="s">
        <v>464</v>
      </c>
      <c r="E841" t="s">
        <v>108</v>
      </c>
      <c r="F841" t="s">
        <v>465</v>
      </c>
      <c r="G841" t="s">
        <v>110</v>
      </c>
      <c r="H841" t="s">
        <v>111</v>
      </c>
      <c r="I841" t="s">
        <v>112</v>
      </c>
      <c r="J841" t="s">
        <v>112</v>
      </c>
      <c r="K841" t="s">
        <v>112</v>
      </c>
      <c r="L841" t="s">
        <v>150</v>
      </c>
      <c r="M841" t="s">
        <v>151</v>
      </c>
      <c r="N841" t="s">
        <v>112</v>
      </c>
      <c r="O841" t="s">
        <v>112</v>
      </c>
      <c r="P841">
        <v>1</v>
      </c>
      <c r="Q841">
        <v>0</v>
      </c>
      <c r="R841">
        <v>1</v>
      </c>
      <c r="S841">
        <v>33</v>
      </c>
      <c r="T841" t="s">
        <v>166</v>
      </c>
      <c r="U841" t="s">
        <v>152</v>
      </c>
      <c r="V841" t="s">
        <v>153</v>
      </c>
      <c r="W841" t="s">
        <v>154</v>
      </c>
      <c r="X841" t="s">
        <v>119</v>
      </c>
      <c r="Y841" t="s">
        <v>112</v>
      </c>
      <c r="Z841" t="s">
        <v>166</v>
      </c>
      <c r="AA841" t="s">
        <v>152</v>
      </c>
      <c r="AB841" t="s">
        <v>153</v>
      </c>
      <c r="AC841" t="s">
        <v>154</v>
      </c>
      <c r="AD841" t="s">
        <v>119</v>
      </c>
      <c r="AE841" t="s">
        <v>112</v>
      </c>
      <c r="AF841" t="s">
        <v>121</v>
      </c>
      <c r="AG841" t="s">
        <v>122</v>
      </c>
      <c r="AH841">
        <v>3629012.26</v>
      </c>
      <c r="AI841" t="s">
        <v>166</v>
      </c>
      <c r="AJ841" t="s">
        <v>152</v>
      </c>
      <c r="AK841" t="s">
        <v>153</v>
      </c>
      <c r="AL841" t="s">
        <v>154</v>
      </c>
      <c r="AM841" t="s">
        <v>119</v>
      </c>
      <c r="AN841" t="s">
        <v>112</v>
      </c>
      <c r="AO841" t="s">
        <v>121</v>
      </c>
      <c r="AP841" t="s">
        <v>122</v>
      </c>
      <c r="AQ841" t="s">
        <v>122</v>
      </c>
      <c r="AR841" t="s">
        <v>124</v>
      </c>
      <c r="AS841" t="s">
        <v>125</v>
      </c>
      <c r="AT841">
        <v>2</v>
      </c>
      <c r="AU841" t="s">
        <v>126</v>
      </c>
      <c r="AV841" t="s">
        <v>155</v>
      </c>
      <c r="AW841" t="s">
        <v>156</v>
      </c>
      <c r="AX841">
        <v>1</v>
      </c>
      <c r="AY841" t="s">
        <v>129</v>
      </c>
      <c r="AZ841">
        <v>42943.16</v>
      </c>
      <c r="BA841">
        <v>3295218</v>
      </c>
      <c r="BB841">
        <v>51559.68</v>
      </c>
      <c r="BC841">
        <v>76.734399999999994</v>
      </c>
      <c r="BD841" t="s">
        <v>130</v>
      </c>
      <c r="BE841" t="s">
        <v>112</v>
      </c>
      <c r="BF841" t="s">
        <v>157</v>
      </c>
      <c r="BG841" t="s">
        <v>133</v>
      </c>
      <c r="BH841" t="s">
        <v>167</v>
      </c>
      <c r="BI841" t="s">
        <v>168</v>
      </c>
      <c r="BJ841" t="s">
        <v>112</v>
      </c>
      <c r="BK841" t="s">
        <v>112</v>
      </c>
      <c r="BL841" t="s">
        <v>169</v>
      </c>
      <c r="BM841" t="s">
        <v>159</v>
      </c>
      <c r="BN841" t="s">
        <v>160</v>
      </c>
      <c r="BO841" t="s">
        <v>161</v>
      </c>
      <c r="BP841">
        <v>1</v>
      </c>
      <c r="BQ841" t="s">
        <v>466</v>
      </c>
      <c r="BR841" s="45">
        <f>ISNUMBER(SEARCH($BR$1,Таблица1[[#This Row],[31_1 Описание и характеристика товара]]))*1</f>
        <v>1</v>
      </c>
      <c r="BT841" t="s">
        <v>150</v>
      </c>
      <c r="BU841">
        <v>33</v>
      </c>
      <c r="BV841">
        <v>0</v>
      </c>
      <c r="BW841">
        <v>0</v>
      </c>
      <c r="BY841">
        <v>0</v>
      </c>
      <c r="CA841" t="s">
        <v>106</v>
      </c>
      <c r="CB841" t="s">
        <v>142</v>
      </c>
      <c r="CC841" t="s">
        <v>112</v>
      </c>
      <c r="CD841" t="s">
        <v>112</v>
      </c>
      <c r="CE841" t="s">
        <v>121</v>
      </c>
      <c r="CF841">
        <v>16456.990000000002</v>
      </c>
      <c r="CG841" t="s">
        <v>144</v>
      </c>
      <c r="CH841">
        <v>4000000</v>
      </c>
      <c r="CI841">
        <v>16420.990000000002</v>
      </c>
      <c r="CJ841">
        <v>0</v>
      </c>
      <c r="CK841" t="s">
        <v>112</v>
      </c>
      <c r="CL841" t="s">
        <v>112</v>
      </c>
      <c r="CM841">
        <v>42943.16</v>
      </c>
      <c r="CN841">
        <v>3295218</v>
      </c>
      <c r="CO841">
        <v>0</v>
      </c>
      <c r="CP841">
        <v>1</v>
      </c>
      <c r="CQ841">
        <v>3629012.26</v>
      </c>
      <c r="CR841">
        <v>51559.68</v>
      </c>
      <c r="CS841" t="s">
        <v>145</v>
      </c>
      <c r="CT841">
        <v>51560.266501000006</v>
      </c>
      <c r="CU841">
        <v>3.1398999999999999</v>
      </c>
      <c r="CV841">
        <v>45</v>
      </c>
      <c r="CW841" t="s">
        <v>171</v>
      </c>
      <c r="CX841" t="s">
        <v>369</v>
      </c>
      <c r="CY841">
        <v>278</v>
      </c>
    </row>
    <row r="842" spans="1:103" x14ac:dyDescent="0.25">
      <c r="A842" t="s">
        <v>106</v>
      </c>
      <c r="B842" s="38">
        <v>44768</v>
      </c>
      <c r="C842" s="43">
        <f>IF(YEAR(Таблица1[[#This Row],[Дата]])=2023,MONTH(Таблица1[[#This Row],[Дата]]),0)</f>
        <v>0</v>
      </c>
      <c r="D842" t="s">
        <v>310</v>
      </c>
      <c r="E842" t="s">
        <v>108</v>
      </c>
      <c r="F842" t="s">
        <v>311</v>
      </c>
      <c r="G842" t="s">
        <v>110</v>
      </c>
      <c r="H842" t="s">
        <v>111</v>
      </c>
      <c r="I842" t="s">
        <v>112</v>
      </c>
      <c r="J842" t="s">
        <v>112</v>
      </c>
      <c r="K842" t="s">
        <v>112</v>
      </c>
      <c r="L842" t="s">
        <v>175</v>
      </c>
      <c r="M842" t="s">
        <v>176</v>
      </c>
      <c r="N842" t="s">
        <v>112</v>
      </c>
      <c r="O842" t="s">
        <v>112</v>
      </c>
      <c r="P842">
        <v>1</v>
      </c>
      <c r="Q842">
        <v>0</v>
      </c>
      <c r="R842">
        <v>1</v>
      </c>
      <c r="S842">
        <v>33</v>
      </c>
      <c r="T842" t="s">
        <v>166</v>
      </c>
      <c r="U842" t="s">
        <v>152</v>
      </c>
      <c r="V842" t="s">
        <v>153</v>
      </c>
      <c r="W842" t="s">
        <v>177</v>
      </c>
      <c r="X842" t="s">
        <v>119</v>
      </c>
      <c r="Y842" t="s">
        <v>112</v>
      </c>
      <c r="Z842" t="s">
        <v>166</v>
      </c>
      <c r="AA842" t="s">
        <v>152</v>
      </c>
      <c r="AB842" t="s">
        <v>153</v>
      </c>
      <c r="AC842" t="s">
        <v>177</v>
      </c>
      <c r="AD842" t="s">
        <v>119</v>
      </c>
      <c r="AE842" t="s">
        <v>112</v>
      </c>
      <c r="AF842" t="s">
        <v>121</v>
      </c>
      <c r="AG842" t="s">
        <v>122</v>
      </c>
      <c r="AH842">
        <v>3799559.88</v>
      </c>
      <c r="AI842" t="s">
        <v>166</v>
      </c>
      <c r="AJ842" t="s">
        <v>152</v>
      </c>
      <c r="AK842" t="s">
        <v>153</v>
      </c>
      <c r="AL842" t="s">
        <v>177</v>
      </c>
      <c r="AM842" t="s">
        <v>119</v>
      </c>
      <c r="AN842" t="s">
        <v>112</v>
      </c>
      <c r="AO842" t="s">
        <v>121</v>
      </c>
      <c r="AP842" t="s">
        <v>122</v>
      </c>
      <c r="AQ842" t="s">
        <v>122</v>
      </c>
      <c r="AR842" t="s">
        <v>124</v>
      </c>
      <c r="AS842" t="s">
        <v>125</v>
      </c>
      <c r="AT842">
        <v>2</v>
      </c>
      <c r="AU842" t="s">
        <v>106</v>
      </c>
      <c r="AV842" t="s">
        <v>155</v>
      </c>
      <c r="AW842" t="s">
        <v>156</v>
      </c>
      <c r="AX842">
        <v>1</v>
      </c>
      <c r="AY842" t="s">
        <v>129</v>
      </c>
      <c r="AZ842">
        <v>46878.84</v>
      </c>
      <c r="BA842">
        <v>3546633</v>
      </c>
      <c r="BB842">
        <v>54018.98</v>
      </c>
      <c r="BC842">
        <v>75.655299999999997</v>
      </c>
      <c r="BD842" t="s">
        <v>130</v>
      </c>
      <c r="BE842" t="s">
        <v>112</v>
      </c>
      <c r="BF842" t="s">
        <v>157</v>
      </c>
      <c r="BG842" t="s">
        <v>133</v>
      </c>
      <c r="BH842" t="s">
        <v>134</v>
      </c>
      <c r="BI842" t="s">
        <v>112</v>
      </c>
      <c r="BJ842" t="s">
        <v>178</v>
      </c>
      <c r="BK842" t="s">
        <v>112</v>
      </c>
      <c r="BL842" t="s">
        <v>125</v>
      </c>
      <c r="BM842" t="s">
        <v>179</v>
      </c>
      <c r="BN842" t="s">
        <v>180</v>
      </c>
      <c r="BO842" t="s">
        <v>181</v>
      </c>
      <c r="BP842">
        <v>1</v>
      </c>
      <c r="BQ842" t="s">
        <v>312</v>
      </c>
      <c r="BR842" s="45">
        <f>ISNUMBER(SEARCH($BR$1,Таблица1[[#This Row],[31_1 Описание и характеристика товара]]))*1</f>
        <v>1</v>
      </c>
      <c r="BT842" t="s">
        <v>150</v>
      </c>
      <c r="BU842">
        <v>33</v>
      </c>
      <c r="BV842">
        <v>1</v>
      </c>
      <c r="BW842">
        <v>0</v>
      </c>
      <c r="BY842">
        <v>0</v>
      </c>
      <c r="CA842" t="s">
        <v>106</v>
      </c>
      <c r="CB842" t="s">
        <v>142</v>
      </c>
      <c r="CC842" t="s">
        <v>112</v>
      </c>
      <c r="CD842" t="s">
        <v>112</v>
      </c>
      <c r="CE842" t="s">
        <v>121</v>
      </c>
      <c r="CF842">
        <v>14651.32</v>
      </c>
      <c r="CG842" t="s">
        <v>144</v>
      </c>
      <c r="CH842">
        <v>4000000</v>
      </c>
      <c r="CI842">
        <v>14463.52</v>
      </c>
      <c r="CJ842">
        <v>0</v>
      </c>
      <c r="CK842" t="s">
        <v>112</v>
      </c>
      <c r="CL842" t="s">
        <v>112</v>
      </c>
      <c r="CM842">
        <v>46878.84</v>
      </c>
      <c r="CN842">
        <v>3546633</v>
      </c>
      <c r="CO842">
        <v>0</v>
      </c>
      <c r="CP842">
        <v>1</v>
      </c>
      <c r="CQ842">
        <v>3799559.88</v>
      </c>
      <c r="CR842">
        <v>54018.98</v>
      </c>
      <c r="CS842" t="s">
        <v>145</v>
      </c>
      <c r="CT842">
        <v>54018.354496</v>
      </c>
      <c r="CU842">
        <v>3.7347999999999999</v>
      </c>
      <c r="CV842">
        <v>941</v>
      </c>
      <c r="CW842" t="s">
        <v>183</v>
      </c>
      <c r="CX842" t="s">
        <v>147</v>
      </c>
      <c r="CY842">
        <v>159</v>
      </c>
    </row>
    <row r="843" spans="1:103" x14ac:dyDescent="0.25">
      <c r="A843" t="s">
        <v>106</v>
      </c>
      <c r="B843" s="38">
        <v>44948</v>
      </c>
      <c r="C843" s="43">
        <f>IF(YEAR(Таблица1[[#This Row],[Дата]])=2023,MONTH(Таблица1[[#This Row],[Дата]]),0)</f>
        <v>1</v>
      </c>
      <c r="D843" t="s">
        <v>923</v>
      </c>
      <c r="E843" t="s">
        <v>108</v>
      </c>
      <c r="F843" t="s">
        <v>924</v>
      </c>
      <c r="G843" t="s">
        <v>110</v>
      </c>
      <c r="H843" t="s">
        <v>111</v>
      </c>
      <c r="I843" t="s">
        <v>112</v>
      </c>
      <c r="J843" t="s">
        <v>112</v>
      </c>
      <c r="K843" t="s">
        <v>112</v>
      </c>
      <c r="L843" t="s">
        <v>150</v>
      </c>
      <c r="M843" t="s">
        <v>151</v>
      </c>
      <c r="N843" t="s">
        <v>112</v>
      </c>
      <c r="O843" t="s">
        <v>112</v>
      </c>
      <c r="P843">
        <v>1</v>
      </c>
      <c r="R843">
        <v>1</v>
      </c>
      <c r="S843">
        <v>33</v>
      </c>
      <c r="T843" t="s">
        <v>112</v>
      </c>
      <c r="U843" t="s">
        <v>152</v>
      </c>
      <c r="V843" t="s">
        <v>153</v>
      </c>
      <c r="W843" t="s">
        <v>154</v>
      </c>
      <c r="X843" t="s">
        <v>119</v>
      </c>
      <c r="Y843" t="s">
        <v>112</v>
      </c>
      <c r="Z843" t="s">
        <v>112</v>
      </c>
      <c r="AA843" t="s">
        <v>152</v>
      </c>
      <c r="AB843" t="s">
        <v>153</v>
      </c>
      <c r="AC843" t="s">
        <v>154</v>
      </c>
      <c r="AD843" t="s">
        <v>119</v>
      </c>
      <c r="AE843" t="s">
        <v>112</v>
      </c>
      <c r="AF843" t="s">
        <v>121</v>
      </c>
      <c r="AG843" t="s">
        <v>122</v>
      </c>
      <c r="AH843">
        <v>4322507.91</v>
      </c>
      <c r="AI843" t="s">
        <v>112</v>
      </c>
      <c r="AJ843" t="s">
        <v>152</v>
      </c>
      <c r="AK843" t="s">
        <v>153</v>
      </c>
      <c r="AL843" t="s">
        <v>154</v>
      </c>
      <c r="AM843" t="s">
        <v>119</v>
      </c>
      <c r="AN843" t="s">
        <v>112</v>
      </c>
      <c r="AO843" t="s">
        <v>121</v>
      </c>
      <c r="AP843" t="s">
        <v>122</v>
      </c>
      <c r="AQ843" t="s">
        <v>122</v>
      </c>
      <c r="AR843" t="s">
        <v>124</v>
      </c>
      <c r="AS843" t="s">
        <v>125</v>
      </c>
      <c r="AT843">
        <v>2</v>
      </c>
      <c r="AU843" t="s">
        <v>126</v>
      </c>
      <c r="AV843" t="s">
        <v>155</v>
      </c>
      <c r="AW843" t="s">
        <v>156</v>
      </c>
      <c r="AY843" t="s">
        <v>129</v>
      </c>
      <c r="AZ843">
        <v>39329.14</v>
      </c>
      <c r="BC843">
        <v>98.576800000000006</v>
      </c>
      <c r="BD843" t="s">
        <v>112</v>
      </c>
      <c r="BE843" t="s">
        <v>112</v>
      </c>
      <c r="BF843" t="s">
        <v>157</v>
      </c>
      <c r="BG843" t="s">
        <v>133</v>
      </c>
      <c r="BH843" t="s">
        <v>167</v>
      </c>
      <c r="BI843" t="s">
        <v>112</v>
      </c>
      <c r="BJ843" t="s">
        <v>112</v>
      </c>
      <c r="BK843" t="s">
        <v>112</v>
      </c>
      <c r="BL843" t="s">
        <v>158</v>
      </c>
      <c r="BM843" t="s">
        <v>159</v>
      </c>
      <c r="BN843" t="s">
        <v>160</v>
      </c>
      <c r="BO843" t="s">
        <v>161</v>
      </c>
      <c r="BQ843" t="s">
        <v>205</v>
      </c>
      <c r="BR843" s="45">
        <f>ISNUMBER(SEARCH($BR$1,Таблица1[[#This Row],[31_1 Описание и характеристика товара]]))*1</f>
        <v>1</v>
      </c>
      <c r="BT843" t="s">
        <v>150</v>
      </c>
      <c r="BU843">
        <v>33</v>
      </c>
      <c r="BV843">
        <v>0</v>
      </c>
      <c r="BW843">
        <v>0</v>
      </c>
      <c r="BY843">
        <v>0</v>
      </c>
      <c r="CA843" t="s">
        <v>106</v>
      </c>
      <c r="CB843" t="s">
        <v>142</v>
      </c>
      <c r="CC843" t="s">
        <v>112</v>
      </c>
      <c r="CD843" t="s">
        <v>112</v>
      </c>
      <c r="CE843" t="s">
        <v>121</v>
      </c>
      <c r="CF843">
        <v>16717.36</v>
      </c>
      <c r="CG843" t="s">
        <v>144</v>
      </c>
      <c r="CH843">
        <v>4000000</v>
      </c>
      <c r="CI843">
        <v>16717.36</v>
      </c>
      <c r="CJ843">
        <v>0</v>
      </c>
      <c r="CK843" t="s">
        <v>112</v>
      </c>
      <c r="CL843" t="s">
        <v>112</v>
      </c>
      <c r="CM843">
        <v>39329.14</v>
      </c>
      <c r="CO843">
        <v>0</v>
      </c>
      <c r="CP843">
        <v>1</v>
      </c>
      <c r="CQ843">
        <v>4322507.91</v>
      </c>
      <c r="CR843">
        <v>47671.49</v>
      </c>
      <c r="CS843" t="s">
        <v>145</v>
      </c>
      <c r="CT843">
        <v>47644.476000000002</v>
      </c>
      <c r="CU843">
        <v>2.85</v>
      </c>
      <c r="CV843">
        <v>45</v>
      </c>
      <c r="CX843" t="s">
        <v>729</v>
      </c>
      <c r="CY843">
        <v>301</v>
      </c>
    </row>
    <row r="844" spans="1:103" x14ac:dyDescent="0.25">
      <c r="A844" t="s">
        <v>106</v>
      </c>
      <c r="B844" s="38">
        <v>44872</v>
      </c>
      <c r="C844" s="43">
        <f>IF(YEAR(Таблица1[[#This Row],[Дата]])=2023,MONTH(Таблица1[[#This Row],[Дата]]),0)</f>
        <v>0</v>
      </c>
      <c r="D844" t="s">
        <v>2067</v>
      </c>
      <c r="E844" t="s">
        <v>108</v>
      </c>
      <c r="F844" t="s">
        <v>2068</v>
      </c>
      <c r="G844" t="s">
        <v>110</v>
      </c>
      <c r="H844" t="s">
        <v>111</v>
      </c>
      <c r="I844" t="s">
        <v>112</v>
      </c>
      <c r="J844" t="s">
        <v>112</v>
      </c>
      <c r="K844" t="s">
        <v>112</v>
      </c>
      <c r="L844" t="s">
        <v>150</v>
      </c>
      <c r="M844" t="s">
        <v>151</v>
      </c>
      <c r="N844" t="s">
        <v>112</v>
      </c>
      <c r="O844" t="s">
        <v>112</v>
      </c>
      <c r="P844">
        <v>1</v>
      </c>
      <c r="R844">
        <v>1</v>
      </c>
      <c r="S844">
        <v>33</v>
      </c>
      <c r="T844" t="s">
        <v>112</v>
      </c>
      <c r="U844" t="s">
        <v>152</v>
      </c>
      <c r="V844" t="s">
        <v>153</v>
      </c>
      <c r="W844" t="s">
        <v>154</v>
      </c>
      <c r="X844" t="s">
        <v>119</v>
      </c>
      <c r="Y844" t="s">
        <v>112</v>
      </c>
      <c r="Z844" t="s">
        <v>112</v>
      </c>
      <c r="AA844" t="s">
        <v>152</v>
      </c>
      <c r="AB844" t="s">
        <v>153</v>
      </c>
      <c r="AC844" t="s">
        <v>154</v>
      </c>
      <c r="AD844" t="s">
        <v>119</v>
      </c>
      <c r="AE844" t="s">
        <v>112</v>
      </c>
      <c r="AF844" t="s">
        <v>121</v>
      </c>
      <c r="AG844" t="s">
        <v>122</v>
      </c>
      <c r="AH844">
        <v>4576141.5999999996</v>
      </c>
      <c r="AI844" t="s">
        <v>112</v>
      </c>
      <c r="AJ844" t="s">
        <v>152</v>
      </c>
      <c r="AK844" t="s">
        <v>153</v>
      </c>
      <c r="AL844" t="s">
        <v>154</v>
      </c>
      <c r="AM844" t="s">
        <v>119</v>
      </c>
      <c r="AN844" t="s">
        <v>112</v>
      </c>
      <c r="AO844" t="s">
        <v>121</v>
      </c>
      <c r="AP844" t="s">
        <v>122</v>
      </c>
      <c r="AQ844" t="s">
        <v>122</v>
      </c>
      <c r="AR844" t="s">
        <v>124</v>
      </c>
      <c r="AS844" t="s">
        <v>125</v>
      </c>
      <c r="AT844">
        <v>2</v>
      </c>
      <c r="AU844" t="s">
        <v>126</v>
      </c>
      <c r="AV844" t="s">
        <v>155</v>
      </c>
      <c r="AW844" t="s">
        <v>156</v>
      </c>
      <c r="AY844" t="s">
        <v>129</v>
      </c>
      <c r="AZ844">
        <v>39883.79</v>
      </c>
      <c r="BC844">
        <v>104.30240000000001</v>
      </c>
      <c r="BD844" t="s">
        <v>112</v>
      </c>
      <c r="BE844" t="s">
        <v>112</v>
      </c>
      <c r="BF844" t="s">
        <v>157</v>
      </c>
      <c r="BG844" t="s">
        <v>133</v>
      </c>
      <c r="BH844" t="s">
        <v>134</v>
      </c>
      <c r="BI844" t="s">
        <v>112</v>
      </c>
      <c r="BJ844" t="s">
        <v>112</v>
      </c>
      <c r="BK844" t="s">
        <v>112</v>
      </c>
      <c r="BL844" t="s">
        <v>158</v>
      </c>
      <c r="BM844" t="s">
        <v>159</v>
      </c>
      <c r="BN844" t="s">
        <v>212</v>
      </c>
      <c r="BO844" t="s">
        <v>161</v>
      </c>
      <c r="BQ844" t="s">
        <v>162</v>
      </c>
      <c r="BR844" s="45">
        <f>ISNUMBER(SEARCH($BR$1,Таблица1[[#This Row],[31_1 Описание и характеристика товара]]))*1</f>
        <v>1</v>
      </c>
      <c r="BT844" t="s">
        <v>150</v>
      </c>
      <c r="BU844">
        <v>33</v>
      </c>
      <c r="BV844">
        <v>0</v>
      </c>
      <c r="BW844">
        <v>0</v>
      </c>
      <c r="BY844">
        <v>0</v>
      </c>
      <c r="CA844" t="s">
        <v>106</v>
      </c>
      <c r="CB844" t="s">
        <v>142</v>
      </c>
      <c r="CC844" t="s">
        <v>112</v>
      </c>
      <c r="CD844" t="s">
        <v>112</v>
      </c>
      <c r="CE844" t="s">
        <v>121</v>
      </c>
      <c r="CF844">
        <v>15279.23</v>
      </c>
      <c r="CG844" t="s">
        <v>144</v>
      </c>
      <c r="CH844">
        <v>4000000</v>
      </c>
      <c r="CI844">
        <v>15075.84</v>
      </c>
      <c r="CJ844">
        <v>0</v>
      </c>
      <c r="CK844" t="s">
        <v>112</v>
      </c>
      <c r="CL844" t="s">
        <v>112</v>
      </c>
      <c r="CM844">
        <v>39883.79</v>
      </c>
      <c r="CO844">
        <v>0</v>
      </c>
      <c r="CP844">
        <v>1</v>
      </c>
      <c r="CQ844">
        <v>4576141.5999999996</v>
      </c>
      <c r="CR844">
        <v>46011.95</v>
      </c>
      <c r="CS844" t="s">
        <v>145</v>
      </c>
      <c r="CT844">
        <v>45981.311999999998</v>
      </c>
      <c r="CU844">
        <v>3.05</v>
      </c>
      <c r="CV844">
        <v>45</v>
      </c>
      <c r="CX844" t="s">
        <v>1140</v>
      </c>
      <c r="CY844">
        <v>337</v>
      </c>
    </row>
    <row r="845" spans="1:103" x14ac:dyDescent="0.25">
      <c r="A845" t="s">
        <v>106</v>
      </c>
      <c r="B845" s="38">
        <v>45080</v>
      </c>
      <c r="C845" s="43">
        <f>IF(YEAR(Таблица1[[#This Row],[Дата]])=2023,MONTH(Таблица1[[#This Row],[Дата]]),0)</f>
        <v>6</v>
      </c>
      <c r="D845" t="s">
        <v>2087</v>
      </c>
      <c r="E845" t="s">
        <v>108</v>
      </c>
      <c r="F845" t="s">
        <v>2088</v>
      </c>
      <c r="G845" t="s">
        <v>110</v>
      </c>
      <c r="H845" t="s">
        <v>111</v>
      </c>
      <c r="I845" t="s">
        <v>112</v>
      </c>
      <c r="J845" t="s">
        <v>112</v>
      </c>
      <c r="K845" t="s">
        <v>112</v>
      </c>
      <c r="L845" t="s">
        <v>150</v>
      </c>
      <c r="M845" t="s">
        <v>151</v>
      </c>
      <c r="N845" t="s">
        <v>112</v>
      </c>
      <c r="O845" t="s">
        <v>112</v>
      </c>
      <c r="P845">
        <v>1</v>
      </c>
      <c r="R845">
        <v>1</v>
      </c>
      <c r="S845">
        <v>33</v>
      </c>
      <c r="T845" t="s">
        <v>112</v>
      </c>
      <c r="U845" t="s">
        <v>152</v>
      </c>
      <c r="V845" t="s">
        <v>153</v>
      </c>
      <c r="W845" t="s">
        <v>154</v>
      </c>
      <c r="X845" t="s">
        <v>119</v>
      </c>
      <c r="Y845" t="s">
        <v>112</v>
      </c>
      <c r="Z845" t="s">
        <v>112</v>
      </c>
      <c r="AA845" t="s">
        <v>152</v>
      </c>
      <c r="AB845" t="s">
        <v>153</v>
      </c>
      <c r="AC845" t="s">
        <v>154</v>
      </c>
      <c r="AD845" t="s">
        <v>119</v>
      </c>
      <c r="AE845" t="s">
        <v>112</v>
      </c>
      <c r="AF845" t="s">
        <v>121</v>
      </c>
      <c r="AG845" t="s">
        <v>122</v>
      </c>
      <c r="AH845">
        <v>4421344.32</v>
      </c>
      <c r="AI845" t="s">
        <v>112</v>
      </c>
      <c r="AJ845" t="s">
        <v>152</v>
      </c>
      <c r="AK845" t="s">
        <v>153</v>
      </c>
      <c r="AL845" t="s">
        <v>154</v>
      </c>
      <c r="AM845" t="s">
        <v>119</v>
      </c>
      <c r="AN845" t="s">
        <v>112</v>
      </c>
      <c r="AO845" t="s">
        <v>121</v>
      </c>
      <c r="AP845" t="s">
        <v>122</v>
      </c>
      <c r="AQ845" t="s">
        <v>122</v>
      </c>
      <c r="AR845" t="s">
        <v>124</v>
      </c>
      <c r="AS845" t="s">
        <v>125</v>
      </c>
      <c r="AT845">
        <v>2</v>
      </c>
      <c r="AU845" t="s">
        <v>126</v>
      </c>
      <c r="AV845" t="s">
        <v>155</v>
      </c>
      <c r="AW845" t="s">
        <v>156</v>
      </c>
      <c r="AY845" t="s">
        <v>129</v>
      </c>
      <c r="AZ845">
        <v>38399.67</v>
      </c>
      <c r="BC845">
        <v>104.30240000000001</v>
      </c>
      <c r="BD845" t="s">
        <v>112</v>
      </c>
      <c r="BE845" t="s">
        <v>112</v>
      </c>
      <c r="BF845" t="s">
        <v>157</v>
      </c>
      <c r="BG845" t="s">
        <v>133</v>
      </c>
      <c r="BH845" t="s">
        <v>134</v>
      </c>
      <c r="BI845" t="s">
        <v>112</v>
      </c>
      <c r="BJ845" t="s">
        <v>112</v>
      </c>
      <c r="BK845" t="s">
        <v>112</v>
      </c>
      <c r="BL845" t="s">
        <v>158</v>
      </c>
      <c r="BM845" t="s">
        <v>159</v>
      </c>
      <c r="BN845" t="s">
        <v>212</v>
      </c>
      <c r="BO845" t="s">
        <v>161</v>
      </c>
      <c r="BQ845" t="s">
        <v>281</v>
      </c>
      <c r="BR845" s="45">
        <f>ISNUMBER(SEARCH($BR$1,Таблица1[[#This Row],[31_1 Описание и характеристика товара]]))*1</f>
        <v>1</v>
      </c>
      <c r="BT845" t="s">
        <v>150</v>
      </c>
      <c r="BU845">
        <v>33</v>
      </c>
      <c r="BV845">
        <v>0</v>
      </c>
      <c r="BW845">
        <v>0</v>
      </c>
      <c r="BY845">
        <v>0</v>
      </c>
      <c r="CA845" t="s">
        <v>106</v>
      </c>
      <c r="CB845" t="s">
        <v>142</v>
      </c>
      <c r="CC845" t="s">
        <v>112</v>
      </c>
      <c r="CD845" t="s">
        <v>112</v>
      </c>
      <c r="CE845" t="s">
        <v>121</v>
      </c>
      <c r="CF845">
        <v>14533.5</v>
      </c>
      <c r="CG845" t="s">
        <v>144</v>
      </c>
      <c r="CH845">
        <v>4000000</v>
      </c>
      <c r="CI845">
        <v>14068.5</v>
      </c>
      <c r="CJ845">
        <v>0</v>
      </c>
      <c r="CK845" t="s">
        <v>112</v>
      </c>
      <c r="CL845" t="s">
        <v>112</v>
      </c>
      <c r="CM845">
        <v>38399.67</v>
      </c>
      <c r="CO845">
        <v>0</v>
      </c>
      <c r="CP845">
        <v>1</v>
      </c>
      <c r="CQ845">
        <v>4421344.32</v>
      </c>
      <c r="CR845">
        <v>44455.5</v>
      </c>
      <c r="CS845" t="s">
        <v>145</v>
      </c>
      <c r="CT845">
        <v>44456.46</v>
      </c>
      <c r="CU845">
        <v>3.16</v>
      </c>
      <c r="CV845">
        <v>45</v>
      </c>
      <c r="CX845" t="s">
        <v>233</v>
      </c>
      <c r="CY845">
        <v>150</v>
      </c>
    </row>
    <row r="846" spans="1:103" x14ac:dyDescent="0.25">
      <c r="A846" t="s">
        <v>106</v>
      </c>
      <c r="B846" s="38">
        <v>45157</v>
      </c>
      <c r="C846" s="43">
        <f>IF(YEAR(Таблица1[[#This Row],[Дата]])=2023,MONTH(Таблица1[[#This Row],[Дата]]),0)</f>
        <v>8</v>
      </c>
      <c r="D846" t="s">
        <v>2087</v>
      </c>
      <c r="E846" t="s">
        <v>108</v>
      </c>
      <c r="F846" t="s">
        <v>2088</v>
      </c>
      <c r="G846" t="s">
        <v>110</v>
      </c>
      <c r="H846" t="s">
        <v>111</v>
      </c>
      <c r="I846" t="s">
        <v>112</v>
      </c>
      <c r="J846" t="s">
        <v>112</v>
      </c>
      <c r="K846" t="s">
        <v>112</v>
      </c>
      <c r="L846" t="s">
        <v>150</v>
      </c>
      <c r="M846" t="s">
        <v>151</v>
      </c>
      <c r="N846" t="s">
        <v>112</v>
      </c>
      <c r="O846" t="s">
        <v>112</v>
      </c>
      <c r="P846">
        <v>1</v>
      </c>
      <c r="R846">
        <v>1</v>
      </c>
      <c r="S846">
        <v>33</v>
      </c>
      <c r="T846" t="s">
        <v>112</v>
      </c>
      <c r="U846" t="s">
        <v>152</v>
      </c>
      <c r="V846" t="s">
        <v>153</v>
      </c>
      <c r="W846" t="s">
        <v>154</v>
      </c>
      <c r="X846" t="s">
        <v>119</v>
      </c>
      <c r="Y846" t="s">
        <v>112</v>
      </c>
      <c r="Z846" t="s">
        <v>112</v>
      </c>
      <c r="AA846" t="s">
        <v>152</v>
      </c>
      <c r="AB846" t="s">
        <v>153</v>
      </c>
      <c r="AC846" t="s">
        <v>154</v>
      </c>
      <c r="AD846" t="s">
        <v>119</v>
      </c>
      <c r="AE846" t="s">
        <v>112</v>
      </c>
      <c r="AF846" t="s">
        <v>121</v>
      </c>
      <c r="AG846" t="s">
        <v>122</v>
      </c>
      <c r="AH846">
        <v>4421344.32</v>
      </c>
      <c r="AI846" t="s">
        <v>112</v>
      </c>
      <c r="AJ846" t="s">
        <v>152</v>
      </c>
      <c r="AK846" t="s">
        <v>153</v>
      </c>
      <c r="AL846" t="s">
        <v>154</v>
      </c>
      <c r="AM846" t="s">
        <v>119</v>
      </c>
      <c r="AN846" t="s">
        <v>112</v>
      </c>
      <c r="AO846" t="s">
        <v>121</v>
      </c>
      <c r="AP846" t="s">
        <v>122</v>
      </c>
      <c r="AQ846" t="s">
        <v>122</v>
      </c>
      <c r="AR846" t="s">
        <v>124</v>
      </c>
      <c r="AS846" t="s">
        <v>125</v>
      </c>
      <c r="AT846">
        <v>2</v>
      </c>
      <c r="AU846" t="s">
        <v>126</v>
      </c>
      <c r="AV846" t="s">
        <v>155</v>
      </c>
      <c r="AW846" t="s">
        <v>156</v>
      </c>
      <c r="AY846" t="s">
        <v>129</v>
      </c>
      <c r="AZ846">
        <v>38399.67</v>
      </c>
      <c r="BC846">
        <v>104.30240000000001</v>
      </c>
      <c r="BD846" t="s">
        <v>112</v>
      </c>
      <c r="BE846" t="s">
        <v>112</v>
      </c>
      <c r="BF846" t="s">
        <v>157</v>
      </c>
      <c r="BG846" t="s">
        <v>133</v>
      </c>
      <c r="BH846" t="s">
        <v>134</v>
      </c>
      <c r="BI846" t="s">
        <v>112</v>
      </c>
      <c r="BJ846" t="s">
        <v>112</v>
      </c>
      <c r="BK846" t="s">
        <v>112</v>
      </c>
      <c r="BL846" t="s">
        <v>158</v>
      </c>
      <c r="BM846" t="s">
        <v>159</v>
      </c>
      <c r="BN846" t="s">
        <v>212</v>
      </c>
      <c r="BO846" t="s">
        <v>161</v>
      </c>
      <c r="BQ846" t="s">
        <v>281</v>
      </c>
      <c r="BR846" s="45">
        <f>ISNUMBER(SEARCH($BR$1,Таблица1[[#This Row],[31_1 Описание и характеристика товара]]))*1</f>
        <v>1</v>
      </c>
      <c r="BT846" t="s">
        <v>150</v>
      </c>
      <c r="BU846">
        <v>33</v>
      </c>
      <c r="BV846">
        <v>0</v>
      </c>
      <c r="BW846">
        <v>0</v>
      </c>
      <c r="BY846">
        <v>0</v>
      </c>
      <c r="CA846" t="s">
        <v>106</v>
      </c>
      <c r="CB846" t="s">
        <v>142</v>
      </c>
      <c r="CC846" t="s">
        <v>112</v>
      </c>
      <c r="CD846" t="s">
        <v>112</v>
      </c>
      <c r="CE846" t="s">
        <v>121</v>
      </c>
      <c r="CF846">
        <v>14533.5</v>
      </c>
      <c r="CG846" t="s">
        <v>144</v>
      </c>
      <c r="CH846">
        <v>4000000</v>
      </c>
      <c r="CI846">
        <v>14068.5</v>
      </c>
      <c r="CJ846">
        <v>0</v>
      </c>
      <c r="CK846" t="s">
        <v>112</v>
      </c>
      <c r="CL846" t="s">
        <v>112</v>
      </c>
      <c r="CM846">
        <v>38399.67</v>
      </c>
      <c r="CO846">
        <v>0</v>
      </c>
      <c r="CP846">
        <v>1</v>
      </c>
      <c r="CQ846">
        <v>4421344.32</v>
      </c>
      <c r="CR846">
        <v>44455.5</v>
      </c>
      <c r="CS846" t="s">
        <v>145</v>
      </c>
      <c r="CT846">
        <v>44456.46</v>
      </c>
      <c r="CU846">
        <v>3.16</v>
      </c>
      <c r="CV846">
        <v>45</v>
      </c>
      <c r="CX846" t="s">
        <v>233</v>
      </c>
      <c r="CY846">
        <v>150</v>
      </c>
    </row>
    <row r="847" spans="1:103" x14ac:dyDescent="0.25">
      <c r="A847" t="s">
        <v>106</v>
      </c>
      <c r="B847" s="38">
        <v>45101</v>
      </c>
      <c r="C847" s="43">
        <f>IF(YEAR(Таблица1[[#This Row],[Дата]])=2023,MONTH(Таблица1[[#This Row],[Дата]]),0)</f>
        <v>6</v>
      </c>
      <c r="D847" t="s">
        <v>2108</v>
      </c>
      <c r="E847" t="s">
        <v>108</v>
      </c>
      <c r="F847" t="s">
        <v>2109</v>
      </c>
      <c r="G847" t="s">
        <v>110</v>
      </c>
      <c r="H847" t="s">
        <v>111</v>
      </c>
      <c r="I847" t="s">
        <v>112</v>
      </c>
      <c r="J847" t="s">
        <v>112</v>
      </c>
      <c r="K847" t="s">
        <v>112</v>
      </c>
      <c r="L847" t="s">
        <v>150</v>
      </c>
      <c r="M847" t="s">
        <v>151</v>
      </c>
      <c r="N847" t="s">
        <v>112</v>
      </c>
      <c r="O847" t="s">
        <v>112</v>
      </c>
      <c r="P847">
        <v>1</v>
      </c>
      <c r="R847">
        <v>1</v>
      </c>
      <c r="S847">
        <v>33</v>
      </c>
      <c r="T847" t="s">
        <v>112</v>
      </c>
      <c r="U847" t="s">
        <v>152</v>
      </c>
      <c r="V847" t="s">
        <v>153</v>
      </c>
      <c r="W847" t="s">
        <v>154</v>
      </c>
      <c r="X847" t="s">
        <v>119</v>
      </c>
      <c r="Y847" t="s">
        <v>112</v>
      </c>
      <c r="Z847" t="s">
        <v>112</v>
      </c>
      <c r="AA847" t="s">
        <v>152</v>
      </c>
      <c r="AB847" t="s">
        <v>153</v>
      </c>
      <c r="AC847" t="s">
        <v>154</v>
      </c>
      <c r="AD847" t="s">
        <v>119</v>
      </c>
      <c r="AE847" t="s">
        <v>112</v>
      </c>
      <c r="AF847" t="s">
        <v>121</v>
      </c>
      <c r="AG847" t="s">
        <v>122</v>
      </c>
      <c r="AH847">
        <v>4723209.03</v>
      </c>
      <c r="AI847" t="s">
        <v>112</v>
      </c>
      <c r="AJ847" t="s">
        <v>152</v>
      </c>
      <c r="AK847" t="s">
        <v>153</v>
      </c>
      <c r="AL847" t="s">
        <v>154</v>
      </c>
      <c r="AM847" t="s">
        <v>119</v>
      </c>
      <c r="AN847" t="s">
        <v>112</v>
      </c>
      <c r="AO847" t="s">
        <v>121</v>
      </c>
      <c r="AP847" t="s">
        <v>122</v>
      </c>
      <c r="AQ847" t="s">
        <v>122</v>
      </c>
      <c r="AR847" t="s">
        <v>124</v>
      </c>
      <c r="AS847" t="s">
        <v>125</v>
      </c>
      <c r="AT847">
        <v>2</v>
      </c>
      <c r="AU847" t="s">
        <v>126</v>
      </c>
      <c r="AV847" t="s">
        <v>155</v>
      </c>
      <c r="AW847" t="s">
        <v>156</v>
      </c>
      <c r="AY847" t="s">
        <v>129</v>
      </c>
      <c r="AZ847">
        <v>41293.800000000003</v>
      </c>
      <c r="BC847">
        <v>104.30240000000001</v>
      </c>
      <c r="BD847" t="s">
        <v>112</v>
      </c>
      <c r="BE847" t="s">
        <v>112</v>
      </c>
      <c r="BF847" t="s">
        <v>157</v>
      </c>
      <c r="BG847" t="s">
        <v>133</v>
      </c>
      <c r="BH847" t="s">
        <v>134</v>
      </c>
      <c r="BI847" t="s">
        <v>112</v>
      </c>
      <c r="BJ847" t="s">
        <v>112</v>
      </c>
      <c r="BK847" t="s">
        <v>112</v>
      </c>
      <c r="BL847" t="s">
        <v>158</v>
      </c>
      <c r="BM847" t="s">
        <v>159</v>
      </c>
      <c r="BN847" t="s">
        <v>212</v>
      </c>
      <c r="BO847" t="s">
        <v>161</v>
      </c>
      <c r="BQ847" t="s">
        <v>205</v>
      </c>
      <c r="BR847" s="45">
        <f>ISNUMBER(SEARCH($BR$1,Таблица1[[#This Row],[31_1 Описание и характеристика товара]]))*1</f>
        <v>1</v>
      </c>
      <c r="BT847" t="s">
        <v>150</v>
      </c>
      <c r="BU847">
        <v>33</v>
      </c>
      <c r="BV847">
        <v>0</v>
      </c>
      <c r="BW847">
        <v>0</v>
      </c>
      <c r="BY847">
        <v>0</v>
      </c>
      <c r="CA847" t="s">
        <v>106</v>
      </c>
      <c r="CB847" t="s">
        <v>142</v>
      </c>
      <c r="CC847" t="s">
        <v>112</v>
      </c>
      <c r="CD847" t="s">
        <v>112</v>
      </c>
      <c r="CE847" t="s">
        <v>121</v>
      </c>
      <c r="CF847">
        <v>15849.3</v>
      </c>
      <c r="CG847" t="s">
        <v>144</v>
      </c>
      <c r="CH847">
        <v>4000000</v>
      </c>
      <c r="CI847">
        <v>15568.5</v>
      </c>
      <c r="CJ847">
        <v>0</v>
      </c>
      <c r="CK847" t="s">
        <v>112</v>
      </c>
      <c r="CL847" t="s">
        <v>112</v>
      </c>
      <c r="CM847">
        <v>41293.800000000003</v>
      </c>
      <c r="CO847">
        <v>0</v>
      </c>
      <c r="CP847">
        <v>1</v>
      </c>
      <c r="CQ847">
        <v>4723209.03</v>
      </c>
      <c r="CR847">
        <v>47490.68</v>
      </c>
      <c r="CS847" t="s">
        <v>145</v>
      </c>
      <c r="CT847">
        <v>47483.924999999996</v>
      </c>
      <c r="CU847">
        <v>3.05</v>
      </c>
      <c r="CV847">
        <v>45</v>
      </c>
      <c r="CX847" t="s">
        <v>729</v>
      </c>
      <c r="CY847">
        <v>337</v>
      </c>
    </row>
    <row r="848" spans="1:103" x14ac:dyDescent="0.25">
      <c r="A848" t="s">
        <v>106</v>
      </c>
      <c r="B848" s="38">
        <v>44970</v>
      </c>
      <c r="C848" s="43">
        <f>IF(YEAR(Таблица1[[#This Row],[Дата]])=2023,MONTH(Таблица1[[#This Row],[Дата]]),0)</f>
        <v>2</v>
      </c>
      <c r="D848" t="s">
        <v>2108</v>
      </c>
      <c r="E848" t="s">
        <v>108</v>
      </c>
      <c r="F848" t="s">
        <v>2109</v>
      </c>
      <c r="G848" t="s">
        <v>110</v>
      </c>
      <c r="H848" t="s">
        <v>111</v>
      </c>
      <c r="I848" t="s">
        <v>112</v>
      </c>
      <c r="J848" t="s">
        <v>112</v>
      </c>
      <c r="K848" t="s">
        <v>112</v>
      </c>
      <c r="L848" t="s">
        <v>150</v>
      </c>
      <c r="M848" t="s">
        <v>151</v>
      </c>
      <c r="N848" t="s">
        <v>112</v>
      </c>
      <c r="O848" t="s">
        <v>112</v>
      </c>
      <c r="P848">
        <v>1</v>
      </c>
      <c r="R848">
        <v>1</v>
      </c>
      <c r="S848">
        <v>33</v>
      </c>
      <c r="T848" t="s">
        <v>112</v>
      </c>
      <c r="U848" t="s">
        <v>152</v>
      </c>
      <c r="V848" t="s">
        <v>153</v>
      </c>
      <c r="W848" t="s">
        <v>154</v>
      </c>
      <c r="X848" t="s">
        <v>119</v>
      </c>
      <c r="Y848" t="s">
        <v>112</v>
      </c>
      <c r="Z848" t="s">
        <v>112</v>
      </c>
      <c r="AA848" t="s">
        <v>152</v>
      </c>
      <c r="AB848" t="s">
        <v>153</v>
      </c>
      <c r="AC848" t="s">
        <v>154</v>
      </c>
      <c r="AD848" t="s">
        <v>119</v>
      </c>
      <c r="AE848" t="s">
        <v>112</v>
      </c>
      <c r="AF848" t="s">
        <v>121</v>
      </c>
      <c r="AG848" t="s">
        <v>122</v>
      </c>
      <c r="AH848">
        <v>4723209.03</v>
      </c>
      <c r="AI848" t="s">
        <v>112</v>
      </c>
      <c r="AJ848" t="s">
        <v>152</v>
      </c>
      <c r="AK848" t="s">
        <v>153</v>
      </c>
      <c r="AL848" t="s">
        <v>154</v>
      </c>
      <c r="AM848" t="s">
        <v>119</v>
      </c>
      <c r="AN848" t="s">
        <v>112</v>
      </c>
      <c r="AO848" t="s">
        <v>121</v>
      </c>
      <c r="AP848" t="s">
        <v>122</v>
      </c>
      <c r="AQ848" t="s">
        <v>122</v>
      </c>
      <c r="AR848" t="s">
        <v>124</v>
      </c>
      <c r="AS848" t="s">
        <v>125</v>
      </c>
      <c r="AT848">
        <v>2</v>
      </c>
      <c r="AU848" t="s">
        <v>126</v>
      </c>
      <c r="AV848" t="s">
        <v>155</v>
      </c>
      <c r="AW848" t="s">
        <v>156</v>
      </c>
      <c r="AY848" t="s">
        <v>129</v>
      </c>
      <c r="AZ848">
        <v>41293.800000000003</v>
      </c>
      <c r="BC848">
        <v>104.30240000000001</v>
      </c>
      <c r="BD848" t="s">
        <v>112</v>
      </c>
      <c r="BE848" t="s">
        <v>112</v>
      </c>
      <c r="BF848" t="s">
        <v>157</v>
      </c>
      <c r="BG848" t="s">
        <v>133</v>
      </c>
      <c r="BH848" t="s">
        <v>134</v>
      </c>
      <c r="BI848" t="s">
        <v>112</v>
      </c>
      <c r="BJ848" t="s">
        <v>112</v>
      </c>
      <c r="BK848" t="s">
        <v>112</v>
      </c>
      <c r="BL848" t="s">
        <v>158</v>
      </c>
      <c r="BM848" t="s">
        <v>159</v>
      </c>
      <c r="BN848" t="s">
        <v>212</v>
      </c>
      <c r="BO848" t="s">
        <v>161</v>
      </c>
      <c r="BQ848" t="s">
        <v>205</v>
      </c>
      <c r="BR848" s="45">
        <f>ISNUMBER(SEARCH($BR$1,Таблица1[[#This Row],[31_1 Описание и характеристика товара]]))*1</f>
        <v>1</v>
      </c>
      <c r="BT848" t="s">
        <v>150</v>
      </c>
      <c r="BU848">
        <v>33</v>
      </c>
      <c r="BV848">
        <v>0</v>
      </c>
      <c r="BW848">
        <v>0</v>
      </c>
      <c r="BY848">
        <v>0</v>
      </c>
      <c r="CA848" t="s">
        <v>106</v>
      </c>
      <c r="CB848" t="s">
        <v>142</v>
      </c>
      <c r="CC848" t="s">
        <v>112</v>
      </c>
      <c r="CD848" t="s">
        <v>112</v>
      </c>
      <c r="CE848" t="s">
        <v>121</v>
      </c>
      <c r="CF848">
        <v>15849.3</v>
      </c>
      <c r="CG848" t="s">
        <v>144</v>
      </c>
      <c r="CH848">
        <v>4000000</v>
      </c>
      <c r="CI848">
        <v>15568.5</v>
      </c>
      <c r="CJ848">
        <v>0</v>
      </c>
      <c r="CK848" t="s">
        <v>112</v>
      </c>
      <c r="CL848" t="s">
        <v>112</v>
      </c>
      <c r="CM848">
        <v>41293.800000000003</v>
      </c>
      <c r="CO848">
        <v>0</v>
      </c>
      <c r="CP848">
        <v>1</v>
      </c>
      <c r="CQ848">
        <v>4723209.03</v>
      </c>
      <c r="CR848">
        <v>47490.68</v>
      </c>
      <c r="CS848" t="s">
        <v>145</v>
      </c>
      <c r="CT848">
        <v>47483.924999999996</v>
      </c>
      <c r="CU848">
        <v>3.05</v>
      </c>
      <c r="CV848">
        <v>45</v>
      </c>
      <c r="CX848" t="s">
        <v>729</v>
      </c>
      <c r="CY848">
        <v>337</v>
      </c>
    </row>
    <row r="849" spans="1:103" x14ac:dyDescent="0.25">
      <c r="A849" t="s">
        <v>106</v>
      </c>
      <c r="B849" s="38">
        <v>44982</v>
      </c>
      <c r="C849" s="43">
        <f>IF(YEAR(Таблица1[[#This Row],[Дата]])=2023,MONTH(Таблица1[[#This Row],[Дата]]),0)</f>
        <v>2</v>
      </c>
      <c r="D849" t="s">
        <v>2098</v>
      </c>
      <c r="E849" t="s">
        <v>108</v>
      </c>
      <c r="F849" t="s">
        <v>2099</v>
      </c>
      <c r="G849" t="s">
        <v>110</v>
      </c>
      <c r="H849" t="s">
        <v>111</v>
      </c>
      <c r="I849" t="s">
        <v>112</v>
      </c>
      <c r="J849" t="s">
        <v>112</v>
      </c>
      <c r="K849" t="s">
        <v>112</v>
      </c>
      <c r="L849" t="s">
        <v>150</v>
      </c>
      <c r="M849" t="s">
        <v>151</v>
      </c>
      <c r="N849" t="s">
        <v>112</v>
      </c>
      <c r="O849" t="s">
        <v>112</v>
      </c>
      <c r="P849">
        <v>1</v>
      </c>
      <c r="R849">
        <v>1</v>
      </c>
      <c r="S849">
        <v>33</v>
      </c>
      <c r="T849" t="s">
        <v>112</v>
      </c>
      <c r="U849" t="s">
        <v>152</v>
      </c>
      <c r="V849" t="s">
        <v>153</v>
      </c>
      <c r="W849" t="s">
        <v>154</v>
      </c>
      <c r="X849" t="s">
        <v>119</v>
      </c>
      <c r="Y849" t="s">
        <v>112</v>
      </c>
      <c r="Z849" t="s">
        <v>112</v>
      </c>
      <c r="AA849" t="s">
        <v>152</v>
      </c>
      <c r="AB849" t="s">
        <v>153</v>
      </c>
      <c r="AC849" t="s">
        <v>154</v>
      </c>
      <c r="AD849" t="s">
        <v>119</v>
      </c>
      <c r="AE849" t="s">
        <v>112</v>
      </c>
      <c r="AF849" t="s">
        <v>121</v>
      </c>
      <c r="AG849" t="s">
        <v>122</v>
      </c>
      <c r="AH849">
        <v>4541551.79</v>
      </c>
      <c r="AI849" t="s">
        <v>112</v>
      </c>
      <c r="AJ849" t="s">
        <v>152</v>
      </c>
      <c r="AK849" t="s">
        <v>153</v>
      </c>
      <c r="AL849" t="s">
        <v>154</v>
      </c>
      <c r="AM849" t="s">
        <v>119</v>
      </c>
      <c r="AN849" t="s">
        <v>112</v>
      </c>
      <c r="AO849" t="s">
        <v>121</v>
      </c>
      <c r="AP849" t="s">
        <v>122</v>
      </c>
      <c r="AQ849" t="s">
        <v>122</v>
      </c>
      <c r="AR849" t="s">
        <v>124</v>
      </c>
      <c r="AS849" t="s">
        <v>125</v>
      </c>
      <c r="AT849">
        <v>2</v>
      </c>
      <c r="AU849" t="s">
        <v>126</v>
      </c>
      <c r="AV849" t="s">
        <v>155</v>
      </c>
      <c r="AW849" t="s">
        <v>156</v>
      </c>
      <c r="AY849" t="s">
        <v>129</v>
      </c>
      <c r="AZ849">
        <v>39022.160000000003</v>
      </c>
      <c r="BC849">
        <v>104.30240000000001</v>
      </c>
      <c r="BD849" t="s">
        <v>112</v>
      </c>
      <c r="BE849" t="s">
        <v>112</v>
      </c>
      <c r="BF849" t="s">
        <v>157</v>
      </c>
      <c r="BG849" t="s">
        <v>133</v>
      </c>
      <c r="BH849" t="s">
        <v>134</v>
      </c>
      <c r="BI849" t="s">
        <v>112</v>
      </c>
      <c r="BJ849" t="s">
        <v>112</v>
      </c>
      <c r="BK849" t="s">
        <v>112</v>
      </c>
      <c r="BL849" t="s">
        <v>158</v>
      </c>
      <c r="BM849" t="s">
        <v>159</v>
      </c>
      <c r="BN849" t="s">
        <v>212</v>
      </c>
      <c r="BO849" t="s">
        <v>161</v>
      </c>
      <c r="BQ849" t="s">
        <v>232</v>
      </c>
      <c r="BR849" s="45">
        <f>ISNUMBER(SEARCH($BR$1,Таблица1[[#This Row],[31_1 Описание и характеристика товара]]))*1</f>
        <v>1</v>
      </c>
      <c r="BT849" t="s">
        <v>150</v>
      </c>
      <c r="BU849">
        <v>33</v>
      </c>
      <c r="BV849">
        <v>0</v>
      </c>
      <c r="BW849">
        <v>0</v>
      </c>
      <c r="BY849">
        <v>0</v>
      </c>
      <c r="CA849" t="s">
        <v>106</v>
      </c>
      <c r="CB849" t="s">
        <v>142</v>
      </c>
      <c r="CC849" t="s">
        <v>112</v>
      </c>
      <c r="CD849" t="s">
        <v>112</v>
      </c>
      <c r="CE849" t="s">
        <v>121</v>
      </c>
      <c r="CF849">
        <v>16225.67</v>
      </c>
      <c r="CG849" t="s">
        <v>144</v>
      </c>
      <c r="CH849">
        <v>4000000</v>
      </c>
      <c r="CI849">
        <v>16123.67</v>
      </c>
      <c r="CJ849">
        <v>0</v>
      </c>
      <c r="CK849" t="s">
        <v>112</v>
      </c>
      <c r="CL849" t="s">
        <v>112</v>
      </c>
      <c r="CM849">
        <v>39022.160000000003</v>
      </c>
      <c r="CO849">
        <v>0</v>
      </c>
      <c r="CP849">
        <v>1</v>
      </c>
      <c r="CQ849">
        <v>4541551.79</v>
      </c>
      <c r="CR849">
        <v>45664.160000000003</v>
      </c>
      <c r="CS849" t="s">
        <v>145</v>
      </c>
      <c r="CT849">
        <v>45629.986100000002</v>
      </c>
      <c r="CU849">
        <v>2.83</v>
      </c>
      <c r="CV849">
        <v>45</v>
      </c>
      <c r="CX849" t="s">
        <v>233</v>
      </c>
      <c r="CY849">
        <v>18</v>
      </c>
    </row>
    <row r="850" spans="1:103" x14ac:dyDescent="0.25">
      <c r="A850" t="s">
        <v>106</v>
      </c>
      <c r="B850" s="38">
        <v>45002</v>
      </c>
      <c r="C850" s="43">
        <f>IF(YEAR(Таблица1[[#This Row],[Дата]])=2023,MONTH(Таблица1[[#This Row],[Дата]]),0)</f>
        <v>3</v>
      </c>
      <c r="D850" t="s">
        <v>2098</v>
      </c>
      <c r="E850" t="s">
        <v>108</v>
      </c>
      <c r="F850" t="s">
        <v>2099</v>
      </c>
      <c r="G850" t="s">
        <v>110</v>
      </c>
      <c r="H850" t="s">
        <v>111</v>
      </c>
      <c r="I850" t="s">
        <v>112</v>
      </c>
      <c r="J850" t="s">
        <v>112</v>
      </c>
      <c r="K850" t="s">
        <v>112</v>
      </c>
      <c r="L850" t="s">
        <v>150</v>
      </c>
      <c r="M850" t="s">
        <v>151</v>
      </c>
      <c r="N850" t="s">
        <v>112</v>
      </c>
      <c r="O850" t="s">
        <v>112</v>
      </c>
      <c r="P850">
        <v>1</v>
      </c>
      <c r="R850">
        <v>1</v>
      </c>
      <c r="S850">
        <v>33</v>
      </c>
      <c r="T850" t="s">
        <v>112</v>
      </c>
      <c r="U850" t="s">
        <v>152</v>
      </c>
      <c r="V850" t="s">
        <v>153</v>
      </c>
      <c r="W850" t="s">
        <v>154</v>
      </c>
      <c r="X850" t="s">
        <v>119</v>
      </c>
      <c r="Y850" t="s">
        <v>112</v>
      </c>
      <c r="Z850" t="s">
        <v>112</v>
      </c>
      <c r="AA850" t="s">
        <v>152</v>
      </c>
      <c r="AB850" t="s">
        <v>153</v>
      </c>
      <c r="AC850" t="s">
        <v>154</v>
      </c>
      <c r="AD850" t="s">
        <v>119</v>
      </c>
      <c r="AE850" t="s">
        <v>112</v>
      </c>
      <c r="AF850" t="s">
        <v>121</v>
      </c>
      <c r="AG850" t="s">
        <v>122</v>
      </c>
      <c r="AH850">
        <v>4541551.79</v>
      </c>
      <c r="AI850" t="s">
        <v>112</v>
      </c>
      <c r="AJ850" t="s">
        <v>152</v>
      </c>
      <c r="AK850" t="s">
        <v>153</v>
      </c>
      <c r="AL850" t="s">
        <v>154</v>
      </c>
      <c r="AM850" t="s">
        <v>119</v>
      </c>
      <c r="AN850" t="s">
        <v>112</v>
      </c>
      <c r="AO850" t="s">
        <v>121</v>
      </c>
      <c r="AP850" t="s">
        <v>122</v>
      </c>
      <c r="AQ850" t="s">
        <v>122</v>
      </c>
      <c r="AR850" t="s">
        <v>124</v>
      </c>
      <c r="AS850" t="s">
        <v>125</v>
      </c>
      <c r="AT850">
        <v>2</v>
      </c>
      <c r="AU850" t="s">
        <v>126</v>
      </c>
      <c r="AV850" t="s">
        <v>155</v>
      </c>
      <c r="AW850" t="s">
        <v>156</v>
      </c>
      <c r="AY850" t="s">
        <v>129</v>
      </c>
      <c r="AZ850">
        <v>39022.160000000003</v>
      </c>
      <c r="BC850">
        <v>104.30240000000001</v>
      </c>
      <c r="BD850" t="s">
        <v>112</v>
      </c>
      <c r="BE850" t="s">
        <v>112</v>
      </c>
      <c r="BF850" t="s">
        <v>157</v>
      </c>
      <c r="BG850" t="s">
        <v>133</v>
      </c>
      <c r="BH850" t="s">
        <v>134</v>
      </c>
      <c r="BI850" t="s">
        <v>112</v>
      </c>
      <c r="BJ850" t="s">
        <v>112</v>
      </c>
      <c r="BK850" t="s">
        <v>112</v>
      </c>
      <c r="BL850" t="s">
        <v>158</v>
      </c>
      <c r="BM850" t="s">
        <v>159</v>
      </c>
      <c r="BN850" t="s">
        <v>212</v>
      </c>
      <c r="BO850" t="s">
        <v>161</v>
      </c>
      <c r="BQ850" t="s">
        <v>232</v>
      </c>
      <c r="BR850" s="45">
        <f>ISNUMBER(SEARCH($BR$1,Таблица1[[#This Row],[31_1 Описание и характеристика товара]]))*1</f>
        <v>1</v>
      </c>
      <c r="BT850" t="s">
        <v>150</v>
      </c>
      <c r="BU850">
        <v>33</v>
      </c>
      <c r="BV850">
        <v>0</v>
      </c>
      <c r="BW850">
        <v>0</v>
      </c>
      <c r="BY850">
        <v>0</v>
      </c>
      <c r="CA850" t="s">
        <v>106</v>
      </c>
      <c r="CB850" t="s">
        <v>142</v>
      </c>
      <c r="CC850" t="s">
        <v>112</v>
      </c>
      <c r="CD850" t="s">
        <v>112</v>
      </c>
      <c r="CE850" t="s">
        <v>121</v>
      </c>
      <c r="CF850">
        <v>16225.67</v>
      </c>
      <c r="CG850" t="s">
        <v>144</v>
      </c>
      <c r="CH850">
        <v>4000000</v>
      </c>
      <c r="CI850">
        <v>16123.67</v>
      </c>
      <c r="CJ850">
        <v>0</v>
      </c>
      <c r="CK850" t="s">
        <v>112</v>
      </c>
      <c r="CL850" t="s">
        <v>112</v>
      </c>
      <c r="CM850">
        <v>39022.160000000003</v>
      </c>
      <c r="CO850">
        <v>0</v>
      </c>
      <c r="CP850">
        <v>1</v>
      </c>
      <c r="CQ850">
        <v>4541551.79</v>
      </c>
      <c r="CR850">
        <v>45664.160000000003</v>
      </c>
      <c r="CS850" t="s">
        <v>145</v>
      </c>
      <c r="CT850">
        <v>45629.986100000002</v>
      </c>
      <c r="CU850">
        <v>2.83</v>
      </c>
      <c r="CV850">
        <v>45</v>
      </c>
      <c r="CX850" t="s">
        <v>233</v>
      </c>
      <c r="CY850">
        <v>18</v>
      </c>
    </row>
    <row r="851" spans="1:103" x14ac:dyDescent="0.25">
      <c r="A851" t="s">
        <v>106</v>
      </c>
      <c r="B851" s="38">
        <v>44987</v>
      </c>
      <c r="C851" s="43">
        <f>IF(YEAR(Таблица1[[#This Row],[Дата]])=2023,MONTH(Таблица1[[#This Row],[Дата]]),0)</f>
        <v>3</v>
      </c>
      <c r="D851" t="s">
        <v>2100</v>
      </c>
      <c r="E851" t="s">
        <v>108</v>
      </c>
      <c r="F851" t="s">
        <v>2101</v>
      </c>
      <c r="G851" t="s">
        <v>110</v>
      </c>
      <c r="H851" t="s">
        <v>111</v>
      </c>
      <c r="I851" t="s">
        <v>112</v>
      </c>
      <c r="J851" t="s">
        <v>112</v>
      </c>
      <c r="K851" t="s">
        <v>112</v>
      </c>
      <c r="L851" t="s">
        <v>150</v>
      </c>
      <c r="M851" t="s">
        <v>151</v>
      </c>
      <c r="N851" t="s">
        <v>112</v>
      </c>
      <c r="O851" t="s">
        <v>112</v>
      </c>
      <c r="P851">
        <v>1</v>
      </c>
      <c r="R851">
        <v>1</v>
      </c>
      <c r="S851">
        <v>33</v>
      </c>
      <c r="T851" t="s">
        <v>112</v>
      </c>
      <c r="U851" t="s">
        <v>152</v>
      </c>
      <c r="V851" t="s">
        <v>153</v>
      </c>
      <c r="W851" t="s">
        <v>154</v>
      </c>
      <c r="X851" t="s">
        <v>119</v>
      </c>
      <c r="Y851" t="s">
        <v>112</v>
      </c>
      <c r="Z851" t="s">
        <v>112</v>
      </c>
      <c r="AA851" t="s">
        <v>152</v>
      </c>
      <c r="AB851" t="s">
        <v>153</v>
      </c>
      <c r="AC851" t="s">
        <v>154</v>
      </c>
      <c r="AD851" t="s">
        <v>119</v>
      </c>
      <c r="AE851" t="s">
        <v>112</v>
      </c>
      <c r="AF851" t="s">
        <v>121</v>
      </c>
      <c r="AG851" t="s">
        <v>122</v>
      </c>
      <c r="AH851">
        <v>4743798.32</v>
      </c>
      <c r="AI851" t="s">
        <v>112</v>
      </c>
      <c r="AJ851" t="s">
        <v>152</v>
      </c>
      <c r="AK851" t="s">
        <v>153</v>
      </c>
      <c r="AL851" t="s">
        <v>154</v>
      </c>
      <c r="AM851" t="s">
        <v>119</v>
      </c>
      <c r="AN851" t="s">
        <v>112</v>
      </c>
      <c r="AO851" t="s">
        <v>121</v>
      </c>
      <c r="AP851" t="s">
        <v>122</v>
      </c>
      <c r="AQ851" t="s">
        <v>122</v>
      </c>
      <c r="AR851" t="s">
        <v>124</v>
      </c>
      <c r="AS851" t="s">
        <v>125</v>
      </c>
      <c r="AT851">
        <v>2</v>
      </c>
      <c r="AU851" t="s">
        <v>126</v>
      </c>
      <c r="AV851" t="s">
        <v>155</v>
      </c>
      <c r="AW851" t="s">
        <v>156</v>
      </c>
      <c r="AY851" t="s">
        <v>129</v>
      </c>
      <c r="AZ851">
        <v>41491.199999999997</v>
      </c>
      <c r="BC851">
        <v>104.30240000000001</v>
      </c>
      <c r="BD851" t="s">
        <v>112</v>
      </c>
      <c r="BE851" t="s">
        <v>112</v>
      </c>
      <c r="BF851" t="s">
        <v>157</v>
      </c>
      <c r="BG851" t="s">
        <v>133</v>
      </c>
      <c r="BH851" t="s">
        <v>134</v>
      </c>
      <c r="BI851" t="s">
        <v>112</v>
      </c>
      <c r="BJ851" t="s">
        <v>112</v>
      </c>
      <c r="BK851" t="s">
        <v>112</v>
      </c>
      <c r="BL851" t="s">
        <v>158</v>
      </c>
      <c r="BM851" t="s">
        <v>159</v>
      </c>
      <c r="BN851" t="s">
        <v>212</v>
      </c>
      <c r="BO851" t="s">
        <v>161</v>
      </c>
      <c r="BQ851" t="s">
        <v>466</v>
      </c>
      <c r="BR851" s="45">
        <f>ISNUMBER(SEARCH($BR$1,Таблица1[[#This Row],[31_1 Описание и характеристика товара]]))*1</f>
        <v>1</v>
      </c>
      <c r="BT851" t="s">
        <v>150</v>
      </c>
      <c r="BU851">
        <v>33</v>
      </c>
      <c r="BV851">
        <v>0</v>
      </c>
      <c r="BW851">
        <v>0</v>
      </c>
      <c r="BY851">
        <v>0</v>
      </c>
      <c r="CA851" t="s">
        <v>106</v>
      </c>
      <c r="CB851" t="s">
        <v>142</v>
      </c>
      <c r="CC851" t="s">
        <v>112</v>
      </c>
      <c r="CD851" t="s">
        <v>112</v>
      </c>
      <c r="CE851" t="s">
        <v>121</v>
      </c>
      <c r="CF851">
        <v>15637.65</v>
      </c>
      <c r="CG851" t="s">
        <v>144</v>
      </c>
      <c r="CH851">
        <v>4000000</v>
      </c>
      <c r="CI851">
        <v>15486.45</v>
      </c>
      <c r="CJ851">
        <v>0</v>
      </c>
      <c r="CK851" t="s">
        <v>112</v>
      </c>
      <c r="CL851" t="s">
        <v>112</v>
      </c>
      <c r="CM851">
        <v>41491.199999999997</v>
      </c>
      <c r="CO851">
        <v>0</v>
      </c>
      <c r="CP851">
        <v>1</v>
      </c>
      <c r="CQ851">
        <v>4743798.32</v>
      </c>
      <c r="CR851">
        <v>47697.7</v>
      </c>
      <c r="CS851" t="s">
        <v>145</v>
      </c>
      <c r="CT851">
        <v>47698.266000000003</v>
      </c>
      <c r="CU851">
        <v>3.08</v>
      </c>
      <c r="CV851">
        <v>45</v>
      </c>
      <c r="CX851" t="s">
        <v>729</v>
      </c>
      <c r="CY851">
        <v>257</v>
      </c>
    </row>
    <row r="852" spans="1:103" x14ac:dyDescent="0.25">
      <c r="A852" t="s">
        <v>106</v>
      </c>
      <c r="B852" s="38">
        <v>45284</v>
      </c>
      <c r="C852" s="43">
        <f>IF(YEAR(Таблица1[[#This Row],[Дата]])=2023,MONTH(Таблица1[[#This Row],[Дата]]),0)</f>
        <v>12</v>
      </c>
      <c r="D852" t="s">
        <v>2100</v>
      </c>
      <c r="E852" t="s">
        <v>108</v>
      </c>
      <c r="F852" t="s">
        <v>2101</v>
      </c>
      <c r="G852" t="s">
        <v>110</v>
      </c>
      <c r="H852" t="s">
        <v>111</v>
      </c>
      <c r="I852" t="s">
        <v>112</v>
      </c>
      <c r="J852" t="s">
        <v>112</v>
      </c>
      <c r="K852" t="s">
        <v>112</v>
      </c>
      <c r="L852" t="s">
        <v>150</v>
      </c>
      <c r="M852" t="s">
        <v>151</v>
      </c>
      <c r="N852" t="s">
        <v>112</v>
      </c>
      <c r="O852" t="s">
        <v>112</v>
      </c>
      <c r="P852">
        <v>1</v>
      </c>
      <c r="R852">
        <v>1</v>
      </c>
      <c r="S852">
        <v>33</v>
      </c>
      <c r="T852" t="s">
        <v>112</v>
      </c>
      <c r="U852" t="s">
        <v>152</v>
      </c>
      <c r="V852" t="s">
        <v>153</v>
      </c>
      <c r="W852" t="s">
        <v>154</v>
      </c>
      <c r="X852" t="s">
        <v>119</v>
      </c>
      <c r="Y852" t="s">
        <v>112</v>
      </c>
      <c r="Z852" t="s">
        <v>112</v>
      </c>
      <c r="AA852" t="s">
        <v>152</v>
      </c>
      <c r="AB852" t="s">
        <v>153</v>
      </c>
      <c r="AC852" t="s">
        <v>154</v>
      </c>
      <c r="AD852" t="s">
        <v>119</v>
      </c>
      <c r="AE852" t="s">
        <v>112</v>
      </c>
      <c r="AF852" t="s">
        <v>121</v>
      </c>
      <c r="AG852" t="s">
        <v>122</v>
      </c>
      <c r="AH852">
        <v>4743798.32</v>
      </c>
      <c r="AI852" t="s">
        <v>112</v>
      </c>
      <c r="AJ852" t="s">
        <v>152</v>
      </c>
      <c r="AK852" t="s">
        <v>153</v>
      </c>
      <c r="AL852" t="s">
        <v>154</v>
      </c>
      <c r="AM852" t="s">
        <v>119</v>
      </c>
      <c r="AN852" t="s">
        <v>112</v>
      </c>
      <c r="AO852" t="s">
        <v>121</v>
      </c>
      <c r="AP852" t="s">
        <v>122</v>
      </c>
      <c r="AQ852" t="s">
        <v>122</v>
      </c>
      <c r="AR852" t="s">
        <v>124</v>
      </c>
      <c r="AS852" t="s">
        <v>125</v>
      </c>
      <c r="AT852">
        <v>2</v>
      </c>
      <c r="AU852" t="s">
        <v>126</v>
      </c>
      <c r="AV852" t="s">
        <v>155</v>
      </c>
      <c r="AW852" t="s">
        <v>156</v>
      </c>
      <c r="AY852" t="s">
        <v>129</v>
      </c>
      <c r="AZ852">
        <v>41491.199999999997</v>
      </c>
      <c r="BC852">
        <v>104.30240000000001</v>
      </c>
      <c r="BD852" t="s">
        <v>112</v>
      </c>
      <c r="BE852" t="s">
        <v>112</v>
      </c>
      <c r="BF852" t="s">
        <v>157</v>
      </c>
      <c r="BG852" t="s">
        <v>133</v>
      </c>
      <c r="BH852" t="s">
        <v>134</v>
      </c>
      <c r="BI852" t="s">
        <v>112</v>
      </c>
      <c r="BJ852" t="s">
        <v>112</v>
      </c>
      <c r="BK852" t="s">
        <v>112</v>
      </c>
      <c r="BL852" t="s">
        <v>158</v>
      </c>
      <c r="BM852" t="s">
        <v>159</v>
      </c>
      <c r="BN852" t="s">
        <v>212</v>
      </c>
      <c r="BO852" t="s">
        <v>161</v>
      </c>
      <c r="BQ852" t="s">
        <v>466</v>
      </c>
      <c r="BR852" s="45">
        <f>ISNUMBER(SEARCH($BR$1,Таблица1[[#This Row],[31_1 Описание и характеристика товара]]))*1</f>
        <v>1</v>
      </c>
      <c r="BT852" t="s">
        <v>150</v>
      </c>
      <c r="BU852">
        <v>33</v>
      </c>
      <c r="BV852">
        <v>0</v>
      </c>
      <c r="BW852">
        <v>0</v>
      </c>
      <c r="BY852">
        <v>0</v>
      </c>
      <c r="CA852" t="s">
        <v>106</v>
      </c>
      <c r="CB852" t="s">
        <v>142</v>
      </c>
      <c r="CC852" t="s">
        <v>112</v>
      </c>
      <c r="CD852" t="s">
        <v>112</v>
      </c>
      <c r="CE852" t="s">
        <v>121</v>
      </c>
      <c r="CF852">
        <v>15637.65</v>
      </c>
      <c r="CG852" t="s">
        <v>144</v>
      </c>
      <c r="CH852">
        <v>4000000</v>
      </c>
      <c r="CI852">
        <v>15486.45</v>
      </c>
      <c r="CJ852">
        <v>0</v>
      </c>
      <c r="CK852" t="s">
        <v>112</v>
      </c>
      <c r="CL852" t="s">
        <v>112</v>
      </c>
      <c r="CM852">
        <v>41491.199999999997</v>
      </c>
      <c r="CO852">
        <v>0</v>
      </c>
      <c r="CP852">
        <v>1</v>
      </c>
      <c r="CQ852">
        <v>4743798.32</v>
      </c>
      <c r="CR852">
        <v>47697.7</v>
      </c>
      <c r="CS852" t="s">
        <v>145</v>
      </c>
      <c r="CT852">
        <v>47698.266000000003</v>
      </c>
      <c r="CU852">
        <v>3.08</v>
      </c>
      <c r="CV852">
        <v>45</v>
      </c>
      <c r="CX852" t="s">
        <v>729</v>
      </c>
      <c r="CY852">
        <v>257</v>
      </c>
    </row>
    <row r="853" spans="1:103" x14ac:dyDescent="0.25">
      <c r="A853" t="s">
        <v>106</v>
      </c>
      <c r="B853" s="38">
        <v>45202</v>
      </c>
      <c r="C853" s="43">
        <f>IF(YEAR(Таблица1[[#This Row],[Дата]])=2023,MONTH(Таблица1[[#This Row],[Дата]]),0)</f>
        <v>10</v>
      </c>
      <c r="D853" t="s">
        <v>1860</v>
      </c>
      <c r="E853" t="s">
        <v>108</v>
      </c>
      <c r="F853" t="s">
        <v>1861</v>
      </c>
      <c r="G853" t="s">
        <v>110</v>
      </c>
      <c r="H853" t="s">
        <v>111</v>
      </c>
      <c r="I853" t="s">
        <v>112</v>
      </c>
      <c r="J853" t="s">
        <v>112</v>
      </c>
      <c r="K853" t="s">
        <v>112</v>
      </c>
      <c r="L853" t="s">
        <v>150</v>
      </c>
      <c r="M853" t="s">
        <v>151</v>
      </c>
      <c r="N853" t="s">
        <v>112</v>
      </c>
      <c r="O853" t="s">
        <v>112</v>
      </c>
      <c r="P853">
        <v>1</v>
      </c>
      <c r="R853">
        <v>1</v>
      </c>
      <c r="S853">
        <v>33</v>
      </c>
      <c r="T853" t="s">
        <v>112</v>
      </c>
      <c r="U853" t="s">
        <v>152</v>
      </c>
      <c r="V853" t="s">
        <v>153</v>
      </c>
      <c r="W853" t="s">
        <v>154</v>
      </c>
      <c r="X853" t="s">
        <v>119</v>
      </c>
      <c r="Y853" t="s">
        <v>112</v>
      </c>
      <c r="Z853" t="s">
        <v>112</v>
      </c>
      <c r="AA853" t="s">
        <v>152</v>
      </c>
      <c r="AB853" t="s">
        <v>153</v>
      </c>
      <c r="AC853" t="s">
        <v>154</v>
      </c>
      <c r="AD853" t="s">
        <v>119</v>
      </c>
      <c r="AE853" t="s">
        <v>112</v>
      </c>
      <c r="AF853" t="s">
        <v>121</v>
      </c>
      <c r="AG853" t="s">
        <v>122</v>
      </c>
      <c r="AH853">
        <v>4415623.74</v>
      </c>
      <c r="AI853" t="s">
        <v>112</v>
      </c>
      <c r="AJ853" t="s">
        <v>152</v>
      </c>
      <c r="AK853" t="s">
        <v>153</v>
      </c>
      <c r="AL853" t="s">
        <v>154</v>
      </c>
      <c r="AM853" t="s">
        <v>119</v>
      </c>
      <c r="AN853" t="s">
        <v>112</v>
      </c>
      <c r="AO853" t="s">
        <v>121</v>
      </c>
      <c r="AP853" t="s">
        <v>122</v>
      </c>
      <c r="AQ853" t="s">
        <v>122</v>
      </c>
      <c r="AR853" t="s">
        <v>124</v>
      </c>
      <c r="AS853" t="s">
        <v>125</v>
      </c>
      <c r="AT853">
        <v>2</v>
      </c>
      <c r="AU853" t="s">
        <v>126</v>
      </c>
      <c r="AV853" t="s">
        <v>155</v>
      </c>
      <c r="AW853" t="s">
        <v>156</v>
      </c>
      <c r="AY853" t="s">
        <v>129</v>
      </c>
      <c r="AZ853">
        <v>38158.32</v>
      </c>
      <c r="BC853">
        <v>104.4171</v>
      </c>
      <c r="BD853" t="s">
        <v>112</v>
      </c>
      <c r="BE853" t="s">
        <v>112</v>
      </c>
      <c r="BF853" t="s">
        <v>157</v>
      </c>
      <c r="BG853" t="s">
        <v>133</v>
      </c>
      <c r="BH853" t="s">
        <v>167</v>
      </c>
      <c r="BI853" t="s">
        <v>112</v>
      </c>
      <c r="BJ853" t="s">
        <v>112</v>
      </c>
      <c r="BK853" t="s">
        <v>112</v>
      </c>
      <c r="BL853" t="s">
        <v>169</v>
      </c>
      <c r="BM853" t="s">
        <v>159</v>
      </c>
      <c r="BN853" t="s">
        <v>160</v>
      </c>
      <c r="BO853" t="s">
        <v>161</v>
      </c>
      <c r="BQ853" t="s">
        <v>213</v>
      </c>
      <c r="BR853" s="45">
        <f>ISNUMBER(SEARCH($BR$1,Таблица1[[#This Row],[31_1 Описание и характеристика товара]]))*1</f>
        <v>1</v>
      </c>
      <c r="BT853" t="s">
        <v>150</v>
      </c>
      <c r="BU853">
        <v>33</v>
      </c>
      <c r="BV853">
        <v>0</v>
      </c>
      <c r="BW853">
        <v>0</v>
      </c>
      <c r="BY853">
        <v>0</v>
      </c>
      <c r="CA853" t="s">
        <v>106</v>
      </c>
      <c r="CB853" t="s">
        <v>142</v>
      </c>
      <c r="CC853" t="s">
        <v>112</v>
      </c>
      <c r="CD853" t="s">
        <v>112</v>
      </c>
      <c r="CE853" t="s">
        <v>121</v>
      </c>
      <c r="CF853">
        <v>15773.8</v>
      </c>
      <c r="CG853" t="s">
        <v>144</v>
      </c>
      <c r="CH853">
        <v>4000000</v>
      </c>
      <c r="CI853">
        <v>15514.6</v>
      </c>
      <c r="CJ853">
        <v>0</v>
      </c>
      <c r="CK853" t="s">
        <v>112</v>
      </c>
      <c r="CL853" t="s">
        <v>112</v>
      </c>
      <c r="CM853">
        <v>38158.32</v>
      </c>
      <c r="CO853">
        <v>0</v>
      </c>
      <c r="CP853">
        <v>1</v>
      </c>
      <c r="CQ853">
        <v>4415623.74</v>
      </c>
      <c r="CR853">
        <v>45700.98</v>
      </c>
      <c r="CS853" t="s">
        <v>145</v>
      </c>
      <c r="CT853">
        <v>45768.070000000007</v>
      </c>
      <c r="CU853">
        <v>2.95</v>
      </c>
      <c r="CV853">
        <v>45</v>
      </c>
      <c r="CX853" t="s">
        <v>163</v>
      </c>
      <c r="CY853">
        <v>131</v>
      </c>
    </row>
    <row r="854" spans="1:103" x14ac:dyDescent="0.25">
      <c r="A854" t="s">
        <v>106</v>
      </c>
      <c r="B854" s="38">
        <v>45122</v>
      </c>
      <c r="C854" s="43">
        <f>IF(YEAR(Таблица1[[#This Row],[Дата]])=2023,MONTH(Таблица1[[#This Row],[Дата]]),0)</f>
        <v>7</v>
      </c>
      <c r="D854" t="s">
        <v>1858</v>
      </c>
      <c r="E854" t="s">
        <v>108</v>
      </c>
      <c r="F854" t="s">
        <v>1859</v>
      </c>
      <c r="G854" t="s">
        <v>110</v>
      </c>
      <c r="H854" t="s">
        <v>111</v>
      </c>
      <c r="I854" t="s">
        <v>112</v>
      </c>
      <c r="J854" t="s">
        <v>112</v>
      </c>
      <c r="K854" t="s">
        <v>112</v>
      </c>
      <c r="L854" t="s">
        <v>150</v>
      </c>
      <c r="M854" t="s">
        <v>151</v>
      </c>
      <c r="N854" t="s">
        <v>112</v>
      </c>
      <c r="O854" t="s">
        <v>112</v>
      </c>
      <c r="P854">
        <v>1</v>
      </c>
      <c r="R854">
        <v>1</v>
      </c>
      <c r="S854">
        <v>33</v>
      </c>
      <c r="T854" t="s">
        <v>112</v>
      </c>
      <c r="U854" t="s">
        <v>152</v>
      </c>
      <c r="V854" t="s">
        <v>153</v>
      </c>
      <c r="W854" t="s">
        <v>154</v>
      </c>
      <c r="X854" t="s">
        <v>119</v>
      </c>
      <c r="Y854" t="s">
        <v>112</v>
      </c>
      <c r="Z854" t="s">
        <v>112</v>
      </c>
      <c r="AA854" t="s">
        <v>152</v>
      </c>
      <c r="AB854" t="s">
        <v>153</v>
      </c>
      <c r="AC854" t="s">
        <v>154</v>
      </c>
      <c r="AD854" t="s">
        <v>119</v>
      </c>
      <c r="AE854" t="s">
        <v>112</v>
      </c>
      <c r="AF854" t="s">
        <v>121</v>
      </c>
      <c r="AG854" t="s">
        <v>122</v>
      </c>
      <c r="AH854">
        <v>5268544.37</v>
      </c>
      <c r="AI854" t="s">
        <v>112</v>
      </c>
      <c r="AJ854" t="s">
        <v>152</v>
      </c>
      <c r="AK854" t="s">
        <v>153</v>
      </c>
      <c r="AL854" t="s">
        <v>154</v>
      </c>
      <c r="AM854" t="s">
        <v>119</v>
      </c>
      <c r="AN854" t="s">
        <v>112</v>
      </c>
      <c r="AO854" t="s">
        <v>121</v>
      </c>
      <c r="AP854" t="s">
        <v>122</v>
      </c>
      <c r="AQ854" t="s">
        <v>122</v>
      </c>
      <c r="AR854" t="s">
        <v>124</v>
      </c>
      <c r="AS854" t="s">
        <v>125</v>
      </c>
      <c r="AT854">
        <v>2</v>
      </c>
      <c r="AU854" t="s">
        <v>126</v>
      </c>
      <c r="AV854" t="s">
        <v>155</v>
      </c>
      <c r="AW854" t="s">
        <v>156</v>
      </c>
      <c r="AY854" t="s">
        <v>129</v>
      </c>
      <c r="AZ854">
        <v>46326.720000000001</v>
      </c>
      <c r="BC854">
        <v>104.4171</v>
      </c>
      <c r="BD854" t="s">
        <v>112</v>
      </c>
      <c r="BE854" t="s">
        <v>112</v>
      </c>
      <c r="BF854" t="s">
        <v>157</v>
      </c>
      <c r="BG854" t="s">
        <v>133</v>
      </c>
      <c r="BH854" t="s">
        <v>134</v>
      </c>
      <c r="BI854" t="s">
        <v>112</v>
      </c>
      <c r="BJ854" t="s">
        <v>112</v>
      </c>
      <c r="BK854" t="s">
        <v>112</v>
      </c>
      <c r="BL854" t="s">
        <v>169</v>
      </c>
      <c r="BM854" t="s">
        <v>159</v>
      </c>
      <c r="BN854" t="s">
        <v>212</v>
      </c>
      <c r="BO854" t="s">
        <v>161</v>
      </c>
      <c r="BQ854" t="s">
        <v>232</v>
      </c>
      <c r="BR854" s="45">
        <f>ISNUMBER(SEARCH($BR$1,Таблица1[[#This Row],[31_1 Описание и характеристика товара]]))*1</f>
        <v>1</v>
      </c>
      <c r="BT854" t="s">
        <v>150</v>
      </c>
      <c r="BU854">
        <v>33</v>
      </c>
      <c r="BV854">
        <v>0</v>
      </c>
      <c r="BW854">
        <v>0</v>
      </c>
      <c r="BY854">
        <v>0</v>
      </c>
      <c r="CA854" t="s">
        <v>106</v>
      </c>
      <c r="CB854" t="s">
        <v>142</v>
      </c>
      <c r="CC854" t="s">
        <v>112</v>
      </c>
      <c r="CD854" t="s">
        <v>112</v>
      </c>
      <c r="CE854" t="s">
        <v>121</v>
      </c>
      <c r="CF854">
        <v>16342.24</v>
      </c>
      <c r="CG854" t="s">
        <v>144</v>
      </c>
      <c r="CH854">
        <v>4000000</v>
      </c>
      <c r="CI854">
        <v>16234.24</v>
      </c>
      <c r="CJ854">
        <v>0</v>
      </c>
      <c r="CK854" t="s">
        <v>112</v>
      </c>
      <c r="CL854" t="s">
        <v>112</v>
      </c>
      <c r="CM854">
        <v>46326.720000000001</v>
      </c>
      <c r="CO854">
        <v>0</v>
      </c>
      <c r="CP854">
        <v>1</v>
      </c>
      <c r="CQ854">
        <v>5268544.37</v>
      </c>
      <c r="CR854">
        <v>54528.56</v>
      </c>
      <c r="CS854" t="s">
        <v>145</v>
      </c>
      <c r="CT854">
        <v>54547.046399999999</v>
      </c>
      <c r="CU854">
        <v>3.36</v>
      </c>
      <c r="CV854">
        <v>45</v>
      </c>
      <c r="CX854" t="s">
        <v>1140</v>
      </c>
      <c r="CY854">
        <v>182</v>
      </c>
    </row>
    <row r="855" spans="1:103" x14ac:dyDescent="0.25">
      <c r="A855" t="s">
        <v>106</v>
      </c>
      <c r="B855" s="38">
        <v>45281</v>
      </c>
      <c r="C855" s="43">
        <f>IF(YEAR(Таблица1[[#This Row],[Дата]])=2023,MONTH(Таблица1[[#This Row],[Дата]]),0)</f>
        <v>12</v>
      </c>
      <c r="D855" t="s">
        <v>1419</v>
      </c>
      <c r="E855" t="s">
        <v>108</v>
      </c>
      <c r="F855" t="s">
        <v>1420</v>
      </c>
      <c r="G855" t="s">
        <v>110</v>
      </c>
      <c r="H855" t="s">
        <v>111</v>
      </c>
      <c r="I855" t="s">
        <v>112</v>
      </c>
      <c r="J855" t="s">
        <v>112</v>
      </c>
      <c r="K855" t="s">
        <v>112</v>
      </c>
      <c r="L855" t="s">
        <v>150</v>
      </c>
      <c r="M855" t="s">
        <v>1405</v>
      </c>
      <c r="N855" t="s">
        <v>112</v>
      </c>
      <c r="O855" t="s">
        <v>112</v>
      </c>
      <c r="P855">
        <v>1</v>
      </c>
      <c r="Q855">
        <v>0</v>
      </c>
      <c r="R855">
        <v>1</v>
      </c>
      <c r="S855">
        <v>33</v>
      </c>
      <c r="T855" t="s">
        <v>166</v>
      </c>
      <c r="U855" t="s">
        <v>152</v>
      </c>
      <c r="V855" t="s">
        <v>153</v>
      </c>
      <c r="W855" t="s">
        <v>154</v>
      </c>
      <c r="X855" t="s">
        <v>119</v>
      </c>
      <c r="Y855" t="s">
        <v>112</v>
      </c>
      <c r="Z855" t="s">
        <v>166</v>
      </c>
      <c r="AA855" t="s">
        <v>152</v>
      </c>
      <c r="AB855" t="s">
        <v>153</v>
      </c>
      <c r="AC855" t="s">
        <v>154</v>
      </c>
      <c r="AD855" t="s">
        <v>119</v>
      </c>
      <c r="AE855" t="s">
        <v>112</v>
      </c>
      <c r="AF855" t="s">
        <v>121</v>
      </c>
      <c r="AG855" t="s">
        <v>122</v>
      </c>
      <c r="AH855">
        <v>5146459.66</v>
      </c>
      <c r="AI855" t="s">
        <v>166</v>
      </c>
      <c r="AJ855" t="s">
        <v>152</v>
      </c>
      <c r="AK855" t="s">
        <v>153</v>
      </c>
      <c r="AL855" t="s">
        <v>154</v>
      </c>
      <c r="AM855" t="s">
        <v>119</v>
      </c>
      <c r="AN855" t="s">
        <v>112</v>
      </c>
      <c r="AO855" t="s">
        <v>121</v>
      </c>
      <c r="AP855" t="s">
        <v>122</v>
      </c>
      <c r="AQ855" t="s">
        <v>122</v>
      </c>
      <c r="AR855" t="s">
        <v>124</v>
      </c>
      <c r="AS855" t="s">
        <v>125</v>
      </c>
      <c r="AT855">
        <v>2</v>
      </c>
      <c r="AU855" t="s">
        <v>126</v>
      </c>
      <c r="AV855" t="s">
        <v>155</v>
      </c>
      <c r="AW855" t="s">
        <v>156</v>
      </c>
      <c r="AX855">
        <v>1</v>
      </c>
      <c r="AY855" t="s">
        <v>129</v>
      </c>
      <c r="AZ855">
        <v>48525.56</v>
      </c>
      <c r="BA855">
        <v>4742801</v>
      </c>
      <c r="BB855">
        <v>57473.45</v>
      </c>
      <c r="BC855">
        <v>97.738200000000006</v>
      </c>
      <c r="BD855" t="s">
        <v>130</v>
      </c>
      <c r="BE855" t="s">
        <v>112</v>
      </c>
      <c r="BF855" t="s">
        <v>157</v>
      </c>
      <c r="BG855" t="s">
        <v>133</v>
      </c>
      <c r="BH855" t="s">
        <v>134</v>
      </c>
      <c r="BI855" t="s">
        <v>112</v>
      </c>
      <c r="BJ855" t="s">
        <v>112</v>
      </c>
      <c r="BK855" t="s">
        <v>112</v>
      </c>
      <c r="BL855" t="s">
        <v>169</v>
      </c>
      <c r="BM855" t="s">
        <v>159</v>
      </c>
      <c r="BN855" t="s">
        <v>722</v>
      </c>
      <c r="BO855" t="s">
        <v>161</v>
      </c>
      <c r="BP855">
        <v>1</v>
      </c>
      <c r="BQ855" t="s">
        <v>232</v>
      </c>
      <c r="BR855" s="45">
        <f>ISNUMBER(SEARCH($BR$1,Таблица1[[#This Row],[31_1 Описание и характеристика товара]]))*1</f>
        <v>1</v>
      </c>
      <c r="BT855" t="s">
        <v>150</v>
      </c>
      <c r="BU855">
        <v>33</v>
      </c>
      <c r="BV855">
        <v>0</v>
      </c>
      <c r="BW855">
        <v>0</v>
      </c>
      <c r="BY855">
        <v>0</v>
      </c>
      <c r="CA855" t="s">
        <v>106</v>
      </c>
      <c r="CB855" t="s">
        <v>142</v>
      </c>
      <c r="CC855" t="s">
        <v>112</v>
      </c>
      <c r="CD855" t="s">
        <v>112</v>
      </c>
      <c r="CE855" t="s">
        <v>121</v>
      </c>
      <c r="CF855">
        <v>16534.55</v>
      </c>
      <c r="CG855" t="s">
        <v>144</v>
      </c>
      <c r="CH855">
        <v>4000000</v>
      </c>
      <c r="CI855">
        <v>16480.55</v>
      </c>
      <c r="CJ855">
        <v>0</v>
      </c>
      <c r="CK855" t="s">
        <v>112</v>
      </c>
      <c r="CL855" t="s">
        <v>112</v>
      </c>
      <c r="CM855">
        <v>48525.56</v>
      </c>
      <c r="CN855">
        <v>4742801</v>
      </c>
      <c r="CO855">
        <v>0</v>
      </c>
      <c r="CP855">
        <v>1</v>
      </c>
      <c r="CQ855">
        <v>5146459.66</v>
      </c>
      <c r="CR855">
        <v>57473.45</v>
      </c>
      <c r="CS855" t="s">
        <v>145</v>
      </c>
      <c r="CT855">
        <v>57517.119500000001</v>
      </c>
      <c r="CU855">
        <v>3.49</v>
      </c>
      <c r="CV855">
        <v>45</v>
      </c>
      <c r="CW855" t="s">
        <v>171</v>
      </c>
      <c r="CX855" t="s">
        <v>463</v>
      </c>
      <c r="CY855">
        <v>238</v>
      </c>
    </row>
    <row r="856" spans="1:103" x14ac:dyDescent="0.25">
      <c r="A856" t="s">
        <v>106</v>
      </c>
      <c r="B856" s="38">
        <v>45284</v>
      </c>
      <c r="C856" s="43">
        <f>IF(YEAR(Таблица1[[#This Row],[Дата]])=2023,MONTH(Таблица1[[#This Row],[Дата]]),0)</f>
        <v>12</v>
      </c>
      <c r="D856" t="s">
        <v>1416</v>
      </c>
      <c r="E856" t="s">
        <v>108</v>
      </c>
      <c r="F856" t="s">
        <v>1417</v>
      </c>
      <c r="G856" t="s">
        <v>3244</v>
      </c>
      <c r="H856" t="s">
        <v>111</v>
      </c>
      <c r="I856" t="s">
        <v>112</v>
      </c>
      <c r="J856" t="s">
        <v>112</v>
      </c>
      <c r="K856" t="s">
        <v>112</v>
      </c>
      <c r="L856" t="s">
        <v>150</v>
      </c>
      <c r="M856" t="s">
        <v>1405</v>
      </c>
      <c r="N856" t="s">
        <v>112</v>
      </c>
      <c r="O856" t="s">
        <v>112</v>
      </c>
      <c r="P856">
        <v>1</v>
      </c>
      <c r="Q856">
        <v>0</v>
      </c>
      <c r="R856">
        <v>1</v>
      </c>
      <c r="S856">
        <v>33</v>
      </c>
      <c r="T856" t="s">
        <v>166</v>
      </c>
      <c r="U856" t="s">
        <v>152</v>
      </c>
      <c r="V856" t="s">
        <v>153</v>
      </c>
      <c r="W856" t="s">
        <v>154</v>
      </c>
      <c r="X856" t="s">
        <v>119</v>
      </c>
      <c r="Y856" t="s">
        <v>112</v>
      </c>
      <c r="Z856" t="s">
        <v>166</v>
      </c>
      <c r="AA856" t="s">
        <v>152</v>
      </c>
      <c r="AB856" t="s">
        <v>153</v>
      </c>
      <c r="AC856" t="s">
        <v>154</v>
      </c>
      <c r="AD856" t="s">
        <v>119</v>
      </c>
      <c r="AE856" t="s">
        <v>112</v>
      </c>
      <c r="AF856" t="s">
        <v>121</v>
      </c>
      <c r="AG856" t="s">
        <v>122</v>
      </c>
      <c r="AH856">
        <v>4514703.3899999997</v>
      </c>
      <c r="AI856" t="s">
        <v>166</v>
      </c>
      <c r="AJ856" t="s">
        <v>152</v>
      </c>
      <c r="AK856" t="s">
        <v>153</v>
      </c>
      <c r="AL856" t="s">
        <v>154</v>
      </c>
      <c r="AM856" t="s">
        <v>119</v>
      </c>
      <c r="AN856" t="s">
        <v>112</v>
      </c>
      <c r="AO856" t="s">
        <v>121</v>
      </c>
      <c r="AP856" t="s">
        <v>122</v>
      </c>
      <c r="AQ856" t="s">
        <v>122</v>
      </c>
      <c r="AR856" t="s">
        <v>124</v>
      </c>
      <c r="AS856" t="s">
        <v>125</v>
      </c>
      <c r="AT856">
        <v>2</v>
      </c>
      <c r="AU856" t="s">
        <v>126</v>
      </c>
      <c r="AV856" t="s">
        <v>155</v>
      </c>
      <c r="AW856" t="s">
        <v>156</v>
      </c>
      <c r="AX856">
        <v>1</v>
      </c>
      <c r="AY856" t="s">
        <v>129</v>
      </c>
      <c r="AZ856">
        <v>42061.8</v>
      </c>
      <c r="BA856">
        <v>4111045</v>
      </c>
      <c r="BB856">
        <v>50418.26</v>
      </c>
      <c r="BC856">
        <v>97.738200000000006</v>
      </c>
      <c r="BD856" t="s">
        <v>130</v>
      </c>
      <c r="BE856" t="s">
        <v>112</v>
      </c>
      <c r="BF856" t="s">
        <v>157</v>
      </c>
      <c r="BG856" t="s">
        <v>133</v>
      </c>
      <c r="BH856" t="s">
        <v>134</v>
      </c>
      <c r="BI856" t="s">
        <v>112</v>
      </c>
      <c r="BJ856" t="s">
        <v>112</v>
      </c>
      <c r="BK856" t="s">
        <v>112</v>
      </c>
      <c r="BL856" t="s">
        <v>169</v>
      </c>
      <c r="BM856" t="s">
        <v>159</v>
      </c>
      <c r="BN856" t="s">
        <v>722</v>
      </c>
      <c r="BO856" t="s">
        <v>161</v>
      </c>
      <c r="BP856">
        <v>1</v>
      </c>
      <c r="BQ856" t="s">
        <v>1418</v>
      </c>
      <c r="BR856" s="45">
        <f>ISNUMBER(SEARCH($BR$1,Таблица1[[#This Row],[31_1 Описание и характеристика товара]]))*1</f>
        <v>1</v>
      </c>
      <c r="BT856" t="s">
        <v>150</v>
      </c>
      <c r="BU856">
        <v>33</v>
      </c>
      <c r="BV856">
        <v>0</v>
      </c>
      <c r="BW856">
        <v>0</v>
      </c>
      <c r="BY856">
        <v>0</v>
      </c>
      <c r="CA856" t="s">
        <v>106</v>
      </c>
      <c r="CB856" t="s">
        <v>142</v>
      </c>
      <c r="CC856" t="s">
        <v>112</v>
      </c>
      <c r="CD856" t="s">
        <v>112</v>
      </c>
      <c r="CE856" t="s">
        <v>121</v>
      </c>
      <c r="CF856">
        <v>16324.91</v>
      </c>
      <c r="CG856" t="s">
        <v>144</v>
      </c>
      <c r="CH856">
        <v>4000000</v>
      </c>
      <c r="CI856">
        <v>16242.12</v>
      </c>
      <c r="CJ856">
        <v>0</v>
      </c>
      <c r="CK856" t="s">
        <v>112</v>
      </c>
      <c r="CL856" t="s">
        <v>112</v>
      </c>
      <c r="CM856">
        <v>42061.8</v>
      </c>
      <c r="CN856">
        <v>4111045</v>
      </c>
      <c r="CO856">
        <v>0</v>
      </c>
      <c r="CP856">
        <v>1</v>
      </c>
      <c r="CQ856">
        <v>4514703.3899999997</v>
      </c>
      <c r="CR856">
        <v>50418.26</v>
      </c>
      <c r="CS856" t="s">
        <v>145</v>
      </c>
      <c r="CT856">
        <v>50350.572000000007</v>
      </c>
      <c r="CU856">
        <v>3.1</v>
      </c>
      <c r="CV856">
        <v>45</v>
      </c>
      <c r="CW856" t="s">
        <v>171</v>
      </c>
      <c r="CX856" t="s">
        <v>372</v>
      </c>
      <c r="CY856">
        <v>238</v>
      </c>
    </row>
    <row r="857" spans="1:103" x14ac:dyDescent="0.25">
      <c r="A857" t="s">
        <v>106</v>
      </c>
      <c r="B857" s="38">
        <v>44951</v>
      </c>
      <c r="C857" s="43">
        <f>IF(YEAR(Таблица1[[#This Row],[Дата]])=2023,MONTH(Таблица1[[#This Row],[Дата]]),0)</f>
        <v>1</v>
      </c>
      <c r="D857" t="s">
        <v>1256</v>
      </c>
      <c r="E857" t="s">
        <v>108</v>
      </c>
      <c r="F857" t="s">
        <v>1257</v>
      </c>
      <c r="G857" t="s">
        <v>3244</v>
      </c>
      <c r="H857" t="s">
        <v>111</v>
      </c>
      <c r="I857" t="s">
        <v>112</v>
      </c>
      <c r="J857" t="s">
        <v>112</v>
      </c>
      <c r="K857" t="s">
        <v>112</v>
      </c>
      <c r="L857" t="s">
        <v>150</v>
      </c>
      <c r="M857" t="s">
        <v>1036</v>
      </c>
      <c r="N857" t="s">
        <v>112</v>
      </c>
      <c r="O857" t="s">
        <v>112</v>
      </c>
      <c r="P857">
        <v>1</v>
      </c>
      <c r="Q857">
        <v>0</v>
      </c>
      <c r="R857">
        <v>1</v>
      </c>
      <c r="S857">
        <v>33</v>
      </c>
      <c r="T857" t="s">
        <v>166</v>
      </c>
      <c r="U857" t="s">
        <v>152</v>
      </c>
      <c r="V857" t="s">
        <v>153</v>
      </c>
      <c r="W857" t="s">
        <v>154</v>
      </c>
      <c r="X857" t="s">
        <v>119</v>
      </c>
      <c r="Y857" t="s">
        <v>112</v>
      </c>
      <c r="Z857" t="s">
        <v>166</v>
      </c>
      <c r="AA857" t="s">
        <v>152</v>
      </c>
      <c r="AB857" t="s">
        <v>153</v>
      </c>
      <c r="AC857" t="s">
        <v>154</v>
      </c>
      <c r="AD857" t="s">
        <v>119</v>
      </c>
      <c r="AE857" t="s">
        <v>112</v>
      </c>
      <c r="AF857" t="s">
        <v>121</v>
      </c>
      <c r="AG857" t="s">
        <v>122</v>
      </c>
      <c r="AH857">
        <v>4040294.86</v>
      </c>
      <c r="AI857" t="s">
        <v>166</v>
      </c>
      <c r="AJ857" t="s">
        <v>152</v>
      </c>
      <c r="AK857" t="s">
        <v>153</v>
      </c>
      <c r="AL857" t="s">
        <v>154</v>
      </c>
      <c r="AM857" t="s">
        <v>119</v>
      </c>
      <c r="AN857" t="s">
        <v>112</v>
      </c>
      <c r="AO857" t="s">
        <v>121</v>
      </c>
      <c r="AP857" t="s">
        <v>122</v>
      </c>
      <c r="AQ857" t="s">
        <v>122</v>
      </c>
      <c r="AR857" t="s">
        <v>124</v>
      </c>
      <c r="AS857" t="s">
        <v>125</v>
      </c>
      <c r="AT857">
        <v>2</v>
      </c>
      <c r="AU857" t="s">
        <v>126</v>
      </c>
      <c r="AV857" t="s">
        <v>155</v>
      </c>
      <c r="AW857" t="s">
        <v>156</v>
      </c>
      <c r="AX857">
        <v>1</v>
      </c>
      <c r="AY857" t="s">
        <v>129</v>
      </c>
      <c r="AZ857">
        <v>41556.32</v>
      </c>
      <c r="BA857">
        <v>3619597</v>
      </c>
      <c r="BB857">
        <v>49956.91</v>
      </c>
      <c r="BC857">
        <v>87.100999999999999</v>
      </c>
      <c r="BD857" t="s">
        <v>130</v>
      </c>
      <c r="BE857" t="s">
        <v>112</v>
      </c>
      <c r="BF857" t="s">
        <v>157</v>
      </c>
      <c r="BG857" t="s">
        <v>133</v>
      </c>
      <c r="BH857" t="s">
        <v>134</v>
      </c>
      <c r="BI857" t="s">
        <v>112</v>
      </c>
      <c r="BJ857" t="s">
        <v>112</v>
      </c>
      <c r="BK857" t="s">
        <v>112</v>
      </c>
      <c r="BL857" t="s">
        <v>169</v>
      </c>
      <c r="BM857" t="s">
        <v>159</v>
      </c>
      <c r="BN857" t="s">
        <v>722</v>
      </c>
      <c r="BO857" t="s">
        <v>161</v>
      </c>
      <c r="BP857">
        <v>1</v>
      </c>
      <c r="BQ857" t="s">
        <v>162</v>
      </c>
      <c r="BR857" s="45">
        <f>ISNUMBER(SEARCH($BR$1,Таблица1[[#This Row],[31_1 Описание и характеристика товара]]))*1</f>
        <v>1</v>
      </c>
      <c r="BT857" t="s">
        <v>150</v>
      </c>
      <c r="BU857">
        <v>33</v>
      </c>
      <c r="BV857">
        <v>0</v>
      </c>
      <c r="BW857">
        <v>0</v>
      </c>
      <c r="BY857">
        <v>0</v>
      </c>
      <c r="CA857" t="s">
        <v>106</v>
      </c>
      <c r="CB857" t="s">
        <v>142</v>
      </c>
      <c r="CC857" t="s">
        <v>112</v>
      </c>
      <c r="CD857" t="s">
        <v>112</v>
      </c>
      <c r="CE857" t="s">
        <v>121</v>
      </c>
      <c r="CF857">
        <v>16521.34</v>
      </c>
      <c r="CG857" t="s">
        <v>144</v>
      </c>
      <c r="CH857">
        <v>4000000</v>
      </c>
      <c r="CI857">
        <v>16413.34</v>
      </c>
      <c r="CJ857">
        <v>0</v>
      </c>
      <c r="CK857" t="s">
        <v>112</v>
      </c>
      <c r="CL857" t="s">
        <v>112</v>
      </c>
      <c r="CM857">
        <v>41556.32</v>
      </c>
      <c r="CN857">
        <v>3619597</v>
      </c>
      <c r="CO857">
        <v>0</v>
      </c>
      <c r="CP857">
        <v>1</v>
      </c>
      <c r="CQ857">
        <v>4040294.86</v>
      </c>
      <c r="CR857">
        <v>49956.91</v>
      </c>
      <c r="CS857" t="s">
        <v>145</v>
      </c>
      <c r="CT857">
        <v>49896.553599999999</v>
      </c>
      <c r="CU857">
        <v>3.04</v>
      </c>
      <c r="CV857">
        <v>45</v>
      </c>
      <c r="CW857" t="s">
        <v>171</v>
      </c>
      <c r="CX857" t="s">
        <v>372</v>
      </c>
      <c r="CY857">
        <v>42</v>
      </c>
    </row>
    <row r="858" spans="1:103" x14ac:dyDescent="0.25">
      <c r="A858" t="s">
        <v>106</v>
      </c>
      <c r="B858" s="38">
        <v>44965</v>
      </c>
      <c r="C858" s="43">
        <f>IF(YEAR(Таблица1[[#This Row],[Дата]])=2023,MONTH(Таблица1[[#This Row],[Дата]]),0)</f>
        <v>2</v>
      </c>
      <c r="D858" t="s">
        <v>1260</v>
      </c>
      <c r="E858" t="s">
        <v>108</v>
      </c>
      <c r="F858" t="s">
        <v>1261</v>
      </c>
      <c r="G858" t="s">
        <v>3244</v>
      </c>
      <c r="H858" t="s">
        <v>111</v>
      </c>
      <c r="I858" t="s">
        <v>112</v>
      </c>
      <c r="J858" t="s">
        <v>112</v>
      </c>
      <c r="K858" t="s">
        <v>112</v>
      </c>
      <c r="L858" t="s">
        <v>150</v>
      </c>
      <c r="M858" t="s">
        <v>1036</v>
      </c>
      <c r="N858" t="s">
        <v>112</v>
      </c>
      <c r="O858" t="s">
        <v>112</v>
      </c>
      <c r="P858">
        <v>1</v>
      </c>
      <c r="Q858">
        <v>0</v>
      </c>
      <c r="R858">
        <v>1</v>
      </c>
      <c r="S858">
        <v>33</v>
      </c>
      <c r="T858" t="s">
        <v>166</v>
      </c>
      <c r="U858" t="s">
        <v>152</v>
      </c>
      <c r="V858" t="s">
        <v>153</v>
      </c>
      <c r="W858" t="s">
        <v>154</v>
      </c>
      <c r="X858" t="s">
        <v>119</v>
      </c>
      <c r="Y858" t="s">
        <v>112</v>
      </c>
      <c r="Z858" t="s">
        <v>166</v>
      </c>
      <c r="AA858" t="s">
        <v>152</v>
      </c>
      <c r="AB858" t="s">
        <v>153</v>
      </c>
      <c r="AC858" t="s">
        <v>154</v>
      </c>
      <c r="AD858" t="s">
        <v>119</v>
      </c>
      <c r="AE858" t="s">
        <v>112</v>
      </c>
      <c r="AF858" t="s">
        <v>121</v>
      </c>
      <c r="AG858" t="s">
        <v>122</v>
      </c>
      <c r="AH858">
        <v>3983955.32</v>
      </c>
      <c r="AI858" t="s">
        <v>166</v>
      </c>
      <c r="AJ858" t="s">
        <v>152</v>
      </c>
      <c r="AK858" t="s">
        <v>153</v>
      </c>
      <c r="AL858" t="s">
        <v>154</v>
      </c>
      <c r="AM858" t="s">
        <v>119</v>
      </c>
      <c r="AN858" t="s">
        <v>112</v>
      </c>
      <c r="AO858" t="s">
        <v>121</v>
      </c>
      <c r="AP858" t="s">
        <v>122</v>
      </c>
      <c r="AQ858" t="s">
        <v>122</v>
      </c>
      <c r="AR858" t="s">
        <v>124</v>
      </c>
      <c r="AS858" t="s">
        <v>125</v>
      </c>
      <c r="AT858">
        <v>2</v>
      </c>
      <c r="AU858" t="s">
        <v>126</v>
      </c>
      <c r="AV858" t="s">
        <v>155</v>
      </c>
      <c r="AW858" t="s">
        <v>156</v>
      </c>
      <c r="AX858">
        <v>1</v>
      </c>
      <c r="AY858" t="s">
        <v>129</v>
      </c>
      <c r="AZ858">
        <v>41089.49</v>
      </c>
      <c r="BA858">
        <v>3578936</v>
      </c>
      <c r="BB858">
        <v>49260.29</v>
      </c>
      <c r="BC858">
        <v>87.100999999999999</v>
      </c>
      <c r="BD858" t="s">
        <v>130</v>
      </c>
      <c r="BE858" t="s">
        <v>112</v>
      </c>
      <c r="BF858" t="s">
        <v>157</v>
      </c>
      <c r="BG858" t="s">
        <v>133</v>
      </c>
      <c r="BH858" t="s">
        <v>134</v>
      </c>
      <c r="BI858" t="s">
        <v>112</v>
      </c>
      <c r="BJ858" t="s">
        <v>112</v>
      </c>
      <c r="BK858" t="s">
        <v>112</v>
      </c>
      <c r="BL858" t="s">
        <v>169</v>
      </c>
      <c r="BM858" t="s">
        <v>159</v>
      </c>
      <c r="BN858" t="s">
        <v>722</v>
      </c>
      <c r="BO858" t="s">
        <v>161</v>
      </c>
      <c r="BP858">
        <v>1</v>
      </c>
      <c r="BQ858" t="s">
        <v>1262</v>
      </c>
      <c r="BR858" s="45">
        <f>ISNUMBER(SEARCH($BR$1,Таблица1[[#This Row],[31_1 Описание и характеристика товара]]))*1</f>
        <v>1</v>
      </c>
      <c r="BT858" t="s">
        <v>150</v>
      </c>
      <c r="BU858">
        <v>33</v>
      </c>
      <c r="BV858">
        <v>0</v>
      </c>
      <c r="BW858">
        <v>0</v>
      </c>
      <c r="BY858">
        <v>0</v>
      </c>
      <c r="CA858" t="s">
        <v>106</v>
      </c>
      <c r="CB858" t="s">
        <v>142</v>
      </c>
      <c r="CC858" t="s">
        <v>112</v>
      </c>
      <c r="CD858" t="s">
        <v>112</v>
      </c>
      <c r="CE858" t="s">
        <v>121</v>
      </c>
      <c r="CF858">
        <v>17004.45</v>
      </c>
      <c r="CG858" t="s">
        <v>144</v>
      </c>
      <c r="CH858">
        <v>4000000</v>
      </c>
      <c r="CI858">
        <v>17004.45</v>
      </c>
      <c r="CJ858">
        <v>0</v>
      </c>
      <c r="CK858" t="s">
        <v>112</v>
      </c>
      <c r="CL858" t="s">
        <v>112</v>
      </c>
      <c r="CM858">
        <v>41089.49</v>
      </c>
      <c r="CN858">
        <v>3578936</v>
      </c>
      <c r="CO858">
        <v>0</v>
      </c>
      <c r="CP858">
        <v>1</v>
      </c>
      <c r="CQ858">
        <v>3983955.32</v>
      </c>
      <c r="CR858">
        <v>49260.29</v>
      </c>
      <c r="CS858" t="s">
        <v>145</v>
      </c>
      <c r="CT858">
        <v>49312.904999999999</v>
      </c>
      <c r="CU858">
        <v>2.9</v>
      </c>
      <c r="CV858">
        <v>45</v>
      </c>
      <c r="CW858" t="s">
        <v>171</v>
      </c>
      <c r="CX858" t="s">
        <v>463</v>
      </c>
      <c r="CY858">
        <v>68</v>
      </c>
    </row>
    <row r="859" spans="1:103" x14ac:dyDescent="0.25">
      <c r="A859" t="s">
        <v>106</v>
      </c>
      <c r="B859" s="38">
        <v>44930</v>
      </c>
      <c r="C859" s="43">
        <f>IF(YEAR(Таблица1[[#This Row],[Дата]])=2023,MONTH(Таблица1[[#This Row],[Дата]]),0)</f>
        <v>1</v>
      </c>
      <c r="D859" t="s">
        <v>1124</v>
      </c>
      <c r="E859" t="s">
        <v>108</v>
      </c>
      <c r="F859" t="s">
        <v>1125</v>
      </c>
      <c r="G859" t="s">
        <v>3244</v>
      </c>
      <c r="H859" t="s">
        <v>111</v>
      </c>
      <c r="I859" t="s">
        <v>112</v>
      </c>
      <c r="J859" t="s">
        <v>112</v>
      </c>
      <c r="K859" t="s">
        <v>112</v>
      </c>
      <c r="L859" t="s">
        <v>150</v>
      </c>
      <c r="M859" t="s">
        <v>1103</v>
      </c>
      <c r="N859" t="s">
        <v>112</v>
      </c>
      <c r="O859" t="s">
        <v>112</v>
      </c>
      <c r="P859">
        <v>1</v>
      </c>
      <c r="Q859">
        <v>0</v>
      </c>
      <c r="R859">
        <v>1</v>
      </c>
      <c r="S859">
        <v>33</v>
      </c>
      <c r="T859" t="s">
        <v>166</v>
      </c>
      <c r="U859" t="s">
        <v>152</v>
      </c>
      <c r="V859" t="s">
        <v>153</v>
      </c>
      <c r="W859" t="s">
        <v>154</v>
      </c>
      <c r="X859" t="s">
        <v>119</v>
      </c>
      <c r="Y859" t="s">
        <v>112</v>
      </c>
      <c r="Z859" t="s">
        <v>166</v>
      </c>
      <c r="AA859" t="s">
        <v>152</v>
      </c>
      <c r="AB859" t="s">
        <v>153</v>
      </c>
      <c r="AC859" t="s">
        <v>154</v>
      </c>
      <c r="AD859" t="s">
        <v>119</v>
      </c>
      <c r="AE859" t="s">
        <v>112</v>
      </c>
      <c r="AF859" t="s">
        <v>121</v>
      </c>
      <c r="AG859" t="s">
        <v>122</v>
      </c>
      <c r="AH859">
        <v>3723421.76</v>
      </c>
      <c r="AI859" t="s">
        <v>166</v>
      </c>
      <c r="AJ859" t="s">
        <v>152</v>
      </c>
      <c r="AK859" t="s">
        <v>153</v>
      </c>
      <c r="AL859" t="s">
        <v>154</v>
      </c>
      <c r="AM859" t="s">
        <v>119</v>
      </c>
      <c r="AN859" t="s">
        <v>112</v>
      </c>
      <c r="AO859" t="s">
        <v>121</v>
      </c>
      <c r="AP859" t="s">
        <v>122</v>
      </c>
      <c r="AQ859" t="s">
        <v>122</v>
      </c>
      <c r="AR859" t="s">
        <v>124</v>
      </c>
      <c r="AS859" t="s">
        <v>125</v>
      </c>
      <c r="AT859">
        <v>2</v>
      </c>
      <c r="AU859" t="s">
        <v>126</v>
      </c>
      <c r="AV859" t="s">
        <v>155</v>
      </c>
      <c r="AW859" t="s">
        <v>156</v>
      </c>
      <c r="AX859">
        <v>1</v>
      </c>
      <c r="AY859" t="s">
        <v>129</v>
      </c>
      <c r="AZ859">
        <v>37948.639999999999</v>
      </c>
      <c r="BA859">
        <v>3301479</v>
      </c>
      <c r="BB859">
        <v>47363.4</v>
      </c>
      <c r="BC859">
        <v>86.998599999999996</v>
      </c>
      <c r="BD859" t="s">
        <v>130</v>
      </c>
      <c r="BE859" t="s">
        <v>112</v>
      </c>
      <c r="BF859" t="s">
        <v>157</v>
      </c>
      <c r="BG859" t="s">
        <v>133</v>
      </c>
      <c r="BH859" t="s">
        <v>134</v>
      </c>
      <c r="BI859" t="s">
        <v>112</v>
      </c>
      <c r="BJ859" t="s">
        <v>112</v>
      </c>
      <c r="BK859" t="s">
        <v>112</v>
      </c>
      <c r="BL859" t="s">
        <v>169</v>
      </c>
      <c r="BM859" t="s">
        <v>159</v>
      </c>
      <c r="BN859" t="s">
        <v>722</v>
      </c>
      <c r="BO859" t="s">
        <v>161</v>
      </c>
      <c r="BP859">
        <v>1</v>
      </c>
      <c r="BQ859" t="s">
        <v>579</v>
      </c>
      <c r="BR859" s="45">
        <f>ISNUMBER(SEARCH($BR$1,Таблица1[[#This Row],[31_1 Описание и характеристика товара]]))*1</f>
        <v>1</v>
      </c>
      <c r="BT859" t="s">
        <v>150</v>
      </c>
      <c r="BU859">
        <v>33</v>
      </c>
      <c r="BV859">
        <v>0</v>
      </c>
      <c r="BW859">
        <v>0</v>
      </c>
      <c r="BY859">
        <v>0</v>
      </c>
      <c r="CA859" t="s">
        <v>106</v>
      </c>
      <c r="CB859" t="s">
        <v>142</v>
      </c>
      <c r="CC859" t="s">
        <v>112</v>
      </c>
      <c r="CD859" t="s">
        <v>112</v>
      </c>
      <c r="CE859" t="s">
        <v>121</v>
      </c>
      <c r="CF859">
        <v>16672.95</v>
      </c>
      <c r="CG859" t="s">
        <v>144</v>
      </c>
      <c r="CH859">
        <v>4000000</v>
      </c>
      <c r="CI859">
        <v>16586.55</v>
      </c>
      <c r="CJ859">
        <v>0</v>
      </c>
      <c r="CK859" t="s">
        <v>112</v>
      </c>
      <c r="CL859" t="s">
        <v>112</v>
      </c>
      <c r="CM859">
        <v>37948.639999999999</v>
      </c>
      <c r="CN859">
        <v>3301479</v>
      </c>
      <c r="CO859">
        <v>0</v>
      </c>
      <c r="CP859">
        <v>1</v>
      </c>
      <c r="CQ859">
        <v>3723421.76</v>
      </c>
      <c r="CR859">
        <v>47363.4</v>
      </c>
      <c r="CS859" t="s">
        <v>145</v>
      </c>
      <c r="CT859">
        <v>47362.893524999999</v>
      </c>
      <c r="CU859">
        <v>2.8555000000000001</v>
      </c>
      <c r="CV859">
        <v>45</v>
      </c>
      <c r="CW859" t="s">
        <v>171</v>
      </c>
      <c r="CX859" t="s">
        <v>372</v>
      </c>
      <c r="CY859">
        <v>182</v>
      </c>
    </row>
    <row r="860" spans="1:103" x14ac:dyDescent="0.25">
      <c r="A860" t="s">
        <v>106</v>
      </c>
      <c r="B860" s="38">
        <v>45021</v>
      </c>
      <c r="C860" s="43">
        <f>IF(YEAR(Таблица1[[#This Row],[Дата]])=2023,MONTH(Таблица1[[#This Row],[Дата]]),0)</f>
        <v>4</v>
      </c>
      <c r="D860" t="s">
        <v>1132</v>
      </c>
      <c r="E860" t="s">
        <v>108</v>
      </c>
      <c r="F860" t="s">
        <v>1133</v>
      </c>
      <c r="G860" t="s">
        <v>3244</v>
      </c>
      <c r="H860" t="s">
        <v>111</v>
      </c>
      <c r="I860" t="s">
        <v>112</v>
      </c>
      <c r="J860" t="s">
        <v>112</v>
      </c>
      <c r="K860" t="s">
        <v>112</v>
      </c>
      <c r="L860" t="s">
        <v>150</v>
      </c>
      <c r="M860" t="s">
        <v>1103</v>
      </c>
      <c r="N860" t="s">
        <v>112</v>
      </c>
      <c r="O860" t="s">
        <v>112</v>
      </c>
      <c r="P860">
        <v>1</v>
      </c>
      <c r="Q860">
        <v>0</v>
      </c>
      <c r="R860">
        <v>1</v>
      </c>
      <c r="S860">
        <v>33</v>
      </c>
      <c r="T860" t="s">
        <v>166</v>
      </c>
      <c r="U860" t="s">
        <v>152</v>
      </c>
      <c r="V860" t="s">
        <v>153</v>
      </c>
      <c r="W860" t="s">
        <v>154</v>
      </c>
      <c r="X860" t="s">
        <v>119</v>
      </c>
      <c r="Y860" t="s">
        <v>112</v>
      </c>
      <c r="Z860" t="s">
        <v>166</v>
      </c>
      <c r="AA860" t="s">
        <v>152</v>
      </c>
      <c r="AB860" t="s">
        <v>153</v>
      </c>
      <c r="AC860" t="s">
        <v>154</v>
      </c>
      <c r="AD860" t="s">
        <v>119</v>
      </c>
      <c r="AE860" t="s">
        <v>112</v>
      </c>
      <c r="AF860" t="s">
        <v>121</v>
      </c>
      <c r="AG860" t="s">
        <v>122</v>
      </c>
      <c r="AH860">
        <v>4196132.13</v>
      </c>
      <c r="AI860" t="s">
        <v>166</v>
      </c>
      <c r="AJ860" t="s">
        <v>152</v>
      </c>
      <c r="AK860" t="s">
        <v>153</v>
      </c>
      <c r="AL860" t="s">
        <v>154</v>
      </c>
      <c r="AM860" t="s">
        <v>119</v>
      </c>
      <c r="AN860" t="s">
        <v>112</v>
      </c>
      <c r="AO860" t="s">
        <v>121</v>
      </c>
      <c r="AP860" t="s">
        <v>122</v>
      </c>
      <c r="AQ860" t="s">
        <v>122</v>
      </c>
      <c r="AR860" t="s">
        <v>124</v>
      </c>
      <c r="AS860" t="s">
        <v>125</v>
      </c>
      <c r="AT860">
        <v>2</v>
      </c>
      <c r="AU860" t="s">
        <v>126</v>
      </c>
      <c r="AV860" t="s">
        <v>155</v>
      </c>
      <c r="AW860" t="s">
        <v>156</v>
      </c>
      <c r="AX860">
        <v>1</v>
      </c>
      <c r="AY860" t="s">
        <v>129</v>
      </c>
      <c r="AZ860">
        <v>43882.18</v>
      </c>
      <c r="BA860">
        <v>3817688</v>
      </c>
      <c r="BB860">
        <v>53376.47</v>
      </c>
      <c r="BC860">
        <v>86.998599999999996</v>
      </c>
      <c r="BD860" t="s">
        <v>130</v>
      </c>
      <c r="BE860" t="s">
        <v>112</v>
      </c>
      <c r="BF860" t="s">
        <v>157</v>
      </c>
      <c r="BG860" t="s">
        <v>133</v>
      </c>
      <c r="BH860" t="s">
        <v>134</v>
      </c>
      <c r="BI860" t="s">
        <v>112</v>
      </c>
      <c r="BJ860" t="s">
        <v>112</v>
      </c>
      <c r="BK860" t="s">
        <v>112</v>
      </c>
      <c r="BL860" t="s">
        <v>169</v>
      </c>
      <c r="BM860" t="s">
        <v>159</v>
      </c>
      <c r="BN860" t="s">
        <v>722</v>
      </c>
      <c r="BO860" t="s">
        <v>161</v>
      </c>
      <c r="BP860">
        <v>1</v>
      </c>
      <c r="BQ860" t="s">
        <v>1134</v>
      </c>
      <c r="BR860" s="45">
        <f>ISNUMBER(SEARCH($BR$1,Таблица1[[#This Row],[31_1 Описание и характеристика товара]]))*1</f>
        <v>1</v>
      </c>
      <c r="BT860" t="s">
        <v>150</v>
      </c>
      <c r="BU860">
        <v>33</v>
      </c>
      <c r="BV860">
        <v>0</v>
      </c>
      <c r="BW860">
        <v>0</v>
      </c>
      <c r="BY860">
        <v>0</v>
      </c>
      <c r="CA860" t="s">
        <v>106</v>
      </c>
      <c r="CB860" t="s">
        <v>142</v>
      </c>
      <c r="CC860" t="s">
        <v>112</v>
      </c>
      <c r="CD860" t="s">
        <v>112</v>
      </c>
      <c r="CE860" t="s">
        <v>121</v>
      </c>
      <c r="CF860">
        <v>16105.79</v>
      </c>
      <c r="CG860" t="s">
        <v>144</v>
      </c>
      <c r="CH860">
        <v>4000000</v>
      </c>
      <c r="CI860">
        <v>16015.79</v>
      </c>
      <c r="CJ860">
        <v>0</v>
      </c>
      <c r="CK860" t="s">
        <v>112</v>
      </c>
      <c r="CL860" t="s">
        <v>112</v>
      </c>
      <c r="CM860">
        <v>43882.18</v>
      </c>
      <c r="CN860">
        <v>3817688</v>
      </c>
      <c r="CO860">
        <v>0</v>
      </c>
      <c r="CP860">
        <v>1</v>
      </c>
      <c r="CQ860">
        <v>4196132.13</v>
      </c>
      <c r="CR860">
        <v>53376.47</v>
      </c>
      <c r="CS860" t="s">
        <v>145</v>
      </c>
      <c r="CT860">
        <v>53375.823333</v>
      </c>
      <c r="CU860">
        <v>3.3327</v>
      </c>
      <c r="CV860">
        <v>45</v>
      </c>
      <c r="CW860" t="s">
        <v>171</v>
      </c>
      <c r="CX860" t="s">
        <v>350</v>
      </c>
      <c r="CY860">
        <v>54</v>
      </c>
    </row>
    <row r="861" spans="1:103" x14ac:dyDescent="0.25">
      <c r="A861" t="s">
        <v>106</v>
      </c>
      <c r="B861" s="38">
        <v>45028</v>
      </c>
      <c r="C861" s="43">
        <f>IF(YEAR(Таблица1[[#This Row],[Дата]])=2023,MONTH(Таблица1[[#This Row],[Дата]]),0)</f>
        <v>4</v>
      </c>
      <c r="D861" t="s">
        <v>1128</v>
      </c>
      <c r="E861" t="s">
        <v>108</v>
      </c>
      <c r="F861" t="s">
        <v>1129</v>
      </c>
      <c r="G861" t="s">
        <v>3244</v>
      </c>
      <c r="H861" t="s">
        <v>111</v>
      </c>
      <c r="I861" t="s">
        <v>112</v>
      </c>
      <c r="J861" t="s">
        <v>112</v>
      </c>
      <c r="K861" t="s">
        <v>112</v>
      </c>
      <c r="L861" t="s">
        <v>150</v>
      </c>
      <c r="M861" t="s">
        <v>1103</v>
      </c>
      <c r="N861" t="s">
        <v>112</v>
      </c>
      <c r="O861" t="s">
        <v>112</v>
      </c>
      <c r="P861">
        <v>1</v>
      </c>
      <c r="Q861">
        <v>0</v>
      </c>
      <c r="R861">
        <v>1</v>
      </c>
      <c r="S861">
        <v>33</v>
      </c>
      <c r="T861" t="s">
        <v>166</v>
      </c>
      <c r="U861" t="s">
        <v>152</v>
      </c>
      <c r="V861" t="s">
        <v>153</v>
      </c>
      <c r="W861" t="s">
        <v>154</v>
      </c>
      <c r="X861" t="s">
        <v>119</v>
      </c>
      <c r="Y861" t="s">
        <v>112</v>
      </c>
      <c r="Z861" t="s">
        <v>166</v>
      </c>
      <c r="AA861" t="s">
        <v>152</v>
      </c>
      <c r="AB861" t="s">
        <v>153</v>
      </c>
      <c r="AC861" t="s">
        <v>154</v>
      </c>
      <c r="AD861" t="s">
        <v>119</v>
      </c>
      <c r="AE861" t="s">
        <v>112</v>
      </c>
      <c r="AF861" t="s">
        <v>121</v>
      </c>
      <c r="AG861" t="s">
        <v>122</v>
      </c>
      <c r="AH861">
        <v>3730768.79</v>
      </c>
      <c r="AI861" t="s">
        <v>166</v>
      </c>
      <c r="AJ861" t="s">
        <v>152</v>
      </c>
      <c r="AK861" t="s">
        <v>153</v>
      </c>
      <c r="AL861" t="s">
        <v>154</v>
      </c>
      <c r="AM861" t="s">
        <v>119</v>
      </c>
      <c r="AN861" t="s">
        <v>112</v>
      </c>
      <c r="AO861" t="s">
        <v>121</v>
      </c>
      <c r="AP861" t="s">
        <v>122</v>
      </c>
      <c r="AQ861" t="s">
        <v>122</v>
      </c>
      <c r="AR861" t="s">
        <v>124</v>
      </c>
      <c r="AS861" t="s">
        <v>125</v>
      </c>
      <c r="AT861">
        <v>2</v>
      </c>
      <c r="AU861" t="s">
        <v>126</v>
      </c>
      <c r="AV861" t="s">
        <v>155</v>
      </c>
      <c r="AW861" t="s">
        <v>156</v>
      </c>
      <c r="AX861">
        <v>1</v>
      </c>
      <c r="AY861" t="s">
        <v>129</v>
      </c>
      <c r="AZ861">
        <v>38533.089999999997</v>
      </c>
      <c r="BA861">
        <v>3352325</v>
      </c>
      <c r="BB861">
        <v>47456.86</v>
      </c>
      <c r="BC861">
        <v>86.998599999999996</v>
      </c>
      <c r="BD861" t="s">
        <v>130</v>
      </c>
      <c r="BE861" t="s">
        <v>112</v>
      </c>
      <c r="BF861" t="s">
        <v>157</v>
      </c>
      <c r="BG861" t="s">
        <v>133</v>
      </c>
      <c r="BH861" t="s">
        <v>167</v>
      </c>
      <c r="BI861" t="s">
        <v>168</v>
      </c>
      <c r="BJ861" t="s">
        <v>112</v>
      </c>
      <c r="BK861" t="s">
        <v>112</v>
      </c>
      <c r="BL861" t="s">
        <v>169</v>
      </c>
      <c r="BM861" t="s">
        <v>159</v>
      </c>
      <c r="BN861" t="s">
        <v>726</v>
      </c>
      <c r="BO861" t="s">
        <v>161</v>
      </c>
      <c r="BP861">
        <v>1</v>
      </c>
      <c r="BQ861" t="s">
        <v>1967</v>
      </c>
      <c r="BR861" s="45">
        <f>ISNUMBER(SEARCH($BR$1,Таблица1[[#This Row],[31_1 Описание и характеристика товара]]))*1</f>
        <v>1</v>
      </c>
      <c r="BT861" t="s">
        <v>150</v>
      </c>
      <c r="BU861">
        <v>33</v>
      </c>
      <c r="BV861">
        <v>0</v>
      </c>
      <c r="BW861">
        <v>0</v>
      </c>
      <c r="BY861">
        <v>0</v>
      </c>
      <c r="CA861" t="s">
        <v>106</v>
      </c>
      <c r="CB861" t="s">
        <v>142</v>
      </c>
      <c r="CC861" t="s">
        <v>112</v>
      </c>
      <c r="CD861" t="s">
        <v>112</v>
      </c>
      <c r="CE861" t="s">
        <v>121</v>
      </c>
      <c r="CF861">
        <v>16189.26</v>
      </c>
      <c r="CG861" t="s">
        <v>144</v>
      </c>
      <c r="CH861">
        <v>4000000</v>
      </c>
      <c r="CI861">
        <v>16016.46</v>
      </c>
      <c r="CJ861">
        <v>0</v>
      </c>
      <c r="CK861" t="s">
        <v>112</v>
      </c>
      <c r="CL861" t="s">
        <v>112</v>
      </c>
      <c r="CM861">
        <v>38533.089999999997</v>
      </c>
      <c r="CN861">
        <v>3352325</v>
      </c>
      <c r="CO861">
        <v>0</v>
      </c>
      <c r="CP861">
        <v>1</v>
      </c>
      <c r="CQ861">
        <v>3730768.79</v>
      </c>
      <c r="CR861">
        <v>47456.86</v>
      </c>
      <c r="CS861" t="s">
        <v>145</v>
      </c>
      <c r="CT861">
        <v>47456.770980000001</v>
      </c>
      <c r="CU861">
        <v>2.9630000000000001</v>
      </c>
      <c r="CV861">
        <v>45</v>
      </c>
      <c r="CW861" t="s">
        <v>171</v>
      </c>
      <c r="CX861" t="s">
        <v>369</v>
      </c>
      <c r="CY861">
        <v>75</v>
      </c>
    </row>
    <row r="862" spans="1:103" x14ac:dyDescent="0.25">
      <c r="A862" t="s">
        <v>106</v>
      </c>
      <c r="B862" s="38">
        <v>45148</v>
      </c>
      <c r="C862" s="43">
        <f>IF(YEAR(Таблица1[[#This Row],[Дата]])=2023,MONTH(Таблица1[[#This Row],[Дата]]),0)</f>
        <v>8</v>
      </c>
      <c r="D862" t="s">
        <v>1004</v>
      </c>
      <c r="E862" t="s">
        <v>108</v>
      </c>
      <c r="F862" t="s">
        <v>1005</v>
      </c>
      <c r="G862" t="s">
        <v>3244</v>
      </c>
      <c r="H862" t="s">
        <v>111</v>
      </c>
      <c r="I862" t="s">
        <v>112</v>
      </c>
      <c r="J862" t="s">
        <v>112</v>
      </c>
      <c r="K862" t="s">
        <v>112</v>
      </c>
      <c r="L862" t="s">
        <v>150</v>
      </c>
      <c r="M862" t="s">
        <v>151</v>
      </c>
      <c r="N862" t="s">
        <v>112</v>
      </c>
      <c r="O862" t="s">
        <v>112</v>
      </c>
      <c r="P862">
        <v>1</v>
      </c>
      <c r="Q862">
        <v>0</v>
      </c>
      <c r="R862">
        <v>1</v>
      </c>
      <c r="S862">
        <v>33</v>
      </c>
      <c r="T862" t="s">
        <v>166</v>
      </c>
      <c r="U862" t="s">
        <v>152</v>
      </c>
      <c r="V862" t="s">
        <v>153</v>
      </c>
      <c r="W862" t="s">
        <v>154</v>
      </c>
      <c r="X862" t="s">
        <v>119</v>
      </c>
      <c r="Y862" t="s">
        <v>112</v>
      </c>
      <c r="Z862" t="s">
        <v>166</v>
      </c>
      <c r="AA862" t="s">
        <v>152</v>
      </c>
      <c r="AB862" t="s">
        <v>153</v>
      </c>
      <c r="AC862" t="s">
        <v>154</v>
      </c>
      <c r="AD862" t="s">
        <v>119</v>
      </c>
      <c r="AE862" t="s">
        <v>112</v>
      </c>
      <c r="AF862" t="s">
        <v>121</v>
      </c>
      <c r="AG862" t="s">
        <v>122</v>
      </c>
      <c r="AH862">
        <v>4012702.08</v>
      </c>
      <c r="AI862" t="s">
        <v>166</v>
      </c>
      <c r="AJ862" t="s">
        <v>152</v>
      </c>
      <c r="AK862" t="s">
        <v>153</v>
      </c>
      <c r="AL862" t="s">
        <v>154</v>
      </c>
      <c r="AM862" t="s">
        <v>119</v>
      </c>
      <c r="AN862" t="s">
        <v>112</v>
      </c>
      <c r="AO862" t="s">
        <v>121</v>
      </c>
      <c r="AP862" t="s">
        <v>122</v>
      </c>
      <c r="AQ862" t="s">
        <v>122</v>
      </c>
      <c r="AR862" t="s">
        <v>124</v>
      </c>
      <c r="AS862" t="s">
        <v>125</v>
      </c>
      <c r="AT862">
        <v>2</v>
      </c>
      <c r="AU862" t="s">
        <v>126</v>
      </c>
      <c r="AV862" t="s">
        <v>155</v>
      </c>
      <c r="AW862" t="s">
        <v>156</v>
      </c>
      <c r="AX862">
        <v>1</v>
      </c>
      <c r="AY862" t="s">
        <v>129</v>
      </c>
      <c r="AZ862">
        <v>41921.56</v>
      </c>
      <c r="BA862">
        <v>3635467</v>
      </c>
      <c r="BB862">
        <v>50565.64</v>
      </c>
      <c r="BC862">
        <v>86.720699999999994</v>
      </c>
      <c r="BD862" t="s">
        <v>130</v>
      </c>
      <c r="BE862" t="s">
        <v>112</v>
      </c>
      <c r="BF862" t="s">
        <v>157</v>
      </c>
      <c r="BG862" t="s">
        <v>133</v>
      </c>
      <c r="BH862" t="s">
        <v>134</v>
      </c>
      <c r="BI862" t="s">
        <v>112</v>
      </c>
      <c r="BJ862" t="s">
        <v>112</v>
      </c>
      <c r="BK862" t="s">
        <v>112</v>
      </c>
      <c r="BL862" t="s">
        <v>169</v>
      </c>
      <c r="BM862" t="s">
        <v>159</v>
      </c>
      <c r="BN862" t="s">
        <v>722</v>
      </c>
      <c r="BO862" t="s">
        <v>161</v>
      </c>
      <c r="BP862">
        <v>1</v>
      </c>
      <c r="BQ862" t="s">
        <v>205</v>
      </c>
      <c r="BR862" s="45">
        <f>ISNUMBER(SEARCH($BR$1,Таблица1[[#This Row],[31_1 Описание и характеристика товара]]))*1</f>
        <v>1</v>
      </c>
      <c r="BT862" t="s">
        <v>150</v>
      </c>
      <c r="BU862">
        <v>33</v>
      </c>
      <c r="BV862">
        <v>0</v>
      </c>
      <c r="BW862">
        <v>0</v>
      </c>
      <c r="BY862">
        <v>0</v>
      </c>
      <c r="CA862" t="s">
        <v>106</v>
      </c>
      <c r="CB862" t="s">
        <v>142</v>
      </c>
      <c r="CC862" t="s">
        <v>112</v>
      </c>
      <c r="CD862" t="s">
        <v>112</v>
      </c>
      <c r="CE862" t="s">
        <v>121</v>
      </c>
      <c r="CF862">
        <v>16436.21</v>
      </c>
      <c r="CG862" t="s">
        <v>144</v>
      </c>
      <c r="CH862">
        <v>4000000</v>
      </c>
      <c r="CI862">
        <v>16349.81</v>
      </c>
      <c r="CJ862">
        <v>0</v>
      </c>
      <c r="CK862" t="s">
        <v>112</v>
      </c>
      <c r="CL862" t="s">
        <v>112</v>
      </c>
      <c r="CM862">
        <v>41921.56</v>
      </c>
      <c r="CN862">
        <v>3635467</v>
      </c>
      <c r="CO862">
        <v>0</v>
      </c>
      <c r="CP862">
        <v>1</v>
      </c>
      <c r="CQ862">
        <v>4012702.08</v>
      </c>
      <c r="CR862">
        <v>50565.64</v>
      </c>
      <c r="CS862" t="s">
        <v>145</v>
      </c>
      <c r="CT862">
        <v>50565.057386999993</v>
      </c>
      <c r="CU862">
        <v>3.0926999999999998</v>
      </c>
      <c r="CV862">
        <v>45</v>
      </c>
      <c r="CW862" t="s">
        <v>171</v>
      </c>
      <c r="CX862" t="s">
        <v>463</v>
      </c>
      <c r="CY862">
        <v>159</v>
      </c>
    </row>
    <row r="863" spans="1:103" x14ac:dyDescent="0.25">
      <c r="A863" t="s">
        <v>106</v>
      </c>
      <c r="B863" s="38">
        <v>44930</v>
      </c>
      <c r="C863" s="43">
        <f>IF(YEAR(Таблица1[[#This Row],[Дата]])=2023,MONTH(Таблица1[[#This Row],[Дата]]),0)</f>
        <v>1</v>
      </c>
      <c r="D863" t="s">
        <v>1002</v>
      </c>
      <c r="E863" t="s">
        <v>108</v>
      </c>
      <c r="F863" t="s">
        <v>1003</v>
      </c>
      <c r="G863" t="s">
        <v>3244</v>
      </c>
      <c r="H863" t="s">
        <v>111</v>
      </c>
      <c r="I863" t="s">
        <v>112</v>
      </c>
      <c r="J863" t="s">
        <v>112</v>
      </c>
      <c r="K863" t="s">
        <v>112</v>
      </c>
      <c r="L863" t="s">
        <v>150</v>
      </c>
      <c r="M863" t="s">
        <v>151</v>
      </c>
      <c r="N863" t="s">
        <v>112</v>
      </c>
      <c r="O863" t="s">
        <v>112</v>
      </c>
      <c r="P863">
        <v>1</v>
      </c>
      <c r="Q863">
        <v>0</v>
      </c>
      <c r="R863">
        <v>1</v>
      </c>
      <c r="S863">
        <v>33</v>
      </c>
      <c r="T863" t="s">
        <v>166</v>
      </c>
      <c r="U863" t="s">
        <v>152</v>
      </c>
      <c r="V863" t="s">
        <v>153</v>
      </c>
      <c r="W863" t="s">
        <v>154</v>
      </c>
      <c r="X863" t="s">
        <v>119</v>
      </c>
      <c r="Y863" t="s">
        <v>112</v>
      </c>
      <c r="Z863" t="s">
        <v>166</v>
      </c>
      <c r="AA863" t="s">
        <v>152</v>
      </c>
      <c r="AB863" t="s">
        <v>153</v>
      </c>
      <c r="AC863" t="s">
        <v>154</v>
      </c>
      <c r="AD863" t="s">
        <v>119</v>
      </c>
      <c r="AE863" t="s">
        <v>112</v>
      </c>
      <c r="AF863" t="s">
        <v>121</v>
      </c>
      <c r="AG863" t="s">
        <v>122</v>
      </c>
      <c r="AH863">
        <v>4065789.02</v>
      </c>
      <c r="AI863" t="s">
        <v>166</v>
      </c>
      <c r="AJ863" t="s">
        <v>152</v>
      </c>
      <c r="AK863" t="s">
        <v>153</v>
      </c>
      <c r="AL863" t="s">
        <v>154</v>
      </c>
      <c r="AM863" t="s">
        <v>119</v>
      </c>
      <c r="AN863" t="s">
        <v>112</v>
      </c>
      <c r="AO863" t="s">
        <v>121</v>
      </c>
      <c r="AP863" t="s">
        <v>122</v>
      </c>
      <c r="AQ863" t="s">
        <v>122</v>
      </c>
      <c r="AR863" t="s">
        <v>124</v>
      </c>
      <c r="AS863" t="s">
        <v>125</v>
      </c>
      <c r="AT863">
        <v>2</v>
      </c>
      <c r="AU863" t="s">
        <v>126</v>
      </c>
      <c r="AV863" t="s">
        <v>155</v>
      </c>
      <c r="AW863" t="s">
        <v>156</v>
      </c>
      <c r="AX863">
        <v>1</v>
      </c>
      <c r="AY863" t="s">
        <v>129</v>
      </c>
      <c r="AZ863">
        <v>42033.72</v>
      </c>
      <c r="BA863">
        <v>3645194</v>
      </c>
      <c r="BB863">
        <v>51234.61</v>
      </c>
      <c r="BC863">
        <v>86.720699999999994</v>
      </c>
      <c r="BD863" t="s">
        <v>130</v>
      </c>
      <c r="BE863" t="s">
        <v>112</v>
      </c>
      <c r="BF863" t="s">
        <v>157</v>
      </c>
      <c r="BG863" t="s">
        <v>133</v>
      </c>
      <c r="BH863" t="s">
        <v>134</v>
      </c>
      <c r="BI863" t="s">
        <v>112</v>
      </c>
      <c r="BJ863" t="s">
        <v>112</v>
      </c>
      <c r="BK863" t="s">
        <v>112</v>
      </c>
      <c r="BL863" t="s">
        <v>169</v>
      </c>
      <c r="BM863" t="s">
        <v>159</v>
      </c>
      <c r="BN863" t="s">
        <v>722</v>
      </c>
      <c r="BO863" t="s">
        <v>161</v>
      </c>
      <c r="BP863">
        <v>1</v>
      </c>
      <c r="BQ863" t="s">
        <v>232</v>
      </c>
      <c r="BR863" s="45">
        <f>ISNUMBER(SEARCH($BR$1,Таблица1[[#This Row],[31_1 Описание и характеристика товара]]))*1</f>
        <v>1</v>
      </c>
      <c r="BT863" t="s">
        <v>150</v>
      </c>
      <c r="BU863">
        <v>33</v>
      </c>
      <c r="BV863">
        <v>0</v>
      </c>
      <c r="BW863">
        <v>0</v>
      </c>
      <c r="BY863">
        <v>0</v>
      </c>
      <c r="CA863" t="s">
        <v>106</v>
      </c>
      <c r="CB863" t="s">
        <v>142</v>
      </c>
      <c r="CC863" t="s">
        <v>112</v>
      </c>
      <c r="CD863" t="s">
        <v>112</v>
      </c>
      <c r="CE863" t="s">
        <v>121</v>
      </c>
      <c r="CF863">
        <v>16667.62</v>
      </c>
      <c r="CG863" t="s">
        <v>144</v>
      </c>
      <c r="CH863">
        <v>4000000</v>
      </c>
      <c r="CI863">
        <v>16521.22</v>
      </c>
      <c r="CJ863">
        <v>0</v>
      </c>
      <c r="CK863" t="s">
        <v>112</v>
      </c>
      <c r="CL863" t="s">
        <v>112</v>
      </c>
      <c r="CM863">
        <v>42033.72</v>
      </c>
      <c r="CN863">
        <v>3645194</v>
      </c>
      <c r="CO863">
        <v>0</v>
      </c>
      <c r="CP863">
        <v>1</v>
      </c>
      <c r="CQ863">
        <v>4065789.02</v>
      </c>
      <c r="CR863">
        <v>51234.61</v>
      </c>
      <c r="CS863" t="s">
        <v>145</v>
      </c>
      <c r="CT863">
        <v>51233.955342000008</v>
      </c>
      <c r="CU863">
        <v>3.1011000000000002</v>
      </c>
      <c r="CV863">
        <v>45</v>
      </c>
      <c r="CW863" t="s">
        <v>171</v>
      </c>
      <c r="CX863" t="s">
        <v>372</v>
      </c>
      <c r="CY863">
        <v>52</v>
      </c>
    </row>
    <row r="864" spans="1:103" x14ac:dyDescent="0.25">
      <c r="A864" t="s">
        <v>106</v>
      </c>
      <c r="B864" s="38">
        <v>44850</v>
      </c>
      <c r="C864" s="43">
        <f>IF(YEAR(Таблица1[[#This Row],[Дата]])=2023,MONTH(Таблица1[[#This Row],[Дата]]),0)</f>
        <v>0</v>
      </c>
      <c r="D864" t="s">
        <v>307</v>
      </c>
      <c r="E864" t="s">
        <v>108</v>
      </c>
      <c r="F864" t="s">
        <v>308</v>
      </c>
      <c r="G864" t="s">
        <v>3244</v>
      </c>
      <c r="H864" t="s">
        <v>111</v>
      </c>
      <c r="I864" t="s">
        <v>112</v>
      </c>
      <c r="J864" t="s">
        <v>112</v>
      </c>
      <c r="K864" t="s">
        <v>112</v>
      </c>
      <c r="L864" t="s">
        <v>175</v>
      </c>
      <c r="M864" t="s">
        <v>176</v>
      </c>
      <c r="N864" t="s">
        <v>112</v>
      </c>
      <c r="O864" t="s">
        <v>112</v>
      </c>
      <c r="P864">
        <v>1</v>
      </c>
      <c r="Q864">
        <v>0</v>
      </c>
      <c r="R864">
        <v>1</v>
      </c>
      <c r="S864">
        <v>33</v>
      </c>
      <c r="T864" t="s">
        <v>166</v>
      </c>
      <c r="U864" t="s">
        <v>152</v>
      </c>
      <c r="V864" t="s">
        <v>153</v>
      </c>
      <c r="W864" t="s">
        <v>177</v>
      </c>
      <c r="X864" t="s">
        <v>119</v>
      </c>
      <c r="Y864" t="s">
        <v>112</v>
      </c>
      <c r="Z864" t="s">
        <v>166</v>
      </c>
      <c r="AA864" t="s">
        <v>152</v>
      </c>
      <c r="AB864" t="s">
        <v>153</v>
      </c>
      <c r="AC864" t="s">
        <v>177</v>
      </c>
      <c r="AD864" t="s">
        <v>119</v>
      </c>
      <c r="AE864" t="s">
        <v>112</v>
      </c>
      <c r="AF864" t="s">
        <v>121</v>
      </c>
      <c r="AG864" t="s">
        <v>122</v>
      </c>
      <c r="AH864">
        <v>3587749.07</v>
      </c>
      <c r="AI864" t="s">
        <v>166</v>
      </c>
      <c r="AJ864" t="s">
        <v>152</v>
      </c>
      <c r="AK864" t="s">
        <v>153</v>
      </c>
      <c r="AL864" t="s">
        <v>177</v>
      </c>
      <c r="AM864" t="s">
        <v>119</v>
      </c>
      <c r="AN864" t="s">
        <v>112</v>
      </c>
      <c r="AO864" t="s">
        <v>121</v>
      </c>
      <c r="AP864" t="s">
        <v>122</v>
      </c>
      <c r="AQ864" t="s">
        <v>122</v>
      </c>
      <c r="AR864" t="s">
        <v>124</v>
      </c>
      <c r="AS864" t="s">
        <v>125</v>
      </c>
      <c r="AT864">
        <v>2</v>
      </c>
      <c r="AU864" t="s">
        <v>106</v>
      </c>
      <c r="AV864" t="s">
        <v>155</v>
      </c>
      <c r="AW864" t="s">
        <v>156</v>
      </c>
      <c r="AX864">
        <v>1</v>
      </c>
      <c r="AY864" t="s">
        <v>129</v>
      </c>
      <c r="AZ864">
        <v>44527.199999999997</v>
      </c>
      <c r="BA864">
        <v>3368719</v>
      </c>
      <c r="BB864">
        <v>51007.63</v>
      </c>
      <c r="BC864">
        <v>75.655299999999997</v>
      </c>
      <c r="BD864" t="s">
        <v>130</v>
      </c>
      <c r="BE864" t="s">
        <v>112</v>
      </c>
      <c r="BF864" t="s">
        <v>157</v>
      </c>
      <c r="BG864" t="s">
        <v>133</v>
      </c>
      <c r="BH864" t="s">
        <v>134</v>
      </c>
      <c r="BI864" t="s">
        <v>112</v>
      </c>
      <c r="BJ864" t="s">
        <v>178</v>
      </c>
      <c r="BK864" t="s">
        <v>112</v>
      </c>
      <c r="BL864" t="s">
        <v>125</v>
      </c>
      <c r="BM864" t="s">
        <v>179</v>
      </c>
      <c r="BN864" t="s">
        <v>180</v>
      </c>
      <c r="BO864" t="s">
        <v>181</v>
      </c>
      <c r="BP864">
        <v>1</v>
      </c>
      <c r="BQ864" t="s">
        <v>309</v>
      </c>
      <c r="BR864" s="45">
        <f>ISNUMBER(SEARCH($BR$1,Таблица1[[#This Row],[31_1 Описание и характеристика товара]]))*1</f>
        <v>1</v>
      </c>
      <c r="BT864" t="s">
        <v>150</v>
      </c>
      <c r="BU864">
        <v>33</v>
      </c>
      <c r="BV864">
        <v>1</v>
      </c>
      <c r="BW864">
        <v>0</v>
      </c>
      <c r="BY864">
        <v>0</v>
      </c>
      <c r="CA864" t="s">
        <v>106</v>
      </c>
      <c r="CB864" t="s">
        <v>142</v>
      </c>
      <c r="CC864" t="s">
        <v>112</v>
      </c>
      <c r="CD864" t="s">
        <v>112</v>
      </c>
      <c r="CE864" t="s">
        <v>121</v>
      </c>
      <c r="CF864">
        <v>16631.150000000001</v>
      </c>
      <c r="CG864" t="s">
        <v>144</v>
      </c>
      <c r="CH864">
        <v>4000000</v>
      </c>
      <c r="CI864">
        <v>16631.150000000001</v>
      </c>
      <c r="CJ864">
        <v>0</v>
      </c>
      <c r="CK864" t="s">
        <v>112</v>
      </c>
      <c r="CL864" t="s">
        <v>112</v>
      </c>
      <c r="CM864">
        <v>44527.199999999997</v>
      </c>
      <c r="CN864">
        <v>3368719</v>
      </c>
      <c r="CO864">
        <v>0</v>
      </c>
      <c r="CP864">
        <v>1</v>
      </c>
      <c r="CQ864">
        <v>3587749.07</v>
      </c>
      <c r="CR864">
        <v>51007.63</v>
      </c>
      <c r="CS864" t="s">
        <v>145</v>
      </c>
      <c r="CT864">
        <v>51007.737050000011</v>
      </c>
      <c r="CU864">
        <v>3.0670000000000002</v>
      </c>
      <c r="CV864">
        <v>941</v>
      </c>
      <c r="CW864" t="s">
        <v>183</v>
      </c>
      <c r="CX864" t="s">
        <v>147</v>
      </c>
      <c r="CY864">
        <v>186</v>
      </c>
    </row>
    <row r="865" spans="1:103" x14ac:dyDescent="0.25">
      <c r="A865" t="s">
        <v>106</v>
      </c>
      <c r="B865" s="38">
        <v>44621</v>
      </c>
      <c r="C865" s="43">
        <f>IF(YEAR(Таблица1[[#This Row],[Дата]])=2023,MONTH(Таблица1[[#This Row],[Дата]]),0)</f>
        <v>0</v>
      </c>
      <c r="D865" t="s">
        <v>301</v>
      </c>
      <c r="E865" t="s">
        <v>108</v>
      </c>
      <c r="F865" t="s">
        <v>302</v>
      </c>
      <c r="G865" t="s">
        <v>3244</v>
      </c>
      <c r="H865" t="s">
        <v>111</v>
      </c>
      <c r="I865" t="s">
        <v>112</v>
      </c>
      <c r="J865" t="s">
        <v>112</v>
      </c>
      <c r="K865" t="s">
        <v>112</v>
      </c>
      <c r="L865" t="s">
        <v>175</v>
      </c>
      <c r="M865" t="s">
        <v>176</v>
      </c>
      <c r="N865" t="s">
        <v>112</v>
      </c>
      <c r="O865" t="s">
        <v>112</v>
      </c>
      <c r="P865">
        <v>1</v>
      </c>
      <c r="Q865">
        <v>0</v>
      </c>
      <c r="R865">
        <v>1</v>
      </c>
      <c r="S865">
        <v>33</v>
      </c>
      <c r="T865" t="s">
        <v>166</v>
      </c>
      <c r="U865" t="s">
        <v>152</v>
      </c>
      <c r="V865" t="s">
        <v>153</v>
      </c>
      <c r="W865" t="s">
        <v>177</v>
      </c>
      <c r="X865" t="s">
        <v>119</v>
      </c>
      <c r="Y865" t="s">
        <v>112</v>
      </c>
      <c r="Z865" t="s">
        <v>166</v>
      </c>
      <c r="AA865" t="s">
        <v>152</v>
      </c>
      <c r="AB865" t="s">
        <v>153</v>
      </c>
      <c r="AC865" t="s">
        <v>177</v>
      </c>
      <c r="AD865" t="s">
        <v>119</v>
      </c>
      <c r="AE865" t="s">
        <v>112</v>
      </c>
      <c r="AF865" t="s">
        <v>121</v>
      </c>
      <c r="AG865" t="s">
        <v>122</v>
      </c>
      <c r="AH865">
        <v>3593556.55</v>
      </c>
      <c r="AI865" t="s">
        <v>166</v>
      </c>
      <c r="AJ865" t="s">
        <v>152</v>
      </c>
      <c r="AK865" t="s">
        <v>153</v>
      </c>
      <c r="AL865" t="s">
        <v>177</v>
      </c>
      <c r="AM865" t="s">
        <v>119</v>
      </c>
      <c r="AN865" t="s">
        <v>112</v>
      </c>
      <c r="AO865" t="s">
        <v>121</v>
      </c>
      <c r="AP865" t="s">
        <v>122</v>
      </c>
      <c r="AQ865" t="s">
        <v>122</v>
      </c>
      <c r="AR865" t="s">
        <v>124</v>
      </c>
      <c r="AS865" t="s">
        <v>125</v>
      </c>
      <c r="AT865">
        <v>2</v>
      </c>
      <c r="AU865" t="s">
        <v>106</v>
      </c>
      <c r="AV865" t="s">
        <v>155</v>
      </c>
      <c r="AW865" t="s">
        <v>156</v>
      </c>
      <c r="AX865">
        <v>1</v>
      </c>
      <c r="AY865" t="s">
        <v>129</v>
      </c>
      <c r="AZ865">
        <v>44155.92</v>
      </c>
      <c r="BA865">
        <v>3340629</v>
      </c>
      <c r="BB865">
        <v>51090.19</v>
      </c>
      <c r="BC865">
        <v>75.655299999999997</v>
      </c>
      <c r="BD865" t="s">
        <v>130</v>
      </c>
      <c r="BE865" t="s">
        <v>112</v>
      </c>
      <c r="BF865" t="s">
        <v>157</v>
      </c>
      <c r="BG865" t="s">
        <v>133</v>
      </c>
      <c r="BH865" t="s">
        <v>134</v>
      </c>
      <c r="BI865" t="s">
        <v>112</v>
      </c>
      <c r="BJ865" t="s">
        <v>178</v>
      </c>
      <c r="BK865" t="s">
        <v>112</v>
      </c>
      <c r="BL865" t="s">
        <v>125</v>
      </c>
      <c r="BM865" t="s">
        <v>179</v>
      </c>
      <c r="BN865" t="s">
        <v>180</v>
      </c>
      <c r="BO865" t="s">
        <v>181</v>
      </c>
      <c r="BP865">
        <v>1</v>
      </c>
      <c r="BQ865" t="s">
        <v>303</v>
      </c>
      <c r="BR865" s="45">
        <f>ISNUMBER(SEARCH($BR$1,Таблица1[[#This Row],[31_1 Описание и характеристика товара]]))*1</f>
        <v>1</v>
      </c>
      <c r="BT865" t="s">
        <v>150</v>
      </c>
      <c r="BU865">
        <v>33</v>
      </c>
      <c r="BV865">
        <v>1</v>
      </c>
      <c r="BW865">
        <v>0</v>
      </c>
      <c r="BY865">
        <v>0</v>
      </c>
      <c r="CA865" t="s">
        <v>106</v>
      </c>
      <c r="CB865" t="s">
        <v>142</v>
      </c>
      <c r="CC865" t="s">
        <v>112</v>
      </c>
      <c r="CD865" t="s">
        <v>112</v>
      </c>
      <c r="CE865" t="s">
        <v>121</v>
      </c>
      <c r="CF865">
        <v>16857.52</v>
      </c>
      <c r="CG865" t="s">
        <v>144</v>
      </c>
      <c r="CH865">
        <v>4000000</v>
      </c>
      <c r="CI865">
        <v>16821.52</v>
      </c>
      <c r="CJ865">
        <v>0</v>
      </c>
      <c r="CK865" t="s">
        <v>112</v>
      </c>
      <c r="CL865" t="s">
        <v>112</v>
      </c>
      <c r="CM865">
        <v>44155.92</v>
      </c>
      <c r="CN865">
        <v>3340629</v>
      </c>
      <c r="CO865">
        <v>0</v>
      </c>
      <c r="CP865">
        <v>1</v>
      </c>
      <c r="CQ865">
        <v>3593556.55</v>
      </c>
      <c r="CR865">
        <v>51090.19</v>
      </c>
      <c r="CS865" t="s">
        <v>145</v>
      </c>
      <c r="CT865">
        <v>51090.320544000002</v>
      </c>
      <c r="CU865">
        <v>3.0371999999999999</v>
      </c>
      <c r="CV865">
        <v>941</v>
      </c>
      <c r="CW865" t="s">
        <v>183</v>
      </c>
      <c r="CX865" t="s">
        <v>147</v>
      </c>
      <c r="CY865">
        <v>233</v>
      </c>
    </row>
    <row r="866" spans="1:103" x14ac:dyDescent="0.25">
      <c r="A866" t="s">
        <v>106</v>
      </c>
      <c r="B866" s="38">
        <v>44882</v>
      </c>
      <c r="C866" s="43">
        <f>IF(YEAR(Таблица1[[#This Row],[Дата]])=2023,MONTH(Таблица1[[#This Row],[Дата]]),0)</f>
        <v>0</v>
      </c>
      <c r="D866" t="s">
        <v>295</v>
      </c>
      <c r="E866" t="s">
        <v>108</v>
      </c>
      <c r="F866" t="s">
        <v>296</v>
      </c>
      <c r="G866" t="s">
        <v>3244</v>
      </c>
      <c r="H866" t="s">
        <v>111</v>
      </c>
      <c r="I866" t="s">
        <v>112</v>
      </c>
      <c r="J866" t="s">
        <v>112</v>
      </c>
      <c r="K866" t="s">
        <v>112</v>
      </c>
      <c r="L866" t="s">
        <v>175</v>
      </c>
      <c r="M866" t="s">
        <v>176</v>
      </c>
      <c r="N866" t="s">
        <v>112</v>
      </c>
      <c r="O866" t="s">
        <v>112</v>
      </c>
      <c r="P866">
        <v>1</v>
      </c>
      <c r="Q866">
        <v>0</v>
      </c>
      <c r="R866">
        <v>1</v>
      </c>
      <c r="S866">
        <v>33</v>
      </c>
      <c r="T866" t="s">
        <v>166</v>
      </c>
      <c r="U866" t="s">
        <v>152</v>
      </c>
      <c r="V866" t="s">
        <v>153</v>
      </c>
      <c r="W866" t="s">
        <v>177</v>
      </c>
      <c r="X866" t="s">
        <v>119</v>
      </c>
      <c r="Y866" t="s">
        <v>112</v>
      </c>
      <c r="Z866" t="s">
        <v>166</v>
      </c>
      <c r="AA866" t="s">
        <v>152</v>
      </c>
      <c r="AB866" t="s">
        <v>153</v>
      </c>
      <c r="AC866" t="s">
        <v>177</v>
      </c>
      <c r="AD866" t="s">
        <v>119</v>
      </c>
      <c r="AE866" t="s">
        <v>112</v>
      </c>
      <c r="AF866" t="s">
        <v>121</v>
      </c>
      <c r="AG866" t="s">
        <v>122</v>
      </c>
      <c r="AH866">
        <v>2971795.4</v>
      </c>
      <c r="AI866" t="s">
        <v>166</v>
      </c>
      <c r="AJ866" t="s">
        <v>152</v>
      </c>
      <c r="AK866" t="s">
        <v>153</v>
      </c>
      <c r="AL866" t="s">
        <v>177</v>
      </c>
      <c r="AM866" t="s">
        <v>119</v>
      </c>
      <c r="AN866" t="s">
        <v>112</v>
      </c>
      <c r="AO866" t="s">
        <v>121</v>
      </c>
      <c r="AP866" t="s">
        <v>122</v>
      </c>
      <c r="AQ866" t="s">
        <v>122</v>
      </c>
      <c r="AR866" t="s">
        <v>124</v>
      </c>
      <c r="AS866" t="s">
        <v>125</v>
      </c>
      <c r="AT866">
        <v>2</v>
      </c>
      <c r="AU866" t="s">
        <v>106</v>
      </c>
      <c r="AV866" t="s">
        <v>155</v>
      </c>
      <c r="AW866" t="s">
        <v>156</v>
      </c>
      <c r="AX866">
        <v>1</v>
      </c>
      <c r="AY866" t="s">
        <v>129</v>
      </c>
      <c r="AZ866">
        <v>36385.620000000003</v>
      </c>
      <c r="BA866">
        <v>2752765</v>
      </c>
      <c r="BB866">
        <v>42250.51</v>
      </c>
      <c r="BC866">
        <v>75.655299999999997</v>
      </c>
      <c r="BD866" t="s">
        <v>130</v>
      </c>
      <c r="BE866" t="s">
        <v>112</v>
      </c>
      <c r="BF866" t="s">
        <v>157</v>
      </c>
      <c r="BG866" t="s">
        <v>133</v>
      </c>
      <c r="BH866" t="s">
        <v>134</v>
      </c>
      <c r="BI866" t="s">
        <v>112</v>
      </c>
      <c r="BJ866" t="s">
        <v>178</v>
      </c>
      <c r="BK866" t="s">
        <v>112</v>
      </c>
      <c r="BL866" t="s">
        <v>125</v>
      </c>
      <c r="BM866" t="s">
        <v>179</v>
      </c>
      <c r="BN866" t="s">
        <v>180</v>
      </c>
      <c r="BO866" t="s">
        <v>181</v>
      </c>
      <c r="BP866">
        <v>1</v>
      </c>
      <c r="BQ866" t="s">
        <v>297</v>
      </c>
      <c r="BR866" s="45">
        <f>ISNUMBER(SEARCH($BR$1,Таблица1[[#This Row],[31_1 Описание и характеристика товара]]))*1</f>
        <v>1</v>
      </c>
      <c r="BT866" t="s">
        <v>150</v>
      </c>
      <c r="BU866">
        <v>33</v>
      </c>
      <c r="BV866">
        <v>1</v>
      </c>
      <c r="BW866">
        <v>0</v>
      </c>
      <c r="BY866">
        <v>0</v>
      </c>
      <c r="CA866" t="s">
        <v>106</v>
      </c>
      <c r="CB866" t="s">
        <v>142</v>
      </c>
      <c r="CC866" t="s">
        <v>112</v>
      </c>
      <c r="CD866" t="s">
        <v>112</v>
      </c>
      <c r="CE866" t="s">
        <v>121</v>
      </c>
      <c r="CF866">
        <v>14819.77</v>
      </c>
      <c r="CG866" t="s">
        <v>144</v>
      </c>
      <c r="CH866">
        <v>4000000</v>
      </c>
      <c r="CI866">
        <v>14468.77</v>
      </c>
      <c r="CJ866">
        <v>0</v>
      </c>
      <c r="CK866" t="s">
        <v>112</v>
      </c>
      <c r="CL866" t="s">
        <v>112</v>
      </c>
      <c r="CM866">
        <v>36385.620000000003</v>
      </c>
      <c r="CN866">
        <v>2752765</v>
      </c>
      <c r="CO866">
        <v>0</v>
      </c>
      <c r="CP866">
        <v>1</v>
      </c>
      <c r="CQ866">
        <v>2971795.4</v>
      </c>
      <c r="CR866">
        <v>42250.51</v>
      </c>
      <c r="CS866" t="s">
        <v>145</v>
      </c>
      <c r="CT866">
        <v>42250.255277000004</v>
      </c>
      <c r="CU866">
        <v>2.9201000000000001</v>
      </c>
      <c r="CV866">
        <v>941</v>
      </c>
      <c r="CW866" t="s">
        <v>183</v>
      </c>
      <c r="CX866" t="s">
        <v>147</v>
      </c>
      <c r="CY866">
        <v>233</v>
      </c>
    </row>
    <row r="867" spans="1:103" x14ac:dyDescent="0.25">
      <c r="A867" t="s">
        <v>106</v>
      </c>
      <c r="B867" s="38">
        <v>44627</v>
      </c>
      <c r="C867" s="43">
        <f>IF(YEAR(Таблица1[[#This Row],[Дата]])=2023,MONTH(Таблица1[[#This Row],[Дата]]),0)</f>
        <v>0</v>
      </c>
      <c r="D867" t="s">
        <v>298</v>
      </c>
      <c r="E867" t="s">
        <v>108</v>
      </c>
      <c r="F867" t="s">
        <v>299</v>
      </c>
      <c r="G867" t="s">
        <v>3244</v>
      </c>
      <c r="H867" t="s">
        <v>111</v>
      </c>
      <c r="I867" t="s">
        <v>112</v>
      </c>
      <c r="J867" t="s">
        <v>112</v>
      </c>
      <c r="K867" t="s">
        <v>112</v>
      </c>
      <c r="L867" t="s">
        <v>175</v>
      </c>
      <c r="M867" t="s">
        <v>176</v>
      </c>
      <c r="N867" t="s">
        <v>112</v>
      </c>
      <c r="O867" t="s">
        <v>112</v>
      </c>
      <c r="P867">
        <v>1</v>
      </c>
      <c r="Q867">
        <v>0</v>
      </c>
      <c r="R867">
        <v>1</v>
      </c>
      <c r="S867">
        <v>33</v>
      </c>
      <c r="T867" t="s">
        <v>166</v>
      </c>
      <c r="U867" t="s">
        <v>152</v>
      </c>
      <c r="V867" t="s">
        <v>153</v>
      </c>
      <c r="W867" t="s">
        <v>177</v>
      </c>
      <c r="X867" t="s">
        <v>119</v>
      </c>
      <c r="Y867" t="s">
        <v>112</v>
      </c>
      <c r="Z867" t="s">
        <v>166</v>
      </c>
      <c r="AA867" t="s">
        <v>152</v>
      </c>
      <c r="AB867" t="s">
        <v>153</v>
      </c>
      <c r="AC867" t="s">
        <v>177</v>
      </c>
      <c r="AD867" t="s">
        <v>119</v>
      </c>
      <c r="AE867" t="s">
        <v>112</v>
      </c>
      <c r="AF867" t="s">
        <v>121</v>
      </c>
      <c r="AG867" t="s">
        <v>122</v>
      </c>
      <c r="AH867">
        <v>3590320.02</v>
      </c>
      <c r="AI867" t="s">
        <v>166</v>
      </c>
      <c r="AJ867" t="s">
        <v>152</v>
      </c>
      <c r="AK867" t="s">
        <v>153</v>
      </c>
      <c r="AL867" t="s">
        <v>177</v>
      </c>
      <c r="AM867" t="s">
        <v>119</v>
      </c>
      <c r="AN867" t="s">
        <v>112</v>
      </c>
      <c r="AO867" t="s">
        <v>121</v>
      </c>
      <c r="AP867" t="s">
        <v>122</v>
      </c>
      <c r="AQ867" t="s">
        <v>122</v>
      </c>
      <c r="AR867" t="s">
        <v>124</v>
      </c>
      <c r="AS867" t="s">
        <v>125</v>
      </c>
      <c r="AT867">
        <v>2</v>
      </c>
      <c r="AU867" t="s">
        <v>106</v>
      </c>
      <c r="AV867" t="s">
        <v>155</v>
      </c>
      <c r="AW867" t="s">
        <v>156</v>
      </c>
      <c r="AX867">
        <v>1</v>
      </c>
      <c r="AY867" t="s">
        <v>129</v>
      </c>
      <c r="AZ867">
        <v>44113.14</v>
      </c>
      <c r="BA867">
        <v>3337393</v>
      </c>
      <c r="BB867">
        <v>51044.18</v>
      </c>
      <c r="BC867">
        <v>75.655299999999997</v>
      </c>
      <c r="BD867" t="s">
        <v>130</v>
      </c>
      <c r="BE867" t="s">
        <v>112</v>
      </c>
      <c r="BF867" t="s">
        <v>157</v>
      </c>
      <c r="BG867" t="s">
        <v>133</v>
      </c>
      <c r="BH867" t="s">
        <v>134</v>
      </c>
      <c r="BI867" t="s">
        <v>112</v>
      </c>
      <c r="BJ867" t="s">
        <v>178</v>
      </c>
      <c r="BK867" t="s">
        <v>112</v>
      </c>
      <c r="BL867" t="s">
        <v>125</v>
      </c>
      <c r="BM867" t="s">
        <v>179</v>
      </c>
      <c r="BN867" t="s">
        <v>180</v>
      </c>
      <c r="BO867" t="s">
        <v>181</v>
      </c>
      <c r="BP867">
        <v>1</v>
      </c>
      <c r="BQ867" t="s">
        <v>300</v>
      </c>
      <c r="BR867" s="45">
        <f>ISNUMBER(SEARCH($BR$1,Таблица1[[#This Row],[31_1 Описание и характеристика товара]]))*1</f>
        <v>1</v>
      </c>
      <c r="BT867" t="s">
        <v>150</v>
      </c>
      <c r="BU867">
        <v>33</v>
      </c>
      <c r="BV867">
        <v>1</v>
      </c>
      <c r="BW867">
        <v>0</v>
      </c>
      <c r="BY867">
        <v>0</v>
      </c>
      <c r="CA867" t="s">
        <v>106</v>
      </c>
      <c r="CB867" t="s">
        <v>142</v>
      </c>
      <c r="CC867" t="s">
        <v>112</v>
      </c>
      <c r="CD867" t="s">
        <v>112</v>
      </c>
      <c r="CE867" t="s">
        <v>121</v>
      </c>
      <c r="CF867">
        <v>15836.12</v>
      </c>
      <c r="CG867" t="s">
        <v>144</v>
      </c>
      <c r="CH867">
        <v>4000000</v>
      </c>
      <c r="CI867">
        <v>15836.12</v>
      </c>
      <c r="CJ867">
        <v>0</v>
      </c>
      <c r="CK867" t="s">
        <v>112</v>
      </c>
      <c r="CL867" t="s">
        <v>112</v>
      </c>
      <c r="CM867">
        <v>44113.14</v>
      </c>
      <c r="CN867">
        <v>3337393</v>
      </c>
      <c r="CO867">
        <v>0</v>
      </c>
      <c r="CP867">
        <v>1</v>
      </c>
      <c r="CQ867">
        <v>3590320.02</v>
      </c>
      <c r="CR867">
        <v>51044.18</v>
      </c>
      <c r="CS867" t="s">
        <v>145</v>
      </c>
      <c r="CT867">
        <v>51044.565596</v>
      </c>
      <c r="CU867">
        <v>3.2233000000000001</v>
      </c>
      <c r="CV867">
        <v>941</v>
      </c>
      <c r="CW867" t="s">
        <v>183</v>
      </c>
      <c r="CX867" t="s">
        <v>147</v>
      </c>
      <c r="CY867">
        <v>46</v>
      </c>
    </row>
    <row r="868" spans="1:103" x14ac:dyDescent="0.25">
      <c r="A868" t="s">
        <v>106</v>
      </c>
      <c r="B868" s="38">
        <v>44722</v>
      </c>
      <c r="C868" s="43">
        <f>IF(YEAR(Таблица1[[#This Row],[Дата]])=2023,MONTH(Таблица1[[#This Row],[Дата]]),0)</f>
        <v>0</v>
      </c>
      <c r="D868" t="s">
        <v>292</v>
      </c>
      <c r="E868" t="s">
        <v>108</v>
      </c>
      <c r="F868" t="s">
        <v>293</v>
      </c>
      <c r="G868" t="s">
        <v>3244</v>
      </c>
      <c r="H868" t="s">
        <v>111</v>
      </c>
      <c r="I868" t="s">
        <v>112</v>
      </c>
      <c r="J868" t="s">
        <v>112</v>
      </c>
      <c r="K868" t="s">
        <v>112</v>
      </c>
      <c r="L868" t="s">
        <v>175</v>
      </c>
      <c r="M868" t="s">
        <v>176</v>
      </c>
      <c r="N868" t="s">
        <v>112</v>
      </c>
      <c r="O868" t="s">
        <v>112</v>
      </c>
      <c r="P868">
        <v>1</v>
      </c>
      <c r="Q868">
        <v>0</v>
      </c>
      <c r="R868">
        <v>1</v>
      </c>
      <c r="S868">
        <v>33</v>
      </c>
      <c r="T868" t="s">
        <v>166</v>
      </c>
      <c r="U868" t="s">
        <v>152</v>
      </c>
      <c r="V868" t="s">
        <v>153</v>
      </c>
      <c r="W868" t="s">
        <v>177</v>
      </c>
      <c r="X868" t="s">
        <v>119</v>
      </c>
      <c r="Y868" t="s">
        <v>112</v>
      </c>
      <c r="Z868" t="s">
        <v>166</v>
      </c>
      <c r="AA868" t="s">
        <v>152</v>
      </c>
      <c r="AB868" t="s">
        <v>153</v>
      </c>
      <c r="AC868" t="s">
        <v>177</v>
      </c>
      <c r="AD868" t="s">
        <v>119</v>
      </c>
      <c r="AE868" t="s">
        <v>112</v>
      </c>
      <c r="AF868" t="s">
        <v>121</v>
      </c>
      <c r="AG868" t="s">
        <v>122</v>
      </c>
      <c r="AH868">
        <v>3506888.69</v>
      </c>
      <c r="AI868" t="s">
        <v>166</v>
      </c>
      <c r="AJ868" t="s">
        <v>152</v>
      </c>
      <c r="AK868" t="s">
        <v>153</v>
      </c>
      <c r="AL868" t="s">
        <v>177</v>
      </c>
      <c r="AM868" t="s">
        <v>119</v>
      </c>
      <c r="AN868" t="s">
        <v>112</v>
      </c>
      <c r="AO868" t="s">
        <v>121</v>
      </c>
      <c r="AP868" t="s">
        <v>122</v>
      </c>
      <c r="AQ868" t="s">
        <v>122</v>
      </c>
      <c r="AR868" t="s">
        <v>124</v>
      </c>
      <c r="AS868" t="s">
        <v>125</v>
      </c>
      <c r="AT868">
        <v>2</v>
      </c>
      <c r="AU868" t="s">
        <v>106</v>
      </c>
      <c r="AV868" t="s">
        <v>155</v>
      </c>
      <c r="AW868" t="s">
        <v>156</v>
      </c>
      <c r="AX868">
        <v>1</v>
      </c>
      <c r="AY868" t="s">
        <v>129</v>
      </c>
      <c r="AZ868">
        <v>43458.400000000001</v>
      </c>
      <c r="BA868">
        <v>3287858</v>
      </c>
      <c r="BB868">
        <v>49858.02</v>
      </c>
      <c r="BC868">
        <v>75.655299999999997</v>
      </c>
      <c r="BD868" t="s">
        <v>130</v>
      </c>
      <c r="BE868" t="s">
        <v>112</v>
      </c>
      <c r="BF868" t="s">
        <v>157</v>
      </c>
      <c r="BG868" t="s">
        <v>133</v>
      </c>
      <c r="BH868" t="s">
        <v>134</v>
      </c>
      <c r="BI868" t="s">
        <v>112</v>
      </c>
      <c r="BJ868" t="s">
        <v>178</v>
      </c>
      <c r="BK868" t="s">
        <v>112</v>
      </c>
      <c r="BL868" t="s">
        <v>125</v>
      </c>
      <c r="BM868" t="s">
        <v>179</v>
      </c>
      <c r="BN868" t="s">
        <v>180</v>
      </c>
      <c r="BO868" t="s">
        <v>181</v>
      </c>
      <c r="BP868">
        <v>1</v>
      </c>
      <c r="BQ868" t="s">
        <v>294</v>
      </c>
      <c r="BR868" s="45">
        <f>ISNUMBER(SEARCH($BR$1,Таблица1[[#This Row],[31_1 Описание и характеристика товара]]))*1</f>
        <v>1</v>
      </c>
      <c r="BT868" t="s">
        <v>150</v>
      </c>
      <c r="BU868">
        <v>33</v>
      </c>
      <c r="BV868">
        <v>1</v>
      </c>
      <c r="BW868">
        <v>0</v>
      </c>
      <c r="BY868">
        <v>0</v>
      </c>
      <c r="CA868" t="s">
        <v>106</v>
      </c>
      <c r="CB868" t="s">
        <v>142</v>
      </c>
      <c r="CC868" t="s">
        <v>112</v>
      </c>
      <c r="CD868" t="s">
        <v>112</v>
      </c>
      <c r="CE868" t="s">
        <v>121</v>
      </c>
      <c r="CF868">
        <v>16492.48</v>
      </c>
      <c r="CG868" t="s">
        <v>144</v>
      </c>
      <c r="CH868">
        <v>4000000</v>
      </c>
      <c r="CI868">
        <v>16492.48</v>
      </c>
      <c r="CJ868">
        <v>0</v>
      </c>
      <c r="CK868" t="s">
        <v>112</v>
      </c>
      <c r="CL868" t="s">
        <v>112</v>
      </c>
      <c r="CM868">
        <v>43458.400000000001</v>
      </c>
      <c r="CN868">
        <v>3287858</v>
      </c>
      <c r="CO868">
        <v>0</v>
      </c>
      <c r="CP868">
        <v>1</v>
      </c>
      <c r="CQ868">
        <v>3506888.69</v>
      </c>
      <c r="CR868">
        <v>49858.02</v>
      </c>
      <c r="CS868" t="s">
        <v>145</v>
      </c>
      <c r="CT868">
        <v>49858.416288</v>
      </c>
      <c r="CU868">
        <v>3.0230999999999999</v>
      </c>
      <c r="CV868">
        <v>941</v>
      </c>
      <c r="CW868" t="s">
        <v>183</v>
      </c>
      <c r="CX868" t="s">
        <v>147</v>
      </c>
      <c r="CY868">
        <v>146</v>
      </c>
    </row>
    <row r="869" spans="1:103" x14ac:dyDescent="0.25">
      <c r="A869" t="s">
        <v>106</v>
      </c>
      <c r="B869" s="38">
        <v>44802</v>
      </c>
      <c r="C869" s="43">
        <f>IF(YEAR(Таблица1[[#This Row],[Дата]])=2023,MONTH(Таблица1[[#This Row],[Дата]]),0)</f>
        <v>0</v>
      </c>
      <c r="D869" t="s">
        <v>304</v>
      </c>
      <c r="E869" t="s">
        <v>108</v>
      </c>
      <c r="F869" t="s">
        <v>305</v>
      </c>
      <c r="G869" t="s">
        <v>3244</v>
      </c>
      <c r="H869" t="s">
        <v>111</v>
      </c>
      <c r="I869" t="s">
        <v>112</v>
      </c>
      <c r="J869" t="s">
        <v>112</v>
      </c>
      <c r="K869" t="s">
        <v>112</v>
      </c>
      <c r="L869" t="s">
        <v>175</v>
      </c>
      <c r="M869" t="s">
        <v>176</v>
      </c>
      <c r="N869" t="s">
        <v>112</v>
      </c>
      <c r="O869" t="s">
        <v>112</v>
      </c>
      <c r="P869">
        <v>1</v>
      </c>
      <c r="Q869">
        <v>0</v>
      </c>
      <c r="R869">
        <v>1</v>
      </c>
      <c r="S869">
        <v>33</v>
      </c>
      <c r="T869" t="s">
        <v>166</v>
      </c>
      <c r="U869" t="s">
        <v>152</v>
      </c>
      <c r="V869" t="s">
        <v>153</v>
      </c>
      <c r="W869" t="s">
        <v>177</v>
      </c>
      <c r="X869" t="s">
        <v>119</v>
      </c>
      <c r="Y869" t="s">
        <v>112</v>
      </c>
      <c r="Z869" t="s">
        <v>166</v>
      </c>
      <c r="AA869" t="s">
        <v>152</v>
      </c>
      <c r="AB869" t="s">
        <v>153</v>
      </c>
      <c r="AC869" t="s">
        <v>177</v>
      </c>
      <c r="AD869" t="s">
        <v>119</v>
      </c>
      <c r="AE869" t="s">
        <v>112</v>
      </c>
      <c r="AF869" t="s">
        <v>121</v>
      </c>
      <c r="AG869" t="s">
        <v>122</v>
      </c>
      <c r="AH869">
        <v>3680162.96</v>
      </c>
      <c r="AI869" t="s">
        <v>166</v>
      </c>
      <c r="AJ869" t="s">
        <v>152</v>
      </c>
      <c r="AK869" t="s">
        <v>153</v>
      </c>
      <c r="AL869" t="s">
        <v>177</v>
      </c>
      <c r="AM869" t="s">
        <v>119</v>
      </c>
      <c r="AN869" t="s">
        <v>112</v>
      </c>
      <c r="AO869" t="s">
        <v>121</v>
      </c>
      <c r="AP869" t="s">
        <v>122</v>
      </c>
      <c r="AQ869" t="s">
        <v>122</v>
      </c>
      <c r="AR869" t="s">
        <v>124</v>
      </c>
      <c r="AS869" t="s">
        <v>125</v>
      </c>
      <c r="AT869">
        <v>2</v>
      </c>
      <c r="AU869" t="s">
        <v>106</v>
      </c>
      <c r="AV869" t="s">
        <v>155</v>
      </c>
      <c r="AW869" t="s">
        <v>156</v>
      </c>
      <c r="AX869">
        <v>1</v>
      </c>
      <c r="AY869" t="s">
        <v>129</v>
      </c>
      <c r="AZ869">
        <v>45300.67</v>
      </c>
      <c r="BA869">
        <v>3427236</v>
      </c>
      <c r="BB869">
        <v>52321.49</v>
      </c>
      <c r="BC869">
        <v>75.655299999999997</v>
      </c>
      <c r="BD869" t="s">
        <v>130</v>
      </c>
      <c r="BE869" t="s">
        <v>112</v>
      </c>
      <c r="BF869" t="s">
        <v>157</v>
      </c>
      <c r="BG869" t="s">
        <v>133</v>
      </c>
      <c r="BH869" t="s">
        <v>134</v>
      </c>
      <c r="BI869" t="s">
        <v>112</v>
      </c>
      <c r="BJ869" t="s">
        <v>178</v>
      </c>
      <c r="BK869" t="s">
        <v>112</v>
      </c>
      <c r="BL869" t="s">
        <v>125</v>
      </c>
      <c r="BM869" t="s">
        <v>179</v>
      </c>
      <c r="BN869" t="s">
        <v>180</v>
      </c>
      <c r="BO869" t="s">
        <v>181</v>
      </c>
      <c r="BP869">
        <v>1</v>
      </c>
      <c r="BQ869" t="s">
        <v>306</v>
      </c>
      <c r="BR869" s="45">
        <f>ISNUMBER(SEARCH($BR$1,Таблица1[[#This Row],[31_1 Описание и характеристика товара]]))*1</f>
        <v>1</v>
      </c>
      <c r="BT869" t="s">
        <v>150</v>
      </c>
      <c r="BU869">
        <v>33</v>
      </c>
      <c r="BV869">
        <v>1</v>
      </c>
      <c r="BW869">
        <v>0</v>
      </c>
      <c r="BY869">
        <v>0</v>
      </c>
      <c r="CA869" t="s">
        <v>106</v>
      </c>
      <c r="CB869" t="s">
        <v>142</v>
      </c>
      <c r="CC869" t="s">
        <v>112</v>
      </c>
      <c r="CD869" t="s">
        <v>112</v>
      </c>
      <c r="CE869" t="s">
        <v>121</v>
      </c>
      <c r="CF869">
        <v>17407.84</v>
      </c>
      <c r="CG869" t="s">
        <v>144</v>
      </c>
      <c r="CH869">
        <v>4000000</v>
      </c>
      <c r="CI869">
        <v>17407.84</v>
      </c>
      <c r="CJ869">
        <v>0</v>
      </c>
      <c r="CK869" t="s">
        <v>112</v>
      </c>
      <c r="CL869" t="s">
        <v>112</v>
      </c>
      <c r="CM869">
        <v>45300.67</v>
      </c>
      <c r="CN869">
        <v>3427236</v>
      </c>
      <c r="CO869">
        <v>0</v>
      </c>
      <c r="CP869">
        <v>1</v>
      </c>
      <c r="CQ869">
        <v>3680162.96</v>
      </c>
      <c r="CR869">
        <v>52321.49</v>
      </c>
      <c r="CS869" t="s">
        <v>145</v>
      </c>
      <c r="CT869">
        <v>52321.003903999997</v>
      </c>
      <c r="CU869">
        <v>3.0055999999999998</v>
      </c>
      <c r="CV869">
        <v>941</v>
      </c>
      <c r="CW869" t="s">
        <v>183</v>
      </c>
      <c r="CX869" t="s">
        <v>147</v>
      </c>
      <c r="CY869">
        <v>152</v>
      </c>
    </row>
    <row r="870" spans="1:103" x14ac:dyDescent="0.25">
      <c r="A870" t="s">
        <v>106</v>
      </c>
      <c r="B870" s="38">
        <v>45222</v>
      </c>
      <c r="C870" s="43">
        <f>IF(YEAR(Таблица1[[#This Row],[Дата]])=2023,MONTH(Таблица1[[#This Row],[Дата]]),0)</f>
        <v>10</v>
      </c>
      <c r="D870" t="s">
        <v>1107</v>
      </c>
      <c r="E870" t="s">
        <v>108</v>
      </c>
      <c r="F870" t="s">
        <v>1108</v>
      </c>
      <c r="G870" t="s">
        <v>3244</v>
      </c>
      <c r="H870" t="s">
        <v>111</v>
      </c>
      <c r="I870" t="s">
        <v>112</v>
      </c>
      <c r="J870" t="s">
        <v>112</v>
      </c>
      <c r="K870" t="s">
        <v>112</v>
      </c>
      <c r="L870" t="s">
        <v>150</v>
      </c>
      <c r="M870" t="s">
        <v>151</v>
      </c>
      <c r="N870" t="s">
        <v>112</v>
      </c>
      <c r="O870" t="s">
        <v>112</v>
      </c>
      <c r="P870">
        <v>1</v>
      </c>
      <c r="R870">
        <v>1</v>
      </c>
      <c r="S870">
        <v>33</v>
      </c>
      <c r="T870" t="s">
        <v>112</v>
      </c>
      <c r="U870" t="s">
        <v>152</v>
      </c>
      <c r="V870" t="s">
        <v>153</v>
      </c>
      <c r="W870" t="s">
        <v>154</v>
      </c>
      <c r="X870" t="s">
        <v>119</v>
      </c>
      <c r="Y870" t="s">
        <v>112</v>
      </c>
      <c r="Z870" t="s">
        <v>112</v>
      </c>
      <c r="AA870" t="s">
        <v>152</v>
      </c>
      <c r="AB870" t="s">
        <v>153</v>
      </c>
      <c r="AC870" t="s">
        <v>154</v>
      </c>
      <c r="AD870" t="s">
        <v>119</v>
      </c>
      <c r="AE870" t="s">
        <v>112</v>
      </c>
      <c r="AF870" t="s">
        <v>121</v>
      </c>
      <c r="AG870" t="s">
        <v>122</v>
      </c>
      <c r="AH870">
        <v>4431763.18</v>
      </c>
      <c r="AI870" t="s">
        <v>112</v>
      </c>
      <c r="AJ870" t="s">
        <v>152</v>
      </c>
      <c r="AK870" t="s">
        <v>153</v>
      </c>
      <c r="AL870" t="s">
        <v>154</v>
      </c>
      <c r="AM870" t="s">
        <v>119</v>
      </c>
      <c r="AN870" t="s">
        <v>112</v>
      </c>
      <c r="AO870" t="s">
        <v>121</v>
      </c>
      <c r="AP870" t="s">
        <v>122</v>
      </c>
      <c r="AQ870" t="s">
        <v>122</v>
      </c>
      <c r="AR870" t="s">
        <v>124</v>
      </c>
      <c r="AS870" t="s">
        <v>125</v>
      </c>
      <c r="AT870">
        <v>2</v>
      </c>
      <c r="AU870" t="s">
        <v>126</v>
      </c>
      <c r="AV870" t="s">
        <v>155</v>
      </c>
      <c r="AW870" t="s">
        <v>156</v>
      </c>
      <c r="AY870" t="s">
        <v>129</v>
      </c>
      <c r="AZ870">
        <v>40742.44</v>
      </c>
      <c r="BC870">
        <v>97.912599999999998</v>
      </c>
      <c r="BD870" t="s">
        <v>112</v>
      </c>
      <c r="BE870" t="s">
        <v>112</v>
      </c>
      <c r="BF870" t="s">
        <v>157</v>
      </c>
      <c r="BG870" t="s">
        <v>133</v>
      </c>
      <c r="BH870" t="s">
        <v>134</v>
      </c>
      <c r="BI870" t="s">
        <v>112</v>
      </c>
      <c r="BJ870" t="s">
        <v>112</v>
      </c>
      <c r="BK870" t="s">
        <v>112</v>
      </c>
      <c r="BL870" t="s">
        <v>158</v>
      </c>
      <c r="BM870" t="s">
        <v>159</v>
      </c>
      <c r="BN870" t="s">
        <v>212</v>
      </c>
      <c r="BO870" t="s">
        <v>161</v>
      </c>
      <c r="BQ870" t="s">
        <v>205</v>
      </c>
      <c r="BR870" s="45">
        <f>ISNUMBER(SEARCH($BR$1,Таблица1[[#This Row],[31_1 Описание и характеристика товара]]))*1</f>
        <v>1</v>
      </c>
      <c r="BT870" t="s">
        <v>150</v>
      </c>
      <c r="BU870">
        <v>33</v>
      </c>
      <c r="BV870">
        <v>0</v>
      </c>
      <c r="BW870">
        <v>0</v>
      </c>
      <c r="BY870">
        <v>0</v>
      </c>
      <c r="CA870" t="s">
        <v>106</v>
      </c>
      <c r="CB870" t="s">
        <v>142</v>
      </c>
      <c r="CC870" t="s">
        <v>112</v>
      </c>
      <c r="CD870" t="s">
        <v>112</v>
      </c>
      <c r="CE870" t="s">
        <v>121</v>
      </c>
      <c r="CF870">
        <v>16909.349999999999</v>
      </c>
      <c r="CG870" t="s">
        <v>144</v>
      </c>
      <c r="CH870">
        <v>4000000</v>
      </c>
      <c r="CI870">
        <v>16804.95</v>
      </c>
      <c r="CJ870">
        <v>0</v>
      </c>
      <c r="CK870" t="s">
        <v>112</v>
      </c>
      <c r="CL870" t="s">
        <v>112</v>
      </c>
      <c r="CM870">
        <v>40742.44</v>
      </c>
      <c r="CO870">
        <v>0</v>
      </c>
      <c r="CP870">
        <v>1</v>
      </c>
      <c r="CQ870">
        <v>4431763.18</v>
      </c>
      <c r="CR870">
        <v>49372.43</v>
      </c>
      <c r="CS870" t="s">
        <v>145</v>
      </c>
      <c r="CT870">
        <v>49406.553</v>
      </c>
      <c r="CU870">
        <v>2.94</v>
      </c>
      <c r="CV870">
        <v>45</v>
      </c>
      <c r="CX870" t="s">
        <v>729</v>
      </c>
      <c r="CY870">
        <v>300</v>
      </c>
    </row>
    <row r="871" spans="1:103" x14ac:dyDescent="0.25">
      <c r="A871" t="s">
        <v>106</v>
      </c>
      <c r="B871" s="38">
        <v>45099</v>
      </c>
      <c r="C871" s="43">
        <f>IF(YEAR(Таблица1[[#This Row],[Дата]])=2023,MONTH(Таблица1[[#This Row],[Дата]]),0)</f>
        <v>6</v>
      </c>
      <c r="D871" t="s">
        <v>1012</v>
      </c>
      <c r="E871" t="s">
        <v>108</v>
      </c>
      <c r="F871" t="s">
        <v>1013</v>
      </c>
      <c r="G871" t="s">
        <v>110</v>
      </c>
      <c r="H871" t="s">
        <v>111</v>
      </c>
      <c r="I871" t="s">
        <v>112</v>
      </c>
      <c r="J871" t="s">
        <v>112</v>
      </c>
      <c r="K871" t="s">
        <v>112</v>
      </c>
      <c r="L871" t="s">
        <v>150</v>
      </c>
      <c r="M871" t="s">
        <v>151</v>
      </c>
      <c r="N871" t="s">
        <v>112</v>
      </c>
      <c r="O871" t="s">
        <v>112</v>
      </c>
      <c r="P871">
        <v>1</v>
      </c>
      <c r="R871">
        <v>1</v>
      </c>
      <c r="S871">
        <v>33</v>
      </c>
      <c r="T871" t="s">
        <v>112</v>
      </c>
      <c r="U871" t="s">
        <v>152</v>
      </c>
      <c r="V871" t="s">
        <v>153</v>
      </c>
      <c r="W871" t="s">
        <v>154</v>
      </c>
      <c r="X871" t="s">
        <v>119</v>
      </c>
      <c r="Y871" t="s">
        <v>112</v>
      </c>
      <c r="Z871" t="s">
        <v>112</v>
      </c>
      <c r="AA871" t="s">
        <v>152</v>
      </c>
      <c r="AB871" t="s">
        <v>153</v>
      </c>
      <c r="AC871" t="s">
        <v>154</v>
      </c>
      <c r="AD871" t="s">
        <v>119</v>
      </c>
      <c r="AE871" t="s">
        <v>112</v>
      </c>
      <c r="AF871" t="s">
        <v>121</v>
      </c>
      <c r="AG871" t="s">
        <v>122</v>
      </c>
      <c r="AH871">
        <v>4552272.05</v>
      </c>
      <c r="AI871" t="s">
        <v>112</v>
      </c>
      <c r="AJ871" t="s">
        <v>152</v>
      </c>
      <c r="AK871" t="s">
        <v>153</v>
      </c>
      <c r="AL871" t="s">
        <v>154</v>
      </c>
      <c r="AM871" t="s">
        <v>119</v>
      </c>
      <c r="AN871" t="s">
        <v>112</v>
      </c>
      <c r="AO871" t="s">
        <v>121</v>
      </c>
      <c r="AP871" t="s">
        <v>122</v>
      </c>
      <c r="AQ871" t="s">
        <v>122</v>
      </c>
      <c r="AR871" t="s">
        <v>124</v>
      </c>
      <c r="AS871" t="s">
        <v>125</v>
      </c>
      <c r="AT871">
        <v>2</v>
      </c>
      <c r="AU871" t="s">
        <v>126</v>
      </c>
      <c r="AV871" t="s">
        <v>155</v>
      </c>
      <c r="AW871" t="s">
        <v>156</v>
      </c>
      <c r="AY871" t="s">
        <v>129</v>
      </c>
      <c r="AZ871">
        <v>42503.22</v>
      </c>
      <c r="BC871">
        <v>97.912599999999998</v>
      </c>
      <c r="BD871" t="s">
        <v>112</v>
      </c>
      <c r="BE871" t="s">
        <v>112</v>
      </c>
      <c r="BF871" t="s">
        <v>157</v>
      </c>
      <c r="BG871" t="s">
        <v>133</v>
      </c>
      <c r="BH871" t="s">
        <v>134</v>
      </c>
      <c r="BI871" t="s">
        <v>112</v>
      </c>
      <c r="BJ871" t="s">
        <v>112</v>
      </c>
      <c r="BK871" t="s">
        <v>112</v>
      </c>
      <c r="BL871" t="s">
        <v>158</v>
      </c>
      <c r="BM871" t="s">
        <v>159</v>
      </c>
      <c r="BN871" t="s">
        <v>212</v>
      </c>
      <c r="BO871" t="s">
        <v>161</v>
      </c>
      <c r="BQ871" t="s">
        <v>232</v>
      </c>
      <c r="BR871" s="45">
        <f>ISNUMBER(SEARCH($BR$1,Таблица1[[#This Row],[31_1 Описание и характеристика товара]]))*1</f>
        <v>1</v>
      </c>
      <c r="BT871" t="s">
        <v>150</v>
      </c>
      <c r="BU871">
        <v>33</v>
      </c>
      <c r="BV871">
        <v>0</v>
      </c>
      <c r="BW871">
        <v>0</v>
      </c>
      <c r="BY871">
        <v>0</v>
      </c>
      <c r="CA871" t="s">
        <v>106</v>
      </c>
      <c r="CB871" t="s">
        <v>142</v>
      </c>
      <c r="CC871" t="s">
        <v>112</v>
      </c>
      <c r="CD871" t="s">
        <v>112</v>
      </c>
      <c r="CE871" t="s">
        <v>121</v>
      </c>
      <c r="CF871">
        <v>16031.83</v>
      </c>
      <c r="CG871" t="s">
        <v>144</v>
      </c>
      <c r="CH871">
        <v>4000000</v>
      </c>
      <c r="CI871">
        <v>15994.03</v>
      </c>
      <c r="CJ871">
        <v>0</v>
      </c>
      <c r="CK871" t="s">
        <v>112</v>
      </c>
      <c r="CL871" t="s">
        <v>112</v>
      </c>
      <c r="CM871">
        <v>42503.22</v>
      </c>
      <c r="CO871">
        <v>0</v>
      </c>
      <c r="CP871">
        <v>1</v>
      </c>
      <c r="CQ871">
        <v>4552272.05</v>
      </c>
      <c r="CR871">
        <v>50714.97</v>
      </c>
      <c r="CS871" t="s">
        <v>145</v>
      </c>
      <c r="CT871">
        <v>50701.075100000002</v>
      </c>
      <c r="CU871">
        <v>3.17</v>
      </c>
      <c r="CV871">
        <v>45</v>
      </c>
      <c r="CX871" t="s">
        <v>206</v>
      </c>
      <c r="CY871">
        <v>205</v>
      </c>
    </row>
    <row r="872" spans="1:103" x14ac:dyDescent="0.25">
      <c r="A872" t="s">
        <v>106</v>
      </c>
      <c r="B872" s="38">
        <v>44941</v>
      </c>
      <c r="C872" s="43">
        <f>IF(YEAR(Таблица1[[#This Row],[Дата]])=2023,MONTH(Таблица1[[#This Row],[Дата]]),0)</f>
        <v>1</v>
      </c>
      <c r="D872" t="s">
        <v>1063</v>
      </c>
      <c r="E872" t="s">
        <v>108</v>
      </c>
      <c r="F872" t="s">
        <v>1064</v>
      </c>
      <c r="G872" t="s">
        <v>110</v>
      </c>
      <c r="H872" t="s">
        <v>111</v>
      </c>
      <c r="I872" t="s">
        <v>112</v>
      </c>
      <c r="J872" t="s">
        <v>112</v>
      </c>
      <c r="K872" t="s">
        <v>112</v>
      </c>
      <c r="L872" t="s">
        <v>150</v>
      </c>
      <c r="M872" t="s">
        <v>151</v>
      </c>
      <c r="N872" t="s">
        <v>112</v>
      </c>
      <c r="O872" t="s">
        <v>112</v>
      </c>
      <c r="P872">
        <v>1</v>
      </c>
      <c r="R872">
        <v>1</v>
      </c>
      <c r="S872">
        <v>33</v>
      </c>
      <c r="T872" t="s">
        <v>112</v>
      </c>
      <c r="U872" t="s">
        <v>152</v>
      </c>
      <c r="V872" t="s">
        <v>153</v>
      </c>
      <c r="W872" t="s">
        <v>154</v>
      </c>
      <c r="X872" t="s">
        <v>119</v>
      </c>
      <c r="Y872" t="s">
        <v>112</v>
      </c>
      <c r="Z872" t="s">
        <v>112</v>
      </c>
      <c r="AA872" t="s">
        <v>152</v>
      </c>
      <c r="AB872" t="s">
        <v>153</v>
      </c>
      <c r="AC872" t="s">
        <v>154</v>
      </c>
      <c r="AD872" t="s">
        <v>119</v>
      </c>
      <c r="AE872" t="s">
        <v>112</v>
      </c>
      <c r="AF872" t="s">
        <v>121</v>
      </c>
      <c r="AG872" t="s">
        <v>122</v>
      </c>
      <c r="AH872">
        <v>4230161.1399999997</v>
      </c>
      <c r="AI872" t="s">
        <v>112</v>
      </c>
      <c r="AJ872" t="s">
        <v>152</v>
      </c>
      <c r="AK872" t="s">
        <v>153</v>
      </c>
      <c r="AL872" t="s">
        <v>154</v>
      </c>
      <c r="AM872" t="s">
        <v>119</v>
      </c>
      <c r="AN872" t="s">
        <v>112</v>
      </c>
      <c r="AO872" t="s">
        <v>121</v>
      </c>
      <c r="AP872" t="s">
        <v>122</v>
      </c>
      <c r="AQ872" t="s">
        <v>122</v>
      </c>
      <c r="AR872" t="s">
        <v>124</v>
      </c>
      <c r="AS872" t="s">
        <v>125</v>
      </c>
      <c r="AT872">
        <v>2</v>
      </c>
      <c r="AU872" t="s">
        <v>126</v>
      </c>
      <c r="AV872" t="s">
        <v>155</v>
      </c>
      <c r="AW872" t="s">
        <v>156</v>
      </c>
      <c r="AY872" t="s">
        <v>129</v>
      </c>
      <c r="AZ872">
        <v>38683.440000000002</v>
      </c>
      <c r="BC872">
        <v>97.912599999999998</v>
      </c>
      <c r="BD872" t="s">
        <v>112</v>
      </c>
      <c r="BE872" t="s">
        <v>112</v>
      </c>
      <c r="BF872" t="s">
        <v>157</v>
      </c>
      <c r="BG872" t="s">
        <v>133</v>
      </c>
      <c r="BH872" t="s">
        <v>134</v>
      </c>
      <c r="BI872" t="s">
        <v>112</v>
      </c>
      <c r="BJ872" t="s">
        <v>112</v>
      </c>
      <c r="BK872" t="s">
        <v>112</v>
      </c>
      <c r="BL872" t="s">
        <v>158</v>
      </c>
      <c r="BM872" t="s">
        <v>159</v>
      </c>
      <c r="BN872" t="s">
        <v>212</v>
      </c>
      <c r="BO872" t="s">
        <v>161</v>
      </c>
      <c r="BQ872" t="s">
        <v>232</v>
      </c>
      <c r="BR872" s="45">
        <f>ISNUMBER(SEARCH($BR$1,Таблица1[[#This Row],[31_1 Описание и характеристика товара]]))*1</f>
        <v>1</v>
      </c>
      <c r="BT872" t="s">
        <v>150</v>
      </c>
      <c r="BU872">
        <v>33</v>
      </c>
      <c r="BV872">
        <v>0</v>
      </c>
      <c r="BW872">
        <v>0</v>
      </c>
      <c r="BY872">
        <v>0</v>
      </c>
      <c r="CA872" t="s">
        <v>106</v>
      </c>
      <c r="CB872" t="s">
        <v>142</v>
      </c>
      <c r="CC872" t="s">
        <v>112</v>
      </c>
      <c r="CD872" t="s">
        <v>112</v>
      </c>
      <c r="CE872" t="s">
        <v>121</v>
      </c>
      <c r="CF872">
        <v>17137.689999999999</v>
      </c>
      <c r="CG872" t="s">
        <v>144</v>
      </c>
      <c r="CH872">
        <v>4000000</v>
      </c>
      <c r="CI872">
        <v>17137.689999999999</v>
      </c>
      <c r="CJ872">
        <v>0</v>
      </c>
      <c r="CK872" t="s">
        <v>112</v>
      </c>
      <c r="CL872" t="s">
        <v>112</v>
      </c>
      <c r="CM872">
        <v>38683.440000000002</v>
      </c>
      <c r="CO872">
        <v>0</v>
      </c>
      <c r="CP872">
        <v>1</v>
      </c>
      <c r="CQ872">
        <v>4230161.1399999997</v>
      </c>
      <c r="CR872">
        <v>47126.47</v>
      </c>
      <c r="CS872" t="s">
        <v>145</v>
      </c>
      <c r="CT872">
        <v>47128.647499999999</v>
      </c>
      <c r="CU872">
        <v>2.75</v>
      </c>
      <c r="CV872">
        <v>45</v>
      </c>
      <c r="CX872" t="s">
        <v>233</v>
      </c>
      <c r="CY872">
        <v>221</v>
      </c>
    </row>
    <row r="873" spans="1:103" x14ac:dyDescent="0.25">
      <c r="A873" t="s">
        <v>106</v>
      </c>
      <c r="B873" s="38">
        <v>44991</v>
      </c>
      <c r="C873" s="43">
        <f>IF(YEAR(Таблица1[[#This Row],[Дата]])=2023,MONTH(Таблица1[[#This Row],[Дата]]),0)</f>
        <v>3</v>
      </c>
      <c r="D873" t="s">
        <v>974</v>
      </c>
      <c r="E873" t="s">
        <v>108</v>
      </c>
      <c r="F873" t="s">
        <v>975</v>
      </c>
      <c r="G873" t="s">
        <v>110</v>
      </c>
      <c r="H873" t="s">
        <v>111</v>
      </c>
      <c r="I873" t="s">
        <v>112</v>
      </c>
      <c r="J873" t="s">
        <v>112</v>
      </c>
      <c r="K873" t="s">
        <v>112</v>
      </c>
      <c r="L873" t="s">
        <v>150</v>
      </c>
      <c r="M873" t="s">
        <v>151</v>
      </c>
      <c r="N873" t="s">
        <v>112</v>
      </c>
      <c r="O873" t="s">
        <v>112</v>
      </c>
      <c r="P873">
        <v>1</v>
      </c>
      <c r="R873">
        <v>1</v>
      </c>
      <c r="S873">
        <v>33</v>
      </c>
      <c r="T873" t="s">
        <v>112</v>
      </c>
      <c r="U873" t="s">
        <v>152</v>
      </c>
      <c r="V873" t="s">
        <v>153</v>
      </c>
      <c r="W873" t="s">
        <v>154</v>
      </c>
      <c r="X873" t="s">
        <v>119</v>
      </c>
      <c r="Y873" t="s">
        <v>112</v>
      </c>
      <c r="Z873" t="s">
        <v>112</v>
      </c>
      <c r="AA873" t="s">
        <v>152</v>
      </c>
      <c r="AB873" t="s">
        <v>153</v>
      </c>
      <c r="AC873" t="s">
        <v>154</v>
      </c>
      <c r="AD873" t="s">
        <v>119</v>
      </c>
      <c r="AE873" t="s">
        <v>112</v>
      </c>
      <c r="AF873" t="s">
        <v>121</v>
      </c>
      <c r="AG873" t="s">
        <v>122</v>
      </c>
      <c r="AH873">
        <v>4819027.09</v>
      </c>
      <c r="AI873" t="s">
        <v>112</v>
      </c>
      <c r="AJ873" t="s">
        <v>152</v>
      </c>
      <c r="AK873" t="s">
        <v>153</v>
      </c>
      <c r="AL873" t="s">
        <v>154</v>
      </c>
      <c r="AM873" t="s">
        <v>119</v>
      </c>
      <c r="AN873" t="s">
        <v>112</v>
      </c>
      <c r="AO873" t="s">
        <v>121</v>
      </c>
      <c r="AP873" t="s">
        <v>122</v>
      </c>
      <c r="AQ873" t="s">
        <v>122</v>
      </c>
      <c r="AR873" t="s">
        <v>124</v>
      </c>
      <c r="AS873" t="s">
        <v>125</v>
      </c>
      <c r="AT873">
        <v>2</v>
      </c>
      <c r="AU873" t="s">
        <v>126</v>
      </c>
      <c r="AV873" t="s">
        <v>155</v>
      </c>
      <c r="AW873" t="s">
        <v>156</v>
      </c>
      <c r="AY873" t="s">
        <v>129</v>
      </c>
      <c r="AZ873">
        <v>45227.64</v>
      </c>
      <c r="BC873">
        <v>97.912599999999998</v>
      </c>
      <c r="BD873" t="s">
        <v>112</v>
      </c>
      <c r="BE873" t="s">
        <v>112</v>
      </c>
      <c r="BF873" t="s">
        <v>157</v>
      </c>
      <c r="BG873" t="s">
        <v>133</v>
      </c>
      <c r="BH873" t="s">
        <v>167</v>
      </c>
      <c r="BI873" t="s">
        <v>112</v>
      </c>
      <c r="BJ873" t="s">
        <v>112</v>
      </c>
      <c r="BK873" t="s">
        <v>112</v>
      </c>
      <c r="BL873" t="s">
        <v>158</v>
      </c>
      <c r="BM873" t="s">
        <v>159</v>
      </c>
      <c r="BN873" t="s">
        <v>160</v>
      </c>
      <c r="BO873" t="s">
        <v>161</v>
      </c>
      <c r="BQ873" t="s">
        <v>232</v>
      </c>
      <c r="BR873" s="45">
        <f>ISNUMBER(SEARCH($BR$1,Таблица1[[#This Row],[31_1 Описание и характеристика товара]]))*1</f>
        <v>1</v>
      </c>
      <c r="BT873" t="s">
        <v>150</v>
      </c>
      <c r="BU873">
        <v>33</v>
      </c>
      <c r="BV873">
        <v>0</v>
      </c>
      <c r="BW873">
        <v>0</v>
      </c>
      <c r="BY873">
        <v>0</v>
      </c>
      <c r="CA873" t="s">
        <v>106</v>
      </c>
      <c r="CB873" t="s">
        <v>142</v>
      </c>
      <c r="CC873" t="s">
        <v>112</v>
      </c>
      <c r="CD873" t="s">
        <v>112</v>
      </c>
      <c r="CE873" t="s">
        <v>121</v>
      </c>
      <c r="CF873">
        <v>16385.48</v>
      </c>
      <c r="CG873" t="s">
        <v>144</v>
      </c>
      <c r="CH873">
        <v>4000000</v>
      </c>
      <c r="CI873">
        <v>16385.48</v>
      </c>
      <c r="CJ873">
        <v>0</v>
      </c>
      <c r="CK873" t="s">
        <v>112</v>
      </c>
      <c r="CL873" t="s">
        <v>112</v>
      </c>
      <c r="CM873">
        <v>45227.64</v>
      </c>
      <c r="CP873">
        <v>1</v>
      </c>
      <c r="CQ873">
        <v>4819027.09</v>
      </c>
      <c r="CR873">
        <v>53686.78</v>
      </c>
      <c r="CS873" t="s">
        <v>145</v>
      </c>
      <c r="CT873">
        <v>53744.374399999993</v>
      </c>
      <c r="CU873">
        <v>3.28</v>
      </c>
      <c r="CV873">
        <v>45</v>
      </c>
      <c r="CX873" t="s">
        <v>206</v>
      </c>
      <c r="CY873">
        <v>219</v>
      </c>
    </row>
    <row r="874" spans="1:103" x14ac:dyDescent="0.25">
      <c r="A874" t="s">
        <v>106</v>
      </c>
      <c r="B874" s="38">
        <v>44946</v>
      </c>
      <c r="C874" s="43">
        <f>IF(YEAR(Таблица1[[#This Row],[Дата]])=2023,MONTH(Таблица1[[#This Row],[Дата]]),0)</f>
        <v>1</v>
      </c>
      <c r="D874" t="s">
        <v>2071</v>
      </c>
      <c r="E874" t="s">
        <v>108</v>
      </c>
      <c r="F874" t="s">
        <v>2072</v>
      </c>
      <c r="G874" t="s">
        <v>110</v>
      </c>
      <c r="H874" t="s">
        <v>111</v>
      </c>
      <c r="I874" t="s">
        <v>112</v>
      </c>
      <c r="J874" t="s">
        <v>112</v>
      </c>
      <c r="K874" t="s">
        <v>112</v>
      </c>
      <c r="L874" t="s">
        <v>150</v>
      </c>
      <c r="M874" t="s">
        <v>151</v>
      </c>
      <c r="N874" t="s">
        <v>112</v>
      </c>
      <c r="O874" t="s">
        <v>112</v>
      </c>
      <c r="P874">
        <v>1</v>
      </c>
      <c r="R874">
        <v>1</v>
      </c>
      <c r="S874">
        <v>33</v>
      </c>
      <c r="T874" t="s">
        <v>112</v>
      </c>
      <c r="U874" t="s">
        <v>152</v>
      </c>
      <c r="V874" t="s">
        <v>153</v>
      </c>
      <c r="W874" t="s">
        <v>154</v>
      </c>
      <c r="X874" t="s">
        <v>119</v>
      </c>
      <c r="Y874" t="s">
        <v>112</v>
      </c>
      <c r="Z874" t="s">
        <v>112</v>
      </c>
      <c r="AA874" t="s">
        <v>152</v>
      </c>
      <c r="AB874" t="s">
        <v>153</v>
      </c>
      <c r="AC874" t="s">
        <v>154</v>
      </c>
      <c r="AD874" t="s">
        <v>119</v>
      </c>
      <c r="AE874" t="s">
        <v>112</v>
      </c>
      <c r="AF874" t="s">
        <v>121</v>
      </c>
      <c r="AG874" t="s">
        <v>122</v>
      </c>
      <c r="AH874">
        <v>4553114.3899999997</v>
      </c>
      <c r="AI874" t="s">
        <v>112</v>
      </c>
      <c r="AJ874" t="s">
        <v>152</v>
      </c>
      <c r="AK874" t="s">
        <v>153</v>
      </c>
      <c r="AL874" t="s">
        <v>154</v>
      </c>
      <c r="AM874" t="s">
        <v>119</v>
      </c>
      <c r="AN874" t="s">
        <v>112</v>
      </c>
      <c r="AO874" t="s">
        <v>121</v>
      </c>
      <c r="AP874" t="s">
        <v>122</v>
      </c>
      <c r="AQ874" t="s">
        <v>122</v>
      </c>
      <c r="AR874" t="s">
        <v>124</v>
      </c>
      <c r="AS874" t="s">
        <v>125</v>
      </c>
      <c r="AT874">
        <v>2</v>
      </c>
      <c r="AU874" t="s">
        <v>126</v>
      </c>
      <c r="AV874" t="s">
        <v>155</v>
      </c>
      <c r="AW874" t="s">
        <v>156</v>
      </c>
      <c r="AY874" t="s">
        <v>129</v>
      </c>
      <c r="AZ874">
        <v>39763.82</v>
      </c>
      <c r="BC874">
        <v>104.0621</v>
      </c>
      <c r="BD874" t="s">
        <v>112</v>
      </c>
      <c r="BE874" t="s">
        <v>112</v>
      </c>
      <c r="BF874" t="s">
        <v>157</v>
      </c>
      <c r="BG874" t="s">
        <v>133</v>
      </c>
      <c r="BH874" t="s">
        <v>134</v>
      </c>
      <c r="BI874" t="s">
        <v>112</v>
      </c>
      <c r="BJ874" t="s">
        <v>112</v>
      </c>
      <c r="BK874" t="s">
        <v>112</v>
      </c>
      <c r="BL874" t="s">
        <v>158</v>
      </c>
      <c r="BM874" t="s">
        <v>159</v>
      </c>
      <c r="BN874" t="s">
        <v>212</v>
      </c>
      <c r="BO874" t="s">
        <v>161</v>
      </c>
      <c r="BQ874" t="s">
        <v>162</v>
      </c>
      <c r="BR874" s="45">
        <f>ISNUMBER(SEARCH($BR$1,Таблица1[[#This Row],[31_1 Описание и характеристика товара]]))*1</f>
        <v>1</v>
      </c>
      <c r="BT874" t="s">
        <v>150</v>
      </c>
      <c r="BU874">
        <v>33</v>
      </c>
      <c r="BV874">
        <v>0</v>
      </c>
      <c r="BW874">
        <v>0</v>
      </c>
      <c r="BY874">
        <v>0</v>
      </c>
      <c r="CA874" t="s">
        <v>106</v>
      </c>
      <c r="CB874" t="s">
        <v>142</v>
      </c>
      <c r="CC874" t="s">
        <v>112</v>
      </c>
      <c r="CD874" t="s">
        <v>112</v>
      </c>
      <c r="CE874" t="s">
        <v>121</v>
      </c>
      <c r="CF874">
        <v>16952.810000000001</v>
      </c>
      <c r="CG874" t="s">
        <v>144</v>
      </c>
      <c r="CH874">
        <v>4000000</v>
      </c>
      <c r="CI874">
        <v>16909.61</v>
      </c>
      <c r="CJ874">
        <v>0</v>
      </c>
      <c r="CK874" t="s">
        <v>112</v>
      </c>
      <c r="CL874" t="s">
        <v>112</v>
      </c>
      <c r="CM874">
        <v>39763.82</v>
      </c>
      <c r="CO874">
        <v>0</v>
      </c>
      <c r="CP874">
        <v>1</v>
      </c>
      <c r="CQ874">
        <v>4553114.3899999997</v>
      </c>
      <c r="CR874">
        <v>45867.03</v>
      </c>
      <c r="CS874" t="s">
        <v>145</v>
      </c>
      <c r="CT874">
        <v>45825.043100000003</v>
      </c>
      <c r="CU874">
        <v>2.71</v>
      </c>
      <c r="CV874">
        <v>45</v>
      </c>
      <c r="CX874" t="s">
        <v>1140</v>
      </c>
      <c r="CY874">
        <v>127</v>
      </c>
    </row>
    <row r="875" spans="1:103" x14ac:dyDescent="0.25">
      <c r="A875" t="s">
        <v>106</v>
      </c>
      <c r="B875" s="38">
        <v>45223</v>
      </c>
      <c r="C875" s="43">
        <f>IF(YEAR(Таблица1[[#This Row],[Дата]])=2023,MONTH(Таблица1[[#This Row],[Дата]]),0)</f>
        <v>10</v>
      </c>
      <c r="D875" t="s">
        <v>2071</v>
      </c>
      <c r="E875" t="s">
        <v>108</v>
      </c>
      <c r="F875" t="s">
        <v>2072</v>
      </c>
      <c r="G875" t="s">
        <v>110</v>
      </c>
      <c r="H875" t="s">
        <v>111</v>
      </c>
      <c r="I875" t="s">
        <v>112</v>
      </c>
      <c r="J875" t="s">
        <v>112</v>
      </c>
      <c r="K875" t="s">
        <v>112</v>
      </c>
      <c r="L875" t="s">
        <v>150</v>
      </c>
      <c r="M875" t="s">
        <v>151</v>
      </c>
      <c r="N875" t="s">
        <v>112</v>
      </c>
      <c r="O875" t="s">
        <v>112</v>
      </c>
      <c r="P875">
        <v>1</v>
      </c>
      <c r="R875">
        <v>1</v>
      </c>
      <c r="S875">
        <v>33</v>
      </c>
      <c r="T875" t="s">
        <v>112</v>
      </c>
      <c r="U875" t="s">
        <v>152</v>
      </c>
      <c r="V875" t="s">
        <v>153</v>
      </c>
      <c r="W875" t="s">
        <v>154</v>
      </c>
      <c r="X875" t="s">
        <v>119</v>
      </c>
      <c r="Y875" t="s">
        <v>112</v>
      </c>
      <c r="Z875" t="s">
        <v>112</v>
      </c>
      <c r="AA875" t="s">
        <v>152</v>
      </c>
      <c r="AB875" t="s">
        <v>153</v>
      </c>
      <c r="AC875" t="s">
        <v>154</v>
      </c>
      <c r="AD875" t="s">
        <v>119</v>
      </c>
      <c r="AE875" t="s">
        <v>112</v>
      </c>
      <c r="AF875" t="s">
        <v>121</v>
      </c>
      <c r="AG875" t="s">
        <v>122</v>
      </c>
      <c r="AH875">
        <v>4553114.3899999997</v>
      </c>
      <c r="AI875" t="s">
        <v>112</v>
      </c>
      <c r="AJ875" t="s">
        <v>152</v>
      </c>
      <c r="AK875" t="s">
        <v>153</v>
      </c>
      <c r="AL875" t="s">
        <v>154</v>
      </c>
      <c r="AM875" t="s">
        <v>119</v>
      </c>
      <c r="AN875" t="s">
        <v>112</v>
      </c>
      <c r="AO875" t="s">
        <v>121</v>
      </c>
      <c r="AP875" t="s">
        <v>122</v>
      </c>
      <c r="AQ875" t="s">
        <v>122</v>
      </c>
      <c r="AR875" t="s">
        <v>124</v>
      </c>
      <c r="AS875" t="s">
        <v>125</v>
      </c>
      <c r="AT875">
        <v>2</v>
      </c>
      <c r="AU875" t="s">
        <v>126</v>
      </c>
      <c r="AV875" t="s">
        <v>155</v>
      </c>
      <c r="AW875" t="s">
        <v>156</v>
      </c>
      <c r="AY875" t="s">
        <v>129</v>
      </c>
      <c r="AZ875">
        <v>39763.82</v>
      </c>
      <c r="BC875">
        <v>104.0621</v>
      </c>
      <c r="BD875" t="s">
        <v>112</v>
      </c>
      <c r="BE875" t="s">
        <v>112</v>
      </c>
      <c r="BF875" t="s">
        <v>157</v>
      </c>
      <c r="BG875" t="s">
        <v>133</v>
      </c>
      <c r="BH875" t="s">
        <v>134</v>
      </c>
      <c r="BI875" t="s">
        <v>112</v>
      </c>
      <c r="BJ875" t="s">
        <v>112</v>
      </c>
      <c r="BK875" t="s">
        <v>112</v>
      </c>
      <c r="BL875" t="s">
        <v>158</v>
      </c>
      <c r="BM875" t="s">
        <v>159</v>
      </c>
      <c r="BN875" t="s">
        <v>212</v>
      </c>
      <c r="BO875" t="s">
        <v>161</v>
      </c>
      <c r="BQ875" t="s">
        <v>162</v>
      </c>
      <c r="BR875" s="45">
        <f>ISNUMBER(SEARCH($BR$1,Таблица1[[#This Row],[31_1 Описание и характеристика товара]]))*1</f>
        <v>1</v>
      </c>
      <c r="BT875" t="s">
        <v>150</v>
      </c>
      <c r="BU875">
        <v>33</v>
      </c>
      <c r="BV875">
        <v>0</v>
      </c>
      <c r="BW875">
        <v>0</v>
      </c>
      <c r="BY875">
        <v>0</v>
      </c>
      <c r="CA875" t="s">
        <v>106</v>
      </c>
      <c r="CB875" t="s">
        <v>142</v>
      </c>
      <c r="CC875" t="s">
        <v>112</v>
      </c>
      <c r="CD875" t="s">
        <v>112</v>
      </c>
      <c r="CE875" t="s">
        <v>121</v>
      </c>
      <c r="CF875">
        <v>16952.810000000001</v>
      </c>
      <c r="CG875" t="s">
        <v>144</v>
      </c>
      <c r="CH875">
        <v>4000000</v>
      </c>
      <c r="CI875">
        <v>16909.61</v>
      </c>
      <c r="CJ875">
        <v>0</v>
      </c>
      <c r="CK875" t="s">
        <v>112</v>
      </c>
      <c r="CL875" t="s">
        <v>112</v>
      </c>
      <c r="CM875">
        <v>39763.82</v>
      </c>
      <c r="CO875">
        <v>0</v>
      </c>
      <c r="CP875">
        <v>1</v>
      </c>
      <c r="CQ875">
        <v>4553114.3899999997</v>
      </c>
      <c r="CR875">
        <v>45867.03</v>
      </c>
      <c r="CS875" t="s">
        <v>145</v>
      </c>
      <c r="CT875">
        <v>45825.043100000003</v>
      </c>
      <c r="CU875">
        <v>2.71</v>
      </c>
      <c r="CV875">
        <v>45</v>
      </c>
      <c r="CX875" t="s">
        <v>1140</v>
      </c>
      <c r="CY875">
        <v>127</v>
      </c>
    </row>
    <row r="876" spans="1:103" x14ac:dyDescent="0.25">
      <c r="A876" t="s">
        <v>106</v>
      </c>
      <c r="B876" s="38">
        <v>45209</v>
      </c>
      <c r="C876" s="43">
        <f>IF(YEAR(Таблица1[[#This Row],[Дата]])=2023,MONTH(Таблица1[[#This Row],[Дата]]),0)</f>
        <v>10</v>
      </c>
      <c r="D876" t="s">
        <v>2102</v>
      </c>
      <c r="E876" t="s">
        <v>108</v>
      </c>
      <c r="F876" t="s">
        <v>2103</v>
      </c>
      <c r="G876" t="s">
        <v>110</v>
      </c>
      <c r="H876" t="s">
        <v>111</v>
      </c>
      <c r="I876" t="s">
        <v>112</v>
      </c>
      <c r="J876" t="s">
        <v>112</v>
      </c>
      <c r="K876" t="s">
        <v>112</v>
      </c>
      <c r="L876" t="s">
        <v>150</v>
      </c>
      <c r="M876" t="s">
        <v>151</v>
      </c>
      <c r="N876" t="s">
        <v>112</v>
      </c>
      <c r="O876" t="s">
        <v>112</v>
      </c>
      <c r="P876">
        <v>1</v>
      </c>
      <c r="R876">
        <v>1</v>
      </c>
      <c r="S876">
        <v>33</v>
      </c>
      <c r="T876" t="s">
        <v>112</v>
      </c>
      <c r="U876" t="s">
        <v>152</v>
      </c>
      <c r="V876" t="s">
        <v>153</v>
      </c>
      <c r="W876" t="s">
        <v>154</v>
      </c>
      <c r="X876" t="s">
        <v>119</v>
      </c>
      <c r="Y876" t="s">
        <v>112</v>
      </c>
      <c r="Z876" t="s">
        <v>112</v>
      </c>
      <c r="AA876" t="s">
        <v>152</v>
      </c>
      <c r="AB876" t="s">
        <v>153</v>
      </c>
      <c r="AC876" t="s">
        <v>154</v>
      </c>
      <c r="AD876" t="s">
        <v>119</v>
      </c>
      <c r="AE876" t="s">
        <v>112</v>
      </c>
      <c r="AF876" t="s">
        <v>121</v>
      </c>
      <c r="AG876" t="s">
        <v>122</v>
      </c>
      <c r="AH876">
        <v>4575265.05</v>
      </c>
      <c r="AI876" t="s">
        <v>112</v>
      </c>
      <c r="AJ876" t="s">
        <v>152</v>
      </c>
      <c r="AK876" t="s">
        <v>153</v>
      </c>
      <c r="AL876" t="s">
        <v>154</v>
      </c>
      <c r="AM876" t="s">
        <v>119</v>
      </c>
      <c r="AN876" t="s">
        <v>112</v>
      </c>
      <c r="AO876" t="s">
        <v>121</v>
      </c>
      <c r="AP876" t="s">
        <v>122</v>
      </c>
      <c r="AQ876" t="s">
        <v>122</v>
      </c>
      <c r="AR876" t="s">
        <v>124</v>
      </c>
      <c r="AS876" t="s">
        <v>125</v>
      </c>
      <c r="AT876">
        <v>2</v>
      </c>
      <c r="AU876" t="s">
        <v>126</v>
      </c>
      <c r="AV876" t="s">
        <v>155</v>
      </c>
      <c r="AW876" t="s">
        <v>156</v>
      </c>
      <c r="AY876" t="s">
        <v>129</v>
      </c>
      <c r="AZ876">
        <v>39976.68</v>
      </c>
      <c r="BC876">
        <v>104.0621</v>
      </c>
      <c r="BD876" t="s">
        <v>112</v>
      </c>
      <c r="BE876" t="s">
        <v>112</v>
      </c>
      <c r="BF876" t="s">
        <v>157</v>
      </c>
      <c r="BG876" t="s">
        <v>133</v>
      </c>
      <c r="BH876" t="s">
        <v>134</v>
      </c>
      <c r="BI876" t="s">
        <v>112</v>
      </c>
      <c r="BJ876" t="s">
        <v>112</v>
      </c>
      <c r="BK876" t="s">
        <v>112</v>
      </c>
      <c r="BL876" t="s">
        <v>158</v>
      </c>
      <c r="BM876" t="s">
        <v>159</v>
      </c>
      <c r="BN876" t="s">
        <v>212</v>
      </c>
      <c r="BO876" t="s">
        <v>161</v>
      </c>
      <c r="BQ876" t="s">
        <v>205</v>
      </c>
      <c r="BR876" s="45">
        <f>ISNUMBER(SEARCH($BR$1,Таблица1[[#This Row],[31_1 Описание и характеристика товара]]))*1</f>
        <v>1</v>
      </c>
      <c r="BT876" t="s">
        <v>150</v>
      </c>
      <c r="BU876">
        <v>33</v>
      </c>
      <c r="BV876">
        <v>0</v>
      </c>
      <c r="BW876">
        <v>0</v>
      </c>
      <c r="BY876">
        <v>0</v>
      </c>
      <c r="CA876" t="s">
        <v>106</v>
      </c>
      <c r="CB876" t="s">
        <v>142</v>
      </c>
      <c r="CC876" t="s">
        <v>112</v>
      </c>
      <c r="CD876" t="s">
        <v>112</v>
      </c>
      <c r="CE876" t="s">
        <v>121</v>
      </c>
      <c r="CF876">
        <v>17090.84</v>
      </c>
      <c r="CG876" t="s">
        <v>144</v>
      </c>
      <c r="CH876">
        <v>4000000</v>
      </c>
      <c r="CI876">
        <v>17004.439999999999</v>
      </c>
      <c r="CJ876">
        <v>0</v>
      </c>
      <c r="CK876" t="s">
        <v>112</v>
      </c>
      <c r="CL876" t="s">
        <v>112</v>
      </c>
      <c r="CM876">
        <v>39976.68</v>
      </c>
      <c r="CO876">
        <v>0</v>
      </c>
      <c r="CP876">
        <v>1</v>
      </c>
      <c r="CQ876">
        <v>4575265.05</v>
      </c>
      <c r="CR876">
        <v>46090.17</v>
      </c>
      <c r="CS876" t="s">
        <v>145</v>
      </c>
      <c r="CT876">
        <v>46082.032399999996</v>
      </c>
      <c r="CU876">
        <v>2.71</v>
      </c>
      <c r="CV876">
        <v>45</v>
      </c>
      <c r="CX876" t="s">
        <v>163</v>
      </c>
      <c r="CY876">
        <v>243</v>
      </c>
    </row>
    <row r="877" spans="1:103" x14ac:dyDescent="0.25">
      <c r="A877" t="s">
        <v>106</v>
      </c>
      <c r="B877" s="38">
        <v>45245</v>
      </c>
      <c r="C877" s="43">
        <f>IF(YEAR(Таблица1[[#This Row],[Дата]])=2023,MONTH(Таблица1[[#This Row],[Дата]]),0)</f>
        <v>11</v>
      </c>
      <c r="D877" t="s">
        <v>2102</v>
      </c>
      <c r="E877" t="s">
        <v>108</v>
      </c>
      <c r="F877" t="s">
        <v>2103</v>
      </c>
      <c r="G877" t="s">
        <v>110</v>
      </c>
      <c r="H877" t="s">
        <v>111</v>
      </c>
      <c r="I877" t="s">
        <v>112</v>
      </c>
      <c r="J877" t="s">
        <v>112</v>
      </c>
      <c r="K877" t="s">
        <v>112</v>
      </c>
      <c r="L877" t="s">
        <v>150</v>
      </c>
      <c r="M877" t="s">
        <v>151</v>
      </c>
      <c r="N877" t="s">
        <v>112</v>
      </c>
      <c r="O877" t="s">
        <v>112</v>
      </c>
      <c r="P877">
        <v>1</v>
      </c>
      <c r="R877">
        <v>1</v>
      </c>
      <c r="S877">
        <v>33</v>
      </c>
      <c r="T877" t="s">
        <v>112</v>
      </c>
      <c r="U877" t="s">
        <v>152</v>
      </c>
      <c r="V877" t="s">
        <v>153</v>
      </c>
      <c r="W877" t="s">
        <v>154</v>
      </c>
      <c r="X877" t="s">
        <v>119</v>
      </c>
      <c r="Y877" t="s">
        <v>112</v>
      </c>
      <c r="Z877" t="s">
        <v>112</v>
      </c>
      <c r="AA877" t="s">
        <v>152</v>
      </c>
      <c r="AB877" t="s">
        <v>153</v>
      </c>
      <c r="AC877" t="s">
        <v>154</v>
      </c>
      <c r="AD877" t="s">
        <v>119</v>
      </c>
      <c r="AE877" t="s">
        <v>112</v>
      </c>
      <c r="AF877" t="s">
        <v>121</v>
      </c>
      <c r="AG877" t="s">
        <v>122</v>
      </c>
      <c r="AH877">
        <v>4575265.05</v>
      </c>
      <c r="AI877" t="s">
        <v>112</v>
      </c>
      <c r="AJ877" t="s">
        <v>152</v>
      </c>
      <c r="AK877" t="s">
        <v>153</v>
      </c>
      <c r="AL877" t="s">
        <v>154</v>
      </c>
      <c r="AM877" t="s">
        <v>119</v>
      </c>
      <c r="AN877" t="s">
        <v>112</v>
      </c>
      <c r="AO877" t="s">
        <v>121</v>
      </c>
      <c r="AP877" t="s">
        <v>122</v>
      </c>
      <c r="AQ877" t="s">
        <v>122</v>
      </c>
      <c r="AR877" t="s">
        <v>124</v>
      </c>
      <c r="AS877" t="s">
        <v>125</v>
      </c>
      <c r="AT877">
        <v>2</v>
      </c>
      <c r="AU877" t="s">
        <v>126</v>
      </c>
      <c r="AV877" t="s">
        <v>155</v>
      </c>
      <c r="AW877" t="s">
        <v>156</v>
      </c>
      <c r="AY877" t="s">
        <v>129</v>
      </c>
      <c r="AZ877">
        <v>39976.68</v>
      </c>
      <c r="BC877">
        <v>104.0621</v>
      </c>
      <c r="BD877" t="s">
        <v>112</v>
      </c>
      <c r="BE877" t="s">
        <v>112</v>
      </c>
      <c r="BF877" t="s">
        <v>157</v>
      </c>
      <c r="BG877" t="s">
        <v>133</v>
      </c>
      <c r="BH877" t="s">
        <v>134</v>
      </c>
      <c r="BI877" t="s">
        <v>112</v>
      </c>
      <c r="BJ877" t="s">
        <v>112</v>
      </c>
      <c r="BK877" t="s">
        <v>112</v>
      </c>
      <c r="BL877" t="s">
        <v>158</v>
      </c>
      <c r="BM877" t="s">
        <v>159</v>
      </c>
      <c r="BN877" t="s">
        <v>212</v>
      </c>
      <c r="BO877" t="s">
        <v>161</v>
      </c>
      <c r="BQ877" t="s">
        <v>205</v>
      </c>
      <c r="BR877" s="45">
        <f>ISNUMBER(SEARCH($BR$1,Таблица1[[#This Row],[31_1 Описание и характеристика товара]]))*1</f>
        <v>1</v>
      </c>
      <c r="BT877" t="s">
        <v>150</v>
      </c>
      <c r="BU877">
        <v>33</v>
      </c>
      <c r="BV877">
        <v>0</v>
      </c>
      <c r="BW877">
        <v>0</v>
      </c>
      <c r="BY877">
        <v>0</v>
      </c>
      <c r="CA877" t="s">
        <v>106</v>
      </c>
      <c r="CB877" t="s">
        <v>142</v>
      </c>
      <c r="CC877" t="s">
        <v>112</v>
      </c>
      <c r="CD877" t="s">
        <v>112</v>
      </c>
      <c r="CE877" t="s">
        <v>121</v>
      </c>
      <c r="CF877">
        <v>17090.84</v>
      </c>
      <c r="CG877" t="s">
        <v>144</v>
      </c>
      <c r="CH877">
        <v>4000000</v>
      </c>
      <c r="CI877">
        <v>17004.439999999999</v>
      </c>
      <c r="CJ877">
        <v>0</v>
      </c>
      <c r="CK877" t="s">
        <v>112</v>
      </c>
      <c r="CL877" t="s">
        <v>112</v>
      </c>
      <c r="CM877">
        <v>39976.68</v>
      </c>
      <c r="CO877">
        <v>0</v>
      </c>
      <c r="CP877">
        <v>1</v>
      </c>
      <c r="CQ877">
        <v>4575265.05</v>
      </c>
      <c r="CR877">
        <v>46090.17</v>
      </c>
      <c r="CS877" t="s">
        <v>145</v>
      </c>
      <c r="CT877">
        <v>46082.032399999996</v>
      </c>
      <c r="CU877">
        <v>2.71</v>
      </c>
      <c r="CV877">
        <v>45</v>
      </c>
      <c r="CX877" t="s">
        <v>163</v>
      </c>
      <c r="CY877">
        <v>243</v>
      </c>
    </row>
    <row r="878" spans="1:103" x14ac:dyDescent="0.25">
      <c r="A878" t="s">
        <v>106</v>
      </c>
      <c r="B878" s="38">
        <v>45004</v>
      </c>
      <c r="C878" s="43">
        <f>IF(YEAR(Таблица1[[#This Row],[Дата]])=2023,MONTH(Таблица1[[#This Row],[Дата]]),0)</f>
        <v>3</v>
      </c>
      <c r="D878" t="s">
        <v>1844</v>
      </c>
      <c r="E878" t="s">
        <v>108</v>
      </c>
      <c r="F878" t="s">
        <v>1845</v>
      </c>
      <c r="G878" t="s">
        <v>110</v>
      </c>
      <c r="H878" t="s">
        <v>111</v>
      </c>
      <c r="I878" t="s">
        <v>112</v>
      </c>
      <c r="J878" t="s">
        <v>112</v>
      </c>
      <c r="K878" t="s">
        <v>112</v>
      </c>
      <c r="L878" t="s">
        <v>150</v>
      </c>
      <c r="M878" t="s">
        <v>151</v>
      </c>
      <c r="N878" t="s">
        <v>112</v>
      </c>
      <c r="O878" t="s">
        <v>112</v>
      </c>
      <c r="P878">
        <v>1</v>
      </c>
      <c r="R878">
        <v>1</v>
      </c>
      <c r="S878">
        <v>33</v>
      </c>
      <c r="T878" t="s">
        <v>112</v>
      </c>
      <c r="U878" t="s">
        <v>152</v>
      </c>
      <c r="V878" t="s">
        <v>153</v>
      </c>
      <c r="W878" t="s">
        <v>154</v>
      </c>
      <c r="X878" t="s">
        <v>119</v>
      </c>
      <c r="Y878" t="s">
        <v>112</v>
      </c>
      <c r="Z878" t="s">
        <v>112</v>
      </c>
      <c r="AA878" t="s">
        <v>152</v>
      </c>
      <c r="AB878" t="s">
        <v>153</v>
      </c>
      <c r="AC878" t="s">
        <v>154</v>
      </c>
      <c r="AD878" t="s">
        <v>119</v>
      </c>
      <c r="AE878" t="s">
        <v>112</v>
      </c>
      <c r="AF878" t="s">
        <v>121</v>
      </c>
      <c r="AG878" t="s">
        <v>122</v>
      </c>
      <c r="AH878">
        <v>4616621.0599999996</v>
      </c>
      <c r="AI878" t="s">
        <v>112</v>
      </c>
      <c r="AJ878" t="s">
        <v>152</v>
      </c>
      <c r="AK878" t="s">
        <v>153</v>
      </c>
      <c r="AL878" t="s">
        <v>154</v>
      </c>
      <c r="AM878" t="s">
        <v>119</v>
      </c>
      <c r="AN878" t="s">
        <v>112</v>
      </c>
      <c r="AO878" t="s">
        <v>121</v>
      </c>
      <c r="AP878" t="s">
        <v>122</v>
      </c>
      <c r="AQ878" t="s">
        <v>122</v>
      </c>
      <c r="AR878" t="s">
        <v>124</v>
      </c>
      <c r="AS878" t="s">
        <v>125</v>
      </c>
      <c r="AT878">
        <v>2</v>
      </c>
      <c r="AU878" t="s">
        <v>126</v>
      </c>
      <c r="AV878" t="s">
        <v>155</v>
      </c>
      <c r="AW878" t="s">
        <v>156</v>
      </c>
      <c r="AY878" t="s">
        <v>129</v>
      </c>
      <c r="AZ878">
        <v>40001.4</v>
      </c>
      <c r="BC878">
        <v>104.6108</v>
      </c>
      <c r="BD878" t="s">
        <v>112</v>
      </c>
      <c r="BE878" t="s">
        <v>112</v>
      </c>
      <c r="BF878" t="s">
        <v>157</v>
      </c>
      <c r="BG878" t="s">
        <v>133</v>
      </c>
      <c r="BH878" t="s">
        <v>167</v>
      </c>
      <c r="BI878" t="s">
        <v>112</v>
      </c>
      <c r="BJ878" t="s">
        <v>112</v>
      </c>
      <c r="BK878" t="s">
        <v>112</v>
      </c>
      <c r="BL878" t="s">
        <v>169</v>
      </c>
      <c r="BM878" t="s">
        <v>159</v>
      </c>
      <c r="BN878" t="s">
        <v>160</v>
      </c>
      <c r="BO878" t="s">
        <v>161</v>
      </c>
      <c r="BQ878" t="s">
        <v>232</v>
      </c>
      <c r="BR878" s="45">
        <f>ISNUMBER(SEARCH($BR$1,Таблица1[[#This Row],[31_1 Описание и характеристика товара]]))*1</f>
        <v>1</v>
      </c>
      <c r="BT878" t="s">
        <v>150</v>
      </c>
      <c r="BU878">
        <v>33</v>
      </c>
      <c r="BV878">
        <v>0</v>
      </c>
      <c r="BW878">
        <v>0</v>
      </c>
      <c r="BY878">
        <v>0</v>
      </c>
      <c r="CA878" t="s">
        <v>106</v>
      </c>
      <c r="CB878" t="s">
        <v>142</v>
      </c>
      <c r="CC878" t="s">
        <v>112</v>
      </c>
      <c r="CD878" t="s">
        <v>112</v>
      </c>
      <c r="CE878" t="s">
        <v>121</v>
      </c>
      <c r="CF878">
        <v>16882.57</v>
      </c>
      <c r="CG878" t="s">
        <v>144</v>
      </c>
      <c r="CH878">
        <v>4000000</v>
      </c>
      <c r="CI878">
        <v>16817.77</v>
      </c>
      <c r="CJ878">
        <v>0</v>
      </c>
      <c r="CK878" t="s">
        <v>112</v>
      </c>
      <c r="CL878" t="s">
        <v>112</v>
      </c>
      <c r="CM878">
        <v>40001.4</v>
      </c>
      <c r="CO878">
        <v>0</v>
      </c>
      <c r="CP878">
        <v>1</v>
      </c>
      <c r="CQ878">
        <v>4616621.0599999996</v>
      </c>
      <c r="CR878">
        <v>47919.54</v>
      </c>
      <c r="CS878" t="s">
        <v>145</v>
      </c>
      <c r="CT878">
        <v>47930.644500000002</v>
      </c>
      <c r="CU878">
        <v>2.85</v>
      </c>
      <c r="CV878">
        <v>45</v>
      </c>
      <c r="CX878" t="s">
        <v>206</v>
      </c>
      <c r="CY878">
        <v>134</v>
      </c>
    </row>
    <row r="879" spans="1:103" x14ac:dyDescent="0.25">
      <c r="A879" t="s">
        <v>106</v>
      </c>
      <c r="B879" s="38">
        <v>45040</v>
      </c>
      <c r="C879" s="43">
        <f>IF(YEAR(Таблица1[[#This Row],[Дата]])=2023,MONTH(Таблица1[[#This Row],[Дата]]),0)</f>
        <v>4</v>
      </c>
      <c r="D879" t="s">
        <v>1846</v>
      </c>
      <c r="E879" t="s">
        <v>108</v>
      </c>
      <c r="F879" t="s">
        <v>1847</v>
      </c>
      <c r="G879" t="s">
        <v>3244</v>
      </c>
      <c r="H879" t="s">
        <v>111</v>
      </c>
      <c r="I879" t="s">
        <v>112</v>
      </c>
      <c r="J879" t="s">
        <v>112</v>
      </c>
      <c r="K879" t="s">
        <v>112</v>
      </c>
      <c r="L879" t="s">
        <v>150</v>
      </c>
      <c r="M879" t="s">
        <v>151</v>
      </c>
      <c r="N879" t="s">
        <v>112</v>
      </c>
      <c r="O879" t="s">
        <v>112</v>
      </c>
      <c r="P879">
        <v>1</v>
      </c>
      <c r="R879">
        <v>1</v>
      </c>
      <c r="S879">
        <v>33</v>
      </c>
      <c r="T879" t="s">
        <v>112</v>
      </c>
      <c r="U879" t="s">
        <v>152</v>
      </c>
      <c r="V879" t="s">
        <v>153</v>
      </c>
      <c r="W879" t="s">
        <v>154</v>
      </c>
      <c r="X879" t="s">
        <v>119</v>
      </c>
      <c r="Y879" t="s">
        <v>112</v>
      </c>
      <c r="Z879" t="s">
        <v>112</v>
      </c>
      <c r="AA879" t="s">
        <v>152</v>
      </c>
      <c r="AB879" t="s">
        <v>153</v>
      </c>
      <c r="AC879" t="s">
        <v>154</v>
      </c>
      <c r="AD879" t="s">
        <v>119</v>
      </c>
      <c r="AE879" t="s">
        <v>112</v>
      </c>
      <c r="AF879" t="s">
        <v>121</v>
      </c>
      <c r="AG879" t="s">
        <v>122</v>
      </c>
      <c r="AH879">
        <v>4874616.3899999997</v>
      </c>
      <c r="AI879" t="s">
        <v>112</v>
      </c>
      <c r="AJ879" t="s">
        <v>152</v>
      </c>
      <c r="AK879" t="s">
        <v>153</v>
      </c>
      <c r="AL879" t="s">
        <v>154</v>
      </c>
      <c r="AM879" t="s">
        <v>119</v>
      </c>
      <c r="AN879" t="s">
        <v>112</v>
      </c>
      <c r="AO879" t="s">
        <v>121</v>
      </c>
      <c r="AP879" t="s">
        <v>122</v>
      </c>
      <c r="AQ879" t="s">
        <v>122</v>
      </c>
      <c r="AR879" t="s">
        <v>124</v>
      </c>
      <c r="AS879" t="s">
        <v>125</v>
      </c>
      <c r="AT879">
        <v>2</v>
      </c>
      <c r="AU879" t="s">
        <v>126</v>
      </c>
      <c r="AV879" t="s">
        <v>155</v>
      </c>
      <c r="AW879" t="s">
        <v>156</v>
      </c>
      <c r="AY879" t="s">
        <v>129</v>
      </c>
      <c r="AZ879">
        <v>42467.64</v>
      </c>
      <c r="BC879">
        <v>104.6108</v>
      </c>
      <c r="BD879" t="s">
        <v>112</v>
      </c>
      <c r="BE879" t="s">
        <v>112</v>
      </c>
      <c r="BF879" t="s">
        <v>157</v>
      </c>
      <c r="BG879" t="s">
        <v>133</v>
      </c>
      <c r="BH879" t="s">
        <v>134</v>
      </c>
      <c r="BI879" t="s">
        <v>112</v>
      </c>
      <c r="BJ879" t="s">
        <v>112</v>
      </c>
      <c r="BK879" t="s">
        <v>112</v>
      </c>
      <c r="BL879" t="s">
        <v>169</v>
      </c>
      <c r="BM879" t="s">
        <v>159</v>
      </c>
      <c r="BN879" t="s">
        <v>212</v>
      </c>
      <c r="BO879" t="s">
        <v>161</v>
      </c>
      <c r="BQ879" t="s">
        <v>232</v>
      </c>
      <c r="BR879" s="45">
        <f>ISNUMBER(SEARCH($BR$1,Таблица1[[#This Row],[31_1 Описание и характеристика товара]]))*1</f>
        <v>1</v>
      </c>
      <c r="BT879" t="s">
        <v>150</v>
      </c>
      <c r="BU879">
        <v>33</v>
      </c>
      <c r="BV879">
        <v>0</v>
      </c>
      <c r="BW879">
        <v>0</v>
      </c>
      <c r="BY879">
        <v>0</v>
      </c>
      <c r="CA879" t="s">
        <v>106</v>
      </c>
      <c r="CB879" t="s">
        <v>142</v>
      </c>
      <c r="CC879" t="s">
        <v>112</v>
      </c>
      <c r="CD879" t="s">
        <v>112</v>
      </c>
      <c r="CE879" t="s">
        <v>121</v>
      </c>
      <c r="CF879">
        <v>16858.87</v>
      </c>
      <c r="CG879" t="s">
        <v>144</v>
      </c>
      <c r="CH879">
        <v>4000000</v>
      </c>
      <c r="CI879">
        <v>16804.87</v>
      </c>
      <c r="CJ879">
        <v>0</v>
      </c>
      <c r="CK879" t="s">
        <v>112</v>
      </c>
      <c r="CL879" t="s">
        <v>112</v>
      </c>
      <c r="CM879">
        <v>42467.64</v>
      </c>
      <c r="CO879">
        <v>0</v>
      </c>
      <c r="CP879">
        <v>1</v>
      </c>
      <c r="CQ879">
        <v>4874616.3899999997</v>
      </c>
      <c r="CR879">
        <v>50597.47</v>
      </c>
      <c r="CS879" t="s">
        <v>145</v>
      </c>
      <c r="CT879">
        <v>50582.658699999993</v>
      </c>
      <c r="CU879">
        <v>3.01</v>
      </c>
      <c r="CV879">
        <v>45</v>
      </c>
      <c r="CX879" t="s">
        <v>1140</v>
      </c>
      <c r="CY879">
        <v>134</v>
      </c>
    </row>
    <row r="880" spans="1:103" x14ac:dyDescent="0.25">
      <c r="A880" t="s">
        <v>106</v>
      </c>
      <c r="B880" s="38">
        <v>45100</v>
      </c>
      <c r="C880" s="43">
        <f>IF(YEAR(Таблица1[[#This Row],[Дата]])=2023,MONTH(Таблица1[[#This Row],[Дата]]),0)</f>
        <v>6</v>
      </c>
      <c r="D880" t="s">
        <v>1854</v>
      </c>
      <c r="E880" t="s">
        <v>108</v>
      </c>
      <c r="F880" t="s">
        <v>1855</v>
      </c>
      <c r="G880" t="s">
        <v>3244</v>
      </c>
      <c r="H880" t="s">
        <v>111</v>
      </c>
      <c r="I880" t="s">
        <v>112</v>
      </c>
      <c r="J880" t="s">
        <v>112</v>
      </c>
      <c r="K880" t="s">
        <v>112</v>
      </c>
      <c r="L880" t="s">
        <v>150</v>
      </c>
      <c r="M880" t="s">
        <v>151</v>
      </c>
      <c r="N880" t="s">
        <v>112</v>
      </c>
      <c r="O880" t="s">
        <v>112</v>
      </c>
      <c r="P880">
        <v>1</v>
      </c>
      <c r="R880">
        <v>1</v>
      </c>
      <c r="S880">
        <v>33</v>
      </c>
      <c r="T880" t="s">
        <v>112</v>
      </c>
      <c r="U880" t="s">
        <v>152</v>
      </c>
      <c r="V880" t="s">
        <v>153</v>
      </c>
      <c r="W880" t="s">
        <v>154</v>
      </c>
      <c r="X880" t="s">
        <v>119</v>
      </c>
      <c r="Y880" t="s">
        <v>112</v>
      </c>
      <c r="Z880" t="s">
        <v>112</v>
      </c>
      <c r="AA880" t="s">
        <v>152</v>
      </c>
      <c r="AB880" t="s">
        <v>153</v>
      </c>
      <c r="AC880" t="s">
        <v>154</v>
      </c>
      <c r="AD880" t="s">
        <v>119</v>
      </c>
      <c r="AE880" t="s">
        <v>112</v>
      </c>
      <c r="AF880" t="s">
        <v>121</v>
      </c>
      <c r="AG880" t="s">
        <v>122</v>
      </c>
      <c r="AH880">
        <v>4529777.3499999996</v>
      </c>
      <c r="AI880" t="s">
        <v>112</v>
      </c>
      <c r="AJ880" t="s">
        <v>152</v>
      </c>
      <c r="AK880" t="s">
        <v>153</v>
      </c>
      <c r="AL880" t="s">
        <v>154</v>
      </c>
      <c r="AM880" t="s">
        <v>119</v>
      </c>
      <c r="AN880" t="s">
        <v>112</v>
      </c>
      <c r="AO880" t="s">
        <v>121</v>
      </c>
      <c r="AP880" t="s">
        <v>122</v>
      </c>
      <c r="AQ880" t="s">
        <v>122</v>
      </c>
      <c r="AR880" t="s">
        <v>124</v>
      </c>
      <c r="AS880" t="s">
        <v>125</v>
      </c>
      <c r="AT880">
        <v>2</v>
      </c>
      <c r="AU880" t="s">
        <v>126</v>
      </c>
      <c r="AV880" t="s">
        <v>155</v>
      </c>
      <c r="AW880" t="s">
        <v>156</v>
      </c>
      <c r="AY880" t="s">
        <v>129</v>
      </c>
      <c r="AZ880">
        <v>39171.24</v>
      </c>
      <c r="BC880">
        <v>104.6108</v>
      </c>
      <c r="BD880" t="s">
        <v>112</v>
      </c>
      <c r="BE880" t="s">
        <v>112</v>
      </c>
      <c r="BF880" t="s">
        <v>157</v>
      </c>
      <c r="BG880" t="s">
        <v>133</v>
      </c>
      <c r="BH880" t="s">
        <v>167</v>
      </c>
      <c r="BI880" t="s">
        <v>112</v>
      </c>
      <c r="BJ880" t="s">
        <v>112</v>
      </c>
      <c r="BK880" t="s">
        <v>112</v>
      </c>
      <c r="BL880" t="s">
        <v>169</v>
      </c>
      <c r="BM880" t="s">
        <v>159</v>
      </c>
      <c r="BN880" t="s">
        <v>160</v>
      </c>
      <c r="BO880" t="s">
        <v>161</v>
      </c>
      <c r="BQ880" t="s">
        <v>205</v>
      </c>
      <c r="BR880" s="45">
        <f>ISNUMBER(SEARCH($BR$1,Таблица1[[#This Row],[31_1 Описание и характеристика товара]]))*1</f>
        <v>1</v>
      </c>
      <c r="BT880" t="s">
        <v>150</v>
      </c>
      <c r="BU880">
        <v>33</v>
      </c>
      <c r="BV880">
        <v>0</v>
      </c>
      <c r="BW880">
        <v>0</v>
      </c>
      <c r="BY880">
        <v>0</v>
      </c>
      <c r="CA880" t="s">
        <v>106</v>
      </c>
      <c r="CB880" t="s">
        <v>142</v>
      </c>
      <c r="CC880" t="s">
        <v>112</v>
      </c>
      <c r="CD880" t="s">
        <v>112</v>
      </c>
      <c r="CE880" t="s">
        <v>121</v>
      </c>
      <c r="CF880">
        <v>16861.57</v>
      </c>
      <c r="CG880" t="s">
        <v>144</v>
      </c>
      <c r="CH880">
        <v>4000000</v>
      </c>
      <c r="CI880">
        <v>16796.77</v>
      </c>
      <c r="CJ880">
        <v>0</v>
      </c>
      <c r="CK880" t="s">
        <v>112</v>
      </c>
      <c r="CL880" t="s">
        <v>112</v>
      </c>
      <c r="CM880">
        <v>39171.24</v>
      </c>
      <c r="CO880">
        <v>0</v>
      </c>
      <c r="CP880">
        <v>1</v>
      </c>
      <c r="CQ880">
        <v>4529777.3499999996</v>
      </c>
      <c r="CR880">
        <v>47018.12</v>
      </c>
      <c r="CS880" t="s">
        <v>145</v>
      </c>
      <c r="CT880">
        <v>47030.955999999998</v>
      </c>
      <c r="CU880">
        <v>2.8</v>
      </c>
      <c r="CV880">
        <v>45</v>
      </c>
      <c r="CX880" t="s">
        <v>206</v>
      </c>
      <c r="CY880">
        <v>174</v>
      </c>
    </row>
    <row r="881" spans="1:103" x14ac:dyDescent="0.25">
      <c r="A881" t="s">
        <v>106</v>
      </c>
      <c r="B881" s="38">
        <v>45069</v>
      </c>
      <c r="C881" s="43">
        <f>IF(YEAR(Таблица1[[#This Row],[Дата]])=2023,MONTH(Таблица1[[#This Row],[Дата]]),0)</f>
        <v>5</v>
      </c>
      <c r="D881" t="s">
        <v>1856</v>
      </c>
      <c r="E881" t="s">
        <v>108</v>
      </c>
      <c r="F881" t="s">
        <v>1857</v>
      </c>
      <c r="G881" t="s">
        <v>3244</v>
      </c>
      <c r="H881" t="s">
        <v>111</v>
      </c>
      <c r="I881" t="s">
        <v>112</v>
      </c>
      <c r="J881" t="s">
        <v>112</v>
      </c>
      <c r="K881" t="s">
        <v>112</v>
      </c>
      <c r="L881" t="s">
        <v>150</v>
      </c>
      <c r="M881" t="s">
        <v>151</v>
      </c>
      <c r="N881" t="s">
        <v>112</v>
      </c>
      <c r="O881" t="s">
        <v>112</v>
      </c>
      <c r="P881">
        <v>1</v>
      </c>
      <c r="R881">
        <v>1</v>
      </c>
      <c r="S881">
        <v>33</v>
      </c>
      <c r="T881" t="s">
        <v>112</v>
      </c>
      <c r="U881" t="s">
        <v>152</v>
      </c>
      <c r="V881" t="s">
        <v>153</v>
      </c>
      <c r="W881" t="s">
        <v>154</v>
      </c>
      <c r="X881" t="s">
        <v>119</v>
      </c>
      <c r="Y881" t="s">
        <v>112</v>
      </c>
      <c r="Z881" t="s">
        <v>112</v>
      </c>
      <c r="AA881" t="s">
        <v>152</v>
      </c>
      <c r="AB881" t="s">
        <v>153</v>
      </c>
      <c r="AC881" t="s">
        <v>154</v>
      </c>
      <c r="AD881" t="s">
        <v>119</v>
      </c>
      <c r="AE881" t="s">
        <v>112</v>
      </c>
      <c r="AF881" t="s">
        <v>121</v>
      </c>
      <c r="AG881" t="s">
        <v>122</v>
      </c>
      <c r="AH881">
        <v>4548607.3</v>
      </c>
      <c r="AI881" t="s">
        <v>112</v>
      </c>
      <c r="AJ881" t="s">
        <v>152</v>
      </c>
      <c r="AK881" t="s">
        <v>153</v>
      </c>
      <c r="AL881" t="s">
        <v>154</v>
      </c>
      <c r="AM881" t="s">
        <v>119</v>
      </c>
      <c r="AN881" t="s">
        <v>112</v>
      </c>
      <c r="AO881" t="s">
        <v>121</v>
      </c>
      <c r="AP881" t="s">
        <v>122</v>
      </c>
      <c r="AQ881" t="s">
        <v>122</v>
      </c>
      <c r="AR881" t="s">
        <v>124</v>
      </c>
      <c r="AS881" t="s">
        <v>125</v>
      </c>
      <c r="AT881">
        <v>2</v>
      </c>
      <c r="AU881" t="s">
        <v>126</v>
      </c>
      <c r="AV881" t="s">
        <v>155</v>
      </c>
      <c r="AW881" t="s">
        <v>156</v>
      </c>
      <c r="AY881" t="s">
        <v>129</v>
      </c>
      <c r="AZ881">
        <v>39351.24</v>
      </c>
      <c r="BC881">
        <v>104.6108</v>
      </c>
      <c r="BD881" t="s">
        <v>112</v>
      </c>
      <c r="BE881" t="s">
        <v>112</v>
      </c>
      <c r="BF881" t="s">
        <v>157</v>
      </c>
      <c r="BG881" t="s">
        <v>133</v>
      </c>
      <c r="BH881" t="s">
        <v>134</v>
      </c>
      <c r="BI881" t="s">
        <v>112</v>
      </c>
      <c r="BJ881" t="s">
        <v>112</v>
      </c>
      <c r="BK881" t="s">
        <v>112</v>
      </c>
      <c r="BL881" t="s">
        <v>169</v>
      </c>
      <c r="BM881" t="s">
        <v>159</v>
      </c>
      <c r="BN881" t="s">
        <v>212</v>
      </c>
      <c r="BO881" t="s">
        <v>161</v>
      </c>
      <c r="BQ881" t="s">
        <v>232</v>
      </c>
      <c r="BR881" s="45">
        <f>ISNUMBER(SEARCH($BR$1,Таблица1[[#This Row],[31_1 Описание и характеристика товара]]))*1</f>
        <v>1</v>
      </c>
      <c r="BT881" t="s">
        <v>150</v>
      </c>
      <c r="BU881">
        <v>33</v>
      </c>
      <c r="BV881">
        <v>0</v>
      </c>
      <c r="BW881">
        <v>0</v>
      </c>
      <c r="BY881">
        <v>0</v>
      </c>
      <c r="CA881" t="s">
        <v>106</v>
      </c>
      <c r="CB881" t="s">
        <v>142</v>
      </c>
      <c r="CC881" t="s">
        <v>112</v>
      </c>
      <c r="CD881" t="s">
        <v>112</v>
      </c>
      <c r="CE881" t="s">
        <v>121</v>
      </c>
      <c r="CF881">
        <v>17019.07</v>
      </c>
      <c r="CG881" t="s">
        <v>144</v>
      </c>
      <c r="CH881">
        <v>4000000</v>
      </c>
      <c r="CI881">
        <v>16975.87</v>
      </c>
      <c r="CJ881">
        <v>0</v>
      </c>
      <c r="CK881" t="s">
        <v>112</v>
      </c>
      <c r="CL881" t="s">
        <v>112</v>
      </c>
      <c r="CM881">
        <v>39351.24</v>
      </c>
      <c r="CO881">
        <v>0</v>
      </c>
      <c r="CP881">
        <v>1</v>
      </c>
      <c r="CQ881">
        <v>4548607.3</v>
      </c>
      <c r="CR881">
        <v>47213.57</v>
      </c>
      <c r="CS881" t="s">
        <v>145</v>
      </c>
      <c r="CT881">
        <v>47192.918599999997</v>
      </c>
      <c r="CU881">
        <v>2.78</v>
      </c>
      <c r="CV881">
        <v>45</v>
      </c>
      <c r="CX881" t="s">
        <v>233</v>
      </c>
      <c r="CY881">
        <v>131</v>
      </c>
    </row>
    <row r="882" spans="1:103" x14ac:dyDescent="0.25">
      <c r="A882" t="s">
        <v>106</v>
      </c>
      <c r="B882" s="38">
        <v>45168</v>
      </c>
      <c r="C882" s="43">
        <f>IF(YEAR(Таблица1[[#This Row],[Дата]])=2023,MONTH(Таблица1[[#This Row],[Дата]]),0)</f>
        <v>8</v>
      </c>
      <c r="D882" t="s">
        <v>1850</v>
      </c>
      <c r="E882" t="s">
        <v>108</v>
      </c>
      <c r="F882" t="s">
        <v>1851</v>
      </c>
      <c r="G882" t="s">
        <v>3244</v>
      </c>
      <c r="H882" t="s">
        <v>111</v>
      </c>
      <c r="I882" t="s">
        <v>112</v>
      </c>
      <c r="J882" t="s">
        <v>112</v>
      </c>
      <c r="K882" t="s">
        <v>112</v>
      </c>
      <c r="L882" t="s">
        <v>150</v>
      </c>
      <c r="M882" t="s">
        <v>151</v>
      </c>
      <c r="N882" t="s">
        <v>112</v>
      </c>
      <c r="O882" t="s">
        <v>112</v>
      </c>
      <c r="P882">
        <v>1</v>
      </c>
      <c r="R882">
        <v>1</v>
      </c>
      <c r="S882">
        <v>33</v>
      </c>
      <c r="T882" t="s">
        <v>112</v>
      </c>
      <c r="U882" t="s">
        <v>152</v>
      </c>
      <c r="V882" t="s">
        <v>153</v>
      </c>
      <c r="W882" t="s">
        <v>154</v>
      </c>
      <c r="X882" t="s">
        <v>119</v>
      </c>
      <c r="Y882" t="s">
        <v>112</v>
      </c>
      <c r="Z882" t="s">
        <v>112</v>
      </c>
      <c r="AA882" t="s">
        <v>152</v>
      </c>
      <c r="AB882" t="s">
        <v>153</v>
      </c>
      <c r="AC882" t="s">
        <v>154</v>
      </c>
      <c r="AD882" t="s">
        <v>119</v>
      </c>
      <c r="AE882" t="s">
        <v>112</v>
      </c>
      <c r="AF882" t="s">
        <v>121</v>
      </c>
      <c r="AG882" t="s">
        <v>122</v>
      </c>
      <c r="AH882">
        <v>5171236.13</v>
      </c>
      <c r="AI882" t="s">
        <v>112</v>
      </c>
      <c r="AJ882" t="s">
        <v>152</v>
      </c>
      <c r="AK882" t="s">
        <v>153</v>
      </c>
      <c r="AL882" t="s">
        <v>154</v>
      </c>
      <c r="AM882" t="s">
        <v>119</v>
      </c>
      <c r="AN882" t="s">
        <v>112</v>
      </c>
      <c r="AO882" t="s">
        <v>121</v>
      </c>
      <c r="AP882" t="s">
        <v>122</v>
      </c>
      <c r="AQ882" t="s">
        <v>122</v>
      </c>
      <c r="AR882" t="s">
        <v>124</v>
      </c>
      <c r="AS882" t="s">
        <v>125</v>
      </c>
      <c r="AT882">
        <v>2</v>
      </c>
      <c r="AU882" t="s">
        <v>126</v>
      </c>
      <c r="AV882" t="s">
        <v>155</v>
      </c>
      <c r="AW882" t="s">
        <v>156</v>
      </c>
      <c r="AY882" t="s">
        <v>129</v>
      </c>
      <c r="AZ882">
        <v>45303.1</v>
      </c>
      <c r="BC882">
        <v>104.6108</v>
      </c>
      <c r="BD882" t="s">
        <v>112</v>
      </c>
      <c r="BE882" t="s">
        <v>112</v>
      </c>
      <c r="BF882" t="s">
        <v>157</v>
      </c>
      <c r="BG882" t="s">
        <v>133</v>
      </c>
      <c r="BH882" t="s">
        <v>167</v>
      </c>
      <c r="BI882" t="s">
        <v>112</v>
      </c>
      <c r="BJ882" t="s">
        <v>112</v>
      </c>
      <c r="BK882" t="s">
        <v>112</v>
      </c>
      <c r="BL882" t="s">
        <v>169</v>
      </c>
      <c r="BM882" t="s">
        <v>159</v>
      </c>
      <c r="BN882" t="s">
        <v>160</v>
      </c>
      <c r="BO882" t="s">
        <v>161</v>
      </c>
      <c r="BQ882" t="s">
        <v>205</v>
      </c>
      <c r="BR882" s="45">
        <f>ISNUMBER(SEARCH($BR$1,Таблица1[[#This Row],[31_1 Описание и характеристика товара]]))*1</f>
        <v>1</v>
      </c>
      <c r="BT882" t="s">
        <v>150</v>
      </c>
      <c r="BU882">
        <v>33</v>
      </c>
      <c r="BV882">
        <v>0</v>
      </c>
      <c r="BW882">
        <v>0</v>
      </c>
      <c r="BY882">
        <v>0</v>
      </c>
      <c r="CA882" t="s">
        <v>106</v>
      </c>
      <c r="CB882" t="s">
        <v>142</v>
      </c>
      <c r="CC882" t="s">
        <v>112</v>
      </c>
      <c r="CD882" t="s">
        <v>112</v>
      </c>
      <c r="CE882" t="s">
        <v>121</v>
      </c>
      <c r="CF882">
        <v>16377.03</v>
      </c>
      <c r="CG882" t="s">
        <v>144</v>
      </c>
      <c r="CH882">
        <v>4000000</v>
      </c>
      <c r="CI882">
        <v>16287.03</v>
      </c>
      <c r="CJ882">
        <v>0</v>
      </c>
      <c r="CK882" t="s">
        <v>112</v>
      </c>
      <c r="CL882" t="s">
        <v>112</v>
      </c>
      <c r="CM882">
        <v>45303.1</v>
      </c>
      <c r="CO882">
        <v>0</v>
      </c>
      <c r="CP882">
        <v>1</v>
      </c>
      <c r="CQ882">
        <v>5171236.13</v>
      </c>
      <c r="CR882">
        <v>53676.32</v>
      </c>
      <c r="CS882" t="s">
        <v>145</v>
      </c>
      <c r="CT882">
        <v>53747.199000000001</v>
      </c>
      <c r="CU882">
        <v>3.3</v>
      </c>
      <c r="CV882">
        <v>45</v>
      </c>
      <c r="CX882" t="s">
        <v>233</v>
      </c>
      <c r="CY882">
        <v>96</v>
      </c>
    </row>
    <row r="883" spans="1:103" x14ac:dyDescent="0.25">
      <c r="A883" t="s">
        <v>106</v>
      </c>
      <c r="B883" s="38">
        <v>44971</v>
      </c>
      <c r="C883" s="43">
        <f>IF(YEAR(Таблица1[[#This Row],[Дата]])=2023,MONTH(Таблица1[[#This Row],[Дата]]),0)</f>
        <v>2</v>
      </c>
      <c r="D883" t="s">
        <v>1852</v>
      </c>
      <c r="E883" t="s">
        <v>108</v>
      </c>
      <c r="F883" t="s">
        <v>1853</v>
      </c>
      <c r="G883" t="s">
        <v>3244</v>
      </c>
      <c r="H883" t="s">
        <v>111</v>
      </c>
      <c r="I883" t="s">
        <v>112</v>
      </c>
      <c r="J883" t="s">
        <v>112</v>
      </c>
      <c r="K883" t="s">
        <v>112</v>
      </c>
      <c r="L883" t="s">
        <v>150</v>
      </c>
      <c r="M883" t="s">
        <v>151</v>
      </c>
      <c r="N883" t="s">
        <v>112</v>
      </c>
      <c r="O883" t="s">
        <v>112</v>
      </c>
      <c r="P883">
        <v>1</v>
      </c>
      <c r="R883">
        <v>1</v>
      </c>
      <c r="S883">
        <v>33</v>
      </c>
      <c r="T883" t="s">
        <v>112</v>
      </c>
      <c r="U883" t="s">
        <v>152</v>
      </c>
      <c r="V883" t="s">
        <v>153</v>
      </c>
      <c r="W883" t="s">
        <v>154</v>
      </c>
      <c r="X883" t="s">
        <v>119</v>
      </c>
      <c r="Y883" t="s">
        <v>112</v>
      </c>
      <c r="Z883" t="s">
        <v>112</v>
      </c>
      <c r="AA883" t="s">
        <v>152</v>
      </c>
      <c r="AB883" t="s">
        <v>153</v>
      </c>
      <c r="AC883" t="s">
        <v>154</v>
      </c>
      <c r="AD883" t="s">
        <v>119</v>
      </c>
      <c r="AE883" t="s">
        <v>112</v>
      </c>
      <c r="AF883" t="s">
        <v>121</v>
      </c>
      <c r="AG883" t="s">
        <v>122</v>
      </c>
      <c r="AH883">
        <v>5226378.58</v>
      </c>
      <c r="AI883" t="s">
        <v>112</v>
      </c>
      <c r="AJ883" t="s">
        <v>152</v>
      </c>
      <c r="AK883" t="s">
        <v>153</v>
      </c>
      <c r="AL883" t="s">
        <v>154</v>
      </c>
      <c r="AM883" t="s">
        <v>119</v>
      </c>
      <c r="AN883" t="s">
        <v>112</v>
      </c>
      <c r="AO883" t="s">
        <v>121</v>
      </c>
      <c r="AP883" t="s">
        <v>122</v>
      </c>
      <c r="AQ883" t="s">
        <v>122</v>
      </c>
      <c r="AR883" t="s">
        <v>124</v>
      </c>
      <c r="AS883" t="s">
        <v>125</v>
      </c>
      <c r="AT883">
        <v>2</v>
      </c>
      <c r="AU883" t="s">
        <v>126</v>
      </c>
      <c r="AV883" t="s">
        <v>155</v>
      </c>
      <c r="AW883" t="s">
        <v>156</v>
      </c>
      <c r="AY883" t="s">
        <v>129</v>
      </c>
      <c r="AZ883">
        <v>45830.22</v>
      </c>
      <c r="BC883">
        <v>104.6108</v>
      </c>
      <c r="BD883" t="s">
        <v>112</v>
      </c>
      <c r="BE883" t="s">
        <v>112</v>
      </c>
      <c r="BF883" t="s">
        <v>157</v>
      </c>
      <c r="BG883" t="s">
        <v>133</v>
      </c>
      <c r="BH883" t="s">
        <v>167</v>
      </c>
      <c r="BI883" t="s">
        <v>112</v>
      </c>
      <c r="BJ883" t="s">
        <v>112</v>
      </c>
      <c r="BK883" t="s">
        <v>112</v>
      </c>
      <c r="BL883" t="s">
        <v>169</v>
      </c>
      <c r="BM883" t="s">
        <v>159</v>
      </c>
      <c r="BN883" t="s">
        <v>160</v>
      </c>
      <c r="BO883" t="s">
        <v>161</v>
      </c>
      <c r="BQ883" t="s">
        <v>232</v>
      </c>
      <c r="BR883" s="45">
        <f>ISNUMBER(SEARCH($BR$1,Таблица1[[#This Row],[31_1 Описание и характеристика товара]]))*1</f>
        <v>1</v>
      </c>
      <c r="BT883" t="s">
        <v>150</v>
      </c>
      <c r="BU883">
        <v>33</v>
      </c>
      <c r="BV883">
        <v>0</v>
      </c>
      <c r="BW883">
        <v>0</v>
      </c>
      <c r="BY883">
        <v>0</v>
      </c>
      <c r="CA883" t="s">
        <v>106</v>
      </c>
      <c r="CB883" t="s">
        <v>142</v>
      </c>
      <c r="CC883" t="s">
        <v>112</v>
      </c>
      <c r="CD883" t="s">
        <v>112</v>
      </c>
      <c r="CE883" t="s">
        <v>121</v>
      </c>
      <c r="CF883">
        <v>16838.650000000001</v>
      </c>
      <c r="CG883" t="s">
        <v>144</v>
      </c>
      <c r="CH883">
        <v>4000000</v>
      </c>
      <c r="CI883">
        <v>16784.650000000001</v>
      </c>
      <c r="CJ883">
        <v>0</v>
      </c>
      <c r="CK883" t="s">
        <v>112</v>
      </c>
      <c r="CL883" t="s">
        <v>112</v>
      </c>
      <c r="CM883">
        <v>45830.22</v>
      </c>
      <c r="CO883">
        <v>0</v>
      </c>
      <c r="CP883">
        <v>1</v>
      </c>
      <c r="CQ883">
        <v>5226378.58</v>
      </c>
      <c r="CR883">
        <v>54248.69</v>
      </c>
      <c r="CS883" t="s">
        <v>145</v>
      </c>
      <c r="CT883">
        <v>54214.419500000004</v>
      </c>
      <c r="CU883">
        <v>3.23</v>
      </c>
      <c r="CV883">
        <v>45</v>
      </c>
      <c r="CX883" t="s">
        <v>1140</v>
      </c>
      <c r="CY883">
        <v>313</v>
      </c>
    </row>
    <row r="884" spans="1:103" x14ac:dyDescent="0.25">
      <c r="A884" t="s">
        <v>106</v>
      </c>
      <c r="B884" s="38">
        <v>44969</v>
      </c>
      <c r="C884" s="43">
        <f>IF(YEAR(Таблица1[[#This Row],[Дата]])=2023,MONTH(Таблица1[[#This Row],[Дата]]),0)</f>
        <v>2</v>
      </c>
      <c r="D884" t="s">
        <v>1654</v>
      </c>
      <c r="E884" t="s">
        <v>108</v>
      </c>
      <c r="F884" t="s">
        <v>1655</v>
      </c>
      <c r="G884" t="s">
        <v>3244</v>
      </c>
      <c r="H884" t="s">
        <v>111</v>
      </c>
      <c r="I884" t="s">
        <v>112</v>
      </c>
      <c r="J884" t="s">
        <v>112</v>
      </c>
      <c r="K884" t="s">
        <v>112</v>
      </c>
      <c r="L884" t="s">
        <v>150</v>
      </c>
      <c r="M884" t="s">
        <v>151</v>
      </c>
      <c r="N884" t="s">
        <v>112</v>
      </c>
      <c r="O884" t="s">
        <v>112</v>
      </c>
      <c r="R884">
        <v>1</v>
      </c>
      <c r="S884">
        <v>33</v>
      </c>
      <c r="T884" t="s">
        <v>166</v>
      </c>
      <c r="U884" t="s">
        <v>152</v>
      </c>
      <c r="V884" t="s">
        <v>153</v>
      </c>
      <c r="W884" t="s">
        <v>154</v>
      </c>
      <c r="X884" t="s">
        <v>119</v>
      </c>
      <c r="Y884" t="s">
        <v>112</v>
      </c>
      <c r="Z884" t="s">
        <v>166</v>
      </c>
      <c r="AA884" t="s">
        <v>152</v>
      </c>
      <c r="AB884" t="s">
        <v>153</v>
      </c>
      <c r="AC884" t="s">
        <v>154</v>
      </c>
      <c r="AD884" t="s">
        <v>119</v>
      </c>
      <c r="AE884" t="s">
        <v>112</v>
      </c>
      <c r="AF884" t="s">
        <v>121</v>
      </c>
      <c r="AG884" t="s">
        <v>122</v>
      </c>
      <c r="AH884">
        <v>4358469.7699999996</v>
      </c>
      <c r="AI884" t="s">
        <v>166</v>
      </c>
      <c r="AJ884" t="s">
        <v>152</v>
      </c>
      <c r="AK884" t="s">
        <v>153</v>
      </c>
      <c r="AL884" t="s">
        <v>154</v>
      </c>
      <c r="AM884" t="s">
        <v>119</v>
      </c>
      <c r="AN884" t="s">
        <v>112</v>
      </c>
      <c r="AO884" t="s">
        <v>121</v>
      </c>
      <c r="AP884" t="s">
        <v>122</v>
      </c>
      <c r="AQ884" t="s">
        <v>122</v>
      </c>
      <c r="AR884" t="s">
        <v>124</v>
      </c>
      <c r="AS884" t="s">
        <v>125</v>
      </c>
      <c r="AU884" t="s">
        <v>126</v>
      </c>
      <c r="AV884" t="s">
        <v>155</v>
      </c>
      <c r="AW884" t="s">
        <v>156</v>
      </c>
      <c r="AY884" t="s">
        <v>129</v>
      </c>
      <c r="AZ884">
        <v>38378.800000000003</v>
      </c>
      <c r="BC884">
        <v>102.53100000000001</v>
      </c>
      <c r="BD884" t="s">
        <v>112</v>
      </c>
      <c r="BE884" t="s">
        <v>112</v>
      </c>
      <c r="BF884" t="s">
        <v>112</v>
      </c>
      <c r="BG884" t="s">
        <v>133</v>
      </c>
      <c r="BH884" t="s">
        <v>1624</v>
      </c>
      <c r="BI884" t="s">
        <v>112</v>
      </c>
      <c r="BJ884" t="s">
        <v>112</v>
      </c>
      <c r="BK884" t="s">
        <v>112</v>
      </c>
      <c r="BL884" t="s">
        <v>112</v>
      </c>
      <c r="BM884" t="s">
        <v>112</v>
      </c>
      <c r="BN884" t="s">
        <v>112</v>
      </c>
      <c r="BO884" t="s">
        <v>161</v>
      </c>
      <c r="BQ884" t="s">
        <v>162</v>
      </c>
      <c r="BR884" s="45">
        <f>ISNUMBER(SEARCH($BR$1,Таблица1[[#This Row],[31_1 Описание и характеристика товара]]))*1</f>
        <v>1</v>
      </c>
      <c r="BT884" t="s">
        <v>150</v>
      </c>
      <c r="BU884">
        <v>33</v>
      </c>
      <c r="BW884">
        <v>0</v>
      </c>
      <c r="CA884" t="s">
        <v>106</v>
      </c>
      <c r="CB884" t="s">
        <v>142</v>
      </c>
      <c r="CC884" t="s">
        <v>112</v>
      </c>
      <c r="CD884" t="s">
        <v>112</v>
      </c>
      <c r="CE884" t="s">
        <v>121</v>
      </c>
      <c r="CF884">
        <v>16299.49</v>
      </c>
      <c r="CG884" t="s">
        <v>144</v>
      </c>
      <c r="CH884">
        <v>4000000</v>
      </c>
      <c r="CI884">
        <v>16194.49</v>
      </c>
      <c r="CJ884">
        <v>0</v>
      </c>
      <c r="CK884" t="s">
        <v>112</v>
      </c>
      <c r="CL884" t="s">
        <v>112</v>
      </c>
      <c r="CM884">
        <v>38378.800000000003</v>
      </c>
      <c r="CQ884">
        <v>4358469.7699999996</v>
      </c>
      <c r="CR884">
        <v>46475.87</v>
      </c>
      <c r="CS884" t="s">
        <v>145</v>
      </c>
      <c r="CT884">
        <v>46478.186300000001</v>
      </c>
      <c r="CU884">
        <v>2.87</v>
      </c>
      <c r="CY884">
        <v>567</v>
      </c>
    </row>
    <row r="885" spans="1:103" x14ac:dyDescent="0.25">
      <c r="A885" t="s">
        <v>106</v>
      </c>
      <c r="B885" s="38">
        <v>45015</v>
      </c>
      <c r="C885" s="43">
        <f>IF(YEAR(Таблица1[[#This Row],[Дата]])=2023,MONTH(Таблица1[[#This Row],[Дата]]),0)</f>
        <v>3</v>
      </c>
      <c r="D885" t="s">
        <v>1650</v>
      </c>
      <c r="E885" t="s">
        <v>108</v>
      </c>
      <c r="F885" t="s">
        <v>1651</v>
      </c>
      <c r="G885" t="s">
        <v>3244</v>
      </c>
      <c r="H885" t="s">
        <v>111</v>
      </c>
      <c r="I885" t="s">
        <v>112</v>
      </c>
      <c r="J885" t="s">
        <v>112</v>
      </c>
      <c r="K885" t="s">
        <v>112</v>
      </c>
      <c r="L885" t="s">
        <v>150</v>
      </c>
      <c r="M885" t="s">
        <v>151</v>
      </c>
      <c r="N885" t="s">
        <v>112</v>
      </c>
      <c r="O885" t="s">
        <v>112</v>
      </c>
      <c r="R885">
        <v>1</v>
      </c>
      <c r="S885">
        <v>33</v>
      </c>
      <c r="T885" t="s">
        <v>166</v>
      </c>
      <c r="U885" t="s">
        <v>152</v>
      </c>
      <c r="V885" t="s">
        <v>153</v>
      </c>
      <c r="W885" t="s">
        <v>154</v>
      </c>
      <c r="X885" t="s">
        <v>119</v>
      </c>
      <c r="Y885" t="s">
        <v>112</v>
      </c>
      <c r="Z885" t="s">
        <v>166</v>
      </c>
      <c r="AA885" t="s">
        <v>152</v>
      </c>
      <c r="AB885" t="s">
        <v>153</v>
      </c>
      <c r="AC885" t="s">
        <v>154</v>
      </c>
      <c r="AD885" t="s">
        <v>119</v>
      </c>
      <c r="AE885" t="s">
        <v>112</v>
      </c>
      <c r="AF885" t="s">
        <v>121</v>
      </c>
      <c r="AG885" t="s">
        <v>122</v>
      </c>
      <c r="AH885">
        <v>4735930.47</v>
      </c>
      <c r="AI885" t="s">
        <v>166</v>
      </c>
      <c r="AJ885" t="s">
        <v>152</v>
      </c>
      <c r="AK885" t="s">
        <v>153</v>
      </c>
      <c r="AL885" t="s">
        <v>154</v>
      </c>
      <c r="AM885" t="s">
        <v>119</v>
      </c>
      <c r="AN885" t="s">
        <v>112</v>
      </c>
      <c r="AO885" t="s">
        <v>121</v>
      </c>
      <c r="AP885" t="s">
        <v>122</v>
      </c>
      <c r="AQ885" t="s">
        <v>122</v>
      </c>
      <c r="AR885" t="s">
        <v>124</v>
      </c>
      <c r="AS885" t="s">
        <v>125</v>
      </c>
      <c r="AU885" t="s">
        <v>126</v>
      </c>
      <c r="AV885" t="s">
        <v>155</v>
      </c>
      <c r="AW885" t="s">
        <v>156</v>
      </c>
      <c r="AY885" t="s">
        <v>129</v>
      </c>
      <c r="AZ885">
        <v>42060.23</v>
      </c>
      <c r="BC885">
        <v>102.53100000000001</v>
      </c>
      <c r="BD885" t="s">
        <v>112</v>
      </c>
      <c r="BE885" t="s">
        <v>112</v>
      </c>
      <c r="BF885" t="s">
        <v>112</v>
      </c>
      <c r="BG885" t="s">
        <v>133</v>
      </c>
      <c r="BH885" t="s">
        <v>1624</v>
      </c>
      <c r="BI885" t="s">
        <v>112</v>
      </c>
      <c r="BJ885" t="s">
        <v>112</v>
      </c>
      <c r="BK885" t="s">
        <v>112</v>
      </c>
      <c r="BL885" t="s">
        <v>112</v>
      </c>
      <c r="BM885" t="s">
        <v>112</v>
      </c>
      <c r="BN885" t="s">
        <v>112</v>
      </c>
      <c r="BO885" t="s">
        <v>161</v>
      </c>
      <c r="BQ885" t="s">
        <v>205</v>
      </c>
      <c r="BR885" s="45">
        <f>ISNUMBER(SEARCH($BR$1,Таблица1[[#This Row],[31_1 Описание и характеристика товара]]))*1</f>
        <v>1</v>
      </c>
      <c r="BT885" t="s">
        <v>150</v>
      </c>
      <c r="BU885">
        <v>33</v>
      </c>
      <c r="BW885">
        <v>0</v>
      </c>
      <c r="CA885" t="s">
        <v>106</v>
      </c>
      <c r="CB885" t="s">
        <v>142</v>
      </c>
      <c r="CC885" t="s">
        <v>112</v>
      </c>
      <c r="CD885" t="s">
        <v>112</v>
      </c>
      <c r="CE885" t="s">
        <v>121</v>
      </c>
      <c r="CF885">
        <v>16701.599999999999</v>
      </c>
      <c r="CG885" t="s">
        <v>144</v>
      </c>
      <c r="CH885">
        <v>4000000</v>
      </c>
      <c r="CI885">
        <v>16615.2</v>
      </c>
      <c r="CJ885">
        <v>0</v>
      </c>
      <c r="CK885" t="s">
        <v>112</v>
      </c>
      <c r="CL885" t="s">
        <v>112</v>
      </c>
      <c r="CM885">
        <v>42060.23</v>
      </c>
      <c r="CQ885">
        <v>4735930.47</v>
      </c>
      <c r="CR885">
        <v>50500.86</v>
      </c>
      <c r="CS885" t="s">
        <v>145</v>
      </c>
      <c r="CT885">
        <v>50510.208000000006</v>
      </c>
      <c r="CU885">
        <v>3.04</v>
      </c>
      <c r="CY885">
        <v>157</v>
      </c>
    </row>
    <row r="886" spans="1:103" x14ac:dyDescent="0.25">
      <c r="A886" t="s">
        <v>106</v>
      </c>
      <c r="B886" s="38">
        <v>45080</v>
      </c>
      <c r="C886" s="43">
        <f>IF(YEAR(Таблица1[[#This Row],[Дата]])=2023,MONTH(Таблица1[[#This Row],[Дата]]),0)</f>
        <v>6</v>
      </c>
      <c r="D886" t="s">
        <v>1648</v>
      </c>
      <c r="E886" t="s">
        <v>108</v>
      </c>
      <c r="F886" t="s">
        <v>1649</v>
      </c>
      <c r="G886" t="s">
        <v>3244</v>
      </c>
      <c r="H886" t="s">
        <v>111</v>
      </c>
      <c r="I886" t="s">
        <v>112</v>
      </c>
      <c r="J886" t="s">
        <v>112</v>
      </c>
      <c r="K886" t="s">
        <v>112</v>
      </c>
      <c r="L886" t="s">
        <v>150</v>
      </c>
      <c r="M886" t="s">
        <v>151</v>
      </c>
      <c r="N886" t="s">
        <v>112</v>
      </c>
      <c r="O886" t="s">
        <v>112</v>
      </c>
      <c r="R886">
        <v>1</v>
      </c>
      <c r="S886">
        <v>33</v>
      </c>
      <c r="T886" t="s">
        <v>166</v>
      </c>
      <c r="U886" t="s">
        <v>152</v>
      </c>
      <c r="V886" t="s">
        <v>153</v>
      </c>
      <c r="W886" t="s">
        <v>154</v>
      </c>
      <c r="X886" t="s">
        <v>119</v>
      </c>
      <c r="Y886" t="s">
        <v>112</v>
      </c>
      <c r="Z886" t="s">
        <v>166</v>
      </c>
      <c r="AA886" t="s">
        <v>152</v>
      </c>
      <c r="AB886" t="s">
        <v>153</v>
      </c>
      <c r="AC886" t="s">
        <v>154</v>
      </c>
      <c r="AD886" t="s">
        <v>119</v>
      </c>
      <c r="AE886" t="s">
        <v>112</v>
      </c>
      <c r="AF886" t="s">
        <v>121</v>
      </c>
      <c r="AG886" t="s">
        <v>122</v>
      </c>
      <c r="AH886">
        <v>4463711.6900000004</v>
      </c>
      <c r="AI886" t="s">
        <v>166</v>
      </c>
      <c r="AJ886" t="s">
        <v>152</v>
      </c>
      <c r="AK886" t="s">
        <v>153</v>
      </c>
      <c r="AL886" t="s">
        <v>154</v>
      </c>
      <c r="AM886" t="s">
        <v>119</v>
      </c>
      <c r="AN886" t="s">
        <v>112</v>
      </c>
      <c r="AO886" t="s">
        <v>121</v>
      </c>
      <c r="AP886" t="s">
        <v>122</v>
      </c>
      <c r="AQ886" t="s">
        <v>122</v>
      </c>
      <c r="AR886" t="s">
        <v>124</v>
      </c>
      <c r="AS886" t="s">
        <v>125</v>
      </c>
      <c r="AU886" t="s">
        <v>126</v>
      </c>
      <c r="AV886" t="s">
        <v>155</v>
      </c>
      <c r="AW886" t="s">
        <v>156</v>
      </c>
      <c r="AY886" t="s">
        <v>129</v>
      </c>
      <c r="AZ886">
        <v>39405.24</v>
      </c>
      <c r="BC886">
        <v>102.53100000000001</v>
      </c>
      <c r="BD886" t="s">
        <v>112</v>
      </c>
      <c r="BE886" t="s">
        <v>112</v>
      </c>
      <c r="BF886" t="s">
        <v>112</v>
      </c>
      <c r="BG886" t="s">
        <v>133</v>
      </c>
      <c r="BH886" t="s">
        <v>1624</v>
      </c>
      <c r="BI886" t="s">
        <v>112</v>
      </c>
      <c r="BJ886" t="s">
        <v>112</v>
      </c>
      <c r="BK886" t="s">
        <v>112</v>
      </c>
      <c r="BL886" t="s">
        <v>112</v>
      </c>
      <c r="BM886" t="s">
        <v>112</v>
      </c>
      <c r="BN886" t="s">
        <v>112</v>
      </c>
      <c r="BO886" t="s">
        <v>161</v>
      </c>
      <c r="BQ886" t="s">
        <v>162</v>
      </c>
      <c r="BR886" s="45">
        <f>ISNUMBER(SEARCH($BR$1,Таблица1[[#This Row],[31_1 Описание и характеристика товара]]))*1</f>
        <v>1</v>
      </c>
      <c r="BT886" t="s">
        <v>150</v>
      </c>
      <c r="BU886">
        <v>33</v>
      </c>
      <c r="BW886">
        <v>0</v>
      </c>
      <c r="CA886" t="s">
        <v>106</v>
      </c>
      <c r="CB886" t="s">
        <v>142</v>
      </c>
      <c r="CC886" t="s">
        <v>112</v>
      </c>
      <c r="CD886" t="s">
        <v>112</v>
      </c>
      <c r="CE886" t="s">
        <v>121</v>
      </c>
      <c r="CF886">
        <v>17208.29</v>
      </c>
      <c r="CG886" t="s">
        <v>144</v>
      </c>
      <c r="CH886">
        <v>4000000</v>
      </c>
      <c r="CI886">
        <v>17154.29</v>
      </c>
      <c r="CJ886">
        <v>0</v>
      </c>
      <c r="CK886" t="s">
        <v>112</v>
      </c>
      <c r="CL886" t="s">
        <v>112</v>
      </c>
      <c r="CM886">
        <v>39405.24</v>
      </c>
      <c r="CQ886">
        <v>4463711.6900000004</v>
      </c>
      <c r="CR886">
        <v>47598.1</v>
      </c>
      <c r="CS886" t="s">
        <v>145</v>
      </c>
      <c r="CT886">
        <v>47517.383300000001</v>
      </c>
      <c r="CU886">
        <v>2.77</v>
      </c>
      <c r="CY886">
        <v>93</v>
      </c>
    </row>
    <row r="887" spans="1:103" x14ac:dyDescent="0.25">
      <c r="A887" t="s">
        <v>106</v>
      </c>
      <c r="B887" s="38">
        <v>45189</v>
      </c>
      <c r="C887" s="43">
        <f>IF(YEAR(Таблица1[[#This Row],[Дата]])=2023,MONTH(Таблица1[[#This Row],[Дата]]),0)</f>
        <v>9</v>
      </c>
      <c r="D887" t="s">
        <v>1644</v>
      </c>
      <c r="E887" t="s">
        <v>108</v>
      </c>
      <c r="F887" t="s">
        <v>1645</v>
      </c>
      <c r="G887" t="s">
        <v>3244</v>
      </c>
      <c r="H887" t="s">
        <v>111</v>
      </c>
      <c r="I887" t="s">
        <v>112</v>
      </c>
      <c r="J887" t="s">
        <v>112</v>
      </c>
      <c r="K887" t="s">
        <v>112</v>
      </c>
      <c r="L887" t="s">
        <v>150</v>
      </c>
      <c r="M887" t="s">
        <v>151</v>
      </c>
      <c r="N887" t="s">
        <v>112</v>
      </c>
      <c r="O887" t="s">
        <v>112</v>
      </c>
      <c r="R887">
        <v>1</v>
      </c>
      <c r="S887">
        <v>33</v>
      </c>
      <c r="T887" t="s">
        <v>166</v>
      </c>
      <c r="U887" t="s">
        <v>152</v>
      </c>
      <c r="V887" t="s">
        <v>153</v>
      </c>
      <c r="W887" t="s">
        <v>154</v>
      </c>
      <c r="X887" t="s">
        <v>119</v>
      </c>
      <c r="Y887" t="s">
        <v>112</v>
      </c>
      <c r="Z887" t="s">
        <v>166</v>
      </c>
      <c r="AA887" t="s">
        <v>152</v>
      </c>
      <c r="AB887" t="s">
        <v>153</v>
      </c>
      <c r="AC887" t="s">
        <v>154</v>
      </c>
      <c r="AD887" t="s">
        <v>119</v>
      </c>
      <c r="AE887" t="s">
        <v>112</v>
      </c>
      <c r="AF887" t="s">
        <v>121</v>
      </c>
      <c r="AG887" t="s">
        <v>122</v>
      </c>
      <c r="AH887">
        <v>4570680.2300000004</v>
      </c>
      <c r="AI887" t="s">
        <v>166</v>
      </c>
      <c r="AJ887" t="s">
        <v>152</v>
      </c>
      <c r="AK887" t="s">
        <v>153</v>
      </c>
      <c r="AL887" t="s">
        <v>154</v>
      </c>
      <c r="AM887" t="s">
        <v>119</v>
      </c>
      <c r="AN887" t="s">
        <v>112</v>
      </c>
      <c r="AO887" t="s">
        <v>121</v>
      </c>
      <c r="AP887" t="s">
        <v>122</v>
      </c>
      <c r="AQ887" t="s">
        <v>122</v>
      </c>
      <c r="AR887" t="s">
        <v>124</v>
      </c>
      <c r="AS887" t="s">
        <v>125</v>
      </c>
      <c r="AU887" t="s">
        <v>126</v>
      </c>
      <c r="AV887" t="s">
        <v>155</v>
      </c>
      <c r="AW887" t="s">
        <v>156</v>
      </c>
      <c r="AY887" t="s">
        <v>129</v>
      </c>
      <c r="AZ887">
        <v>40448.519999999997</v>
      </c>
      <c r="BC887">
        <v>102.53100000000001</v>
      </c>
      <c r="BD887" t="s">
        <v>112</v>
      </c>
      <c r="BE887" t="s">
        <v>112</v>
      </c>
      <c r="BF887" t="s">
        <v>112</v>
      </c>
      <c r="BG887" t="s">
        <v>133</v>
      </c>
      <c r="BH887" t="s">
        <v>1624</v>
      </c>
      <c r="BI887" t="s">
        <v>112</v>
      </c>
      <c r="BJ887" t="s">
        <v>112</v>
      </c>
      <c r="BK887" t="s">
        <v>112</v>
      </c>
      <c r="BL887" t="s">
        <v>112</v>
      </c>
      <c r="BM887" t="s">
        <v>112</v>
      </c>
      <c r="BN887" t="s">
        <v>112</v>
      </c>
      <c r="BO887" t="s">
        <v>161</v>
      </c>
      <c r="BQ887" t="s">
        <v>205</v>
      </c>
      <c r="BR887" s="45">
        <f>ISNUMBER(SEARCH($BR$1,Таблица1[[#This Row],[31_1 Описание и характеристика товара]]))*1</f>
        <v>1</v>
      </c>
      <c r="BT887" t="s">
        <v>150</v>
      </c>
      <c r="BU887">
        <v>33</v>
      </c>
      <c r="BW887">
        <v>0</v>
      </c>
      <c r="CA887" t="s">
        <v>106</v>
      </c>
      <c r="CB887" t="s">
        <v>142</v>
      </c>
      <c r="CC887" t="s">
        <v>112</v>
      </c>
      <c r="CD887" t="s">
        <v>112</v>
      </c>
      <c r="CE887" t="s">
        <v>121</v>
      </c>
      <c r="CF887">
        <v>16510.240000000002</v>
      </c>
      <c r="CG887" t="s">
        <v>144</v>
      </c>
      <c r="CH887">
        <v>4000000</v>
      </c>
      <c r="CI887">
        <v>16359.04</v>
      </c>
      <c r="CJ887">
        <v>0</v>
      </c>
      <c r="CK887" t="s">
        <v>112</v>
      </c>
      <c r="CL887" t="s">
        <v>112</v>
      </c>
      <c r="CM887">
        <v>40448.519999999997</v>
      </c>
      <c r="CQ887">
        <v>4570680.2300000004</v>
      </c>
      <c r="CR887">
        <v>48738.74</v>
      </c>
      <c r="CS887" t="s">
        <v>145</v>
      </c>
      <c r="CT887">
        <v>48749.939200000001</v>
      </c>
      <c r="CU887">
        <v>2.98</v>
      </c>
      <c r="CY887">
        <v>20</v>
      </c>
    </row>
    <row r="888" spans="1:103" x14ac:dyDescent="0.25">
      <c r="A888" t="s">
        <v>106</v>
      </c>
      <c r="B888" s="38">
        <v>44949</v>
      </c>
      <c r="C888" s="43">
        <f>IF(YEAR(Таблица1[[#This Row],[Дата]])=2023,MONTH(Таблица1[[#This Row],[Дата]]),0)</f>
        <v>1</v>
      </c>
      <c r="D888" t="s">
        <v>1122</v>
      </c>
      <c r="E888" t="s">
        <v>108</v>
      </c>
      <c r="F888" t="s">
        <v>1123</v>
      </c>
      <c r="G888" t="s">
        <v>3244</v>
      </c>
      <c r="H888" t="s">
        <v>111</v>
      </c>
      <c r="I888" t="s">
        <v>112</v>
      </c>
      <c r="J888" t="s">
        <v>112</v>
      </c>
      <c r="K888" t="s">
        <v>112</v>
      </c>
      <c r="L888" t="s">
        <v>150</v>
      </c>
      <c r="M888" t="s">
        <v>1103</v>
      </c>
      <c r="N888" t="s">
        <v>112</v>
      </c>
      <c r="O888" t="s">
        <v>112</v>
      </c>
      <c r="P888">
        <v>1</v>
      </c>
      <c r="Q888">
        <v>0</v>
      </c>
      <c r="R888">
        <v>1</v>
      </c>
      <c r="S888">
        <v>33</v>
      </c>
      <c r="T888" t="s">
        <v>166</v>
      </c>
      <c r="U888" t="s">
        <v>152</v>
      </c>
      <c r="V888" t="s">
        <v>153</v>
      </c>
      <c r="W888" t="s">
        <v>154</v>
      </c>
      <c r="X888" t="s">
        <v>119</v>
      </c>
      <c r="Y888" t="s">
        <v>112</v>
      </c>
      <c r="Z888" t="s">
        <v>166</v>
      </c>
      <c r="AA888" t="s">
        <v>152</v>
      </c>
      <c r="AB888" t="s">
        <v>153</v>
      </c>
      <c r="AC888" t="s">
        <v>154</v>
      </c>
      <c r="AD888" t="s">
        <v>119</v>
      </c>
      <c r="AE888" t="s">
        <v>112</v>
      </c>
      <c r="AF888" t="s">
        <v>121</v>
      </c>
      <c r="AG888" t="s">
        <v>122</v>
      </c>
      <c r="AH888">
        <v>4246024.83</v>
      </c>
      <c r="AI888" t="s">
        <v>166</v>
      </c>
      <c r="AJ888" t="s">
        <v>152</v>
      </c>
      <c r="AK888" t="s">
        <v>153</v>
      </c>
      <c r="AL888" t="s">
        <v>154</v>
      </c>
      <c r="AM888" t="s">
        <v>119</v>
      </c>
      <c r="AN888" t="s">
        <v>112</v>
      </c>
      <c r="AO888" t="s">
        <v>121</v>
      </c>
      <c r="AP888" t="s">
        <v>122</v>
      </c>
      <c r="AQ888" t="s">
        <v>122</v>
      </c>
      <c r="AR888" t="s">
        <v>124</v>
      </c>
      <c r="AS888" t="s">
        <v>125</v>
      </c>
      <c r="AT888">
        <v>2</v>
      </c>
      <c r="AU888" t="s">
        <v>126</v>
      </c>
      <c r="AV888" t="s">
        <v>155</v>
      </c>
      <c r="AW888" t="s">
        <v>156</v>
      </c>
      <c r="AX888">
        <v>1</v>
      </c>
      <c r="AY888" t="s">
        <v>129</v>
      </c>
      <c r="AZ888">
        <v>44134.44</v>
      </c>
      <c r="BA888">
        <v>3865074</v>
      </c>
      <c r="BB888">
        <v>53539.03</v>
      </c>
      <c r="BC888">
        <v>87.575000000000003</v>
      </c>
      <c r="BD888" t="s">
        <v>130</v>
      </c>
      <c r="BE888" t="s">
        <v>112</v>
      </c>
      <c r="BF888" t="s">
        <v>157</v>
      </c>
      <c r="BG888" t="s">
        <v>133</v>
      </c>
      <c r="BH888" t="s">
        <v>134</v>
      </c>
      <c r="BI888" t="s">
        <v>112</v>
      </c>
      <c r="BJ888" t="s">
        <v>112</v>
      </c>
      <c r="BK888" t="s">
        <v>112</v>
      </c>
      <c r="BL888" t="s">
        <v>169</v>
      </c>
      <c r="BM888" t="s">
        <v>159</v>
      </c>
      <c r="BN888" t="s">
        <v>722</v>
      </c>
      <c r="BO888" t="s">
        <v>161</v>
      </c>
      <c r="BP888">
        <v>1</v>
      </c>
      <c r="BQ888" t="s">
        <v>475</v>
      </c>
      <c r="BR888" s="45">
        <f>ISNUMBER(SEARCH($BR$1,Таблица1[[#This Row],[31_1 Описание и характеристика товара]]))*1</f>
        <v>1</v>
      </c>
      <c r="BT888" t="s">
        <v>150</v>
      </c>
      <c r="BU888">
        <v>33</v>
      </c>
      <c r="BV888">
        <v>0</v>
      </c>
      <c r="BW888">
        <v>0</v>
      </c>
      <c r="BY888">
        <v>0</v>
      </c>
      <c r="CA888" t="s">
        <v>106</v>
      </c>
      <c r="CB888" t="s">
        <v>142</v>
      </c>
      <c r="CC888" t="s">
        <v>112</v>
      </c>
      <c r="CD888" t="s">
        <v>112</v>
      </c>
      <c r="CE888" t="s">
        <v>121</v>
      </c>
      <c r="CF888">
        <v>16832.63</v>
      </c>
      <c r="CG888" t="s">
        <v>144</v>
      </c>
      <c r="CH888">
        <v>4000000</v>
      </c>
      <c r="CI888">
        <v>16832.63</v>
      </c>
      <c r="CJ888">
        <v>0</v>
      </c>
      <c r="CK888" t="s">
        <v>112</v>
      </c>
      <c r="CL888" t="s">
        <v>112</v>
      </c>
      <c r="CM888">
        <v>44134.44</v>
      </c>
      <c r="CN888">
        <v>3865074</v>
      </c>
      <c r="CO888">
        <v>0</v>
      </c>
      <c r="CP888">
        <v>1</v>
      </c>
      <c r="CQ888">
        <v>4246024.83</v>
      </c>
      <c r="CR888">
        <v>53539.03</v>
      </c>
      <c r="CS888" t="s">
        <v>145</v>
      </c>
      <c r="CT888">
        <v>53539.546241000004</v>
      </c>
      <c r="CU888">
        <v>3.1806999999999999</v>
      </c>
      <c r="CV888">
        <v>45</v>
      </c>
      <c r="CW888" t="s">
        <v>171</v>
      </c>
      <c r="CX888" t="s">
        <v>350</v>
      </c>
      <c r="CY888">
        <v>91</v>
      </c>
    </row>
    <row r="889" spans="1:103" x14ac:dyDescent="0.25">
      <c r="A889" t="s">
        <v>106</v>
      </c>
      <c r="B889" s="38">
        <v>44941</v>
      </c>
      <c r="C889" s="43">
        <f>IF(YEAR(Таблица1[[#This Row],[Дата]])=2023,MONTH(Таблица1[[#This Row],[Дата]]),0)</f>
        <v>1</v>
      </c>
      <c r="D889" t="s">
        <v>992</v>
      </c>
      <c r="E889" t="s">
        <v>108</v>
      </c>
      <c r="F889" t="s">
        <v>993</v>
      </c>
      <c r="G889" t="s">
        <v>3244</v>
      </c>
      <c r="H889" t="s">
        <v>111</v>
      </c>
      <c r="I889" t="s">
        <v>112</v>
      </c>
      <c r="J889" t="s">
        <v>112</v>
      </c>
      <c r="K889" t="s">
        <v>112</v>
      </c>
      <c r="L889" t="s">
        <v>150</v>
      </c>
      <c r="M889" t="s">
        <v>151</v>
      </c>
      <c r="N889" t="s">
        <v>112</v>
      </c>
      <c r="O889" t="s">
        <v>112</v>
      </c>
      <c r="P889">
        <v>1</v>
      </c>
      <c r="Q889">
        <v>0</v>
      </c>
      <c r="R889">
        <v>1</v>
      </c>
      <c r="S889">
        <v>33</v>
      </c>
      <c r="T889" t="s">
        <v>166</v>
      </c>
      <c r="U889" t="s">
        <v>152</v>
      </c>
      <c r="V889" t="s">
        <v>153</v>
      </c>
      <c r="W889" t="s">
        <v>154</v>
      </c>
      <c r="X889" t="s">
        <v>119</v>
      </c>
      <c r="Y889" t="s">
        <v>112</v>
      </c>
      <c r="Z889" t="s">
        <v>166</v>
      </c>
      <c r="AA889" t="s">
        <v>152</v>
      </c>
      <c r="AB889" t="s">
        <v>153</v>
      </c>
      <c r="AC889" t="s">
        <v>154</v>
      </c>
      <c r="AD889" t="s">
        <v>119</v>
      </c>
      <c r="AE889" t="s">
        <v>112</v>
      </c>
      <c r="AF889" t="s">
        <v>121</v>
      </c>
      <c r="AG889" t="s">
        <v>122</v>
      </c>
      <c r="AH889">
        <v>4331503.4000000004</v>
      </c>
      <c r="AI889" t="s">
        <v>166</v>
      </c>
      <c r="AJ889" t="s">
        <v>152</v>
      </c>
      <c r="AK889" t="s">
        <v>153</v>
      </c>
      <c r="AL889" t="s">
        <v>154</v>
      </c>
      <c r="AM889" t="s">
        <v>119</v>
      </c>
      <c r="AN889" t="s">
        <v>112</v>
      </c>
      <c r="AO889" t="s">
        <v>121</v>
      </c>
      <c r="AP889" t="s">
        <v>122</v>
      </c>
      <c r="AQ889" t="s">
        <v>122</v>
      </c>
      <c r="AR889" t="s">
        <v>124</v>
      </c>
      <c r="AS889" t="s">
        <v>125</v>
      </c>
      <c r="AT889">
        <v>2</v>
      </c>
      <c r="AU889" t="s">
        <v>126</v>
      </c>
      <c r="AV889" t="s">
        <v>155</v>
      </c>
      <c r="AW889" t="s">
        <v>156</v>
      </c>
      <c r="AX889">
        <v>1</v>
      </c>
      <c r="AY889" t="s">
        <v>129</v>
      </c>
      <c r="AZ889">
        <v>46838.61</v>
      </c>
      <c r="BA889">
        <v>3963413</v>
      </c>
      <c r="BB889">
        <v>55567</v>
      </c>
      <c r="BC889">
        <v>84.618499999999997</v>
      </c>
      <c r="BD889" t="s">
        <v>130</v>
      </c>
      <c r="BE889" t="s">
        <v>112</v>
      </c>
      <c r="BF889" t="s">
        <v>157</v>
      </c>
      <c r="BG889" t="s">
        <v>133</v>
      </c>
      <c r="BH889" t="s">
        <v>134</v>
      </c>
      <c r="BI889" t="s">
        <v>112</v>
      </c>
      <c r="BJ889" t="s">
        <v>112</v>
      </c>
      <c r="BK889" t="s">
        <v>112</v>
      </c>
      <c r="BL889" t="s">
        <v>169</v>
      </c>
      <c r="BM889" t="s">
        <v>159</v>
      </c>
      <c r="BN889" t="s">
        <v>722</v>
      </c>
      <c r="BO889" t="s">
        <v>161</v>
      </c>
      <c r="BP889">
        <v>1</v>
      </c>
      <c r="BQ889" t="s">
        <v>205</v>
      </c>
      <c r="BR889" s="45">
        <f>ISNUMBER(SEARCH($BR$1,Таблица1[[#This Row],[31_1 Описание и характеристика товара]]))*1</f>
        <v>1</v>
      </c>
      <c r="BT889" t="s">
        <v>150</v>
      </c>
      <c r="BU889">
        <v>33</v>
      </c>
      <c r="BV889">
        <v>0</v>
      </c>
      <c r="BW889">
        <v>0</v>
      </c>
      <c r="BY889">
        <v>0</v>
      </c>
      <c r="CA889" t="s">
        <v>106</v>
      </c>
      <c r="CB889" t="s">
        <v>142</v>
      </c>
      <c r="CC889" t="s">
        <v>112</v>
      </c>
      <c r="CD889" t="s">
        <v>112</v>
      </c>
      <c r="CE889" t="s">
        <v>121</v>
      </c>
      <c r="CF889">
        <v>16718.400000000001</v>
      </c>
      <c r="CG889" t="s">
        <v>144</v>
      </c>
      <c r="CH889">
        <v>4000000</v>
      </c>
      <c r="CI889">
        <v>16718.400000000001</v>
      </c>
      <c r="CJ889">
        <v>0</v>
      </c>
      <c r="CK889" t="s">
        <v>112</v>
      </c>
      <c r="CL889" t="s">
        <v>112</v>
      </c>
      <c r="CM889">
        <v>46838.61</v>
      </c>
      <c r="CN889">
        <v>3963413</v>
      </c>
      <c r="CO889">
        <v>0</v>
      </c>
      <c r="CP889">
        <v>1</v>
      </c>
      <c r="CQ889">
        <v>4331503.4000000004</v>
      </c>
      <c r="CR889">
        <v>55567</v>
      </c>
      <c r="CS889" t="s">
        <v>145</v>
      </c>
      <c r="CT889">
        <v>55566.946080000009</v>
      </c>
      <c r="CU889">
        <v>3.3237000000000001</v>
      </c>
      <c r="CV889">
        <v>45</v>
      </c>
      <c r="CW889" t="s">
        <v>171</v>
      </c>
      <c r="CX889" t="s">
        <v>369</v>
      </c>
      <c r="CY889">
        <v>570</v>
      </c>
    </row>
    <row r="890" spans="1:103" x14ac:dyDescent="0.25">
      <c r="A890" t="s">
        <v>106</v>
      </c>
      <c r="B890" s="38">
        <v>45002</v>
      </c>
      <c r="C890" s="43">
        <f>IF(YEAR(Таблица1[[#This Row],[Дата]])=2023,MONTH(Таблица1[[#This Row],[Дата]]),0)</f>
        <v>3</v>
      </c>
      <c r="D890" t="s">
        <v>998</v>
      </c>
      <c r="E890" t="s">
        <v>108</v>
      </c>
      <c r="F890" t="s">
        <v>999</v>
      </c>
      <c r="G890" t="s">
        <v>3244</v>
      </c>
      <c r="H890" t="s">
        <v>111</v>
      </c>
      <c r="I890" t="s">
        <v>112</v>
      </c>
      <c r="J890" t="s">
        <v>112</v>
      </c>
      <c r="K890" t="s">
        <v>112</v>
      </c>
      <c r="L890" t="s">
        <v>150</v>
      </c>
      <c r="M890" t="s">
        <v>151</v>
      </c>
      <c r="N890" t="s">
        <v>112</v>
      </c>
      <c r="O890" t="s">
        <v>112</v>
      </c>
      <c r="P890">
        <v>1</v>
      </c>
      <c r="Q890">
        <v>0</v>
      </c>
      <c r="R890">
        <v>1</v>
      </c>
      <c r="S890">
        <v>33</v>
      </c>
      <c r="T890" t="s">
        <v>166</v>
      </c>
      <c r="U890" t="s">
        <v>152</v>
      </c>
      <c r="V890" t="s">
        <v>153</v>
      </c>
      <c r="W890" t="s">
        <v>154</v>
      </c>
      <c r="X890" t="s">
        <v>119</v>
      </c>
      <c r="Y890" t="s">
        <v>112</v>
      </c>
      <c r="Z890" t="s">
        <v>166</v>
      </c>
      <c r="AA890" t="s">
        <v>152</v>
      </c>
      <c r="AB890" t="s">
        <v>153</v>
      </c>
      <c r="AC890" t="s">
        <v>154</v>
      </c>
      <c r="AD890" t="s">
        <v>119</v>
      </c>
      <c r="AE890" t="s">
        <v>112</v>
      </c>
      <c r="AF890" t="s">
        <v>121</v>
      </c>
      <c r="AG890" t="s">
        <v>122</v>
      </c>
      <c r="AH890">
        <v>4092319.9</v>
      </c>
      <c r="AI890" t="s">
        <v>166</v>
      </c>
      <c r="AJ890" t="s">
        <v>152</v>
      </c>
      <c r="AK890" t="s">
        <v>153</v>
      </c>
      <c r="AL890" t="s">
        <v>154</v>
      </c>
      <c r="AM890" t="s">
        <v>119</v>
      </c>
      <c r="AN890" t="s">
        <v>112</v>
      </c>
      <c r="AO890" t="s">
        <v>121</v>
      </c>
      <c r="AP890" t="s">
        <v>122</v>
      </c>
      <c r="AQ890" t="s">
        <v>122</v>
      </c>
      <c r="AR890" t="s">
        <v>124</v>
      </c>
      <c r="AS890" t="s">
        <v>125</v>
      </c>
      <c r="AT890">
        <v>2</v>
      </c>
      <c r="AU890" t="s">
        <v>126</v>
      </c>
      <c r="AV890" t="s">
        <v>155</v>
      </c>
      <c r="AW890" t="s">
        <v>156</v>
      </c>
      <c r="AX890">
        <v>1</v>
      </c>
      <c r="AY890" t="s">
        <v>129</v>
      </c>
      <c r="AZ890">
        <v>43512</v>
      </c>
      <c r="BA890">
        <v>3681920</v>
      </c>
      <c r="BB890">
        <v>52498.62</v>
      </c>
      <c r="BC890">
        <v>84.618499999999997</v>
      </c>
      <c r="BD890" t="s">
        <v>130</v>
      </c>
      <c r="BE890" t="s">
        <v>112</v>
      </c>
      <c r="BF890" t="s">
        <v>157</v>
      </c>
      <c r="BG890" t="s">
        <v>133</v>
      </c>
      <c r="BH890" t="s">
        <v>134</v>
      </c>
      <c r="BI890" t="s">
        <v>112</v>
      </c>
      <c r="BJ890" t="s">
        <v>112</v>
      </c>
      <c r="BK890" t="s">
        <v>112</v>
      </c>
      <c r="BL890" t="s">
        <v>169</v>
      </c>
      <c r="BM890" t="s">
        <v>159</v>
      </c>
      <c r="BN890" t="s">
        <v>722</v>
      </c>
      <c r="BO890" t="s">
        <v>161</v>
      </c>
      <c r="BP890">
        <v>1</v>
      </c>
      <c r="BQ890" t="s">
        <v>232</v>
      </c>
      <c r="BR890" s="45">
        <f>ISNUMBER(SEARCH($BR$1,Таблица1[[#This Row],[31_1 Описание и характеристика товара]]))*1</f>
        <v>1</v>
      </c>
      <c r="BT890" t="s">
        <v>150</v>
      </c>
      <c r="BU890">
        <v>33</v>
      </c>
      <c r="BV890">
        <v>0</v>
      </c>
      <c r="BW890">
        <v>0</v>
      </c>
      <c r="BY890">
        <v>0</v>
      </c>
      <c r="CA890" t="s">
        <v>106</v>
      </c>
      <c r="CB890" t="s">
        <v>142</v>
      </c>
      <c r="CC890" t="s">
        <v>112</v>
      </c>
      <c r="CD890" t="s">
        <v>112</v>
      </c>
      <c r="CE890" t="s">
        <v>121</v>
      </c>
      <c r="CF890">
        <v>16525.080000000002</v>
      </c>
      <c r="CG890" t="s">
        <v>144</v>
      </c>
      <c r="CH890">
        <v>4000000</v>
      </c>
      <c r="CI890">
        <v>16525.080000000002</v>
      </c>
      <c r="CJ890">
        <v>0</v>
      </c>
      <c r="CK890" t="s">
        <v>112</v>
      </c>
      <c r="CL890" t="s">
        <v>112</v>
      </c>
      <c r="CM890">
        <v>43512</v>
      </c>
      <c r="CN890">
        <v>3681920</v>
      </c>
      <c r="CO890">
        <v>0</v>
      </c>
      <c r="CP890">
        <v>1</v>
      </c>
      <c r="CQ890">
        <v>4092319.9</v>
      </c>
      <c r="CR890">
        <v>52498.62</v>
      </c>
      <c r="CS890" t="s">
        <v>145</v>
      </c>
      <c r="CT890">
        <v>52498.526652</v>
      </c>
      <c r="CU890">
        <v>3.1768999999999998</v>
      </c>
      <c r="CV890">
        <v>45</v>
      </c>
      <c r="CW890" t="s">
        <v>171</v>
      </c>
      <c r="CX890" t="s">
        <v>172</v>
      </c>
      <c r="CY890">
        <v>326</v>
      </c>
    </row>
    <row r="891" spans="1:103" x14ac:dyDescent="0.25">
      <c r="A891" t="s">
        <v>106</v>
      </c>
      <c r="B891" s="38">
        <v>45060</v>
      </c>
      <c r="C891" s="43">
        <f>IF(YEAR(Таблица1[[#This Row],[Дата]])=2023,MONTH(Таблица1[[#This Row],[Дата]]),0)</f>
        <v>5</v>
      </c>
      <c r="D891" t="s">
        <v>996</v>
      </c>
      <c r="E891" t="s">
        <v>108</v>
      </c>
      <c r="F891" t="s">
        <v>997</v>
      </c>
      <c r="G891" t="s">
        <v>3244</v>
      </c>
      <c r="H891" t="s">
        <v>111</v>
      </c>
      <c r="I891" t="s">
        <v>112</v>
      </c>
      <c r="J891" t="s">
        <v>112</v>
      </c>
      <c r="K891" t="s">
        <v>112</v>
      </c>
      <c r="L891" t="s">
        <v>150</v>
      </c>
      <c r="M891" t="s">
        <v>151</v>
      </c>
      <c r="N891" t="s">
        <v>112</v>
      </c>
      <c r="O891" t="s">
        <v>112</v>
      </c>
      <c r="P891">
        <v>1</v>
      </c>
      <c r="Q891">
        <v>0</v>
      </c>
      <c r="R891">
        <v>1</v>
      </c>
      <c r="S891">
        <v>33</v>
      </c>
      <c r="T891" t="s">
        <v>166</v>
      </c>
      <c r="U891" t="s">
        <v>152</v>
      </c>
      <c r="V891" t="s">
        <v>153</v>
      </c>
      <c r="W891" t="s">
        <v>154</v>
      </c>
      <c r="X891" t="s">
        <v>119</v>
      </c>
      <c r="Y891" t="s">
        <v>112</v>
      </c>
      <c r="Z891" t="s">
        <v>166</v>
      </c>
      <c r="AA891" t="s">
        <v>152</v>
      </c>
      <c r="AB891" t="s">
        <v>153</v>
      </c>
      <c r="AC891" t="s">
        <v>154</v>
      </c>
      <c r="AD891" t="s">
        <v>119</v>
      </c>
      <c r="AE891" t="s">
        <v>112</v>
      </c>
      <c r="AF891" t="s">
        <v>121</v>
      </c>
      <c r="AG891" t="s">
        <v>122</v>
      </c>
      <c r="AH891">
        <v>3892256.38</v>
      </c>
      <c r="AI891" t="s">
        <v>166</v>
      </c>
      <c r="AJ891" t="s">
        <v>152</v>
      </c>
      <c r="AK891" t="s">
        <v>153</v>
      </c>
      <c r="AL891" t="s">
        <v>154</v>
      </c>
      <c r="AM891" t="s">
        <v>119</v>
      </c>
      <c r="AN891" t="s">
        <v>112</v>
      </c>
      <c r="AO891" t="s">
        <v>121</v>
      </c>
      <c r="AP891" t="s">
        <v>122</v>
      </c>
      <c r="AQ891" t="s">
        <v>122</v>
      </c>
      <c r="AR891" t="s">
        <v>124</v>
      </c>
      <c r="AS891" t="s">
        <v>125</v>
      </c>
      <c r="AT891">
        <v>2</v>
      </c>
      <c r="AU891" t="s">
        <v>126</v>
      </c>
      <c r="AV891" t="s">
        <v>155</v>
      </c>
      <c r="AW891" t="s">
        <v>156</v>
      </c>
      <c r="AX891">
        <v>1</v>
      </c>
      <c r="AY891" t="s">
        <v>129</v>
      </c>
      <c r="AZ891">
        <v>41647.699999999997</v>
      </c>
      <c r="BA891">
        <v>3524166</v>
      </c>
      <c r="BB891">
        <v>49932.09</v>
      </c>
      <c r="BC891">
        <v>84.618499999999997</v>
      </c>
      <c r="BD891" t="s">
        <v>130</v>
      </c>
      <c r="BE891" t="s">
        <v>112</v>
      </c>
      <c r="BF891" t="s">
        <v>157</v>
      </c>
      <c r="BG891" t="s">
        <v>133</v>
      </c>
      <c r="BH891" t="s">
        <v>134</v>
      </c>
      <c r="BI891" t="s">
        <v>112</v>
      </c>
      <c r="BJ891" t="s">
        <v>112</v>
      </c>
      <c r="BK891" t="s">
        <v>112</v>
      </c>
      <c r="BL891" t="s">
        <v>169</v>
      </c>
      <c r="BM891" t="s">
        <v>159</v>
      </c>
      <c r="BN891" t="s">
        <v>722</v>
      </c>
      <c r="BO891" t="s">
        <v>161</v>
      </c>
      <c r="BP891">
        <v>1</v>
      </c>
      <c r="BQ891" t="s">
        <v>232</v>
      </c>
      <c r="BR891" s="45">
        <f>ISNUMBER(SEARCH($BR$1,Таблица1[[#This Row],[31_1 Описание и характеристика товара]]))*1</f>
        <v>1</v>
      </c>
      <c r="BT891" t="s">
        <v>150</v>
      </c>
      <c r="BU891">
        <v>33</v>
      </c>
      <c r="BV891">
        <v>0</v>
      </c>
      <c r="BW891">
        <v>0</v>
      </c>
      <c r="BY891">
        <v>0</v>
      </c>
      <c r="CA891" t="s">
        <v>106</v>
      </c>
      <c r="CB891" t="s">
        <v>142</v>
      </c>
      <c r="CC891" t="s">
        <v>112</v>
      </c>
      <c r="CD891" t="s">
        <v>112</v>
      </c>
      <c r="CE891" t="s">
        <v>121</v>
      </c>
      <c r="CF891">
        <v>16784.43</v>
      </c>
      <c r="CG891" t="s">
        <v>144</v>
      </c>
      <c r="CH891">
        <v>4000000</v>
      </c>
      <c r="CI891">
        <v>16683.63</v>
      </c>
      <c r="CJ891">
        <v>0</v>
      </c>
      <c r="CK891" t="s">
        <v>112</v>
      </c>
      <c r="CL891" t="s">
        <v>112</v>
      </c>
      <c r="CM891">
        <v>41647.699999999997</v>
      </c>
      <c r="CN891">
        <v>3524166</v>
      </c>
      <c r="CO891">
        <v>0</v>
      </c>
      <c r="CP891">
        <v>1</v>
      </c>
      <c r="CQ891">
        <v>3892256.38</v>
      </c>
      <c r="CR891">
        <v>49932.09</v>
      </c>
      <c r="CS891" t="s">
        <v>145</v>
      </c>
      <c r="CT891">
        <v>49932.436227000006</v>
      </c>
      <c r="CU891">
        <v>2.9929000000000001</v>
      </c>
      <c r="CV891">
        <v>45</v>
      </c>
      <c r="CW891" t="s">
        <v>171</v>
      </c>
      <c r="CX891" t="s">
        <v>463</v>
      </c>
      <c r="CY891">
        <v>296</v>
      </c>
    </row>
    <row r="892" spans="1:103" x14ac:dyDescent="0.25">
      <c r="A892" t="s">
        <v>106</v>
      </c>
      <c r="B892" s="38">
        <v>45107</v>
      </c>
      <c r="C892" s="43">
        <f>IF(YEAR(Таблица1[[#This Row],[Дата]])=2023,MONTH(Таблица1[[#This Row],[Дата]]),0)</f>
        <v>6</v>
      </c>
      <c r="D892" t="s">
        <v>2077</v>
      </c>
      <c r="E892" t="s">
        <v>108</v>
      </c>
      <c r="F892" t="s">
        <v>2078</v>
      </c>
      <c r="G892" t="s">
        <v>3244</v>
      </c>
      <c r="H892" t="s">
        <v>111</v>
      </c>
      <c r="I892" t="s">
        <v>112</v>
      </c>
      <c r="J892" t="s">
        <v>112</v>
      </c>
      <c r="K892" t="s">
        <v>112</v>
      </c>
      <c r="L892" t="s">
        <v>150</v>
      </c>
      <c r="M892" t="s">
        <v>151</v>
      </c>
      <c r="N892" t="s">
        <v>112</v>
      </c>
      <c r="O892" t="s">
        <v>112</v>
      </c>
      <c r="P892">
        <v>1</v>
      </c>
      <c r="R892">
        <v>1</v>
      </c>
      <c r="S892">
        <v>33</v>
      </c>
      <c r="T892" t="s">
        <v>112</v>
      </c>
      <c r="U892" t="s">
        <v>152</v>
      </c>
      <c r="V892" t="s">
        <v>153</v>
      </c>
      <c r="W892" t="s">
        <v>154</v>
      </c>
      <c r="X892" t="s">
        <v>119</v>
      </c>
      <c r="Y892" t="s">
        <v>112</v>
      </c>
      <c r="Z892" t="s">
        <v>112</v>
      </c>
      <c r="AA892" t="s">
        <v>152</v>
      </c>
      <c r="AB892" t="s">
        <v>153</v>
      </c>
      <c r="AC892" t="s">
        <v>154</v>
      </c>
      <c r="AD892" t="s">
        <v>119</v>
      </c>
      <c r="AE892" t="s">
        <v>112</v>
      </c>
      <c r="AF892" t="s">
        <v>121</v>
      </c>
      <c r="AG892" t="s">
        <v>122</v>
      </c>
      <c r="AH892">
        <v>4526584.0599999996</v>
      </c>
      <c r="AI892" t="s">
        <v>112</v>
      </c>
      <c r="AJ892" t="s">
        <v>152</v>
      </c>
      <c r="AK892" t="s">
        <v>153</v>
      </c>
      <c r="AL892" t="s">
        <v>154</v>
      </c>
      <c r="AM892" t="s">
        <v>119</v>
      </c>
      <c r="AN892" t="s">
        <v>112</v>
      </c>
      <c r="AO892" t="s">
        <v>121</v>
      </c>
      <c r="AP892" t="s">
        <v>122</v>
      </c>
      <c r="AQ892" t="s">
        <v>122</v>
      </c>
      <c r="AR892" t="s">
        <v>124</v>
      </c>
      <c r="AS892" t="s">
        <v>125</v>
      </c>
      <c r="AT892">
        <v>2</v>
      </c>
      <c r="AU892" t="s">
        <v>126</v>
      </c>
      <c r="AV892" t="s">
        <v>155</v>
      </c>
      <c r="AW892" t="s">
        <v>156</v>
      </c>
      <c r="AY892" t="s">
        <v>129</v>
      </c>
      <c r="AZ892">
        <v>39590.160000000003</v>
      </c>
      <c r="BC892">
        <v>103.86799999999999</v>
      </c>
      <c r="BD892" t="s">
        <v>112</v>
      </c>
      <c r="BE892" t="s">
        <v>112</v>
      </c>
      <c r="BF892" t="s">
        <v>157</v>
      </c>
      <c r="BG892" t="s">
        <v>133</v>
      </c>
      <c r="BH892" t="s">
        <v>134</v>
      </c>
      <c r="BI892" t="s">
        <v>112</v>
      </c>
      <c r="BJ892" t="s">
        <v>112</v>
      </c>
      <c r="BK892" t="s">
        <v>112</v>
      </c>
      <c r="BL892" t="s">
        <v>158</v>
      </c>
      <c r="BM892" t="s">
        <v>159</v>
      </c>
      <c r="BN892" t="s">
        <v>212</v>
      </c>
      <c r="BO892" t="s">
        <v>161</v>
      </c>
      <c r="BQ892" t="s">
        <v>232</v>
      </c>
      <c r="BR892" s="45">
        <f>ISNUMBER(SEARCH($BR$1,Таблица1[[#This Row],[31_1 Описание и характеристика товара]]))*1</f>
        <v>1</v>
      </c>
      <c r="BT892" t="s">
        <v>150</v>
      </c>
      <c r="BU892">
        <v>33</v>
      </c>
      <c r="BV892">
        <v>0</v>
      </c>
      <c r="BW892">
        <v>0</v>
      </c>
      <c r="BY892">
        <v>0</v>
      </c>
      <c r="CA892" t="s">
        <v>106</v>
      </c>
      <c r="CB892" t="s">
        <v>142</v>
      </c>
      <c r="CC892" t="s">
        <v>112</v>
      </c>
      <c r="CD892" t="s">
        <v>112</v>
      </c>
      <c r="CE892" t="s">
        <v>121</v>
      </c>
      <c r="CF892">
        <v>17088.59</v>
      </c>
      <c r="CG892" t="s">
        <v>144</v>
      </c>
      <c r="CH892">
        <v>4000000</v>
      </c>
      <c r="CI892">
        <v>17023.79</v>
      </c>
      <c r="CJ892">
        <v>0</v>
      </c>
      <c r="CK892" t="s">
        <v>112</v>
      </c>
      <c r="CL892" t="s">
        <v>112</v>
      </c>
      <c r="CM892">
        <v>39590.160000000003</v>
      </c>
      <c r="CO892">
        <v>0</v>
      </c>
      <c r="CP892">
        <v>1</v>
      </c>
      <c r="CQ892">
        <v>4526584.0599999996</v>
      </c>
      <c r="CR892">
        <v>45965.2</v>
      </c>
      <c r="CS892" t="s">
        <v>145</v>
      </c>
      <c r="CT892">
        <v>45964.233000000007</v>
      </c>
      <c r="CU892">
        <v>2.7</v>
      </c>
      <c r="CV892">
        <v>45</v>
      </c>
      <c r="CX892" t="s">
        <v>233</v>
      </c>
      <c r="CY892">
        <v>236</v>
      </c>
    </row>
    <row r="893" spans="1:103" x14ac:dyDescent="0.25">
      <c r="A893" t="s">
        <v>106</v>
      </c>
      <c r="B893" s="38">
        <v>44968</v>
      </c>
      <c r="C893" s="43">
        <f>IF(YEAR(Таблица1[[#This Row],[Дата]])=2023,MONTH(Таблица1[[#This Row],[Дата]]),0)</f>
        <v>2</v>
      </c>
      <c r="D893" t="s">
        <v>2077</v>
      </c>
      <c r="E893" t="s">
        <v>108</v>
      </c>
      <c r="F893" t="s">
        <v>2078</v>
      </c>
      <c r="G893" t="s">
        <v>3244</v>
      </c>
      <c r="H893" t="s">
        <v>111</v>
      </c>
      <c r="I893" t="s">
        <v>112</v>
      </c>
      <c r="J893" t="s">
        <v>112</v>
      </c>
      <c r="K893" t="s">
        <v>112</v>
      </c>
      <c r="L893" t="s">
        <v>150</v>
      </c>
      <c r="M893" t="s">
        <v>151</v>
      </c>
      <c r="N893" t="s">
        <v>112</v>
      </c>
      <c r="O893" t="s">
        <v>112</v>
      </c>
      <c r="P893">
        <v>1</v>
      </c>
      <c r="R893">
        <v>1</v>
      </c>
      <c r="S893">
        <v>33</v>
      </c>
      <c r="T893" t="s">
        <v>112</v>
      </c>
      <c r="U893" t="s">
        <v>152</v>
      </c>
      <c r="V893" t="s">
        <v>153</v>
      </c>
      <c r="W893" t="s">
        <v>154</v>
      </c>
      <c r="X893" t="s">
        <v>119</v>
      </c>
      <c r="Y893" t="s">
        <v>112</v>
      </c>
      <c r="Z893" t="s">
        <v>112</v>
      </c>
      <c r="AA893" t="s">
        <v>152</v>
      </c>
      <c r="AB893" t="s">
        <v>153</v>
      </c>
      <c r="AC893" t="s">
        <v>154</v>
      </c>
      <c r="AD893" t="s">
        <v>119</v>
      </c>
      <c r="AE893" t="s">
        <v>112</v>
      </c>
      <c r="AF893" t="s">
        <v>121</v>
      </c>
      <c r="AG893" t="s">
        <v>122</v>
      </c>
      <c r="AH893">
        <v>4526584.0599999996</v>
      </c>
      <c r="AI893" t="s">
        <v>112</v>
      </c>
      <c r="AJ893" t="s">
        <v>152</v>
      </c>
      <c r="AK893" t="s">
        <v>153</v>
      </c>
      <c r="AL893" t="s">
        <v>154</v>
      </c>
      <c r="AM893" t="s">
        <v>119</v>
      </c>
      <c r="AN893" t="s">
        <v>112</v>
      </c>
      <c r="AO893" t="s">
        <v>121</v>
      </c>
      <c r="AP893" t="s">
        <v>122</v>
      </c>
      <c r="AQ893" t="s">
        <v>122</v>
      </c>
      <c r="AR893" t="s">
        <v>124</v>
      </c>
      <c r="AS893" t="s">
        <v>125</v>
      </c>
      <c r="AT893">
        <v>2</v>
      </c>
      <c r="AU893" t="s">
        <v>126</v>
      </c>
      <c r="AV893" t="s">
        <v>155</v>
      </c>
      <c r="AW893" t="s">
        <v>156</v>
      </c>
      <c r="AY893" t="s">
        <v>129</v>
      </c>
      <c r="AZ893">
        <v>39590.160000000003</v>
      </c>
      <c r="BC893">
        <v>103.86799999999999</v>
      </c>
      <c r="BD893" t="s">
        <v>112</v>
      </c>
      <c r="BE893" t="s">
        <v>112</v>
      </c>
      <c r="BF893" t="s">
        <v>157</v>
      </c>
      <c r="BG893" t="s">
        <v>133</v>
      </c>
      <c r="BH893" t="s">
        <v>134</v>
      </c>
      <c r="BI893" t="s">
        <v>112</v>
      </c>
      <c r="BJ893" t="s">
        <v>112</v>
      </c>
      <c r="BK893" t="s">
        <v>112</v>
      </c>
      <c r="BL893" t="s">
        <v>158</v>
      </c>
      <c r="BM893" t="s">
        <v>159</v>
      </c>
      <c r="BN893" t="s">
        <v>212</v>
      </c>
      <c r="BO893" t="s">
        <v>161</v>
      </c>
      <c r="BQ893" t="s">
        <v>232</v>
      </c>
      <c r="BR893" s="45">
        <f>ISNUMBER(SEARCH($BR$1,Таблица1[[#This Row],[31_1 Описание и характеристика товара]]))*1</f>
        <v>1</v>
      </c>
      <c r="BT893" t="s">
        <v>150</v>
      </c>
      <c r="BU893">
        <v>33</v>
      </c>
      <c r="BV893">
        <v>0</v>
      </c>
      <c r="BW893">
        <v>0</v>
      </c>
      <c r="BY893">
        <v>0</v>
      </c>
      <c r="CA893" t="s">
        <v>106</v>
      </c>
      <c r="CB893" t="s">
        <v>142</v>
      </c>
      <c r="CC893" t="s">
        <v>112</v>
      </c>
      <c r="CD893" t="s">
        <v>112</v>
      </c>
      <c r="CE893" t="s">
        <v>121</v>
      </c>
      <c r="CF893">
        <v>17088.59</v>
      </c>
      <c r="CG893" t="s">
        <v>144</v>
      </c>
      <c r="CH893">
        <v>4000000</v>
      </c>
      <c r="CI893">
        <v>17023.79</v>
      </c>
      <c r="CJ893">
        <v>0</v>
      </c>
      <c r="CK893" t="s">
        <v>112</v>
      </c>
      <c r="CL893" t="s">
        <v>112</v>
      </c>
      <c r="CM893">
        <v>39590.160000000003</v>
      </c>
      <c r="CO893">
        <v>0</v>
      </c>
      <c r="CP893">
        <v>1</v>
      </c>
      <c r="CQ893">
        <v>4526584.0599999996</v>
      </c>
      <c r="CR893">
        <v>45965.2</v>
      </c>
      <c r="CS893" t="s">
        <v>145</v>
      </c>
      <c r="CT893">
        <v>45964.233000000007</v>
      </c>
      <c r="CU893">
        <v>2.7</v>
      </c>
      <c r="CV893">
        <v>45</v>
      </c>
      <c r="CX893" t="s">
        <v>233</v>
      </c>
      <c r="CY893">
        <v>236</v>
      </c>
    </row>
    <row r="894" spans="1:103" x14ac:dyDescent="0.25">
      <c r="A894" t="s">
        <v>106</v>
      </c>
      <c r="B894" s="38">
        <v>45062</v>
      </c>
      <c r="C894" s="43">
        <f>IF(YEAR(Таблица1[[#This Row],[Дата]])=2023,MONTH(Таблица1[[#This Row],[Дата]]),0)</f>
        <v>5</v>
      </c>
      <c r="D894" t="s">
        <v>1642</v>
      </c>
      <c r="E894" t="s">
        <v>108</v>
      </c>
      <c r="F894" t="s">
        <v>1643</v>
      </c>
      <c r="G894" t="s">
        <v>3244</v>
      </c>
      <c r="H894" t="s">
        <v>111</v>
      </c>
      <c r="I894" t="s">
        <v>112</v>
      </c>
      <c r="J894" t="s">
        <v>112</v>
      </c>
      <c r="K894" t="s">
        <v>112</v>
      </c>
      <c r="L894" t="s">
        <v>150</v>
      </c>
      <c r="M894" t="s">
        <v>151</v>
      </c>
      <c r="N894" t="s">
        <v>112</v>
      </c>
      <c r="O894" t="s">
        <v>112</v>
      </c>
      <c r="R894">
        <v>1</v>
      </c>
      <c r="S894">
        <v>33</v>
      </c>
      <c r="T894" t="s">
        <v>166</v>
      </c>
      <c r="U894" t="s">
        <v>152</v>
      </c>
      <c r="V894" t="s">
        <v>153</v>
      </c>
      <c r="W894" t="s">
        <v>154</v>
      </c>
      <c r="X894" t="s">
        <v>119</v>
      </c>
      <c r="Y894" t="s">
        <v>112</v>
      </c>
      <c r="Z894" t="s">
        <v>166</v>
      </c>
      <c r="AA894" t="s">
        <v>152</v>
      </c>
      <c r="AB894" t="s">
        <v>153</v>
      </c>
      <c r="AC894" t="s">
        <v>154</v>
      </c>
      <c r="AD894" t="s">
        <v>119</v>
      </c>
      <c r="AE894" t="s">
        <v>112</v>
      </c>
      <c r="AF894" t="s">
        <v>121</v>
      </c>
      <c r="AG894" t="s">
        <v>122</v>
      </c>
      <c r="AH894">
        <v>4981753.8899999997</v>
      </c>
      <c r="AI894" t="s">
        <v>166</v>
      </c>
      <c r="AJ894" t="s">
        <v>152</v>
      </c>
      <c r="AK894" t="s">
        <v>153</v>
      </c>
      <c r="AL894" t="s">
        <v>154</v>
      </c>
      <c r="AM894" t="s">
        <v>119</v>
      </c>
      <c r="AN894" t="s">
        <v>112</v>
      </c>
      <c r="AO894" t="s">
        <v>121</v>
      </c>
      <c r="AP894" t="s">
        <v>122</v>
      </c>
      <c r="AQ894" t="s">
        <v>122</v>
      </c>
      <c r="AR894" t="s">
        <v>124</v>
      </c>
      <c r="AS894" t="s">
        <v>125</v>
      </c>
      <c r="AU894" t="s">
        <v>126</v>
      </c>
      <c r="AV894" t="s">
        <v>155</v>
      </c>
      <c r="AW894" t="s">
        <v>156</v>
      </c>
      <c r="AY894" t="s">
        <v>129</v>
      </c>
      <c r="AZ894">
        <v>44745.8</v>
      </c>
      <c r="BC894">
        <v>101.9268</v>
      </c>
      <c r="BD894" t="s">
        <v>112</v>
      </c>
      <c r="BE894" t="s">
        <v>112</v>
      </c>
      <c r="BF894" t="s">
        <v>112</v>
      </c>
      <c r="BG894" t="s">
        <v>133</v>
      </c>
      <c r="BH894" t="s">
        <v>1627</v>
      </c>
      <c r="BI894" t="s">
        <v>112</v>
      </c>
      <c r="BJ894" t="s">
        <v>112</v>
      </c>
      <c r="BK894" t="s">
        <v>112</v>
      </c>
      <c r="BL894" t="s">
        <v>112</v>
      </c>
      <c r="BM894" t="s">
        <v>112</v>
      </c>
      <c r="BN894" t="s">
        <v>112</v>
      </c>
      <c r="BO894" t="s">
        <v>161</v>
      </c>
      <c r="BQ894" t="s">
        <v>205</v>
      </c>
      <c r="BR894" s="45">
        <f>ISNUMBER(SEARCH($BR$1,Таблица1[[#This Row],[31_1 Описание и характеристика товара]]))*1</f>
        <v>1</v>
      </c>
      <c r="BT894" t="s">
        <v>150</v>
      </c>
      <c r="BU894">
        <v>33</v>
      </c>
      <c r="BW894">
        <v>0</v>
      </c>
      <c r="CA894" t="s">
        <v>106</v>
      </c>
      <c r="CB894" t="s">
        <v>142</v>
      </c>
      <c r="CC894" t="s">
        <v>112</v>
      </c>
      <c r="CD894" t="s">
        <v>112</v>
      </c>
      <c r="CE894" t="s">
        <v>121</v>
      </c>
      <c r="CF894">
        <v>16473.3</v>
      </c>
      <c r="CG894" t="s">
        <v>144</v>
      </c>
      <c r="CH894">
        <v>4000000</v>
      </c>
      <c r="CI894">
        <v>16325.7</v>
      </c>
      <c r="CJ894">
        <v>0</v>
      </c>
      <c r="CK894" t="s">
        <v>112</v>
      </c>
      <c r="CL894" t="s">
        <v>112</v>
      </c>
      <c r="CM894">
        <v>44745.8</v>
      </c>
      <c r="CQ894">
        <v>4981753.8899999997</v>
      </c>
      <c r="CR894">
        <v>53658.99</v>
      </c>
      <c r="CS894" t="s">
        <v>145</v>
      </c>
      <c r="CT894">
        <v>53711.553</v>
      </c>
      <c r="CU894">
        <v>3.29</v>
      </c>
      <c r="CY894">
        <v>340</v>
      </c>
    </row>
    <row r="895" spans="1:103" x14ac:dyDescent="0.25">
      <c r="A895" t="s">
        <v>106</v>
      </c>
      <c r="B895" s="38">
        <v>45224</v>
      </c>
      <c r="C895" s="43">
        <f>IF(YEAR(Таблица1[[#This Row],[Дата]])=2023,MONTH(Таблица1[[#This Row],[Дата]]),0)</f>
        <v>10</v>
      </c>
      <c r="D895" t="s">
        <v>1640</v>
      </c>
      <c r="E895" t="s">
        <v>108</v>
      </c>
      <c r="F895" t="s">
        <v>1641</v>
      </c>
      <c r="G895" t="s">
        <v>3244</v>
      </c>
      <c r="H895" t="s">
        <v>111</v>
      </c>
      <c r="I895" t="s">
        <v>112</v>
      </c>
      <c r="J895" t="s">
        <v>112</v>
      </c>
      <c r="K895" t="s">
        <v>112</v>
      </c>
      <c r="L895" t="s">
        <v>150</v>
      </c>
      <c r="M895" t="s">
        <v>151</v>
      </c>
      <c r="N895" t="s">
        <v>112</v>
      </c>
      <c r="O895" t="s">
        <v>112</v>
      </c>
      <c r="R895">
        <v>1</v>
      </c>
      <c r="S895">
        <v>33</v>
      </c>
      <c r="T895" t="s">
        <v>166</v>
      </c>
      <c r="U895" t="s">
        <v>152</v>
      </c>
      <c r="V895" t="s">
        <v>153</v>
      </c>
      <c r="W895" t="s">
        <v>154</v>
      </c>
      <c r="X895" t="s">
        <v>119</v>
      </c>
      <c r="Y895" t="s">
        <v>112</v>
      </c>
      <c r="Z895" t="s">
        <v>166</v>
      </c>
      <c r="AA895" t="s">
        <v>152</v>
      </c>
      <c r="AB895" t="s">
        <v>153</v>
      </c>
      <c r="AC895" t="s">
        <v>154</v>
      </c>
      <c r="AD895" t="s">
        <v>119</v>
      </c>
      <c r="AE895" t="s">
        <v>112</v>
      </c>
      <c r="AF895" t="s">
        <v>121</v>
      </c>
      <c r="AG895" t="s">
        <v>122</v>
      </c>
      <c r="AH895">
        <v>4421808.82</v>
      </c>
      <c r="AI895" t="s">
        <v>166</v>
      </c>
      <c r="AJ895" t="s">
        <v>152</v>
      </c>
      <c r="AK895" t="s">
        <v>153</v>
      </c>
      <c r="AL895" t="s">
        <v>154</v>
      </c>
      <c r="AM895" t="s">
        <v>119</v>
      </c>
      <c r="AN895" t="s">
        <v>112</v>
      </c>
      <c r="AO895" t="s">
        <v>121</v>
      </c>
      <c r="AP895" t="s">
        <v>122</v>
      </c>
      <c r="AQ895" t="s">
        <v>122</v>
      </c>
      <c r="AR895" t="s">
        <v>124</v>
      </c>
      <c r="AS895" t="s">
        <v>125</v>
      </c>
      <c r="AU895" t="s">
        <v>126</v>
      </c>
      <c r="AV895" t="s">
        <v>155</v>
      </c>
      <c r="AW895" t="s">
        <v>156</v>
      </c>
      <c r="AY895" t="s">
        <v>129</v>
      </c>
      <c r="AZ895">
        <v>39252.199999999997</v>
      </c>
      <c r="BC895">
        <v>101.9268</v>
      </c>
      <c r="BD895" t="s">
        <v>112</v>
      </c>
      <c r="BE895" t="s">
        <v>112</v>
      </c>
      <c r="BF895" t="s">
        <v>112</v>
      </c>
      <c r="BG895" t="s">
        <v>133</v>
      </c>
      <c r="BH895" t="s">
        <v>1624</v>
      </c>
      <c r="BI895" t="s">
        <v>112</v>
      </c>
      <c r="BJ895" t="s">
        <v>112</v>
      </c>
      <c r="BK895" t="s">
        <v>112</v>
      </c>
      <c r="BL895" t="s">
        <v>112</v>
      </c>
      <c r="BM895" t="s">
        <v>112</v>
      </c>
      <c r="BN895" t="s">
        <v>112</v>
      </c>
      <c r="BO895" t="s">
        <v>161</v>
      </c>
      <c r="BQ895" t="s">
        <v>162</v>
      </c>
      <c r="BR895" s="45">
        <f>ISNUMBER(SEARCH($BR$1,Таблица1[[#This Row],[31_1 Описание и характеристика товара]]))*1</f>
        <v>1</v>
      </c>
      <c r="BT895" t="s">
        <v>150</v>
      </c>
      <c r="BU895">
        <v>33</v>
      </c>
      <c r="BW895">
        <v>0</v>
      </c>
      <c r="CA895" t="s">
        <v>106</v>
      </c>
      <c r="CB895" t="s">
        <v>142</v>
      </c>
      <c r="CC895" t="s">
        <v>112</v>
      </c>
      <c r="CD895" t="s">
        <v>112</v>
      </c>
      <c r="CE895" t="s">
        <v>121</v>
      </c>
      <c r="CF895">
        <v>16400.46</v>
      </c>
      <c r="CG895" t="s">
        <v>144</v>
      </c>
      <c r="CH895">
        <v>4000000</v>
      </c>
      <c r="CI895">
        <v>16226.46</v>
      </c>
      <c r="CJ895">
        <v>0</v>
      </c>
      <c r="CK895" t="s">
        <v>112</v>
      </c>
      <c r="CL895" t="s">
        <v>112</v>
      </c>
      <c r="CM895">
        <v>39252.199999999997</v>
      </c>
      <c r="CQ895">
        <v>4421808.82</v>
      </c>
      <c r="CR895">
        <v>47627.76</v>
      </c>
      <c r="CS895" t="s">
        <v>145</v>
      </c>
      <c r="CT895">
        <v>47705.792399999998</v>
      </c>
      <c r="CU895">
        <v>2.94</v>
      </c>
      <c r="CY895">
        <v>96</v>
      </c>
    </row>
    <row r="896" spans="1:103" x14ac:dyDescent="0.25">
      <c r="A896" t="s">
        <v>106</v>
      </c>
      <c r="B896" s="38">
        <v>45261</v>
      </c>
      <c r="C896" s="43">
        <f>IF(YEAR(Таблица1[[#This Row],[Дата]])=2023,MONTH(Таблица1[[#This Row],[Дата]]),0)</f>
        <v>12</v>
      </c>
      <c r="D896" t="s">
        <v>1636</v>
      </c>
      <c r="E896" t="s">
        <v>108</v>
      </c>
      <c r="F896" t="s">
        <v>1637</v>
      </c>
      <c r="G896" t="s">
        <v>3244</v>
      </c>
      <c r="H896" t="s">
        <v>111</v>
      </c>
      <c r="I896" t="s">
        <v>112</v>
      </c>
      <c r="J896" t="s">
        <v>112</v>
      </c>
      <c r="K896" t="s">
        <v>112</v>
      </c>
      <c r="L896" t="s">
        <v>150</v>
      </c>
      <c r="M896" t="s">
        <v>151</v>
      </c>
      <c r="N896" t="s">
        <v>112</v>
      </c>
      <c r="O896" t="s">
        <v>112</v>
      </c>
      <c r="R896">
        <v>1</v>
      </c>
      <c r="S896">
        <v>33</v>
      </c>
      <c r="T896" t="s">
        <v>166</v>
      </c>
      <c r="U896" t="s">
        <v>152</v>
      </c>
      <c r="V896" t="s">
        <v>153</v>
      </c>
      <c r="W896" t="s">
        <v>154</v>
      </c>
      <c r="X896" t="s">
        <v>119</v>
      </c>
      <c r="Y896" t="s">
        <v>112</v>
      </c>
      <c r="Z896" t="s">
        <v>166</v>
      </c>
      <c r="AA896" t="s">
        <v>152</v>
      </c>
      <c r="AB896" t="s">
        <v>153</v>
      </c>
      <c r="AC896" t="s">
        <v>154</v>
      </c>
      <c r="AD896" t="s">
        <v>119</v>
      </c>
      <c r="AE896" t="s">
        <v>112</v>
      </c>
      <c r="AF896" t="s">
        <v>121</v>
      </c>
      <c r="AG896" t="s">
        <v>122</v>
      </c>
      <c r="AH896">
        <v>5031367.78</v>
      </c>
      <c r="AI896" t="s">
        <v>166</v>
      </c>
      <c r="AJ896" t="s">
        <v>152</v>
      </c>
      <c r="AK896" t="s">
        <v>153</v>
      </c>
      <c r="AL896" t="s">
        <v>154</v>
      </c>
      <c r="AM896" t="s">
        <v>119</v>
      </c>
      <c r="AN896" t="s">
        <v>112</v>
      </c>
      <c r="AO896" t="s">
        <v>121</v>
      </c>
      <c r="AP896" t="s">
        <v>122</v>
      </c>
      <c r="AQ896" t="s">
        <v>122</v>
      </c>
      <c r="AR896" t="s">
        <v>124</v>
      </c>
      <c r="AS896" t="s">
        <v>125</v>
      </c>
      <c r="AU896" t="s">
        <v>126</v>
      </c>
      <c r="AV896" t="s">
        <v>155</v>
      </c>
      <c r="AW896" t="s">
        <v>156</v>
      </c>
      <c r="AY896" t="s">
        <v>129</v>
      </c>
      <c r="AZ896">
        <v>45232.56</v>
      </c>
      <c r="BC896">
        <v>101.9268</v>
      </c>
      <c r="BD896" t="s">
        <v>112</v>
      </c>
      <c r="BE896" t="s">
        <v>112</v>
      </c>
      <c r="BF896" t="s">
        <v>112</v>
      </c>
      <c r="BG896" t="s">
        <v>133</v>
      </c>
      <c r="BH896" t="s">
        <v>1624</v>
      </c>
      <c r="BI896" t="s">
        <v>112</v>
      </c>
      <c r="BJ896" t="s">
        <v>112</v>
      </c>
      <c r="BK896" t="s">
        <v>112</v>
      </c>
      <c r="BL896" t="s">
        <v>112</v>
      </c>
      <c r="BM896" t="s">
        <v>112</v>
      </c>
      <c r="BN896" t="s">
        <v>112</v>
      </c>
      <c r="BO896" t="s">
        <v>161</v>
      </c>
      <c r="BQ896" t="s">
        <v>205</v>
      </c>
      <c r="BR896" s="45">
        <f>ISNUMBER(SEARCH($BR$1,Таблица1[[#This Row],[31_1 Описание и характеристика товара]]))*1</f>
        <v>1</v>
      </c>
      <c r="BT896" t="s">
        <v>150</v>
      </c>
      <c r="BU896">
        <v>33</v>
      </c>
      <c r="BW896">
        <v>0</v>
      </c>
      <c r="CA896" t="s">
        <v>106</v>
      </c>
      <c r="CB896" t="s">
        <v>142</v>
      </c>
      <c r="CC896" t="s">
        <v>112</v>
      </c>
      <c r="CD896" t="s">
        <v>112</v>
      </c>
      <c r="CE896" t="s">
        <v>121</v>
      </c>
      <c r="CF896">
        <v>16769.09</v>
      </c>
      <c r="CG896" t="s">
        <v>144</v>
      </c>
      <c r="CH896">
        <v>4000000</v>
      </c>
      <c r="CI896">
        <v>16679.09</v>
      </c>
      <c r="CJ896">
        <v>0</v>
      </c>
      <c r="CK896" t="s">
        <v>112</v>
      </c>
      <c r="CL896" t="s">
        <v>112</v>
      </c>
      <c r="CM896">
        <v>45232.56</v>
      </c>
      <c r="CQ896">
        <v>5031367.78</v>
      </c>
      <c r="CR896">
        <v>54193.38</v>
      </c>
      <c r="CS896" t="s">
        <v>145</v>
      </c>
      <c r="CT896">
        <v>54207.042500000003</v>
      </c>
      <c r="CU896">
        <v>3.25</v>
      </c>
      <c r="CY896">
        <v>1</v>
      </c>
    </row>
    <row r="897" spans="1:103" x14ac:dyDescent="0.25">
      <c r="A897" t="s">
        <v>106</v>
      </c>
      <c r="B897" s="38">
        <v>45131</v>
      </c>
      <c r="C897" s="43">
        <f>IF(YEAR(Таблица1[[#This Row],[Дата]])=2023,MONTH(Таблица1[[#This Row],[Дата]]),0)</f>
        <v>7</v>
      </c>
      <c r="D897" t="s">
        <v>1408</v>
      </c>
      <c r="E897" t="s">
        <v>108</v>
      </c>
      <c r="F897" t="s">
        <v>1409</v>
      </c>
      <c r="G897" t="s">
        <v>3244</v>
      </c>
      <c r="H897" t="s">
        <v>111</v>
      </c>
      <c r="I897" t="s">
        <v>112</v>
      </c>
      <c r="J897" t="s">
        <v>112</v>
      </c>
      <c r="K897" t="s">
        <v>112</v>
      </c>
      <c r="L897" t="s">
        <v>150</v>
      </c>
      <c r="M897" t="s">
        <v>1405</v>
      </c>
      <c r="N897" t="s">
        <v>112</v>
      </c>
      <c r="O897" t="s">
        <v>112</v>
      </c>
      <c r="P897">
        <v>1</v>
      </c>
      <c r="Q897">
        <v>0</v>
      </c>
      <c r="R897">
        <v>1</v>
      </c>
      <c r="S897">
        <v>33</v>
      </c>
      <c r="T897" t="s">
        <v>166</v>
      </c>
      <c r="U897" t="s">
        <v>152</v>
      </c>
      <c r="V897" t="s">
        <v>153</v>
      </c>
      <c r="W897" t="s">
        <v>154</v>
      </c>
      <c r="X897" t="s">
        <v>119</v>
      </c>
      <c r="Y897" t="s">
        <v>112</v>
      </c>
      <c r="Z897" t="s">
        <v>166</v>
      </c>
      <c r="AA897" t="s">
        <v>152</v>
      </c>
      <c r="AB897" t="s">
        <v>153</v>
      </c>
      <c r="AC897" t="s">
        <v>154</v>
      </c>
      <c r="AD897" t="s">
        <v>119</v>
      </c>
      <c r="AE897" t="s">
        <v>112</v>
      </c>
      <c r="AF897" t="s">
        <v>121</v>
      </c>
      <c r="AG897" t="s">
        <v>122</v>
      </c>
      <c r="AH897">
        <v>4247683.76</v>
      </c>
      <c r="AI897" t="s">
        <v>166</v>
      </c>
      <c r="AJ897" t="s">
        <v>152</v>
      </c>
      <c r="AK897" t="s">
        <v>153</v>
      </c>
      <c r="AL897" t="s">
        <v>154</v>
      </c>
      <c r="AM897" t="s">
        <v>119</v>
      </c>
      <c r="AN897" t="s">
        <v>112</v>
      </c>
      <c r="AO897" t="s">
        <v>121</v>
      </c>
      <c r="AP897" t="s">
        <v>122</v>
      </c>
      <c r="AQ897" t="s">
        <v>122</v>
      </c>
      <c r="AR897" t="s">
        <v>124</v>
      </c>
      <c r="AS897" t="s">
        <v>125</v>
      </c>
      <c r="AT897">
        <v>2</v>
      </c>
      <c r="AU897" t="s">
        <v>126</v>
      </c>
      <c r="AV897" t="s">
        <v>155</v>
      </c>
      <c r="AW897" t="s">
        <v>156</v>
      </c>
      <c r="AX897">
        <v>1</v>
      </c>
      <c r="AY897" t="s">
        <v>129</v>
      </c>
      <c r="AZ897">
        <v>40107.72</v>
      </c>
      <c r="BA897">
        <v>3851123</v>
      </c>
      <c r="BB897">
        <v>48059.199999999997</v>
      </c>
      <c r="BC897">
        <v>96.019499999999994</v>
      </c>
      <c r="BD897" t="s">
        <v>130</v>
      </c>
      <c r="BE897" t="s">
        <v>112</v>
      </c>
      <c r="BF897" t="s">
        <v>157</v>
      </c>
      <c r="BG897" t="s">
        <v>133</v>
      </c>
      <c r="BH897" t="s">
        <v>134</v>
      </c>
      <c r="BI897" t="s">
        <v>112</v>
      </c>
      <c r="BJ897" t="s">
        <v>112</v>
      </c>
      <c r="BK897" t="s">
        <v>112</v>
      </c>
      <c r="BL897" t="s">
        <v>169</v>
      </c>
      <c r="BM897" t="s">
        <v>159</v>
      </c>
      <c r="BN897" t="s">
        <v>722</v>
      </c>
      <c r="BO897" t="s">
        <v>161</v>
      </c>
      <c r="BP897">
        <v>1</v>
      </c>
      <c r="BQ897" t="s">
        <v>213</v>
      </c>
      <c r="BR897" s="45">
        <f>ISNUMBER(SEARCH($BR$1,Таблица1[[#This Row],[31_1 Описание и характеристика товара]]))*1</f>
        <v>1</v>
      </c>
      <c r="BT897" t="s">
        <v>150</v>
      </c>
      <c r="BU897">
        <v>33</v>
      </c>
      <c r="BV897">
        <v>0</v>
      </c>
      <c r="BW897">
        <v>0</v>
      </c>
      <c r="BY897">
        <v>0</v>
      </c>
      <c r="CA897" t="s">
        <v>106</v>
      </c>
      <c r="CB897" t="s">
        <v>142</v>
      </c>
      <c r="CC897" t="s">
        <v>112</v>
      </c>
      <c r="CD897" t="s">
        <v>112</v>
      </c>
      <c r="CE897" t="s">
        <v>121</v>
      </c>
      <c r="CF897">
        <v>17278.349999999999</v>
      </c>
      <c r="CG897" t="s">
        <v>144</v>
      </c>
      <c r="CH897">
        <v>4000000</v>
      </c>
      <c r="CI897">
        <v>17213.55</v>
      </c>
      <c r="CJ897">
        <v>0</v>
      </c>
      <c r="CK897" t="s">
        <v>112</v>
      </c>
      <c r="CL897" t="s">
        <v>112</v>
      </c>
      <c r="CM897">
        <v>40107.72</v>
      </c>
      <c r="CN897">
        <v>3851123</v>
      </c>
      <c r="CO897">
        <v>0</v>
      </c>
      <c r="CP897">
        <v>1</v>
      </c>
      <c r="CQ897">
        <v>4247683.76</v>
      </c>
      <c r="CR897">
        <v>48059.199999999997</v>
      </c>
      <c r="CS897" t="s">
        <v>145</v>
      </c>
      <c r="CT897">
        <v>48025.804499999998</v>
      </c>
      <c r="CU897">
        <v>2.79</v>
      </c>
      <c r="CV897">
        <v>45</v>
      </c>
      <c r="CW897" t="s">
        <v>171</v>
      </c>
      <c r="CX897" t="s">
        <v>350</v>
      </c>
      <c r="CY897">
        <v>163</v>
      </c>
    </row>
    <row r="898" spans="1:103" x14ac:dyDescent="0.25">
      <c r="A898" t="s">
        <v>106</v>
      </c>
      <c r="B898" s="38">
        <v>45003</v>
      </c>
      <c r="C898" s="43">
        <f>IF(YEAR(Таблица1[[#This Row],[Дата]])=2023,MONTH(Таблица1[[#This Row],[Дата]]),0)</f>
        <v>3</v>
      </c>
      <c r="D898" t="s">
        <v>1403</v>
      </c>
      <c r="E898" t="s">
        <v>108</v>
      </c>
      <c r="F898" t="s">
        <v>1404</v>
      </c>
      <c r="G898" t="s">
        <v>3244</v>
      </c>
      <c r="H898" t="s">
        <v>111</v>
      </c>
      <c r="I898" t="s">
        <v>112</v>
      </c>
      <c r="J898" t="s">
        <v>112</v>
      </c>
      <c r="K898" t="s">
        <v>112</v>
      </c>
      <c r="L898" t="s">
        <v>150</v>
      </c>
      <c r="M898" t="s">
        <v>1405</v>
      </c>
      <c r="N898" t="s">
        <v>112</v>
      </c>
      <c r="O898" t="s">
        <v>112</v>
      </c>
      <c r="P898">
        <v>1</v>
      </c>
      <c r="Q898">
        <v>0</v>
      </c>
      <c r="R898">
        <v>1</v>
      </c>
      <c r="S898">
        <v>33</v>
      </c>
      <c r="T898" t="s">
        <v>166</v>
      </c>
      <c r="U898" t="s">
        <v>152</v>
      </c>
      <c r="V898" t="s">
        <v>153</v>
      </c>
      <c r="W898" t="s">
        <v>154</v>
      </c>
      <c r="X898" t="s">
        <v>119</v>
      </c>
      <c r="Y898" t="s">
        <v>112</v>
      </c>
      <c r="Z898" t="s">
        <v>166</v>
      </c>
      <c r="AA898" t="s">
        <v>152</v>
      </c>
      <c r="AB898" t="s">
        <v>153</v>
      </c>
      <c r="AC898" t="s">
        <v>154</v>
      </c>
      <c r="AD898" t="s">
        <v>119</v>
      </c>
      <c r="AE898" t="s">
        <v>112</v>
      </c>
      <c r="AF898" t="s">
        <v>121</v>
      </c>
      <c r="AG898" t="s">
        <v>122</v>
      </c>
      <c r="AH898">
        <v>4375620.1399999997</v>
      </c>
      <c r="AI898" t="s">
        <v>166</v>
      </c>
      <c r="AJ898" t="s">
        <v>152</v>
      </c>
      <c r="AK898" t="s">
        <v>153</v>
      </c>
      <c r="AL898" t="s">
        <v>154</v>
      </c>
      <c r="AM898" t="s">
        <v>119</v>
      </c>
      <c r="AN898" t="s">
        <v>112</v>
      </c>
      <c r="AO898" t="s">
        <v>121</v>
      </c>
      <c r="AP898" t="s">
        <v>122</v>
      </c>
      <c r="AQ898" t="s">
        <v>122</v>
      </c>
      <c r="AR898" t="s">
        <v>124</v>
      </c>
      <c r="AS898" t="s">
        <v>125</v>
      </c>
      <c r="AT898">
        <v>2</v>
      </c>
      <c r="AU898" t="s">
        <v>126</v>
      </c>
      <c r="AV898" t="s">
        <v>155</v>
      </c>
      <c r="AW898" t="s">
        <v>156</v>
      </c>
      <c r="AX898">
        <v>1</v>
      </c>
      <c r="AY898" t="s">
        <v>129</v>
      </c>
      <c r="AZ898">
        <v>40920.120000000003</v>
      </c>
      <c r="BA898">
        <v>3929129</v>
      </c>
      <c r="BB898">
        <v>49506.7</v>
      </c>
      <c r="BC898">
        <v>96.019499999999994</v>
      </c>
      <c r="BD898" t="s">
        <v>130</v>
      </c>
      <c r="BE898" t="s">
        <v>112</v>
      </c>
      <c r="BF898" t="s">
        <v>157</v>
      </c>
      <c r="BG898" t="s">
        <v>133</v>
      </c>
      <c r="BH898" t="s">
        <v>134</v>
      </c>
      <c r="BI898" t="s">
        <v>112</v>
      </c>
      <c r="BJ898" t="s">
        <v>112</v>
      </c>
      <c r="BK898" t="s">
        <v>112</v>
      </c>
      <c r="BL898" t="s">
        <v>169</v>
      </c>
      <c r="BM898" t="s">
        <v>159</v>
      </c>
      <c r="BN898" t="s">
        <v>722</v>
      </c>
      <c r="BO898" t="s">
        <v>161</v>
      </c>
      <c r="BP898">
        <v>1</v>
      </c>
      <c r="BQ898" t="s">
        <v>232</v>
      </c>
      <c r="BR898" s="45">
        <f>ISNUMBER(SEARCH($BR$1,Таблица1[[#This Row],[31_1 Описание и характеристика товара]]))*1</f>
        <v>1</v>
      </c>
      <c r="BT898" t="s">
        <v>150</v>
      </c>
      <c r="BU898">
        <v>33</v>
      </c>
      <c r="BV898">
        <v>0</v>
      </c>
      <c r="BW898">
        <v>0</v>
      </c>
      <c r="BY898">
        <v>0</v>
      </c>
      <c r="CA898" t="s">
        <v>106</v>
      </c>
      <c r="CB898" t="s">
        <v>142</v>
      </c>
      <c r="CC898" t="s">
        <v>112</v>
      </c>
      <c r="CD898" t="s">
        <v>112</v>
      </c>
      <c r="CE898" t="s">
        <v>121</v>
      </c>
      <c r="CF898">
        <v>15928.6</v>
      </c>
      <c r="CG898" t="s">
        <v>144</v>
      </c>
      <c r="CH898">
        <v>4000000</v>
      </c>
      <c r="CI898">
        <v>15723.4</v>
      </c>
      <c r="CJ898">
        <v>0</v>
      </c>
      <c r="CK898" t="s">
        <v>112</v>
      </c>
      <c r="CL898" t="s">
        <v>112</v>
      </c>
      <c r="CM898">
        <v>40920.120000000003</v>
      </c>
      <c r="CN898">
        <v>3929129</v>
      </c>
      <c r="CO898">
        <v>0</v>
      </c>
      <c r="CP898">
        <v>1</v>
      </c>
      <c r="CQ898">
        <v>4375620.1399999997</v>
      </c>
      <c r="CR898">
        <v>49506.7</v>
      </c>
      <c r="CS898" t="s">
        <v>145</v>
      </c>
      <c r="CT898">
        <v>49528.71</v>
      </c>
      <c r="CU898">
        <v>3.15</v>
      </c>
      <c r="CV898">
        <v>45</v>
      </c>
      <c r="CW898" t="s">
        <v>171</v>
      </c>
      <c r="CX898" t="s">
        <v>372</v>
      </c>
      <c r="CY898">
        <v>117</v>
      </c>
    </row>
    <row r="899" spans="1:103" x14ac:dyDescent="0.25">
      <c r="A899" t="s">
        <v>106</v>
      </c>
      <c r="B899" s="38">
        <v>45059</v>
      </c>
      <c r="C899" s="43">
        <f>IF(YEAR(Таблица1[[#This Row],[Дата]])=2023,MONTH(Таблица1[[#This Row],[Дата]]),0)</f>
        <v>5</v>
      </c>
      <c r="D899" t="s">
        <v>1414</v>
      </c>
      <c r="E899" t="s">
        <v>108</v>
      </c>
      <c r="F899" t="s">
        <v>1415</v>
      </c>
      <c r="G899" t="s">
        <v>3244</v>
      </c>
      <c r="H899" t="s">
        <v>111</v>
      </c>
      <c r="I899" t="s">
        <v>112</v>
      </c>
      <c r="J899" t="s">
        <v>112</v>
      </c>
      <c r="K899" t="s">
        <v>112</v>
      </c>
      <c r="L899" t="s">
        <v>150</v>
      </c>
      <c r="M899" t="s">
        <v>1405</v>
      </c>
      <c r="N899" t="s">
        <v>112</v>
      </c>
      <c r="O899" t="s">
        <v>112</v>
      </c>
      <c r="P899">
        <v>1</v>
      </c>
      <c r="Q899">
        <v>0</v>
      </c>
      <c r="R899">
        <v>1</v>
      </c>
      <c r="S899">
        <v>33</v>
      </c>
      <c r="T899" t="s">
        <v>166</v>
      </c>
      <c r="U899" t="s">
        <v>152</v>
      </c>
      <c r="V899" t="s">
        <v>153</v>
      </c>
      <c r="W899" t="s">
        <v>154</v>
      </c>
      <c r="X899" t="s">
        <v>119</v>
      </c>
      <c r="Y899" t="s">
        <v>112</v>
      </c>
      <c r="Z899" t="s">
        <v>166</v>
      </c>
      <c r="AA899" t="s">
        <v>152</v>
      </c>
      <c r="AB899" t="s">
        <v>153</v>
      </c>
      <c r="AC899" t="s">
        <v>154</v>
      </c>
      <c r="AD899" t="s">
        <v>119</v>
      </c>
      <c r="AE899" t="s">
        <v>112</v>
      </c>
      <c r="AF899" t="s">
        <v>121</v>
      </c>
      <c r="AG899" t="s">
        <v>122</v>
      </c>
      <c r="AH899">
        <v>4642170.2699999996</v>
      </c>
      <c r="AI899" t="s">
        <v>166</v>
      </c>
      <c r="AJ899" t="s">
        <v>152</v>
      </c>
      <c r="AK899" t="s">
        <v>153</v>
      </c>
      <c r="AL899" t="s">
        <v>154</v>
      </c>
      <c r="AM899" t="s">
        <v>119</v>
      </c>
      <c r="AN899" t="s">
        <v>112</v>
      </c>
      <c r="AO899" t="s">
        <v>121</v>
      </c>
      <c r="AP899" t="s">
        <v>122</v>
      </c>
      <c r="AQ899" t="s">
        <v>122</v>
      </c>
      <c r="AR899" t="s">
        <v>124</v>
      </c>
      <c r="AS899" t="s">
        <v>125</v>
      </c>
      <c r="AT899">
        <v>2</v>
      </c>
      <c r="AU899" t="s">
        <v>126</v>
      </c>
      <c r="AV899" t="s">
        <v>155</v>
      </c>
      <c r="AW899" t="s">
        <v>156</v>
      </c>
      <c r="AX899">
        <v>1</v>
      </c>
      <c r="AY899" t="s">
        <v>129</v>
      </c>
      <c r="AZ899">
        <v>44216.12</v>
      </c>
      <c r="BA899">
        <v>4245610</v>
      </c>
      <c r="BB899">
        <v>52522.51</v>
      </c>
      <c r="BC899">
        <v>96.019499999999994</v>
      </c>
      <c r="BD899" t="s">
        <v>130</v>
      </c>
      <c r="BE899" t="s">
        <v>112</v>
      </c>
      <c r="BF899" t="s">
        <v>157</v>
      </c>
      <c r="BG899" t="s">
        <v>133</v>
      </c>
      <c r="BH899" t="s">
        <v>134</v>
      </c>
      <c r="BI899" t="s">
        <v>112</v>
      </c>
      <c r="BJ899" t="s">
        <v>112</v>
      </c>
      <c r="BK899" t="s">
        <v>112</v>
      </c>
      <c r="BL899" t="s">
        <v>169</v>
      </c>
      <c r="BM899" t="s">
        <v>159</v>
      </c>
      <c r="BN899" t="s">
        <v>722</v>
      </c>
      <c r="BO899" t="s">
        <v>161</v>
      </c>
      <c r="BP899">
        <v>1</v>
      </c>
      <c r="BQ899" t="s">
        <v>232</v>
      </c>
      <c r="BR899" s="45">
        <f>ISNUMBER(SEARCH($BR$1,Таблица1[[#This Row],[31_1 Описание и характеристика товара]]))*1</f>
        <v>1</v>
      </c>
      <c r="BT899" t="s">
        <v>150</v>
      </c>
      <c r="BU899">
        <v>33</v>
      </c>
      <c r="BV899">
        <v>0</v>
      </c>
      <c r="BW899">
        <v>0</v>
      </c>
      <c r="BY899">
        <v>0</v>
      </c>
      <c r="CA899" t="s">
        <v>106</v>
      </c>
      <c r="CB899" t="s">
        <v>142</v>
      </c>
      <c r="CC899" t="s">
        <v>112</v>
      </c>
      <c r="CD899" t="s">
        <v>112</v>
      </c>
      <c r="CE899" t="s">
        <v>121</v>
      </c>
      <c r="CF899">
        <v>15715.68</v>
      </c>
      <c r="CG899" t="s">
        <v>144</v>
      </c>
      <c r="CH899">
        <v>4000000</v>
      </c>
      <c r="CI899">
        <v>15460.68</v>
      </c>
      <c r="CJ899">
        <v>0</v>
      </c>
      <c r="CK899" t="s">
        <v>112</v>
      </c>
      <c r="CL899" t="s">
        <v>112</v>
      </c>
      <c r="CM899">
        <v>44216.12</v>
      </c>
      <c r="CN899">
        <v>4245610</v>
      </c>
      <c r="CO899">
        <v>0</v>
      </c>
      <c r="CP899">
        <v>1</v>
      </c>
      <c r="CQ899">
        <v>4642170.2699999996</v>
      </c>
      <c r="CR899">
        <v>52522.51</v>
      </c>
      <c r="CS899" t="s">
        <v>145</v>
      </c>
      <c r="CT899">
        <v>52566.311999999998</v>
      </c>
      <c r="CU899">
        <v>3.4</v>
      </c>
      <c r="CV899">
        <v>45</v>
      </c>
      <c r="CW899" t="s">
        <v>171</v>
      </c>
      <c r="CX899" t="s">
        <v>463</v>
      </c>
      <c r="CY899">
        <v>583</v>
      </c>
    </row>
    <row r="900" spans="1:103" x14ac:dyDescent="0.25">
      <c r="A900" t="s">
        <v>106</v>
      </c>
      <c r="B900" s="38">
        <v>44991</v>
      </c>
      <c r="C900" s="43">
        <f>IF(YEAR(Таблица1[[#This Row],[Дата]])=2023,MONTH(Таблица1[[#This Row],[Дата]]),0)</f>
        <v>3</v>
      </c>
      <c r="D900" t="s">
        <v>1410</v>
      </c>
      <c r="E900" t="s">
        <v>108</v>
      </c>
      <c r="F900" t="s">
        <v>1411</v>
      </c>
      <c r="G900" t="s">
        <v>3244</v>
      </c>
      <c r="H900" t="s">
        <v>111</v>
      </c>
      <c r="I900" t="s">
        <v>112</v>
      </c>
      <c r="J900" t="s">
        <v>112</v>
      </c>
      <c r="K900" t="s">
        <v>112</v>
      </c>
      <c r="L900" t="s">
        <v>150</v>
      </c>
      <c r="M900" t="s">
        <v>1405</v>
      </c>
      <c r="N900" t="s">
        <v>112</v>
      </c>
      <c r="O900" t="s">
        <v>112</v>
      </c>
      <c r="P900">
        <v>1</v>
      </c>
      <c r="Q900">
        <v>0</v>
      </c>
      <c r="R900">
        <v>1</v>
      </c>
      <c r="S900">
        <v>33</v>
      </c>
      <c r="T900" t="s">
        <v>166</v>
      </c>
      <c r="U900" t="s">
        <v>152</v>
      </c>
      <c r="V900" t="s">
        <v>153</v>
      </c>
      <c r="W900" t="s">
        <v>154</v>
      </c>
      <c r="X900" t="s">
        <v>119</v>
      </c>
      <c r="Y900" t="s">
        <v>112</v>
      </c>
      <c r="Z900" t="s">
        <v>166</v>
      </c>
      <c r="AA900" t="s">
        <v>152</v>
      </c>
      <c r="AB900" t="s">
        <v>153</v>
      </c>
      <c r="AC900" t="s">
        <v>154</v>
      </c>
      <c r="AD900" t="s">
        <v>119</v>
      </c>
      <c r="AE900" t="s">
        <v>112</v>
      </c>
      <c r="AF900" t="s">
        <v>121</v>
      </c>
      <c r="AG900" t="s">
        <v>122</v>
      </c>
      <c r="AH900">
        <v>4744573.1500000004</v>
      </c>
      <c r="AI900" t="s">
        <v>166</v>
      </c>
      <c r="AJ900" t="s">
        <v>152</v>
      </c>
      <c r="AK900" t="s">
        <v>153</v>
      </c>
      <c r="AL900" t="s">
        <v>154</v>
      </c>
      <c r="AM900" t="s">
        <v>119</v>
      </c>
      <c r="AN900" t="s">
        <v>112</v>
      </c>
      <c r="AO900" t="s">
        <v>121</v>
      </c>
      <c r="AP900" t="s">
        <v>122</v>
      </c>
      <c r="AQ900" t="s">
        <v>122</v>
      </c>
      <c r="AR900" t="s">
        <v>124</v>
      </c>
      <c r="AS900" t="s">
        <v>125</v>
      </c>
      <c r="AT900">
        <v>2</v>
      </c>
      <c r="AU900" t="s">
        <v>126</v>
      </c>
      <c r="AV900" t="s">
        <v>155</v>
      </c>
      <c r="AW900" t="s">
        <v>156</v>
      </c>
      <c r="AX900">
        <v>1</v>
      </c>
      <c r="AY900" t="s">
        <v>129</v>
      </c>
      <c r="AZ900">
        <v>45282.6</v>
      </c>
      <c r="BA900">
        <v>4348013</v>
      </c>
      <c r="BB900">
        <v>53681.120000000003</v>
      </c>
      <c r="BC900">
        <v>96.019499999999994</v>
      </c>
      <c r="BD900" t="s">
        <v>130</v>
      </c>
      <c r="BE900" t="s">
        <v>112</v>
      </c>
      <c r="BF900" t="s">
        <v>157</v>
      </c>
      <c r="BG900" t="s">
        <v>133</v>
      </c>
      <c r="BH900" t="s">
        <v>167</v>
      </c>
      <c r="BI900" t="s">
        <v>168</v>
      </c>
      <c r="BJ900" t="s">
        <v>112</v>
      </c>
      <c r="BK900" t="s">
        <v>112</v>
      </c>
      <c r="BL900" t="s">
        <v>169</v>
      </c>
      <c r="BM900" t="s">
        <v>159</v>
      </c>
      <c r="BN900" t="s">
        <v>726</v>
      </c>
      <c r="BO900" t="s">
        <v>161</v>
      </c>
      <c r="BP900">
        <v>1</v>
      </c>
      <c r="BQ900" t="s">
        <v>1967</v>
      </c>
      <c r="BR900" s="45">
        <f>ISNUMBER(SEARCH($BR$1,Таблица1[[#This Row],[31_1 Описание и характеристика товара]]))*1</f>
        <v>1</v>
      </c>
      <c r="BT900" t="s">
        <v>150</v>
      </c>
      <c r="BU900">
        <v>33</v>
      </c>
      <c r="BV900">
        <v>0</v>
      </c>
      <c r="BW900">
        <v>0</v>
      </c>
      <c r="BY900">
        <v>0</v>
      </c>
      <c r="CA900" t="s">
        <v>106</v>
      </c>
      <c r="CB900" t="s">
        <v>142</v>
      </c>
      <c r="CC900" t="s">
        <v>112</v>
      </c>
      <c r="CD900" t="s">
        <v>112</v>
      </c>
      <c r="CE900" t="s">
        <v>121</v>
      </c>
      <c r="CF900">
        <v>16164.72</v>
      </c>
      <c r="CG900" t="s">
        <v>144</v>
      </c>
      <c r="CH900">
        <v>4000000</v>
      </c>
      <c r="CI900">
        <v>16164.72</v>
      </c>
      <c r="CJ900">
        <v>0</v>
      </c>
      <c r="CK900" t="s">
        <v>112</v>
      </c>
      <c r="CL900" t="s">
        <v>112</v>
      </c>
      <c r="CM900">
        <v>45282.6</v>
      </c>
      <c r="CN900">
        <v>4348013</v>
      </c>
      <c r="CO900">
        <v>0</v>
      </c>
      <c r="CP900">
        <v>1</v>
      </c>
      <c r="CQ900">
        <v>4744573.1500000004</v>
      </c>
      <c r="CR900">
        <v>53681.120000000003</v>
      </c>
      <c r="CS900" t="s">
        <v>145</v>
      </c>
      <c r="CT900">
        <v>53666.870399999993</v>
      </c>
      <c r="CU900">
        <v>3.32</v>
      </c>
      <c r="CV900">
        <v>45</v>
      </c>
      <c r="CW900" t="s">
        <v>171</v>
      </c>
      <c r="CX900" t="s">
        <v>350</v>
      </c>
      <c r="CY900">
        <v>301</v>
      </c>
    </row>
    <row r="901" spans="1:103" x14ac:dyDescent="0.25">
      <c r="A901" t="s">
        <v>106</v>
      </c>
      <c r="B901" s="38">
        <v>45060</v>
      </c>
      <c r="C901" s="43">
        <f>IF(YEAR(Таблица1[[#This Row],[Дата]])=2023,MONTH(Таблица1[[#This Row],[Дата]]),0)</f>
        <v>5</v>
      </c>
      <c r="D901" t="s">
        <v>1412</v>
      </c>
      <c r="E901" t="s">
        <v>108</v>
      </c>
      <c r="F901" t="s">
        <v>1413</v>
      </c>
      <c r="G901" t="s">
        <v>3244</v>
      </c>
      <c r="H901" t="s">
        <v>111</v>
      </c>
      <c r="I901" t="s">
        <v>112</v>
      </c>
      <c r="J901" t="s">
        <v>112</v>
      </c>
      <c r="K901" t="s">
        <v>112</v>
      </c>
      <c r="L901" t="s">
        <v>150</v>
      </c>
      <c r="M901" t="s">
        <v>1405</v>
      </c>
      <c r="N901" t="s">
        <v>112</v>
      </c>
      <c r="O901" t="s">
        <v>112</v>
      </c>
      <c r="P901">
        <v>1</v>
      </c>
      <c r="Q901">
        <v>0</v>
      </c>
      <c r="R901">
        <v>1</v>
      </c>
      <c r="S901">
        <v>33</v>
      </c>
      <c r="T901" t="s">
        <v>166</v>
      </c>
      <c r="U901" t="s">
        <v>152</v>
      </c>
      <c r="V901" t="s">
        <v>153</v>
      </c>
      <c r="W901" t="s">
        <v>154</v>
      </c>
      <c r="X901" t="s">
        <v>119</v>
      </c>
      <c r="Y901" t="s">
        <v>112</v>
      </c>
      <c r="Z901" t="s">
        <v>166</v>
      </c>
      <c r="AA901" t="s">
        <v>152</v>
      </c>
      <c r="AB901" t="s">
        <v>153</v>
      </c>
      <c r="AC901" t="s">
        <v>154</v>
      </c>
      <c r="AD901" t="s">
        <v>119</v>
      </c>
      <c r="AE901" t="s">
        <v>112</v>
      </c>
      <c r="AF901" t="s">
        <v>121</v>
      </c>
      <c r="AG901" t="s">
        <v>122</v>
      </c>
      <c r="AH901">
        <v>4603524.3499999996</v>
      </c>
      <c r="AI901" t="s">
        <v>166</v>
      </c>
      <c r="AJ901" t="s">
        <v>152</v>
      </c>
      <c r="AK901" t="s">
        <v>153</v>
      </c>
      <c r="AL901" t="s">
        <v>154</v>
      </c>
      <c r="AM901" t="s">
        <v>119</v>
      </c>
      <c r="AN901" t="s">
        <v>112</v>
      </c>
      <c r="AO901" t="s">
        <v>121</v>
      </c>
      <c r="AP901" t="s">
        <v>122</v>
      </c>
      <c r="AQ901" t="s">
        <v>122</v>
      </c>
      <c r="AR901" t="s">
        <v>124</v>
      </c>
      <c r="AS901" t="s">
        <v>125</v>
      </c>
      <c r="AT901">
        <v>2</v>
      </c>
      <c r="AU901" t="s">
        <v>126</v>
      </c>
      <c r="AV901" t="s">
        <v>155</v>
      </c>
      <c r="AW901" t="s">
        <v>156</v>
      </c>
      <c r="AX901">
        <v>1</v>
      </c>
      <c r="AY901" t="s">
        <v>129</v>
      </c>
      <c r="AZ901">
        <v>43293.64</v>
      </c>
      <c r="BA901">
        <v>4157034</v>
      </c>
      <c r="BB901">
        <v>52085.26</v>
      </c>
      <c r="BC901">
        <v>96.019499999999994</v>
      </c>
      <c r="BD901" t="s">
        <v>130</v>
      </c>
      <c r="BE901" t="s">
        <v>112</v>
      </c>
      <c r="BF901" t="s">
        <v>157</v>
      </c>
      <c r="BG901" t="s">
        <v>133</v>
      </c>
      <c r="BH901" t="s">
        <v>167</v>
      </c>
      <c r="BI901" t="s">
        <v>168</v>
      </c>
      <c r="BJ901" t="s">
        <v>112</v>
      </c>
      <c r="BK901" t="s">
        <v>112</v>
      </c>
      <c r="BL901" t="s">
        <v>169</v>
      </c>
      <c r="BM901" t="s">
        <v>159</v>
      </c>
      <c r="BN901" t="s">
        <v>726</v>
      </c>
      <c r="BO901" t="s">
        <v>161</v>
      </c>
      <c r="BP901">
        <v>1</v>
      </c>
      <c r="BQ901" t="s">
        <v>653</v>
      </c>
      <c r="BR901" s="45">
        <f>ISNUMBER(SEARCH($BR$1,Таблица1[[#This Row],[31_1 Описание и характеристика товара]]))*1</f>
        <v>1</v>
      </c>
      <c r="BT901" t="s">
        <v>150</v>
      </c>
      <c r="BU901">
        <v>33</v>
      </c>
      <c r="BV901">
        <v>0</v>
      </c>
      <c r="BW901">
        <v>0</v>
      </c>
      <c r="BY901">
        <v>0</v>
      </c>
      <c r="CA901" t="s">
        <v>106</v>
      </c>
      <c r="CB901" t="s">
        <v>142</v>
      </c>
      <c r="CC901" t="s">
        <v>112</v>
      </c>
      <c r="CD901" t="s">
        <v>112</v>
      </c>
      <c r="CE901" t="s">
        <v>121</v>
      </c>
      <c r="CF901">
        <v>16694.16</v>
      </c>
      <c r="CG901" t="s">
        <v>144</v>
      </c>
      <c r="CH901">
        <v>4000000</v>
      </c>
      <c r="CI901">
        <v>16650.96</v>
      </c>
      <c r="CJ901">
        <v>0</v>
      </c>
      <c r="CK901" t="s">
        <v>112</v>
      </c>
      <c r="CL901" t="s">
        <v>112</v>
      </c>
      <c r="CM901">
        <v>43293.64</v>
      </c>
      <c r="CN901">
        <v>4157034</v>
      </c>
      <c r="CO901">
        <v>0</v>
      </c>
      <c r="CP901">
        <v>1</v>
      </c>
      <c r="CQ901">
        <v>4603524.3499999996</v>
      </c>
      <c r="CR901">
        <v>52085.26</v>
      </c>
      <c r="CS901" t="s">
        <v>145</v>
      </c>
      <c r="CT901">
        <v>52117.504799999995</v>
      </c>
      <c r="CU901">
        <v>3.13</v>
      </c>
      <c r="CV901">
        <v>45</v>
      </c>
      <c r="CW901" t="s">
        <v>171</v>
      </c>
      <c r="CX901" t="s">
        <v>372</v>
      </c>
      <c r="CY901">
        <v>301</v>
      </c>
    </row>
    <row r="902" spans="1:103" x14ac:dyDescent="0.25">
      <c r="A902" t="s">
        <v>106</v>
      </c>
      <c r="B902" s="38">
        <v>44999</v>
      </c>
      <c r="C902" s="43">
        <f>IF(YEAR(Таблица1[[#This Row],[Дата]])=2023,MONTH(Таблица1[[#This Row],[Дата]]),0)</f>
        <v>3</v>
      </c>
      <c r="D902" t="s">
        <v>1119</v>
      </c>
      <c r="E902" t="s">
        <v>108</v>
      </c>
      <c r="F902" t="s">
        <v>1120</v>
      </c>
      <c r="G902" t="s">
        <v>3244</v>
      </c>
      <c r="H902" t="s">
        <v>111</v>
      </c>
      <c r="I902" t="s">
        <v>112</v>
      </c>
      <c r="J902" t="s">
        <v>112</v>
      </c>
      <c r="K902" t="s">
        <v>112</v>
      </c>
      <c r="L902" t="s">
        <v>150</v>
      </c>
      <c r="M902" t="s">
        <v>1103</v>
      </c>
      <c r="N902" t="s">
        <v>112</v>
      </c>
      <c r="O902" t="s">
        <v>112</v>
      </c>
      <c r="P902">
        <v>1</v>
      </c>
      <c r="Q902">
        <v>0</v>
      </c>
      <c r="R902">
        <v>1</v>
      </c>
      <c r="S902">
        <v>33</v>
      </c>
      <c r="T902" t="s">
        <v>166</v>
      </c>
      <c r="U902" t="s">
        <v>152</v>
      </c>
      <c r="V902" t="s">
        <v>153</v>
      </c>
      <c r="W902" t="s">
        <v>154</v>
      </c>
      <c r="X902" t="s">
        <v>119</v>
      </c>
      <c r="Y902" t="s">
        <v>112</v>
      </c>
      <c r="Z902" t="s">
        <v>166</v>
      </c>
      <c r="AA902" t="s">
        <v>152</v>
      </c>
      <c r="AB902" t="s">
        <v>153</v>
      </c>
      <c r="AC902" t="s">
        <v>154</v>
      </c>
      <c r="AD902" t="s">
        <v>119</v>
      </c>
      <c r="AE902" t="s">
        <v>112</v>
      </c>
      <c r="AF902" t="s">
        <v>121</v>
      </c>
      <c r="AG902" t="s">
        <v>122</v>
      </c>
      <c r="AH902">
        <v>4044460.94</v>
      </c>
      <c r="AI902" t="s">
        <v>166</v>
      </c>
      <c r="AJ902" t="s">
        <v>152</v>
      </c>
      <c r="AK902" t="s">
        <v>153</v>
      </c>
      <c r="AL902" t="s">
        <v>154</v>
      </c>
      <c r="AM902" t="s">
        <v>119</v>
      </c>
      <c r="AN902" t="s">
        <v>112</v>
      </c>
      <c r="AO902" t="s">
        <v>121</v>
      </c>
      <c r="AP902" t="s">
        <v>122</v>
      </c>
      <c r="AQ902" t="s">
        <v>122</v>
      </c>
      <c r="AR902" t="s">
        <v>124</v>
      </c>
      <c r="AS902" t="s">
        <v>125</v>
      </c>
      <c r="AT902">
        <v>2</v>
      </c>
      <c r="AU902" t="s">
        <v>126</v>
      </c>
      <c r="AV902" t="s">
        <v>155</v>
      </c>
      <c r="AW902" t="s">
        <v>156</v>
      </c>
      <c r="AX902">
        <v>1</v>
      </c>
      <c r="AY902" t="s">
        <v>129</v>
      </c>
      <c r="AZ902">
        <v>41790.36</v>
      </c>
      <c r="BA902">
        <v>3663159</v>
      </c>
      <c r="BB902">
        <v>50580.480000000003</v>
      </c>
      <c r="BC902">
        <v>87.655600000000007</v>
      </c>
      <c r="BD902" t="s">
        <v>130</v>
      </c>
      <c r="BE902" t="s">
        <v>112</v>
      </c>
      <c r="BF902" t="s">
        <v>157</v>
      </c>
      <c r="BG902" t="s">
        <v>133</v>
      </c>
      <c r="BH902" t="s">
        <v>134</v>
      </c>
      <c r="BI902" t="s">
        <v>112</v>
      </c>
      <c r="BJ902" t="s">
        <v>112</v>
      </c>
      <c r="BK902" t="s">
        <v>112</v>
      </c>
      <c r="BL902" t="s">
        <v>169</v>
      </c>
      <c r="BM902" t="s">
        <v>159</v>
      </c>
      <c r="BN902" t="s">
        <v>722</v>
      </c>
      <c r="BO902" t="s">
        <v>161</v>
      </c>
      <c r="BP902">
        <v>1</v>
      </c>
      <c r="BQ902" t="s">
        <v>1121</v>
      </c>
      <c r="BR902" s="45">
        <f>ISNUMBER(SEARCH($BR$1,Таблица1[[#This Row],[31_1 Описание и характеристика товара]]))*1</f>
        <v>1</v>
      </c>
      <c r="BT902" t="s">
        <v>150</v>
      </c>
      <c r="BU902">
        <v>33</v>
      </c>
      <c r="BV902">
        <v>0</v>
      </c>
      <c r="BW902">
        <v>0</v>
      </c>
      <c r="BY902">
        <v>0</v>
      </c>
      <c r="CA902" t="s">
        <v>106</v>
      </c>
      <c r="CB902" t="s">
        <v>142</v>
      </c>
      <c r="CC902" t="s">
        <v>112</v>
      </c>
      <c r="CD902" t="s">
        <v>112</v>
      </c>
      <c r="CE902" t="s">
        <v>121</v>
      </c>
      <c r="CF902">
        <v>17246.39</v>
      </c>
      <c r="CG902" t="s">
        <v>144</v>
      </c>
      <c r="CH902">
        <v>4000000</v>
      </c>
      <c r="CI902">
        <v>17246.39</v>
      </c>
      <c r="CJ902">
        <v>0</v>
      </c>
      <c r="CK902" t="s">
        <v>112</v>
      </c>
      <c r="CL902" t="s">
        <v>112</v>
      </c>
      <c r="CM902">
        <v>41790.36</v>
      </c>
      <c r="CN902">
        <v>3663159</v>
      </c>
      <c r="CO902">
        <v>0</v>
      </c>
      <c r="CP902">
        <v>1</v>
      </c>
      <c r="CQ902">
        <v>4044460.94</v>
      </c>
      <c r="CR902">
        <v>50580.480000000003</v>
      </c>
      <c r="CS902" t="s">
        <v>145</v>
      </c>
      <c r="CT902">
        <v>50580.212591999996</v>
      </c>
      <c r="CU902">
        <v>2.9327999999999999</v>
      </c>
      <c r="CV902">
        <v>45</v>
      </c>
      <c r="CW902" t="s">
        <v>171</v>
      </c>
      <c r="CX902" t="s">
        <v>172</v>
      </c>
      <c r="CY902">
        <v>211</v>
      </c>
    </row>
    <row r="903" spans="1:103" x14ac:dyDescent="0.25">
      <c r="A903" t="s">
        <v>106</v>
      </c>
      <c r="B903" s="38">
        <v>45166</v>
      </c>
      <c r="C903" s="43">
        <f>IF(YEAR(Таблица1[[#This Row],[Дата]])=2023,MONTH(Таблица1[[#This Row],[Дата]]),0)</f>
        <v>8</v>
      </c>
      <c r="D903" t="s">
        <v>1117</v>
      </c>
      <c r="E903" t="s">
        <v>108</v>
      </c>
      <c r="F903" t="s">
        <v>1118</v>
      </c>
      <c r="G903" t="s">
        <v>3244</v>
      </c>
      <c r="H903" t="s">
        <v>111</v>
      </c>
      <c r="I903" t="s">
        <v>112</v>
      </c>
      <c r="J903" t="s">
        <v>112</v>
      </c>
      <c r="K903" t="s">
        <v>112</v>
      </c>
      <c r="L903" t="s">
        <v>150</v>
      </c>
      <c r="M903" t="s">
        <v>1103</v>
      </c>
      <c r="N903" t="s">
        <v>112</v>
      </c>
      <c r="O903" t="s">
        <v>112</v>
      </c>
      <c r="P903">
        <v>1</v>
      </c>
      <c r="Q903">
        <v>0</v>
      </c>
      <c r="R903">
        <v>1</v>
      </c>
      <c r="S903">
        <v>33</v>
      </c>
      <c r="T903" t="s">
        <v>166</v>
      </c>
      <c r="U903" t="s">
        <v>152</v>
      </c>
      <c r="V903" t="s">
        <v>153</v>
      </c>
      <c r="W903" t="s">
        <v>154</v>
      </c>
      <c r="X903" t="s">
        <v>119</v>
      </c>
      <c r="Y903" t="s">
        <v>112</v>
      </c>
      <c r="Z903" t="s">
        <v>166</v>
      </c>
      <c r="AA903" t="s">
        <v>152</v>
      </c>
      <c r="AB903" t="s">
        <v>153</v>
      </c>
      <c r="AC903" t="s">
        <v>154</v>
      </c>
      <c r="AD903" t="s">
        <v>119</v>
      </c>
      <c r="AE903" t="s">
        <v>112</v>
      </c>
      <c r="AF903" t="s">
        <v>121</v>
      </c>
      <c r="AG903" t="s">
        <v>122</v>
      </c>
      <c r="AH903">
        <v>4105381.58</v>
      </c>
      <c r="AI903" t="s">
        <v>166</v>
      </c>
      <c r="AJ903" t="s">
        <v>152</v>
      </c>
      <c r="AK903" t="s">
        <v>153</v>
      </c>
      <c r="AL903" t="s">
        <v>154</v>
      </c>
      <c r="AM903" t="s">
        <v>119</v>
      </c>
      <c r="AN903" t="s">
        <v>112</v>
      </c>
      <c r="AO903" t="s">
        <v>121</v>
      </c>
      <c r="AP903" t="s">
        <v>122</v>
      </c>
      <c r="AQ903" t="s">
        <v>122</v>
      </c>
      <c r="AR903" t="s">
        <v>124</v>
      </c>
      <c r="AS903" t="s">
        <v>125</v>
      </c>
      <c r="AT903">
        <v>2</v>
      </c>
      <c r="AU903" t="s">
        <v>126</v>
      </c>
      <c r="AV903" t="s">
        <v>155</v>
      </c>
      <c r="AW903" t="s">
        <v>156</v>
      </c>
      <c r="AX903">
        <v>1</v>
      </c>
      <c r="AY903" t="s">
        <v>129</v>
      </c>
      <c r="AZ903">
        <v>42485.36</v>
      </c>
      <c r="BA903">
        <v>3724080</v>
      </c>
      <c r="BB903">
        <v>51342.36</v>
      </c>
      <c r="BC903">
        <v>87.655600000000007</v>
      </c>
      <c r="BD903" t="s">
        <v>130</v>
      </c>
      <c r="BE903" t="s">
        <v>112</v>
      </c>
      <c r="BF903" t="s">
        <v>157</v>
      </c>
      <c r="BG903" t="s">
        <v>133</v>
      </c>
      <c r="BH903" t="s">
        <v>134</v>
      </c>
      <c r="BI903" t="s">
        <v>112</v>
      </c>
      <c r="BJ903" t="s">
        <v>112</v>
      </c>
      <c r="BK903" t="s">
        <v>112</v>
      </c>
      <c r="BL903" t="s">
        <v>169</v>
      </c>
      <c r="BM903" t="s">
        <v>159</v>
      </c>
      <c r="BN903" t="s">
        <v>722</v>
      </c>
      <c r="BO903" t="s">
        <v>161</v>
      </c>
      <c r="BP903">
        <v>1</v>
      </c>
      <c r="BQ903" t="s">
        <v>205</v>
      </c>
      <c r="BR903" s="45">
        <f>ISNUMBER(SEARCH($BR$1,Таблица1[[#This Row],[31_1 Описание и характеристика товара]]))*1</f>
        <v>1</v>
      </c>
      <c r="BT903" t="s">
        <v>150</v>
      </c>
      <c r="BU903">
        <v>33</v>
      </c>
      <c r="BV903">
        <v>0</v>
      </c>
      <c r="BW903">
        <v>0</v>
      </c>
      <c r="BY903">
        <v>0</v>
      </c>
      <c r="CA903" t="s">
        <v>106</v>
      </c>
      <c r="CB903" t="s">
        <v>142</v>
      </c>
      <c r="CC903" t="s">
        <v>112</v>
      </c>
      <c r="CD903" t="s">
        <v>112</v>
      </c>
      <c r="CE903" t="s">
        <v>121</v>
      </c>
      <c r="CF903">
        <v>17038.71</v>
      </c>
      <c r="CG903" t="s">
        <v>144</v>
      </c>
      <c r="CH903">
        <v>4000000</v>
      </c>
      <c r="CI903">
        <v>17038.71</v>
      </c>
      <c r="CJ903">
        <v>0</v>
      </c>
      <c r="CK903" t="s">
        <v>112</v>
      </c>
      <c r="CL903" t="s">
        <v>112</v>
      </c>
      <c r="CM903">
        <v>42485.36</v>
      </c>
      <c r="CN903">
        <v>3724080</v>
      </c>
      <c r="CO903">
        <v>0</v>
      </c>
      <c r="CP903">
        <v>1</v>
      </c>
      <c r="CQ903">
        <v>4105381.58</v>
      </c>
      <c r="CR903">
        <v>51342.36</v>
      </c>
      <c r="CS903" t="s">
        <v>145</v>
      </c>
      <c r="CT903">
        <v>51342.744843</v>
      </c>
      <c r="CU903">
        <v>3.0133000000000001</v>
      </c>
      <c r="CV903">
        <v>45</v>
      </c>
      <c r="CW903" t="s">
        <v>171</v>
      </c>
      <c r="CX903" t="s">
        <v>172</v>
      </c>
      <c r="CY903">
        <v>300</v>
      </c>
    </row>
    <row r="904" spans="1:103" x14ac:dyDescent="0.25">
      <c r="A904" t="s">
        <v>106</v>
      </c>
      <c r="B904" s="38">
        <v>45241</v>
      </c>
      <c r="C904" s="43">
        <f>IF(YEAR(Таблица1[[#This Row],[Дата]])=2023,MONTH(Таблица1[[#This Row],[Дата]]),0)</f>
        <v>11</v>
      </c>
      <c r="D904" t="s">
        <v>990</v>
      </c>
      <c r="E904" t="s">
        <v>108</v>
      </c>
      <c r="F904" t="s">
        <v>991</v>
      </c>
      <c r="G904" t="s">
        <v>3244</v>
      </c>
      <c r="H904" t="s">
        <v>111</v>
      </c>
      <c r="I904" t="s">
        <v>112</v>
      </c>
      <c r="J904" t="s">
        <v>112</v>
      </c>
      <c r="K904" t="s">
        <v>112</v>
      </c>
      <c r="L904" t="s">
        <v>150</v>
      </c>
      <c r="M904" t="s">
        <v>151</v>
      </c>
      <c r="N904" t="s">
        <v>112</v>
      </c>
      <c r="O904" t="s">
        <v>112</v>
      </c>
      <c r="P904">
        <v>1</v>
      </c>
      <c r="Q904">
        <v>0</v>
      </c>
      <c r="R904">
        <v>1</v>
      </c>
      <c r="S904">
        <v>33</v>
      </c>
      <c r="T904" t="s">
        <v>166</v>
      </c>
      <c r="U904" t="s">
        <v>152</v>
      </c>
      <c r="V904" t="s">
        <v>153</v>
      </c>
      <c r="W904" t="s">
        <v>154</v>
      </c>
      <c r="X904" t="s">
        <v>119</v>
      </c>
      <c r="Y904" t="s">
        <v>112</v>
      </c>
      <c r="Z904" t="s">
        <v>166</v>
      </c>
      <c r="AA904" t="s">
        <v>152</v>
      </c>
      <c r="AB904" t="s">
        <v>153</v>
      </c>
      <c r="AC904" t="s">
        <v>154</v>
      </c>
      <c r="AD904" t="s">
        <v>119</v>
      </c>
      <c r="AE904" t="s">
        <v>112</v>
      </c>
      <c r="AF904" t="s">
        <v>121</v>
      </c>
      <c r="AG904" t="s">
        <v>122</v>
      </c>
      <c r="AH904">
        <v>4417423.4800000004</v>
      </c>
      <c r="AI904" t="s">
        <v>166</v>
      </c>
      <c r="AJ904" t="s">
        <v>152</v>
      </c>
      <c r="AK904" t="s">
        <v>153</v>
      </c>
      <c r="AL904" t="s">
        <v>154</v>
      </c>
      <c r="AM904" t="s">
        <v>119</v>
      </c>
      <c r="AN904" t="s">
        <v>112</v>
      </c>
      <c r="AO904" t="s">
        <v>121</v>
      </c>
      <c r="AP904" t="s">
        <v>122</v>
      </c>
      <c r="AQ904" t="s">
        <v>122</v>
      </c>
      <c r="AR904" t="s">
        <v>124</v>
      </c>
      <c r="AS904" t="s">
        <v>125</v>
      </c>
      <c r="AT904">
        <v>2</v>
      </c>
      <c r="AU904" t="s">
        <v>126</v>
      </c>
      <c r="AV904" t="s">
        <v>155</v>
      </c>
      <c r="AW904" t="s">
        <v>156</v>
      </c>
      <c r="AX904">
        <v>1</v>
      </c>
      <c r="AY904" t="s">
        <v>129</v>
      </c>
      <c r="AZ904">
        <v>48168.6</v>
      </c>
      <c r="BA904">
        <v>4051538</v>
      </c>
      <c r="BB904">
        <v>57129.27</v>
      </c>
      <c r="BC904">
        <v>84.111599999999996</v>
      </c>
      <c r="BD904" t="s">
        <v>130</v>
      </c>
      <c r="BE904" t="s">
        <v>112</v>
      </c>
      <c r="BF904" t="s">
        <v>157</v>
      </c>
      <c r="BG904" t="s">
        <v>133</v>
      </c>
      <c r="BH904" t="s">
        <v>134</v>
      </c>
      <c r="BI904" t="s">
        <v>112</v>
      </c>
      <c r="BJ904" t="s">
        <v>112</v>
      </c>
      <c r="BK904" t="s">
        <v>112</v>
      </c>
      <c r="BL904" t="s">
        <v>169</v>
      </c>
      <c r="BM904" t="s">
        <v>159</v>
      </c>
      <c r="BN904" t="s">
        <v>722</v>
      </c>
      <c r="BO904" t="s">
        <v>161</v>
      </c>
      <c r="BP904">
        <v>1</v>
      </c>
      <c r="BQ904" t="s">
        <v>162</v>
      </c>
      <c r="BR904" s="45">
        <f>ISNUMBER(SEARCH($BR$1,Таблица1[[#This Row],[31_1 Описание и характеристика товара]]))*1</f>
        <v>1</v>
      </c>
      <c r="BT904" t="s">
        <v>150</v>
      </c>
      <c r="BU904">
        <v>33</v>
      </c>
      <c r="BV904">
        <v>0</v>
      </c>
      <c r="BW904">
        <v>0</v>
      </c>
      <c r="BY904">
        <v>0</v>
      </c>
      <c r="CA904" t="s">
        <v>106</v>
      </c>
      <c r="CB904" t="s">
        <v>142</v>
      </c>
      <c r="CC904" t="s">
        <v>112</v>
      </c>
      <c r="CD904" t="s">
        <v>112</v>
      </c>
      <c r="CE904" t="s">
        <v>121</v>
      </c>
      <c r="CF904">
        <v>16783.32</v>
      </c>
      <c r="CG904" t="s">
        <v>144</v>
      </c>
      <c r="CH904">
        <v>4000000</v>
      </c>
      <c r="CI904">
        <v>16783.32</v>
      </c>
      <c r="CJ904">
        <v>0</v>
      </c>
      <c r="CK904" t="s">
        <v>112</v>
      </c>
      <c r="CL904" t="s">
        <v>112</v>
      </c>
      <c r="CM904">
        <v>48168.6</v>
      </c>
      <c r="CN904">
        <v>4051538</v>
      </c>
      <c r="CO904">
        <v>0</v>
      </c>
      <c r="CP904">
        <v>1</v>
      </c>
      <c r="CQ904">
        <v>4417423.4800000004</v>
      </c>
      <c r="CR904">
        <v>57129.27</v>
      </c>
      <c r="CS904" t="s">
        <v>145</v>
      </c>
      <c r="CT904">
        <v>57128.742947999999</v>
      </c>
      <c r="CU904">
        <v>3.4039000000000001</v>
      </c>
      <c r="CV904">
        <v>45</v>
      </c>
      <c r="CW904" t="s">
        <v>171</v>
      </c>
      <c r="CX904" t="s">
        <v>372</v>
      </c>
      <c r="CY904">
        <v>9</v>
      </c>
    </row>
    <row r="905" spans="1:103" x14ac:dyDescent="0.25">
      <c r="A905" t="s">
        <v>106</v>
      </c>
      <c r="B905" s="38">
        <v>44951</v>
      </c>
      <c r="C905" s="43">
        <f>IF(YEAR(Таблица1[[#This Row],[Дата]])=2023,MONTH(Таблица1[[#This Row],[Дата]]),0)</f>
        <v>1</v>
      </c>
      <c r="D905" t="s">
        <v>988</v>
      </c>
      <c r="E905" t="s">
        <v>108</v>
      </c>
      <c r="F905" t="s">
        <v>989</v>
      </c>
      <c r="G905" t="s">
        <v>3244</v>
      </c>
      <c r="H905" t="s">
        <v>111</v>
      </c>
      <c r="I905" t="s">
        <v>112</v>
      </c>
      <c r="J905" t="s">
        <v>112</v>
      </c>
      <c r="K905" t="s">
        <v>112</v>
      </c>
      <c r="L905" t="s">
        <v>150</v>
      </c>
      <c r="M905" t="s">
        <v>151</v>
      </c>
      <c r="N905" t="s">
        <v>112</v>
      </c>
      <c r="O905" t="s">
        <v>112</v>
      </c>
      <c r="P905">
        <v>1</v>
      </c>
      <c r="Q905">
        <v>0</v>
      </c>
      <c r="R905">
        <v>1</v>
      </c>
      <c r="S905">
        <v>33</v>
      </c>
      <c r="T905" t="s">
        <v>166</v>
      </c>
      <c r="U905" t="s">
        <v>152</v>
      </c>
      <c r="V905" t="s">
        <v>153</v>
      </c>
      <c r="W905" t="s">
        <v>154</v>
      </c>
      <c r="X905" t="s">
        <v>119</v>
      </c>
      <c r="Y905" t="s">
        <v>112</v>
      </c>
      <c r="Z905" t="s">
        <v>166</v>
      </c>
      <c r="AA905" t="s">
        <v>152</v>
      </c>
      <c r="AB905" t="s">
        <v>153</v>
      </c>
      <c r="AC905" t="s">
        <v>154</v>
      </c>
      <c r="AD905" t="s">
        <v>119</v>
      </c>
      <c r="AE905" t="s">
        <v>112</v>
      </c>
      <c r="AF905" t="s">
        <v>121</v>
      </c>
      <c r="AG905" t="s">
        <v>122</v>
      </c>
      <c r="AH905">
        <v>4176167.86</v>
      </c>
      <c r="AI905" t="s">
        <v>166</v>
      </c>
      <c r="AJ905" t="s">
        <v>152</v>
      </c>
      <c r="AK905" t="s">
        <v>153</v>
      </c>
      <c r="AL905" t="s">
        <v>154</v>
      </c>
      <c r="AM905" t="s">
        <v>119</v>
      </c>
      <c r="AN905" t="s">
        <v>112</v>
      </c>
      <c r="AO905" t="s">
        <v>121</v>
      </c>
      <c r="AP905" t="s">
        <v>122</v>
      </c>
      <c r="AQ905" t="s">
        <v>122</v>
      </c>
      <c r="AR905" t="s">
        <v>124</v>
      </c>
      <c r="AS905" t="s">
        <v>125</v>
      </c>
      <c r="AT905">
        <v>2</v>
      </c>
      <c r="AU905" t="s">
        <v>126</v>
      </c>
      <c r="AV905" t="s">
        <v>155</v>
      </c>
      <c r="AW905" t="s">
        <v>156</v>
      </c>
      <c r="AX905">
        <v>1</v>
      </c>
      <c r="AY905" t="s">
        <v>129</v>
      </c>
      <c r="AZ905">
        <v>45300.32</v>
      </c>
      <c r="BA905">
        <v>3810282</v>
      </c>
      <c r="BB905">
        <v>54009.18</v>
      </c>
      <c r="BC905">
        <v>84.111599999999996</v>
      </c>
      <c r="BD905" t="s">
        <v>130</v>
      </c>
      <c r="BE905" t="s">
        <v>112</v>
      </c>
      <c r="BF905" t="s">
        <v>157</v>
      </c>
      <c r="BG905" t="s">
        <v>133</v>
      </c>
      <c r="BH905" t="s">
        <v>134</v>
      </c>
      <c r="BI905" t="s">
        <v>112</v>
      </c>
      <c r="BJ905" t="s">
        <v>112</v>
      </c>
      <c r="BK905" t="s">
        <v>112</v>
      </c>
      <c r="BL905" t="s">
        <v>169</v>
      </c>
      <c r="BM905" t="s">
        <v>159</v>
      </c>
      <c r="BN905" t="s">
        <v>722</v>
      </c>
      <c r="BO905" t="s">
        <v>161</v>
      </c>
      <c r="BP905">
        <v>1</v>
      </c>
      <c r="BQ905" t="s">
        <v>205</v>
      </c>
      <c r="BR905" s="45">
        <f>ISNUMBER(SEARCH($BR$1,Таблица1[[#This Row],[31_1 Описание и характеристика товара]]))*1</f>
        <v>1</v>
      </c>
      <c r="BT905" t="s">
        <v>150</v>
      </c>
      <c r="BU905">
        <v>33</v>
      </c>
      <c r="BV905">
        <v>0</v>
      </c>
      <c r="BW905">
        <v>0</v>
      </c>
      <c r="BY905">
        <v>0</v>
      </c>
      <c r="CA905" t="s">
        <v>106</v>
      </c>
      <c r="CB905" t="s">
        <v>142</v>
      </c>
      <c r="CC905" t="s">
        <v>112</v>
      </c>
      <c r="CD905" t="s">
        <v>112</v>
      </c>
      <c r="CE905" t="s">
        <v>121</v>
      </c>
      <c r="CF905">
        <v>16308.86</v>
      </c>
      <c r="CG905" t="s">
        <v>144</v>
      </c>
      <c r="CH905">
        <v>4000000</v>
      </c>
      <c r="CI905">
        <v>16200.86</v>
      </c>
      <c r="CJ905">
        <v>0</v>
      </c>
      <c r="CK905" t="s">
        <v>112</v>
      </c>
      <c r="CL905" t="s">
        <v>112</v>
      </c>
      <c r="CM905">
        <v>45300.32</v>
      </c>
      <c r="CN905">
        <v>3810282</v>
      </c>
      <c r="CO905">
        <v>0</v>
      </c>
      <c r="CP905">
        <v>1</v>
      </c>
      <c r="CQ905">
        <v>4176167.86</v>
      </c>
      <c r="CR905">
        <v>54009.18</v>
      </c>
      <c r="CS905" t="s">
        <v>145</v>
      </c>
      <c r="CT905">
        <v>54008.806982000002</v>
      </c>
      <c r="CU905">
        <v>3.3336999999999999</v>
      </c>
      <c r="CV905">
        <v>45</v>
      </c>
      <c r="CW905" t="s">
        <v>171</v>
      </c>
      <c r="CX905" t="s">
        <v>369</v>
      </c>
      <c r="CY905">
        <v>96</v>
      </c>
    </row>
    <row r="906" spans="1:103" x14ac:dyDescent="0.25">
      <c r="A906" t="s">
        <v>106</v>
      </c>
      <c r="B906" s="38">
        <v>45012</v>
      </c>
      <c r="C906" s="43">
        <f>IF(YEAR(Таблица1[[#This Row],[Дата]])=2023,MONTH(Таблица1[[#This Row],[Дата]]),0)</f>
        <v>3</v>
      </c>
      <c r="D906" t="s">
        <v>985</v>
      </c>
      <c r="E906" t="s">
        <v>108</v>
      </c>
      <c r="F906" t="s">
        <v>986</v>
      </c>
      <c r="G906" t="s">
        <v>3244</v>
      </c>
      <c r="H906" t="s">
        <v>111</v>
      </c>
      <c r="I906" t="s">
        <v>112</v>
      </c>
      <c r="J906" t="s">
        <v>112</v>
      </c>
      <c r="K906" t="s">
        <v>112</v>
      </c>
      <c r="L906" t="s">
        <v>150</v>
      </c>
      <c r="M906" t="s">
        <v>151</v>
      </c>
      <c r="N906" t="s">
        <v>112</v>
      </c>
      <c r="O906" t="s">
        <v>112</v>
      </c>
      <c r="P906">
        <v>1</v>
      </c>
      <c r="Q906">
        <v>0</v>
      </c>
      <c r="R906">
        <v>1</v>
      </c>
      <c r="S906">
        <v>33</v>
      </c>
      <c r="T906" t="s">
        <v>166</v>
      </c>
      <c r="U906" t="s">
        <v>152</v>
      </c>
      <c r="V906" t="s">
        <v>153</v>
      </c>
      <c r="W906" t="s">
        <v>154</v>
      </c>
      <c r="X906" t="s">
        <v>119</v>
      </c>
      <c r="Y906" t="s">
        <v>112</v>
      </c>
      <c r="Z906" t="s">
        <v>166</v>
      </c>
      <c r="AA906" t="s">
        <v>152</v>
      </c>
      <c r="AB906" t="s">
        <v>153</v>
      </c>
      <c r="AC906" t="s">
        <v>154</v>
      </c>
      <c r="AD906" t="s">
        <v>119</v>
      </c>
      <c r="AE906" t="s">
        <v>112</v>
      </c>
      <c r="AF906" t="s">
        <v>121</v>
      </c>
      <c r="AG906" t="s">
        <v>122</v>
      </c>
      <c r="AH906">
        <v>4288798.33</v>
      </c>
      <c r="AI906" t="s">
        <v>166</v>
      </c>
      <c r="AJ906" t="s">
        <v>152</v>
      </c>
      <c r="AK906" t="s">
        <v>153</v>
      </c>
      <c r="AL906" t="s">
        <v>154</v>
      </c>
      <c r="AM906" t="s">
        <v>119</v>
      </c>
      <c r="AN906" t="s">
        <v>112</v>
      </c>
      <c r="AO906" t="s">
        <v>121</v>
      </c>
      <c r="AP906" t="s">
        <v>122</v>
      </c>
      <c r="AQ906" t="s">
        <v>122</v>
      </c>
      <c r="AR906" t="s">
        <v>124</v>
      </c>
      <c r="AS906" t="s">
        <v>125</v>
      </c>
      <c r="AT906">
        <v>2</v>
      </c>
      <c r="AU906" t="s">
        <v>126</v>
      </c>
      <c r="AV906" t="s">
        <v>155</v>
      </c>
      <c r="AW906" t="s">
        <v>156</v>
      </c>
      <c r="AX906">
        <v>1</v>
      </c>
      <c r="AY906" t="s">
        <v>129</v>
      </c>
      <c r="AZ906">
        <v>46639.38</v>
      </c>
      <c r="BA906">
        <v>3922913</v>
      </c>
      <c r="BB906">
        <v>55465.8</v>
      </c>
      <c r="BC906">
        <v>84.111599999999996</v>
      </c>
      <c r="BD906" t="s">
        <v>130</v>
      </c>
      <c r="BE906" t="s">
        <v>112</v>
      </c>
      <c r="BF906" t="s">
        <v>157</v>
      </c>
      <c r="BG906" t="s">
        <v>133</v>
      </c>
      <c r="BH906" t="s">
        <v>134</v>
      </c>
      <c r="BI906" t="s">
        <v>112</v>
      </c>
      <c r="BJ906" t="s">
        <v>112</v>
      </c>
      <c r="BK906" t="s">
        <v>112</v>
      </c>
      <c r="BL906" t="s">
        <v>169</v>
      </c>
      <c r="BM906" t="s">
        <v>159</v>
      </c>
      <c r="BN906" t="s">
        <v>987</v>
      </c>
      <c r="BO906" t="s">
        <v>161</v>
      </c>
      <c r="BP906">
        <v>1</v>
      </c>
      <c r="BQ906" t="s">
        <v>162</v>
      </c>
      <c r="BR906" s="45">
        <f>ISNUMBER(SEARCH($BR$1,Таблица1[[#This Row],[31_1 Описание и характеристика товара]]))*1</f>
        <v>1</v>
      </c>
      <c r="BT906" t="s">
        <v>150</v>
      </c>
      <c r="BU906">
        <v>33</v>
      </c>
      <c r="BV906">
        <v>0</v>
      </c>
      <c r="BW906">
        <v>0</v>
      </c>
      <c r="BY906">
        <v>0</v>
      </c>
      <c r="CA906" t="s">
        <v>106</v>
      </c>
      <c r="CB906" t="s">
        <v>142</v>
      </c>
      <c r="CC906" t="s">
        <v>112</v>
      </c>
      <c r="CD906" t="s">
        <v>112</v>
      </c>
      <c r="CE906" t="s">
        <v>121</v>
      </c>
      <c r="CF906">
        <v>16411.900000000001</v>
      </c>
      <c r="CG906" t="s">
        <v>144</v>
      </c>
      <c r="CH906">
        <v>4000000</v>
      </c>
      <c r="CI906">
        <v>16411.900000000001</v>
      </c>
      <c r="CJ906">
        <v>0</v>
      </c>
      <c r="CK906" t="s">
        <v>112</v>
      </c>
      <c r="CL906" t="s">
        <v>112</v>
      </c>
      <c r="CM906">
        <v>46639.38</v>
      </c>
      <c r="CN906">
        <v>3922913</v>
      </c>
      <c r="CO906">
        <v>0</v>
      </c>
      <c r="CP906">
        <v>1</v>
      </c>
      <c r="CQ906">
        <v>4288798.33</v>
      </c>
      <c r="CR906">
        <v>55465.8</v>
      </c>
      <c r="CS906" t="s">
        <v>145</v>
      </c>
      <c r="CT906">
        <v>55465.65724</v>
      </c>
      <c r="CU906">
        <v>3.3795999999999999</v>
      </c>
      <c r="CV906">
        <v>45</v>
      </c>
      <c r="CW906" t="s">
        <v>171</v>
      </c>
      <c r="CX906" t="s">
        <v>350</v>
      </c>
      <c r="CY906">
        <v>570</v>
      </c>
    </row>
    <row r="907" spans="1:103" x14ac:dyDescent="0.25">
      <c r="A907" t="s">
        <v>106</v>
      </c>
      <c r="B907" s="38">
        <v>45078</v>
      </c>
      <c r="C907" s="43">
        <f>IF(YEAR(Таблица1[[#This Row],[Дата]])=2023,MONTH(Таблица1[[#This Row],[Дата]]),0)</f>
        <v>6</v>
      </c>
      <c r="D907" t="s">
        <v>814</v>
      </c>
      <c r="E907" t="s">
        <v>108</v>
      </c>
      <c r="F907" t="s">
        <v>815</v>
      </c>
      <c r="G907" t="s">
        <v>3244</v>
      </c>
      <c r="H907" t="s">
        <v>111</v>
      </c>
      <c r="I907" t="s">
        <v>112</v>
      </c>
      <c r="J907" t="s">
        <v>112</v>
      </c>
      <c r="K907" t="s">
        <v>112</v>
      </c>
      <c r="L907" t="s">
        <v>150</v>
      </c>
      <c r="M907" t="s">
        <v>151</v>
      </c>
      <c r="N907" t="s">
        <v>112</v>
      </c>
      <c r="O907" t="s">
        <v>112</v>
      </c>
      <c r="P907">
        <v>1</v>
      </c>
      <c r="Q907">
        <v>0</v>
      </c>
      <c r="R907">
        <v>1</v>
      </c>
      <c r="S907">
        <v>38</v>
      </c>
      <c r="T907" t="s">
        <v>166</v>
      </c>
      <c r="U907" t="s">
        <v>152</v>
      </c>
      <c r="V907" t="s">
        <v>153</v>
      </c>
      <c r="W907" t="s">
        <v>154</v>
      </c>
      <c r="X907" t="s">
        <v>119</v>
      </c>
      <c r="Y907" t="s">
        <v>112</v>
      </c>
      <c r="Z907" t="s">
        <v>166</v>
      </c>
      <c r="AA907" t="s">
        <v>152</v>
      </c>
      <c r="AB907" t="s">
        <v>153</v>
      </c>
      <c r="AC907" t="s">
        <v>154</v>
      </c>
      <c r="AD907" t="s">
        <v>119</v>
      </c>
      <c r="AE907" t="s">
        <v>112</v>
      </c>
      <c r="AF907" t="s">
        <v>121</v>
      </c>
      <c r="AG907" t="s">
        <v>122</v>
      </c>
      <c r="AH907">
        <v>4518205.25</v>
      </c>
      <c r="AI907" t="s">
        <v>166</v>
      </c>
      <c r="AJ907" t="s">
        <v>152</v>
      </c>
      <c r="AK907" t="s">
        <v>153</v>
      </c>
      <c r="AL907" t="s">
        <v>154</v>
      </c>
      <c r="AM907" t="s">
        <v>119</v>
      </c>
      <c r="AN907" t="s">
        <v>112</v>
      </c>
      <c r="AO907" t="s">
        <v>121</v>
      </c>
      <c r="AP907" t="s">
        <v>122</v>
      </c>
      <c r="AQ907" t="s">
        <v>122</v>
      </c>
      <c r="AR907" t="s">
        <v>124</v>
      </c>
      <c r="AS907" t="s">
        <v>125</v>
      </c>
      <c r="AT907">
        <v>2</v>
      </c>
      <c r="AU907" t="s">
        <v>126</v>
      </c>
      <c r="AV907" t="s">
        <v>155</v>
      </c>
      <c r="AW907" t="s">
        <v>156</v>
      </c>
      <c r="AX907">
        <v>1</v>
      </c>
      <c r="AY907" t="s">
        <v>129</v>
      </c>
      <c r="AZ907">
        <v>51993.96</v>
      </c>
      <c r="BA907">
        <v>4169380</v>
      </c>
      <c r="BB907">
        <v>59865.27</v>
      </c>
      <c r="BC907">
        <v>80.189700000000002</v>
      </c>
      <c r="BD907" t="s">
        <v>130</v>
      </c>
      <c r="BE907" t="s">
        <v>112</v>
      </c>
      <c r="BF907" t="s">
        <v>157</v>
      </c>
      <c r="BG907" t="s">
        <v>133</v>
      </c>
      <c r="BH907" t="s">
        <v>134</v>
      </c>
      <c r="BI907" t="s">
        <v>112</v>
      </c>
      <c r="BJ907" t="s">
        <v>112</v>
      </c>
      <c r="BK907" t="s">
        <v>112</v>
      </c>
      <c r="BL907" t="s">
        <v>169</v>
      </c>
      <c r="BM907" t="s">
        <v>159</v>
      </c>
      <c r="BN907" t="s">
        <v>212</v>
      </c>
      <c r="BO907" t="s">
        <v>161</v>
      </c>
      <c r="BP907">
        <v>1</v>
      </c>
      <c r="BQ907" t="s">
        <v>232</v>
      </c>
      <c r="BR907" s="45">
        <f>ISNUMBER(SEARCH($BR$1,Таблица1[[#This Row],[31_1 Описание и характеристика товара]]))*1</f>
        <v>1</v>
      </c>
      <c r="BT907" t="s">
        <v>150</v>
      </c>
      <c r="BU907">
        <v>38</v>
      </c>
      <c r="BV907">
        <v>0</v>
      </c>
      <c r="BW907">
        <v>0</v>
      </c>
      <c r="BY907">
        <v>0</v>
      </c>
      <c r="CA907" t="s">
        <v>106</v>
      </c>
      <c r="CB907" t="s">
        <v>142</v>
      </c>
      <c r="CC907" t="s">
        <v>112</v>
      </c>
      <c r="CD907" t="s">
        <v>112</v>
      </c>
      <c r="CE907" t="s">
        <v>121</v>
      </c>
      <c r="CF907">
        <v>19074.169999999998</v>
      </c>
      <c r="CG907" t="s">
        <v>144</v>
      </c>
      <c r="CH907">
        <v>4000000</v>
      </c>
      <c r="CI907">
        <v>18912.169999999998</v>
      </c>
      <c r="CJ907">
        <v>0</v>
      </c>
      <c r="CK907" t="s">
        <v>112</v>
      </c>
      <c r="CL907" t="s">
        <v>112</v>
      </c>
      <c r="CM907">
        <v>51993.96</v>
      </c>
      <c r="CN907">
        <v>4169380</v>
      </c>
      <c r="CO907">
        <v>0</v>
      </c>
      <c r="CP907">
        <v>1</v>
      </c>
      <c r="CQ907">
        <v>4518205.25</v>
      </c>
      <c r="CR907">
        <v>59865.27</v>
      </c>
      <c r="CS907" t="s">
        <v>145</v>
      </c>
      <c r="CT907">
        <v>59864.582917999993</v>
      </c>
      <c r="CU907">
        <v>3.1654</v>
      </c>
      <c r="CV907">
        <v>45</v>
      </c>
      <c r="CW907" t="s">
        <v>171</v>
      </c>
      <c r="CX907" t="s">
        <v>172</v>
      </c>
      <c r="CY907">
        <v>286</v>
      </c>
    </row>
    <row r="908" spans="1:103" x14ac:dyDescent="0.25">
      <c r="A908" t="s">
        <v>106</v>
      </c>
      <c r="B908" s="38">
        <v>45149</v>
      </c>
      <c r="C908" s="43">
        <f>IF(YEAR(Таблица1[[#This Row],[Дата]])=2023,MONTH(Таблица1[[#This Row],[Дата]]),0)</f>
        <v>8</v>
      </c>
      <c r="D908" t="s">
        <v>808</v>
      </c>
      <c r="E908" t="s">
        <v>108</v>
      </c>
      <c r="F908" t="s">
        <v>809</v>
      </c>
      <c r="G908" t="s">
        <v>110</v>
      </c>
      <c r="H908" t="s">
        <v>111</v>
      </c>
      <c r="I908" t="s">
        <v>112</v>
      </c>
      <c r="J908" t="s">
        <v>112</v>
      </c>
      <c r="K908" t="s">
        <v>112</v>
      </c>
      <c r="L908" t="s">
        <v>150</v>
      </c>
      <c r="M908" t="s">
        <v>151</v>
      </c>
      <c r="N908" t="s">
        <v>112</v>
      </c>
      <c r="O908" t="s">
        <v>112</v>
      </c>
      <c r="P908">
        <v>1</v>
      </c>
      <c r="Q908">
        <v>0</v>
      </c>
      <c r="R908">
        <v>1</v>
      </c>
      <c r="S908">
        <v>33</v>
      </c>
      <c r="T908" t="s">
        <v>166</v>
      </c>
      <c r="U908" t="s">
        <v>152</v>
      </c>
      <c r="V908" t="s">
        <v>153</v>
      </c>
      <c r="W908" t="s">
        <v>154</v>
      </c>
      <c r="X908" t="s">
        <v>119</v>
      </c>
      <c r="Y908" t="s">
        <v>112</v>
      </c>
      <c r="Z908" t="s">
        <v>166</v>
      </c>
      <c r="AA908" t="s">
        <v>152</v>
      </c>
      <c r="AB908" t="s">
        <v>153</v>
      </c>
      <c r="AC908" t="s">
        <v>154</v>
      </c>
      <c r="AD908" t="s">
        <v>119</v>
      </c>
      <c r="AE908" t="s">
        <v>112</v>
      </c>
      <c r="AF908" t="s">
        <v>121</v>
      </c>
      <c r="AG908" t="s">
        <v>122</v>
      </c>
      <c r="AH908">
        <v>3972074.91</v>
      </c>
      <c r="AI908" t="s">
        <v>166</v>
      </c>
      <c r="AJ908" t="s">
        <v>152</v>
      </c>
      <c r="AK908" t="s">
        <v>153</v>
      </c>
      <c r="AL908" t="s">
        <v>154</v>
      </c>
      <c r="AM908" t="s">
        <v>119</v>
      </c>
      <c r="AN908" t="s">
        <v>112</v>
      </c>
      <c r="AO908" t="s">
        <v>121</v>
      </c>
      <c r="AP908" t="s">
        <v>122</v>
      </c>
      <c r="AQ908" t="s">
        <v>122</v>
      </c>
      <c r="AR908" t="s">
        <v>124</v>
      </c>
      <c r="AS908" t="s">
        <v>125</v>
      </c>
      <c r="AT908">
        <v>2</v>
      </c>
      <c r="AU908" t="s">
        <v>126</v>
      </c>
      <c r="AV908" t="s">
        <v>155</v>
      </c>
      <c r="AW908" t="s">
        <v>156</v>
      </c>
      <c r="AX908">
        <v>1</v>
      </c>
      <c r="AY908" t="s">
        <v>129</v>
      </c>
      <c r="AZ908">
        <v>45183.48</v>
      </c>
      <c r="BA908">
        <v>3623250</v>
      </c>
      <c r="BB908">
        <v>52629.15</v>
      </c>
      <c r="BC908">
        <v>80.189700000000002</v>
      </c>
      <c r="BD908" t="s">
        <v>130</v>
      </c>
      <c r="BE908" t="s">
        <v>112</v>
      </c>
      <c r="BF908" t="s">
        <v>157</v>
      </c>
      <c r="BG908" t="s">
        <v>133</v>
      </c>
      <c r="BH908" t="s">
        <v>134</v>
      </c>
      <c r="BI908" t="s">
        <v>112</v>
      </c>
      <c r="BJ908" t="s">
        <v>112</v>
      </c>
      <c r="BK908" t="s">
        <v>112</v>
      </c>
      <c r="BL908" t="s">
        <v>169</v>
      </c>
      <c r="BM908" t="s">
        <v>159</v>
      </c>
      <c r="BN908" t="s">
        <v>212</v>
      </c>
      <c r="BO908" t="s">
        <v>161</v>
      </c>
      <c r="BP908">
        <v>1</v>
      </c>
      <c r="BQ908" t="s">
        <v>810</v>
      </c>
      <c r="BR908" s="45">
        <f>ISNUMBER(SEARCH($BR$1,Таблица1[[#This Row],[31_1 Описание и характеристика товара]]))*1</f>
        <v>1</v>
      </c>
      <c r="BT908" t="s">
        <v>150</v>
      </c>
      <c r="BU908">
        <v>33</v>
      </c>
      <c r="BV908">
        <v>0</v>
      </c>
      <c r="BW908">
        <v>0</v>
      </c>
      <c r="BY908">
        <v>0</v>
      </c>
      <c r="CA908" t="s">
        <v>106</v>
      </c>
      <c r="CB908" t="s">
        <v>142</v>
      </c>
      <c r="CC908" t="s">
        <v>112</v>
      </c>
      <c r="CD908" t="s">
        <v>112</v>
      </c>
      <c r="CE908" t="s">
        <v>121</v>
      </c>
      <c r="CF908">
        <v>16522.84</v>
      </c>
      <c r="CG908" t="s">
        <v>144</v>
      </c>
      <c r="CH908">
        <v>4000000</v>
      </c>
      <c r="CI908">
        <v>16522.84</v>
      </c>
      <c r="CJ908">
        <v>0</v>
      </c>
      <c r="CK908" t="s">
        <v>112</v>
      </c>
      <c r="CL908" t="s">
        <v>112</v>
      </c>
      <c r="CM908">
        <v>45183.48</v>
      </c>
      <c r="CN908">
        <v>3623250</v>
      </c>
      <c r="CO908">
        <v>0</v>
      </c>
      <c r="CP908">
        <v>1</v>
      </c>
      <c r="CQ908">
        <v>3972074.91</v>
      </c>
      <c r="CR908">
        <v>52629.15</v>
      </c>
      <c r="CS908" t="s">
        <v>145</v>
      </c>
      <c r="CT908">
        <v>52628.549967999999</v>
      </c>
      <c r="CU908">
        <v>3.1852</v>
      </c>
      <c r="CV908">
        <v>45</v>
      </c>
      <c r="CW908" t="s">
        <v>171</v>
      </c>
      <c r="CX908" t="s">
        <v>463</v>
      </c>
      <c r="CY908">
        <v>302</v>
      </c>
    </row>
    <row r="909" spans="1:103" x14ac:dyDescent="0.25">
      <c r="A909" t="s">
        <v>106</v>
      </c>
      <c r="B909" s="38">
        <v>45012</v>
      </c>
      <c r="C909" s="43">
        <f>IF(YEAR(Таблица1[[#This Row],[Дата]])=2023,MONTH(Таблица1[[#This Row],[Дата]]),0)</f>
        <v>3</v>
      </c>
      <c r="D909" t="s">
        <v>806</v>
      </c>
      <c r="E909" t="s">
        <v>108</v>
      </c>
      <c r="F909" t="s">
        <v>807</v>
      </c>
      <c r="G909" t="s">
        <v>110</v>
      </c>
      <c r="H909" t="s">
        <v>111</v>
      </c>
      <c r="I909" t="s">
        <v>112</v>
      </c>
      <c r="J909" t="s">
        <v>112</v>
      </c>
      <c r="K909" t="s">
        <v>112</v>
      </c>
      <c r="L909" t="s">
        <v>150</v>
      </c>
      <c r="M909" t="s">
        <v>151</v>
      </c>
      <c r="N909" t="s">
        <v>112</v>
      </c>
      <c r="O909" t="s">
        <v>112</v>
      </c>
      <c r="P909">
        <v>1</v>
      </c>
      <c r="Q909">
        <v>0</v>
      </c>
      <c r="R909">
        <v>1</v>
      </c>
      <c r="S909">
        <v>33</v>
      </c>
      <c r="T909" t="s">
        <v>166</v>
      </c>
      <c r="U909" t="s">
        <v>152</v>
      </c>
      <c r="V909" t="s">
        <v>153</v>
      </c>
      <c r="W909" t="s">
        <v>154</v>
      </c>
      <c r="X909" t="s">
        <v>119</v>
      </c>
      <c r="Y909" t="s">
        <v>112</v>
      </c>
      <c r="Z909" t="s">
        <v>166</v>
      </c>
      <c r="AA909" t="s">
        <v>152</v>
      </c>
      <c r="AB909" t="s">
        <v>153</v>
      </c>
      <c r="AC909" t="s">
        <v>154</v>
      </c>
      <c r="AD909" t="s">
        <v>119</v>
      </c>
      <c r="AE909" t="s">
        <v>112</v>
      </c>
      <c r="AF909" t="s">
        <v>121</v>
      </c>
      <c r="AG909" t="s">
        <v>122</v>
      </c>
      <c r="AH909">
        <v>3462286.53</v>
      </c>
      <c r="AI909" t="s">
        <v>166</v>
      </c>
      <c r="AJ909" t="s">
        <v>152</v>
      </c>
      <c r="AK909" t="s">
        <v>153</v>
      </c>
      <c r="AL909" t="s">
        <v>154</v>
      </c>
      <c r="AM909" t="s">
        <v>119</v>
      </c>
      <c r="AN909" t="s">
        <v>112</v>
      </c>
      <c r="AO909" t="s">
        <v>121</v>
      </c>
      <c r="AP909" t="s">
        <v>122</v>
      </c>
      <c r="AQ909" t="s">
        <v>122</v>
      </c>
      <c r="AR909" t="s">
        <v>124</v>
      </c>
      <c r="AS909" t="s">
        <v>125</v>
      </c>
      <c r="AT909">
        <v>2</v>
      </c>
      <c r="AU909" t="s">
        <v>126</v>
      </c>
      <c r="AV909" t="s">
        <v>155</v>
      </c>
      <c r="AW909" t="s">
        <v>156</v>
      </c>
      <c r="AX909">
        <v>1</v>
      </c>
      <c r="AY909" t="s">
        <v>129</v>
      </c>
      <c r="AZ909">
        <v>38326.199999999997</v>
      </c>
      <c r="BA909">
        <v>3073366</v>
      </c>
      <c r="BB909">
        <v>45874.57</v>
      </c>
      <c r="BC909">
        <v>80.189700000000002</v>
      </c>
      <c r="BD909" t="s">
        <v>130</v>
      </c>
      <c r="BE909" t="s">
        <v>112</v>
      </c>
      <c r="BF909" t="s">
        <v>157</v>
      </c>
      <c r="BG909" t="s">
        <v>133</v>
      </c>
      <c r="BH909" t="s">
        <v>134</v>
      </c>
      <c r="BI909" t="s">
        <v>112</v>
      </c>
      <c r="BJ909" t="s">
        <v>112</v>
      </c>
      <c r="BK909" t="s">
        <v>112</v>
      </c>
      <c r="BL909" t="s">
        <v>169</v>
      </c>
      <c r="BM909" t="s">
        <v>159</v>
      </c>
      <c r="BN909" t="s">
        <v>212</v>
      </c>
      <c r="BO909" t="s">
        <v>161</v>
      </c>
      <c r="BP909">
        <v>1</v>
      </c>
      <c r="BQ909" t="s">
        <v>205</v>
      </c>
      <c r="BR909" s="45">
        <f>ISNUMBER(SEARCH($BR$1,Таблица1[[#This Row],[31_1 Описание и характеристика товара]]))*1</f>
        <v>1</v>
      </c>
      <c r="BT909" t="s">
        <v>150</v>
      </c>
      <c r="BU909">
        <v>33</v>
      </c>
      <c r="BV909">
        <v>0</v>
      </c>
      <c r="BW909">
        <v>0</v>
      </c>
      <c r="BY909">
        <v>0</v>
      </c>
      <c r="CA909" t="s">
        <v>106</v>
      </c>
      <c r="CB909" t="s">
        <v>142</v>
      </c>
      <c r="CC909" t="s">
        <v>112</v>
      </c>
      <c r="CD909" t="s">
        <v>112</v>
      </c>
      <c r="CE909" t="s">
        <v>121</v>
      </c>
      <c r="CF909">
        <v>16307.05</v>
      </c>
      <c r="CG909" t="s">
        <v>144</v>
      </c>
      <c r="CH909">
        <v>4000000</v>
      </c>
      <c r="CI909">
        <v>16188.25</v>
      </c>
      <c r="CJ909">
        <v>0</v>
      </c>
      <c r="CK909" t="s">
        <v>112</v>
      </c>
      <c r="CL909" t="s">
        <v>112</v>
      </c>
      <c r="CM909">
        <v>38326.199999999997</v>
      </c>
      <c r="CN909">
        <v>3073366</v>
      </c>
      <c r="CO909">
        <v>0</v>
      </c>
      <c r="CP909">
        <v>1</v>
      </c>
      <c r="CQ909">
        <v>3462286.53</v>
      </c>
      <c r="CR909">
        <v>45874.57</v>
      </c>
      <c r="CS909" t="s">
        <v>145</v>
      </c>
      <c r="CT909">
        <v>45874.262849999999</v>
      </c>
      <c r="CU909">
        <v>2.8338000000000001</v>
      </c>
      <c r="CV909">
        <v>45</v>
      </c>
      <c r="CW909" t="s">
        <v>171</v>
      </c>
      <c r="CX909" t="s">
        <v>369</v>
      </c>
      <c r="CY909">
        <v>211</v>
      </c>
    </row>
    <row r="910" spans="1:103" x14ac:dyDescent="0.25">
      <c r="A910" t="s">
        <v>106</v>
      </c>
      <c r="B910" s="38">
        <v>45031</v>
      </c>
      <c r="C910" s="43">
        <f>IF(YEAR(Таблица1[[#This Row],[Дата]])=2023,MONTH(Таблица1[[#This Row],[Дата]]),0)</f>
        <v>4</v>
      </c>
      <c r="D910" t="s">
        <v>811</v>
      </c>
      <c r="E910" t="s">
        <v>108</v>
      </c>
      <c r="F910" t="s">
        <v>812</v>
      </c>
      <c r="G910" t="s">
        <v>110</v>
      </c>
      <c r="H910" t="s">
        <v>111</v>
      </c>
      <c r="I910" t="s">
        <v>112</v>
      </c>
      <c r="J910" t="s">
        <v>112</v>
      </c>
      <c r="K910" t="s">
        <v>112</v>
      </c>
      <c r="L910" t="s">
        <v>150</v>
      </c>
      <c r="M910" t="s">
        <v>151</v>
      </c>
      <c r="N910" t="s">
        <v>112</v>
      </c>
      <c r="O910" t="s">
        <v>112</v>
      </c>
      <c r="P910">
        <v>1</v>
      </c>
      <c r="Q910">
        <v>0</v>
      </c>
      <c r="R910">
        <v>1</v>
      </c>
      <c r="S910">
        <v>33</v>
      </c>
      <c r="T910" t="s">
        <v>166</v>
      </c>
      <c r="U910" t="s">
        <v>152</v>
      </c>
      <c r="V910" t="s">
        <v>153</v>
      </c>
      <c r="W910" t="s">
        <v>154</v>
      </c>
      <c r="X910" t="s">
        <v>119</v>
      </c>
      <c r="Y910" t="s">
        <v>112</v>
      </c>
      <c r="Z910" t="s">
        <v>166</v>
      </c>
      <c r="AA910" t="s">
        <v>152</v>
      </c>
      <c r="AB910" t="s">
        <v>153</v>
      </c>
      <c r="AC910" t="s">
        <v>154</v>
      </c>
      <c r="AD910" t="s">
        <v>119</v>
      </c>
      <c r="AE910" t="s">
        <v>112</v>
      </c>
      <c r="AF910" t="s">
        <v>121</v>
      </c>
      <c r="AG910" t="s">
        <v>122</v>
      </c>
      <c r="AH910">
        <v>3813374.68</v>
      </c>
      <c r="AI910" t="s">
        <v>166</v>
      </c>
      <c r="AJ910" t="s">
        <v>152</v>
      </c>
      <c r="AK910" t="s">
        <v>153</v>
      </c>
      <c r="AL910" t="s">
        <v>154</v>
      </c>
      <c r="AM910" t="s">
        <v>119</v>
      </c>
      <c r="AN910" t="s">
        <v>112</v>
      </c>
      <c r="AO910" t="s">
        <v>121</v>
      </c>
      <c r="AP910" t="s">
        <v>122</v>
      </c>
      <c r="AQ910" t="s">
        <v>122</v>
      </c>
      <c r="AR910" t="s">
        <v>124</v>
      </c>
      <c r="AS910" t="s">
        <v>125</v>
      </c>
      <c r="AT910">
        <v>2</v>
      </c>
      <c r="AU910" t="s">
        <v>126</v>
      </c>
      <c r="AV910" t="s">
        <v>155</v>
      </c>
      <c r="AW910" t="s">
        <v>156</v>
      </c>
      <c r="AX910">
        <v>1</v>
      </c>
      <c r="AY910" t="s">
        <v>129</v>
      </c>
      <c r="AZ910">
        <v>43204.42</v>
      </c>
      <c r="BA910">
        <v>3464549</v>
      </c>
      <c r="BB910">
        <v>50526.41</v>
      </c>
      <c r="BC910">
        <v>80.189700000000002</v>
      </c>
      <c r="BD910" t="s">
        <v>130</v>
      </c>
      <c r="BE910" t="s">
        <v>112</v>
      </c>
      <c r="BF910" t="s">
        <v>157</v>
      </c>
      <c r="BG910" t="s">
        <v>133</v>
      </c>
      <c r="BH910" t="s">
        <v>167</v>
      </c>
      <c r="BI910" t="s">
        <v>168</v>
      </c>
      <c r="BJ910" t="s">
        <v>112</v>
      </c>
      <c r="BK910" t="s">
        <v>112</v>
      </c>
      <c r="BL910" t="s">
        <v>169</v>
      </c>
      <c r="BM910" t="s">
        <v>159</v>
      </c>
      <c r="BN910" t="s">
        <v>160</v>
      </c>
      <c r="BO910" t="s">
        <v>161</v>
      </c>
      <c r="BP910">
        <v>1</v>
      </c>
      <c r="BQ910" t="s">
        <v>813</v>
      </c>
      <c r="BR910" s="45">
        <f>ISNUMBER(SEARCH($BR$1,Таблица1[[#This Row],[31_1 Описание и характеристика товара]]))*1</f>
        <v>1</v>
      </c>
      <c r="BT910" t="s">
        <v>150</v>
      </c>
      <c r="BU910">
        <v>33</v>
      </c>
      <c r="BV910">
        <v>0</v>
      </c>
      <c r="BW910">
        <v>0</v>
      </c>
      <c r="BY910">
        <v>0</v>
      </c>
      <c r="CA910" t="s">
        <v>106</v>
      </c>
      <c r="CB910" t="s">
        <v>142</v>
      </c>
      <c r="CC910" t="s">
        <v>112</v>
      </c>
      <c r="CD910" t="s">
        <v>112</v>
      </c>
      <c r="CE910" t="s">
        <v>121</v>
      </c>
      <c r="CF910">
        <v>16748.36</v>
      </c>
      <c r="CG910" t="s">
        <v>144</v>
      </c>
      <c r="CH910">
        <v>4000000</v>
      </c>
      <c r="CI910">
        <v>16683.560000000001</v>
      </c>
      <c r="CJ910">
        <v>0</v>
      </c>
      <c r="CK910" t="s">
        <v>112</v>
      </c>
      <c r="CL910" t="s">
        <v>112</v>
      </c>
      <c r="CM910">
        <v>43204.42</v>
      </c>
      <c r="CN910">
        <v>3464549</v>
      </c>
      <c r="CO910">
        <v>0</v>
      </c>
      <c r="CP910">
        <v>1</v>
      </c>
      <c r="CQ910">
        <v>3813374.68</v>
      </c>
      <c r="CR910">
        <v>50526.41</v>
      </c>
      <c r="CS910" t="s">
        <v>145</v>
      </c>
      <c r="CT910">
        <v>50526.16146000001</v>
      </c>
      <c r="CU910">
        <v>3.0285000000000002</v>
      </c>
      <c r="CV910">
        <v>45</v>
      </c>
      <c r="CW910" t="s">
        <v>171</v>
      </c>
      <c r="CX910" t="s">
        <v>172</v>
      </c>
      <c r="CY910">
        <v>567</v>
      </c>
    </row>
    <row r="911" spans="1:103" x14ac:dyDescent="0.25">
      <c r="A911" t="s">
        <v>106</v>
      </c>
      <c r="B911" s="38">
        <v>45241</v>
      </c>
      <c r="C911" s="43">
        <f>IF(YEAR(Таблица1[[#This Row],[Дата]])=2023,MONTH(Таблица1[[#This Row],[Дата]]),0)</f>
        <v>11</v>
      </c>
      <c r="D911" t="s">
        <v>423</v>
      </c>
      <c r="E911" t="s">
        <v>108</v>
      </c>
      <c r="F911" t="s">
        <v>424</v>
      </c>
      <c r="G911" t="s">
        <v>110</v>
      </c>
      <c r="H911" t="s">
        <v>111</v>
      </c>
      <c r="I911" t="s">
        <v>112</v>
      </c>
      <c r="J911" t="s">
        <v>112</v>
      </c>
      <c r="K911" t="s">
        <v>112</v>
      </c>
      <c r="L911" t="s">
        <v>113</v>
      </c>
      <c r="M911" t="s">
        <v>114</v>
      </c>
      <c r="N911" t="s">
        <v>112</v>
      </c>
      <c r="O911" t="s">
        <v>112</v>
      </c>
      <c r="P911">
        <v>1</v>
      </c>
      <c r="Q911">
        <v>0</v>
      </c>
      <c r="R911">
        <v>1</v>
      </c>
      <c r="S911">
        <v>33</v>
      </c>
      <c r="T911" t="s">
        <v>115</v>
      </c>
      <c r="U911" t="s">
        <v>116</v>
      </c>
      <c r="V911" t="s">
        <v>117</v>
      </c>
      <c r="W911" t="s">
        <v>118</v>
      </c>
      <c r="X911" t="s">
        <v>119</v>
      </c>
      <c r="Y911" t="s">
        <v>120</v>
      </c>
      <c r="Z911" t="s">
        <v>115</v>
      </c>
      <c r="AA911" t="s">
        <v>116</v>
      </c>
      <c r="AB911" t="s">
        <v>117</v>
      </c>
      <c r="AC911" t="s">
        <v>118</v>
      </c>
      <c r="AD911" t="s">
        <v>119</v>
      </c>
      <c r="AE911" t="s">
        <v>120</v>
      </c>
      <c r="AF911" t="s">
        <v>121</v>
      </c>
      <c r="AG911" t="s">
        <v>122</v>
      </c>
      <c r="AH911">
        <v>3928534.95</v>
      </c>
      <c r="AI911" t="s">
        <v>115</v>
      </c>
      <c r="AJ911" t="s">
        <v>116</v>
      </c>
      <c r="AK911" t="s">
        <v>117</v>
      </c>
      <c r="AL911" t="s">
        <v>118</v>
      </c>
      <c r="AM911" t="s">
        <v>119</v>
      </c>
      <c r="AN911" t="s">
        <v>120</v>
      </c>
      <c r="AO911" t="s">
        <v>121</v>
      </c>
      <c r="AP911" t="s">
        <v>122</v>
      </c>
      <c r="AQ911" t="s">
        <v>123</v>
      </c>
      <c r="AR911" t="s">
        <v>124</v>
      </c>
      <c r="AS911" t="s">
        <v>125</v>
      </c>
      <c r="AT911">
        <v>2</v>
      </c>
      <c r="AU911" t="s">
        <v>126</v>
      </c>
      <c r="AV911" t="s">
        <v>127</v>
      </c>
      <c r="AW911" t="s">
        <v>128</v>
      </c>
      <c r="AX911">
        <v>1</v>
      </c>
      <c r="AY911" t="s">
        <v>129</v>
      </c>
      <c r="AZ911">
        <v>47934.84</v>
      </c>
      <c r="BA911">
        <v>3688893</v>
      </c>
      <c r="BB911">
        <v>56088.76</v>
      </c>
      <c r="BC911">
        <v>76.956400000000002</v>
      </c>
      <c r="BD911" t="s">
        <v>130</v>
      </c>
      <c r="BE911" t="s">
        <v>131</v>
      </c>
      <c r="BF911" t="s">
        <v>132</v>
      </c>
      <c r="BG911" t="s">
        <v>133</v>
      </c>
      <c r="BH911" t="s">
        <v>134</v>
      </c>
      <c r="BI911" t="s">
        <v>112</v>
      </c>
      <c r="BJ911" t="s">
        <v>135</v>
      </c>
      <c r="BK911" t="s">
        <v>112</v>
      </c>
      <c r="BL911" t="s">
        <v>136</v>
      </c>
      <c r="BM911" t="s">
        <v>137</v>
      </c>
      <c r="BN911" t="s">
        <v>138</v>
      </c>
      <c r="BO911" t="s">
        <v>139</v>
      </c>
      <c r="BP911">
        <v>1</v>
      </c>
      <c r="BQ911" t="s">
        <v>425</v>
      </c>
      <c r="BR911" s="45">
        <f>ISNUMBER(SEARCH($BR$1,Таблица1[[#This Row],[31_1 Описание и характеристика товара]]))*1</f>
        <v>1</v>
      </c>
      <c r="BT911" t="s">
        <v>141</v>
      </c>
      <c r="BU911">
        <v>33</v>
      </c>
      <c r="BV911">
        <v>0</v>
      </c>
      <c r="BW911">
        <v>0</v>
      </c>
      <c r="BY911">
        <v>0</v>
      </c>
      <c r="CA911" t="s">
        <v>106</v>
      </c>
      <c r="CB911" t="s">
        <v>142</v>
      </c>
      <c r="CC911" t="s">
        <v>112</v>
      </c>
      <c r="CD911" t="s">
        <v>112</v>
      </c>
      <c r="CE911" t="s">
        <v>143</v>
      </c>
      <c r="CF911">
        <v>15797.84</v>
      </c>
      <c r="CG911" t="s">
        <v>144</v>
      </c>
      <c r="CH911">
        <v>4000000</v>
      </c>
      <c r="CI911">
        <v>15713.36</v>
      </c>
      <c r="CJ911">
        <v>0</v>
      </c>
      <c r="CK911" t="s">
        <v>112</v>
      </c>
      <c r="CL911" t="s">
        <v>112</v>
      </c>
      <c r="CM911">
        <v>47934.84</v>
      </c>
      <c r="CN911">
        <v>3688893</v>
      </c>
      <c r="CO911">
        <v>0</v>
      </c>
      <c r="CP911">
        <v>1</v>
      </c>
      <c r="CQ911">
        <v>3928534.95</v>
      </c>
      <c r="CR911">
        <v>56088.76</v>
      </c>
      <c r="CS911" t="s">
        <v>145</v>
      </c>
      <c r="CT911">
        <v>56088.838520000005</v>
      </c>
      <c r="CU911">
        <v>3.5695000000000001</v>
      </c>
      <c r="CV911">
        <v>941</v>
      </c>
      <c r="CW911" t="s">
        <v>146</v>
      </c>
      <c r="CX911" t="s">
        <v>147</v>
      </c>
      <c r="CY911">
        <v>571</v>
      </c>
    </row>
    <row r="912" spans="1:103" x14ac:dyDescent="0.25">
      <c r="A912" t="s">
        <v>106</v>
      </c>
      <c r="B912" s="38">
        <v>45072</v>
      </c>
      <c r="C912" s="43">
        <f>IF(YEAR(Таблица1[[#This Row],[Дата]])=2023,MONTH(Таблица1[[#This Row],[Дата]]),0)</f>
        <v>5</v>
      </c>
      <c r="D912" t="s">
        <v>187</v>
      </c>
      <c r="E912" t="s">
        <v>108</v>
      </c>
      <c r="F912" t="s">
        <v>188</v>
      </c>
      <c r="G912" t="s">
        <v>110</v>
      </c>
      <c r="H912" t="s">
        <v>111</v>
      </c>
      <c r="I912" t="s">
        <v>112</v>
      </c>
      <c r="J912" t="s">
        <v>112</v>
      </c>
      <c r="K912" t="s">
        <v>112</v>
      </c>
      <c r="L912" t="s">
        <v>175</v>
      </c>
      <c r="M912" t="s">
        <v>176</v>
      </c>
      <c r="N912" t="s">
        <v>112</v>
      </c>
      <c r="O912" t="s">
        <v>112</v>
      </c>
      <c r="P912">
        <v>1</v>
      </c>
      <c r="Q912">
        <v>0</v>
      </c>
      <c r="R912">
        <v>1</v>
      </c>
      <c r="S912">
        <v>33</v>
      </c>
      <c r="T912" t="s">
        <v>166</v>
      </c>
      <c r="U912" t="s">
        <v>152</v>
      </c>
      <c r="V912" t="s">
        <v>153</v>
      </c>
      <c r="W912" t="s">
        <v>177</v>
      </c>
      <c r="X912" t="s">
        <v>119</v>
      </c>
      <c r="Y912" t="s">
        <v>112</v>
      </c>
      <c r="Z912" t="s">
        <v>166</v>
      </c>
      <c r="AA912" t="s">
        <v>152</v>
      </c>
      <c r="AB912" t="s">
        <v>153</v>
      </c>
      <c r="AC912" t="s">
        <v>177</v>
      </c>
      <c r="AD912" t="s">
        <v>119</v>
      </c>
      <c r="AE912" t="s">
        <v>112</v>
      </c>
      <c r="AF912" t="s">
        <v>121</v>
      </c>
      <c r="AG912" t="s">
        <v>122</v>
      </c>
      <c r="AH912">
        <v>3485891.32</v>
      </c>
      <c r="AI912" t="s">
        <v>166</v>
      </c>
      <c r="AJ912" t="s">
        <v>152</v>
      </c>
      <c r="AK912" t="s">
        <v>153</v>
      </c>
      <c r="AL912" t="s">
        <v>177</v>
      </c>
      <c r="AM912" t="s">
        <v>119</v>
      </c>
      <c r="AN912" t="s">
        <v>112</v>
      </c>
      <c r="AO912" t="s">
        <v>121</v>
      </c>
      <c r="AP912" t="s">
        <v>122</v>
      </c>
      <c r="AQ912" t="s">
        <v>122</v>
      </c>
      <c r="AR912" t="s">
        <v>124</v>
      </c>
      <c r="AS912" t="s">
        <v>125</v>
      </c>
      <c r="AT912">
        <v>2</v>
      </c>
      <c r="AU912" t="s">
        <v>106</v>
      </c>
      <c r="AV912" t="s">
        <v>155</v>
      </c>
      <c r="AW912" t="s">
        <v>156</v>
      </c>
      <c r="AX912">
        <v>1</v>
      </c>
      <c r="AY912" t="s">
        <v>129</v>
      </c>
      <c r="AZ912">
        <v>43180.86</v>
      </c>
      <c r="BA912">
        <v>3266861</v>
      </c>
      <c r="BB912">
        <v>49559.5</v>
      </c>
      <c r="BC912">
        <v>75.655299999999997</v>
      </c>
      <c r="BD912" t="s">
        <v>130</v>
      </c>
      <c r="BE912" t="s">
        <v>112</v>
      </c>
      <c r="BF912" t="s">
        <v>157</v>
      </c>
      <c r="BG912" t="s">
        <v>133</v>
      </c>
      <c r="BH912" t="s">
        <v>134</v>
      </c>
      <c r="BI912" t="s">
        <v>112</v>
      </c>
      <c r="BJ912" t="s">
        <v>178</v>
      </c>
      <c r="BK912" t="s">
        <v>112</v>
      </c>
      <c r="BL912" t="s">
        <v>125</v>
      </c>
      <c r="BM912" t="s">
        <v>179</v>
      </c>
      <c r="BN912" t="s">
        <v>180</v>
      </c>
      <c r="BO912" t="s">
        <v>181</v>
      </c>
      <c r="BP912">
        <v>1</v>
      </c>
      <c r="BQ912" t="s">
        <v>189</v>
      </c>
      <c r="BR912" s="45">
        <f>ISNUMBER(SEARCH($BR$1,Таблица1[[#This Row],[31_1 Описание и характеристика товара]]))*1</f>
        <v>1</v>
      </c>
      <c r="BT912" t="s">
        <v>150</v>
      </c>
      <c r="BU912">
        <v>33</v>
      </c>
      <c r="BV912">
        <v>1</v>
      </c>
      <c r="BW912">
        <v>0</v>
      </c>
      <c r="BY912">
        <v>0</v>
      </c>
      <c r="CA912" t="s">
        <v>106</v>
      </c>
      <c r="CB912" t="s">
        <v>142</v>
      </c>
      <c r="CC912" t="s">
        <v>112</v>
      </c>
      <c r="CD912" t="s">
        <v>112</v>
      </c>
      <c r="CE912" t="s">
        <v>121</v>
      </c>
      <c r="CF912">
        <v>16897.400000000001</v>
      </c>
      <c r="CG912" t="s">
        <v>144</v>
      </c>
      <c r="CH912">
        <v>4000000</v>
      </c>
      <c r="CI912">
        <v>16861.400000000001</v>
      </c>
      <c r="CJ912">
        <v>0</v>
      </c>
      <c r="CK912" t="s">
        <v>112</v>
      </c>
      <c r="CL912" t="s">
        <v>112</v>
      </c>
      <c r="CM912">
        <v>43180.86</v>
      </c>
      <c r="CN912">
        <v>3266861</v>
      </c>
      <c r="CO912">
        <v>0</v>
      </c>
      <c r="CP912">
        <v>1</v>
      </c>
      <c r="CQ912">
        <v>3485891.32</v>
      </c>
      <c r="CR912">
        <v>49559.5</v>
      </c>
      <c r="CS912" t="s">
        <v>145</v>
      </c>
      <c r="CT912">
        <v>49559.026880000005</v>
      </c>
      <c r="CU912">
        <v>2.9392</v>
      </c>
      <c r="CV912">
        <v>941</v>
      </c>
      <c r="CW912" t="s">
        <v>183</v>
      </c>
      <c r="CX912" t="s">
        <v>190</v>
      </c>
      <c r="CY912">
        <v>284</v>
      </c>
    </row>
    <row r="913" spans="1:103" x14ac:dyDescent="0.25">
      <c r="A913" t="s">
        <v>106</v>
      </c>
      <c r="B913" s="38">
        <v>45285</v>
      </c>
      <c r="C913" s="43">
        <f>IF(YEAR(Таблица1[[#This Row],[Дата]])=2023,MONTH(Таблица1[[#This Row],[Дата]]),0)</f>
        <v>12</v>
      </c>
      <c r="D913" t="s">
        <v>173</v>
      </c>
      <c r="E913" t="s">
        <v>108</v>
      </c>
      <c r="F913" t="s">
        <v>174</v>
      </c>
      <c r="G913" t="s">
        <v>110</v>
      </c>
      <c r="H913" t="s">
        <v>111</v>
      </c>
      <c r="I913" t="s">
        <v>112</v>
      </c>
      <c r="J913" t="s">
        <v>112</v>
      </c>
      <c r="K913" t="s">
        <v>112</v>
      </c>
      <c r="L913" t="s">
        <v>175</v>
      </c>
      <c r="M913" t="s">
        <v>176</v>
      </c>
      <c r="N913" t="s">
        <v>112</v>
      </c>
      <c r="O913" t="s">
        <v>112</v>
      </c>
      <c r="P913">
        <v>1</v>
      </c>
      <c r="Q913">
        <v>0</v>
      </c>
      <c r="R913">
        <v>1</v>
      </c>
      <c r="S913">
        <v>33</v>
      </c>
      <c r="T913" t="s">
        <v>166</v>
      </c>
      <c r="U913" t="s">
        <v>152</v>
      </c>
      <c r="V913" t="s">
        <v>153</v>
      </c>
      <c r="W913" t="s">
        <v>177</v>
      </c>
      <c r="X913" t="s">
        <v>119</v>
      </c>
      <c r="Y913" t="s">
        <v>112</v>
      </c>
      <c r="Z913" t="s">
        <v>166</v>
      </c>
      <c r="AA913" t="s">
        <v>152</v>
      </c>
      <c r="AB913" t="s">
        <v>153</v>
      </c>
      <c r="AC913" t="s">
        <v>177</v>
      </c>
      <c r="AD913" t="s">
        <v>119</v>
      </c>
      <c r="AE913" t="s">
        <v>112</v>
      </c>
      <c r="AF913" t="s">
        <v>121</v>
      </c>
      <c r="AG913" t="s">
        <v>122</v>
      </c>
      <c r="AH913">
        <v>3412955.07</v>
      </c>
      <c r="AI913" t="s">
        <v>166</v>
      </c>
      <c r="AJ913" t="s">
        <v>152</v>
      </c>
      <c r="AK913" t="s">
        <v>153</v>
      </c>
      <c r="AL913" t="s">
        <v>177</v>
      </c>
      <c r="AM913" t="s">
        <v>119</v>
      </c>
      <c r="AN913" t="s">
        <v>112</v>
      </c>
      <c r="AO913" t="s">
        <v>121</v>
      </c>
      <c r="AP913" t="s">
        <v>122</v>
      </c>
      <c r="AQ913" t="s">
        <v>122</v>
      </c>
      <c r="AR913" t="s">
        <v>124</v>
      </c>
      <c r="AS913" t="s">
        <v>125</v>
      </c>
      <c r="AT913">
        <v>2</v>
      </c>
      <c r="AU913" t="s">
        <v>106</v>
      </c>
      <c r="AV913" t="s">
        <v>155</v>
      </c>
      <c r="AW913" t="s">
        <v>156</v>
      </c>
      <c r="AX913">
        <v>1</v>
      </c>
      <c r="AY913" t="s">
        <v>129</v>
      </c>
      <c r="AZ913">
        <v>42216.800000000003</v>
      </c>
      <c r="BA913">
        <v>3193925</v>
      </c>
      <c r="BB913">
        <v>48522.55</v>
      </c>
      <c r="BC913">
        <v>75.655299999999997</v>
      </c>
      <c r="BD913" t="s">
        <v>130</v>
      </c>
      <c r="BE913" t="s">
        <v>112</v>
      </c>
      <c r="BF913" t="s">
        <v>157</v>
      </c>
      <c r="BG913" t="s">
        <v>133</v>
      </c>
      <c r="BH913" t="s">
        <v>134</v>
      </c>
      <c r="BI913" t="s">
        <v>112</v>
      </c>
      <c r="BJ913" t="s">
        <v>178</v>
      </c>
      <c r="BK913" t="s">
        <v>112</v>
      </c>
      <c r="BL913" t="s">
        <v>125</v>
      </c>
      <c r="BM913" t="s">
        <v>179</v>
      </c>
      <c r="BN913" t="s">
        <v>180</v>
      </c>
      <c r="BO913" t="s">
        <v>181</v>
      </c>
      <c r="BP913">
        <v>1</v>
      </c>
      <c r="BQ913" t="s">
        <v>182</v>
      </c>
      <c r="BR913" s="45">
        <f>ISNUMBER(SEARCH($BR$1,Таблица1[[#This Row],[31_1 Описание и характеристика товара]]))*1</f>
        <v>1</v>
      </c>
      <c r="BT913" t="s">
        <v>150</v>
      </c>
      <c r="BU913">
        <v>33</v>
      </c>
      <c r="BV913">
        <v>1</v>
      </c>
      <c r="BW913">
        <v>0</v>
      </c>
      <c r="BY913">
        <v>0</v>
      </c>
      <c r="CA913" t="s">
        <v>106</v>
      </c>
      <c r="CB913" t="s">
        <v>142</v>
      </c>
      <c r="CC913" t="s">
        <v>112</v>
      </c>
      <c r="CD913" t="s">
        <v>112</v>
      </c>
      <c r="CE913" t="s">
        <v>121</v>
      </c>
      <c r="CF913">
        <v>15954.14</v>
      </c>
      <c r="CG913" t="s">
        <v>144</v>
      </c>
      <c r="CH913">
        <v>4000000</v>
      </c>
      <c r="CI913">
        <v>15802.94</v>
      </c>
      <c r="CJ913">
        <v>0</v>
      </c>
      <c r="CK913" t="s">
        <v>112</v>
      </c>
      <c r="CL913" t="s">
        <v>112</v>
      </c>
      <c r="CM913">
        <v>42216.800000000003</v>
      </c>
      <c r="CN913">
        <v>3193925</v>
      </c>
      <c r="CO913">
        <v>0</v>
      </c>
      <c r="CP913">
        <v>1</v>
      </c>
      <c r="CQ913">
        <v>3412955.07</v>
      </c>
      <c r="CR913">
        <v>48522.55</v>
      </c>
      <c r="CS913" t="s">
        <v>145</v>
      </c>
      <c r="CT913">
        <v>48522.92727</v>
      </c>
      <c r="CU913">
        <v>3.0705</v>
      </c>
      <c r="CV913">
        <v>941</v>
      </c>
      <c r="CW913" t="s">
        <v>183</v>
      </c>
      <c r="CX913" t="s">
        <v>147</v>
      </c>
      <c r="CY913">
        <v>32</v>
      </c>
    </row>
    <row r="914" spans="1:103" x14ac:dyDescent="0.25">
      <c r="A914" t="s">
        <v>106</v>
      </c>
      <c r="B914" s="38">
        <v>45101</v>
      </c>
      <c r="C914" s="43">
        <f>IF(YEAR(Таблица1[[#This Row],[Дата]])=2023,MONTH(Таблица1[[#This Row],[Дата]]),0)</f>
        <v>6</v>
      </c>
      <c r="D914" t="s">
        <v>191</v>
      </c>
      <c r="E914" t="s">
        <v>108</v>
      </c>
      <c r="F914" t="s">
        <v>192</v>
      </c>
      <c r="G914" t="s">
        <v>110</v>
      </c>
      <c r="H914" t="s">
        <v>111</v>
      </c>
      <c r="I914" t="s">
        <v>112</v>
      </c>
      <c r="J914" t="s">
        <v>112</v>
      </c>
      <c r="K914" t="s">
        <v>112</v>
      </c>
      <c r="L914" t="s">
        <v>175</v>
      </c>
      <c r="M914" t="s">
        <v>176</v>
      </c>
      <c r="N914" t="s">
        <v>112</v>
      </c>
      <c r="O914" t="s">
        <v>112</v>
      </c>
      <c r="P914">
        <v>1</v>
      </c>
      <c r="Q914">
        <v>0</v>
      </c>
      <c r="R914">
        <v>1</v>
      </c>
      <c r="S914">
        <v>33</v>
      </c>
      <c r="T914" t="s">
        <v>166</v>
      </c>
      <c r="U914" t="s">
        <v>152</v>
      </c>
      <c r="V914" t="s">
        <v>153</v>
      </c>
      <c r="W914" t="s">
        <v>177</v>
      </c>
      <c r="X914" t="s">
        <v>119</v>
      </c>
      <c r="Y914" t="s">
        <v>112</v>
      </c>
      <c r="Z914" t="s">
        <v>166</v>
      </c>
      <c r="AA914" t="s">
        <v>152</v>
      </c>
      <c r="AB914" t="s">
        <v>153</v>
      </c>
      <c r="AC914" t="s">
        <v>177</v>
      </c>
      <c r="AD914" t="s">
        <v>119</v>
      </c>
      <c r="AE914" t="s">
        <v>112</v>
      </c>
      <c r="AF914" t="s">
        <v>121</v>
      </c>
      <c r="AG914" t="s">
        <v>122</v>
      </c>
      <c r="AH914">
        <v>3382925.97</v>
      </c>
      <c r="AI914" t="s">
        <v>166</v>
      </c>
      <c r="AJ914" t="s">
        <v>152</v>
      </c>
      <c r="AK914" t="s">
        <v>153</v>
      </c>
      <c r="AL914" t="s">
        <v>177</v>
      </c>
      <c r="AM914" t="s">
        <v>119</v>
      </c>
      <c r="AN914" t="s">
        <v>112</v>
      </c>
      <c r="AO914" t="s">
        <v>121</v>
      </c>
      <c r="AP914" t="s">
        <v>122</v>
      </c>
      <c r="AQ914" t="s">
        <v>122</v>
      </c>
      <c r="AR914" t="s">
        <v>124</v>
      </c>
      <c r="AS914" t="s">
        <v>125</v>
      </c>
      <c r="AT914">
        <v>2</v>
      </c>
      <c r="AU914" t="s">
        <v>106</v>
      </c>
      <c r="AV914" t="s">
        <v>155</v>
      </c>
      <c r="AW914" t="s">
        <v>156</v>
      </c>
      <c r="AX914">
        <v>1</v>
      </c>
      <c r="AY914" t="s">
        <v>129</v>
      </c>
      <c r="AZ914">
        <v>41819.879999999997</v>
      </c>
      <c r="BA914">
        <v>3163896</v>
      </c>
      <c r="BB914">
        <v>48095.62</v>
      </c>
      <c r="BC914">
        <v>75.655299999999997</v>
      </c>
      <c r="BD914" t="s">
        <v>130</v>
      </c>
      <c r="BE914" t="s">
        <v>112</v>
      </c>
      <c r="BF914" t="s">
        <v>157</v>
      </c>
      <c r="BG914" t="s">
        <v>133</v>
      </c>
      <c r="BH914" t="s">
        <v>134</v>
      </c>
      <c r="BI914" t="s">
        <v>112</v>
      </c>
      <c r="BJ914" t="s">
        <v>178</v>
      </c>
      <c r="BK914" t="s">
        <v>112</v>
      </c>
      <c r="BL914" t="s">
        <v>125</v>
      </c>
      <c r="BM914" t="s">
        <v>179</v>
      </c>
      <c r="BN914" t="s">
        <v>180</v>
      </c>
      <c r="BO914" t="s">
        <v>181</v>
      </c>
      <c r="BP914">
        <v>1</v>
      </c>
      <c r="BQ914" t="s">
        <v>193</v>
      </c>
      <c r="BR914" s="45">
        <f>ISNUMBER(SEARCH($BR$1,Таблица1[[#This Row],[31_1 Описание и характеристика товара]]))*1</f>
        <v>1</v>
      </c>
      <c r="BT914" t="s">
        <v>150</v>
      </c>
      <c r="BU914">
        <v>33</v>
      </c>
      <c r="BV914">
        <v>1</v>
      </c>
      <c r="BW914">
        <v>0</v>
      </c>
      <c r="BY914">
        <v>0</v>
      </c>
      <c r="CA914" t="s">
        <v>106</v>
      </c>
      <c r="CB914" t="s">
        <v>142</v>
      </c>
      <c r="CC914" t="s">
        <v>112</v>
      </c>
      <c r="CD914" t="s">
        <v>112</v>
      </c>
      <c r="CE914" t="s">
        <v>121</v>
      </c>
      <c r="CF914">
        <v>15140.42</v>
      </c>
      <c r="CG914" t="s">
        <v>144</v>
      </c>
      <c r="CH914">
        <v>4000000</v>
      </c>
      <c r="CI914">
        <v>15034.02</v>
      </c>
      <c r="CJ914">
        <v>0</v>
      </c>
      <c r="CK914" t="s">
        <v>112</v>
      </c>
      <c r="CL914" t="s">
        <v>112</v>
      </c>
      <c r="CM914">
        <v>41819.879999999997</v>
      </c>
      <c r="CN914">
        <v>3163896</v>
      </c>
      <c r="CO914">
        <v>0</v>
      </c>
      <c r="CP914">
        <v>1</v>
      </c>
      <c r="CQ914">
        <v>3382925.97</v>
      </c>
      <c r="CR914">
        <v>48095.62</v>
      </c>
      <c r="CS914" t="s">
        <v>145</v>
      </c>
      <c r="CT914">
        <v>48095.333382000004</v>
      </c>
      <c r="CU914">
        <v>3.1991000000000001</v>
      </c>
      <c r="CV914">
        <v>941</v>
      </c>
      <c r="CW914" t="s">
        <v>183</v>
      </c>
      <c r="CX914" t="s">
        <v>147</v>
      </c>
      <c r="CY914">
        <v>300</v>
      </c>
    </row>
    <row r="915" spans="1:103" x14ac:dyDescent="0.25">
      <c r="A915" t="s">
        <v>106</v>
      </c>
      <c r="B915" s="38">
        <v>45087</v>
      </c>
      <c r="C915" s="43">
        <f>IF(YEAR(Таблица1[[#This Row],[Дата]])=2023,MONTH(Таблица1[[#This Row],[Дата]]),0)</f>
        <v>6</v>
      </c>
      <c r="D915" t="s">
        <v>184</v>
      </c>
      <c r="E915" t="s">
        <v>108</v>
      </c>
      <c r="F915" t="s">
        <v>185</v>
      </c>
      <c r="G915" t="s">
        <v>110</v>
      </c>
      <c r="H915" t="s">
        <v>111</v>
      </c>
      <c r="I915" t="s">
        <v>112</v>
      </c>
      <c r="J915" t="s">
        <v>112</v>
      </c>
      <c r="K915" t="s">
        <v>112</v>
      </c>
      <c r="L915" t="s">
        <v>175</v>
      </c>
      <c r="M915" t="s">
        <v>176</v>
      </c>
      <c r="N915" t="s">
        <v>112</v>
      </c>
      <c r="O915" t="s">
        <v>112</v>
      </c>
      <c r="P915">
        <v>1</v>
      </c>
      <c r="Q915">
        <v>0</v>
      </c>
      <c r="R915">
        <v>1</v>
      </c>
      <c r="S915">
        <v>33</v>
      </c>
      <c r="T915" t="s">
        <v>166</v>
      </c>
      <c r="U915" t="s">
        <v>152</v>
      </c>
      <c r="V915" t="s">
        <v>153</v>
      </c>
      <c r="W915" t="s">
        <v>177</v>
      </c>
      <c r="X915" t="s">
        <v>119</v>
      </c>
      <c r="Y915" t="s">
        <v>112</v>
      </c>
      <c r="Z915" t="s">
        <v>166</v>
      </c>
      <c r="AA915" t="s">
        <v>152</v>
      </c>
      <c r="AB915" t="s">
        <v>153</v>
      </c>
      <c r="AC915" t="s">
        <v>177</v>
      </c>
      <c r="AD915" t="s">
        <v>119</v>
      </c>
      <c r="AE915" t="s">
        <v>112</v>
      </c>
      <c r="AF915" t="s">
        <v>121</v>
      </c>
      <c r="AG915" t="s">
        <v>122</v>
      </c>
      <c r="AH915">
        <v>3799780.62</v>
      </c>
      <c r="AI915" t="s">
        <v>166</v>
      </c>
      <c r="AJ915" t="s">
        <v>152</v>
      </c>
      <c r="AK915" t="s">
        <v>153</v>
      </c>
      <c r="AL915" t="s">
        <v>177</v>
      </c>
      <c r="AM915" t="s">
        <v>119</v>
      </c>
      <c r="AN915" t="s">
        <v>112</v>
      </c>
      <c r="AO915" t="s">
        <v>121</v>
      </c>
      <c r="AP915" t="s">
        <v>122</v>
      </c>
      <c r="AQ915" t="s">
        <v>122</v>
      </c>
      <c r="AR915" t="s">
        <v>124</v>
      </c>
      <c r="AS915" t="s">
        <v>125</v>
      </c>
      <c r="AT915">
        <v>2</v>
      </c>
      <c r="AU915" t="s">
        <v>106</v>
      </c>
      <c r="AV915" t="s">
        <v>155</v>
      </c>
      <c r="AW915" t="s">
        <v>156</v>
      </c>
      <c r="AX915">
        <v>1</v>
      </c>
      <c r="AY915" t="s">
        <v>129</v>
      </c>
      <c r="AZ915">
        <v>47329.8</v>
      </c>
      <c r="BA915">
        <v>3580750</v>
      </c>
      <c r="BB915">
        <v>54022.12</v>
      </c>
      <c r="BC915">
        <v>75.655299999999997</v>
      </c>
      <c r="BD915" t="s">
        <v>130</v>
      </c>
      <c r="BE915" t="s">
        <v>112</v>
      </c>
      <c r="BF915" t="s">
        <v>157</v>
      </c>
      <c r="BG915" t="s">
        <v>133</v>
      </c>
      <c r="BH915" t="s">
        <v>134</v>
      </c>
      <c r="BI915" t="s">
        <v>112</v>
      </c>
      <c r="BJ915" t="s">
        <v>178</v>
      </c>
      <c r="BK915" t="s">
        <v>112</v>
      </c>
      <c r="BL915" t="s">
        <v>125</v>
      </c>
      <c r="BM915" t="s">
        <v>179</v>
      </c>
      <c r="BN915" t="s">
        <v>180</v>
      </c>
      <c r="BO915" t="s">
        <v>181</v>
      </c>
      <c r="BP915">
        <v>1</v>
      </c>
      <c r="BQ915" t="s">
        <v>186</v>
      </c>
      <c r="BR915" s="45">
        <f>ISNUMBER(SEARCH($BR$1,Таблица1[[#This Row],[31_1 Описание и характеристика товара]]))*1</f>
        <v>1</v>
      </c>
      <c r="BT915" t="s">
        <v>150</v>
      </c>
      <c r="BU915">
        <v>33</v>
      </c>
      <c r="BV915">
        <v>1</v>
      </c>
      <c r="BW915">
        <v>0</v>
      </c>
      <c r="BY915">
        <v>0</v>
      </c>
      <c r="CA915" t="s">
        <v>106</v>
      </c>
      <c r="CB915" t="s">
        <v>142</v>
      </c>
      <c r="CC915" t="s">
        <v>112</v>
      </c>
      <c r="CD915" t="s">
        <v>112</v>
      </c>
      <c r="CE915" t="s">
        <v>121</v>
      </c>
      <c r="CF915">
        <v>17575.919999999998</v>
      </c>
      <c r="CG915" t="s">
        <v>144</v>
      </c>
      <c r="CH915">
        <v>4000000</v>
      </c>
      <c r="CI915">
        <v>17575.919999999998</v>
      </c>
      <c r="CJ915">
        <v>0</v>
      </c>
      <c r="CK915" t="s">
        <v>112</v>
      </c>
      <c r="CL915" t="s">
        <v>112</v>
      </c>
      <c r="CM915">
        <v>47329.8</v>
      </c>
      <c r="CN915">
        <v>3580750</v>
      </c>
      <c r="CO915">
        <v>0</v>
      </c>
      <c r="CP915">
        <v>1</v>
      </c>
      <c r="CQ915">
        <v>3799780.62</v>
      </c>
      <c r="CR915">
        <v>54022.12</v>
      </c>
      <c r="CS915" t="s">
        <v>145</v>
      </c>
      <c r="CT915">
        <v>54021.347711999995</v>
      </c>
      <c r="CU915">
        <v>3.0735999999999999</v>
      </c>
      <c r="CV915">
        <v>941</v>
      </c>
      <c r="CW915" t="s">
        <v>183</v>
      </c>
      <c r="CX915" t="s">
        <v>147</v>
      </c>
      <c r="CY915">
        <v>546</v>
      </c>
    </row>
    <row r="916" spans="1:103" x14ac:dyDescent="0.25">
      <c r="A916" t="s">
        <v>106</v>
      </c>
      <c r="B916" s="38">
        <v>45250</v>
      </c>
      <c r="C916" s="43">
        <f>IF(YEAR(Таблица1[[#This Row],[Дата]])=2023,MONTH(Таблица1[[#This Row],[Дата]]),0)</f>
        <v>11</v>
      </c>
      <c r="D916" t="s">
        <v>1729</v>
      </c>
      <c r="E916" t="s">
        <v>108</v>
      </c>
      <c r="F916" t="s">
        <v>1730</v>
      </c>
      <c r="G916" t="s">
        <v>110</v>
      </c>
      <c r="H916" t="s">
        <v>111</v>
      </c>
      <c r="I916" t="s">
        <v>112</v>
      </c>
      <c r="J916" t="s">
        <v>112</v>
      </c>
      <c r="K916" t="s">
        <v>112</v>
      </c>
      <c r="L916" t="s">
        <v>150</v>
      </c>
      <c r="M916" t="s">
        <v>151</v>
      </c>
      <c r="N916" t="s">
        <v>112</v>
      </c>
      <c r="O916" t="s">
        <v>112</v>
      </c>
      <c r="P916">
        <v>1</v>
      </c>
      <c r="R916">
        <v>1</v>
      </c>
      <c r="S916">
        <v>33</v>
      </c>
      <c r="T916" t="s">
        <v>112</v>
      </c>
      <c r="U916" t="s">
        <v>152</v>
      </c>
      <c r="V916" t="s">
        <v>153</v>
      </c>
      <c r="W916" t="s">
        <v>154</v>
      </c>
      <c r="X916" t="s">
        <v>119</v>
      </c>
      <c r="Y916" t="s">
        <v>112</v>
      </c>
      <c r="Z916" t="s">
        <v>112</v>
      </c>
      <c r="AA916" t="s">
        <v>152</v>
      </c>
      <c r="AB916" t="s">
        <v>153</v>
      </c>
      <c r="AC916" t="s">
        <v>154</v>
      </c>
      <c r="AD916" t="s">
        <v>119</v>
      </c>
      <c r="AE916" t="s">
        <v>112</v>
      </c>
      <c r="AF916" t="s">
        <v>121</v>
      </c>
      <c r="AG916" t="s">
        <v>122</v>
      </c>
      <c r="AH916">
        <v>4184611.42</v>
      </c>
      <c r="AI916" t="s">
        <v>112</v>
      </c>
      <c r="AJ916" t="s">
        <v>152</v>
      </c>
      <c r="AK916" t="s">
        <v>153</v>
      </c>
      <c r="AL916" t="s">
        <v>154</v>
      </c>
      <c r="AM916" t="s">
        <v>119</v>
      </c>
      <c r="AN916" t="s">
        <v>112</v>
      </c>
      <c r="AO916" t="s">
        <v>121</v>
      </c>
      <c r="AP916" t="s">
        <v>122</v>
      </c>
      <c r="AQ916" t="s">
        <v>122</v>
      </c>
      <c r="AR916" t="s">
        <v>124</v>
      </c>
      <c r="AS916" t="s">
        <v>125</v>
      </c>
      <c r="AT916">
        <v>2</v>
      </c>
      <c r="AU916" t="s">
        <v>126</v>
      </c>
      <c r="AV916" t="s">
        <v>155</v>
      </c>
      <c r="AW916" t="s">
        <v>156</v>
      </c>
      <c r="AY916" t="s">
        <v>129</v>
      </c>
      <c r="AZ916">
        <v>38520.769999999997</v>
      </c>
      <c r="BC916">
        <v>98.436499999999995</v>
      </c>
      <c r="BD916" t="s">
        <v>112</v>
      </c>
      <c r="BE916" t="s">
        <v>112</v>
      </c>
      <c r="BF916" t="s">
        <v>157</v>
      </c>
      <c r="BG916" t="s">
        <v>133</v>
      </c>
      <c r="BH916" t="s">
        <v>134</v>
      </c>
      <c r="BI916" t="s">
        <v>112</v>
      </c>
      <c r="BJ916" t="s">
        <v>112</v>
      </c>
      <c r="BK916" t="s">
        <v>112</v>
      </c>
      <c r="BL916" t="s">
        <v>158</v>
      </c>
      <c r="BM916" t="s">
        <v>159</v>
      </c>
      <c r="BN916" t="s">
        <v>212</v>
      </c>
      <c r="BO916" t="s">
        <v>161</v>
      </c>
      <c r="BQ916" t="s">
        <v>162</v>
      </c>
      <c r="BR916" s="45">
        <f>ISNUMBER(SEARCH($BR$1,Таблица1[[#This Row],[31_1 Описание и характеристика товара]]))*1</f>
        <v>1</v>
      </c>
      <c r="BT916" t="s">
        <v>150</v>
      </c>
      <c r="BU916">
        <v>33</v>
      </c>
      <c r="BV916">
        <v>0</v>
      </c>
      <c r="BW916">
        <v>0</v>
      </c>
      <c r="BY916">
        <v>0</v>
      </c>
      <c r="CA916" t="s">
        <v>106</v>
      </c>
      <c r="CB916" t="s">
        <v>142</v>
      </c>
      <c r="CC916" t="s">
        <v>112</v>
      </c>
      <c r="CD916" t="s">
        <v>112</v>
      </c>
      <c r="CE916" t="s">
        <v>121</v>
      </c>
      <c r="CF916">
        <v>16608.84</v>
      </c>
      <c r="CG916" t="s">
        <v>144</v>
      </c>
      <c r="CH916">
        <v>4000000</v>
      </c>
      <c r="CI916">
        <v>16518.84</v>
      </c>
      <c r="CJ916">
        <v>0</v>
      </c>
      <c r="CK916" t="s">
        <v>112</v>
      </c>
      <c r="CL916" t="s">
        <v>112</v>
      </c>
      <c r="CM916">
        <v>38520.769999999997</v>
      </c>
      <c r="CO916">
        <v>0</v>
      </c>
      <c r="CP916">
        <v>1</v>
      </c>
      <c r="CQ916">
        <v>4184611.42</v>
      </c>
      <c r="CR916">
        <v>44860.71</v>
      </c>
      <c r="CS916" t="s">
        <v>145</v>
      </c>
      <c r="CT916">
        <v>44931.2448</v>
      </c>
      <c r="CU916">
        <v>2.72</v>
      </c>
      <c r="CV916">
        <v>45</v>
      </c>
      <c r="CX916" t="s">
        <v>1140</v>
      </c>
      <c r="CY916">
        <v>301</v>
      </c>
    </row>
    <row r="917" spans="1:103" x14ac:dyDescent="0.25">
      <c r="A917" t="s">
        <v>106</v>
      </c>
      <c r="B917" s="38">
        <v>44592</v>
      </c>
      <c r="C917" s="43">
        <f>IF(YEAR(Таблица1[[#This Row],[Дата]])=2023,MONTH(Таблица1[[#This Row],[Дата]]),0)</f>
        <v>0</v>
      </c>
      <c r="D917" t="s">
        <v>1709</v>
      </c>
      <c r="E917" t="s">
        <v>108</v>
      </c>
      <c r="F917" t="s">
        <v>1710</v>
      </c>
      <c r="G917" t="s">
        <v>110</v>
      </c>
      <c r="H917" t="s">
        <v>111</v>
      </c>
      <c r="I917" t="s">
        <v>112</v>
      </c>
      <c r="J917" t="s">
        <v>112</v>
      </c>
      <c r="K917" t="s">
        <v>112</v>
      </c>
      <c r="L917" t="s">
        <v>150</v>
      </c>
      <c r="M917" t="s">
        <v>151</v>
      </c>
      <c r="N917" t="s">
        <v>112</v>
      </c>
      <c r="O917" t="s">
        <v>112</v>
      </c>
      <c r="P917">
        <v>1</v>
      </c>
      <c r="R917">
        <v>1</v>
      </c>
      <c r="S917">
        <v>33</v>
      </c>
      <c r="T917" t="s">
        <v>112</v>
      </c>
      <c r="U917" t="s">
        <v>152</v>
      </c>
      <c r="V917" t="s">
        <v>153</v>
      </c>
      <c r="W917" t="s">
        <v>154</v>
      </c>
      <c r="X917" t="s">
        <v>119</v>
      </c>
      <c r="Y917" t="s">
        <v>112</v>
      </c>
      <c r="Z917" t="s">
        <v>112</v>
      </c>
      <c r="AA917" t="s">
        <v>152</v>
      </c>
      <c r="AB917" t="s">
        <v>153</v>
      </c>
      <c r="AC917" t="s">
        <v>154</v>
      </c>
      <c r="AD917" t="s">
        <v>119</v>
      </c>
      <c r="AE917" t="s">
        <v>112</v>
      </c>
      <c r="AF917" t="s">
        <v>121</v>
      </c>
      <c r="AG917" t="s">
        <v>122</v>
      </c>
      <c r="AH917">
        <v>5009020.0599999996</v>
      </c>
      <c r="AI917" t="s">
        <v>112</v>
      </c>
      <c r="AJ917" t="s">
        <v>152</v>
      </c>
      <c r="AK917" t="s">
        <v>153</v>
      </c>
      <c r="AL917" t="s">
        <v>154</v>
      </c>
      <c r="AM917" t="s">
        <v>119</v>
      </c>
      <c r="AN917" t="s">
        <v>112</v>
      </c>
      <c r="AO917" t="s">
        <v>121</v>
      </c>
      <c r="AP917" t="s">
        <v>122</v>
      </c>
      <c r="AQ917" t="s">
        <v>122</v>
      </c>
      <c r="AR917" t="s">
        <v>124</v>
      </c>
      <c r="AS917" t="s">
        <v>125</v>
      </c>
      <c r="AT917">
        <v>2</v>
      </c>
      <c r="AU917" t="s">
        <v>126</v>
      </c>
      <c r="AV917" t="s">
        <v>155</v>
      </c>
      <c r="AW917" t="s">
        <v>156</v>
      </c>
      <c r="AY917" t="s">
        <v>129</v>
      </c>
      <c r="AZ917">
        <v>46895.8</v>
      </c>
      <c r="BC917">
        <v>98.436499999999995</v>
      </c>
      <c r="BD917" t="s">
        <v>112</v>
      </c>
      <c r="BE917" t="s">
        <v>112</v>
      </c>
      <c r="BF917" t="s">
        <v>157</v>
      </c>
      <c r="BG917" t="s">
        <v>133</v>
      </c>
      <c r="BH917" t="s">
        <v>134</v>
      </c>
      <c r="BI917" t="s">
        <v>112</v>
      </c>
      <c r="BJ917" t="s">
        <v>112</v>
      </c>
      <c r="BK917" t="s">
        <v>112</v>
      </c>
      <c r="BL917" t="s">
        <v>158</v>
      </c>
      <c r="BM917" t="s">
        <v>159</v>
      </c>
      <c r="BN917" t="s">
        <v>212</v>
      </c>
      <c r="BO917" t="s">
        <v>161</v>
      </c>
      <c r="BQ917" t="s">
        <v>466</v>
      </c>
      <c r="BR917" s="45">
        <f>ISNUMBER(SEARCH($BR$1,Таблица1[[#This Row],[31_1 Описание и характеристика товара]]))*1</f>
        <v>1</v>
      </c>
      <c r="BT917" t="s">
        <v>150</v>
      </c>
      <c r="BU917">
        <v>33</v>
      </c>
      <c r="BV917">
        <v>0</v>
      </c>
      <c r="BW917">
        <v>0</v>
      </c>
      <c r="BY917">
        <v>0</v>
      </c>
      <c r="CA917" t="s">
        <v>106</v>
      </c>
      <c r="CB917" t="s">
        <v>142</v>
      </c>
      <c r="CC917" t="s">
        <v>112</v>
      </c>
      <c r="CD917" t="s">
        <v>112</v>
      </c>
      <c r="CE917" t="s">
        <v>121</v>
      </c>
      <c r="CF917">
        <v>16525.080000000002</v>
      </c>
      <c r="CG917" t="s">
        <v>144</v>
      </c>
      <c r="CH917">
        <v>4000000</v>
      </c>
      <c r="CI917">
        <v>16525.080000000002</v>
      </c>
      <c r="CJ917">
        <v>0</v>
      </c>
      <c r="CK917" t="s">
        <v>112</v>
      </c>
      <c r="CL917" t="s">
        <v>112</v>
      </c>
      <c r="CM917">
        <v>46895.8</v>
      </c>
      <c r="CO917">
        <v>0</v>
      </c>
      <c r="CP917">
        <v>1</v>
      </c>
      <c r="CQ917">
        <v>5009020.0599999996</v>
      </c>
      <c r="CR917">
        <v>53698.7</v>
      </c>
      <c r="CS917" t="s">
        <v>145</v>
      </c>
      <c r="CT917">
        <v>53706.510000000009</v>
      </c>
      <c r="CU917">
        <v>3.25</v>
      </c>
      <c r="CV917">
        <v>45</v>
      </c>
      <c r="CX917" t="s">
        <v>729</v>
      </c>
      <c r="CY917">
        <v>219</v>
      </c>
    </row>
    <row r="918" spans="1:103" x14ac:dyDescent="0.25">
      <c r="A918" t="s">
        <v>106</v>
      </c>
      <c r="B918" s="38">
        <v>45017</v>
      </c>
      <c r="C918" s="43">
        <f>IF(YEAR(Таблица1[[#This Row],[Дата]])=2023,MONTH(Таблица1[[#This Row],[Дата]]),0)</f>
        <v>4</v>
      </c>
      <c r="D918" t="s">
        <v>1652</v>
      </c>
      <c r="E918" t="s">
        <v>108</v>
      </c>
      <c r="F918" t="s">
        <v>1653</v>
      </c>
      <c r="G918" t="s">
        <v>110</v>
      </c>
      <c r="H918" t="s">
        <v>111</v>
      </c>
      <c r="I918" t="s">
        <v>112</v>
      </c>
      <c r="J918" t="s">
        <v>112</v>
      </c>
      <c r="K918" t="s">
        <v>112</v>
      </c>
      <c r="L918" t="s">
        <v>150</v>
      </c>
      <c r="M918" t="s">
        <v>151</v>
      </c>
      <c r="N918" t="s">
        <v>112</v>
      </c>
      <c r="O918" t="s">
        <v>112</v>
      </c>
      <c r="P918">
        <v>1</v>
      </c>
      <c r="R918">
        <v>1</v>
      </c>
      <c r="S918">
        <v>33</v>
      </c>
      <c r="T918" t="s">
        <v>112</v>
      </c>
      <c r="U918" t="s">
        <v>152</v>
      </c>
      <c r="V918" t="s">
        <v>153</v>
      </c>
      <c r="W918" t="s">
        <v>154</v>
      </c>
      <c r="X918" t="s">
        <v>119</v>
      </c>
      <c r="Y918" t="s">
        <v>112</v>
      </c>
      <c r="Z918" t="s">
        <v>112</v>
      </c>
      <c r="AA918" t="s">
        <v>152</v>
      </c>
      <c r="AB918" t="s">
        <v>153</v>
      </c>
      <c r="AC918" t="s">
        <v>154</v>
      </c>
      <c r="AD918" t="s">
        <v>119</v>
      </c>
      <c r="AE918" t="s">
        <v>112</v>
      </c>
      <c r="AF918" t="s">
        <v>121</v>
      </c>
      <c r="AG918" t="s">
        <v>122</v>
      </c>
      <c r="AH918">
        <v>4813722.04</v>
      </c>
      <c r="AI918" t="s">
        <v>112</v>
      </c>
      <c r="AJ918" t="s">
        <v>152</v>
      </c>
      <c r="AK918" t="s">
        <v>153</v>
      </c>
      <c r="AL918" t="s">
        <v>154</v>
      </c>
      <c r="AM918" t="s">
        <v>119</v>
      </c>
      <c r="AN918" t="s">
        <v>112</v>
      </c>
      <c r="AO918" t="s">
        <v>121</v>
      </c>
      <c r="AP918" t="s">
        <v>122</v>
      </c>
      <c r="AQ918" t="s">
        <v>122</v>
      </c>
      <c r="AR918" t="s">
        <v>124</v>
      </c>
      <c r="AS918" t="s">
        <v>125</v>
      </c>
      <c r="AT918">
        <v>2</v>
      </c>
      <c r="AU918" t="s">
        <v>126</v>
      </c>
      <c r="AV918" t="s">
        <v>155</v>
      </c>
      <c r="AW918" t="s">
        <v>156</v>
      </c>
      <c r="AY918" t="s">
        <v>129</v>
      </c>
      <c r="AZ918">
        <v>44381.8</v>
      </c>
      <c r="BC918">
        <v>98.436499999999995</v>
      </c>
      <c r="BD918" t="s">
        <v>112</v>
      </c>
      <c r="BE918" t="s">
        <v>112</v>
      </c>
      <c r="BF918" t="s">
        <v>157</v>
      </c>
      <c r="BG918" t="s">
        <v>133</v>
      </c>
      <c r="BH918" t="s">
        <v>134</v>
      </c>
      <c r="BI918" t="s">
        <v>112</v>
      </c>
      <c r="BJ918" t="s">
        <v>112</v>
      </c>
      <c r="BK918" t="s">
        <v>112</v>
      </c>
      <c r="BL918" t="s">
        <v>158</v>
      </c>
      <c r="BM918" t="s">
        <v>159</v>
      </c>
      <c r="BN918" t="s">
        <v>212</v>
      </c>
      <c r="BO918" t="s">
        <v>161</v>
      </c>
      <c r="BQ918" t="s">
        <v>232</v>
      </c>
      <c r="BR918" s="45">
        <f>ISNUMBER(SEARCH($BR$1,Таблица1[[#This Row],[31_1 Описание и характеристика товара]]))*1</f>
        <v>1</v>
      </c>
      <c r="BT918" t="s">
        <v>150</v>
      </c>
      <c r="BU918">
        <v>33</v>
      </c>
      <c r="BV918">
        <v>0</v>
      </c>
      <c r="BW918">
        <v>0</v>
      </c>
      <c r="BY918">
        <v>0</v>
      </c>
      <c r="CA918" t="s">
        <v>106</v>
      </c>
      <c r="CB918" t="s">
        <v>142</v>
      </c>
      <c r="CC918" t="s">
        <v>112</v>
      </c>
      <c r="CD918" t="s">
        <v>112</v>
      </c>
      <c r="CE918" t="s">
        <v>121</v>
      </c>
      <c r="CF918">
        <v>17100.150000000001</v>
      </c>
      <c r="CG918" t="s">
        <v>144</v>
      </c>
      <c r="CH918">
        <v>4000000</v>
      </c>
      <c r="CI918">
        <v>17100.150000000001</v>
      </c>
      <c r="CJ918">
        <v>0</v>
      </c>
      <c r="CK918" t="s">
        <v>112</v>
      </c>
      <c r="CL918" t="s">
        <v>112</v>
      </c>
      <c r="CM918">
        <v>44381.8</v>
      </c>
      <c r="CO918">
        <v>0</v>
      </c>
      <c r="CP918">
        <v>1</v>
      </c>
      <c r="CQ918">
        <v>4813722.04</v>
      </c>
      <c r="CR918">
        <v>51605.03</v>
      </c>
      <c r="CS918" t="s">
        <v>145</v>
      </c>
      <c r="CT918">
        <v>51642.453000000001</v>
      </c>
      <c r="CU918">
        <v>3.02</v>
      </c>
      <c r="CV918">
        <v>45</v>
      </c>
      <c r="CX918" t="s">
        <v>233</v>
      </c>
      <c r="CY918">
        <v>299</v>
      </c>
    </row>
    <row r="919" spans="1:103" x14ac:dyDescent="0.25">
      <c r="A919" t="s">
        <v>106</v>
      </c>
      <c r="B919" s="38">
        <v>45024</v>
      </c>
      <c r="C919" s="43">
        <f>IF(YEAR(Таблица1[[#This Row],[Дата]])=2023,MONTH(Таблица1[[#This Row],[Дата]]),0)</f>
        <v>4</v>
      </c>
      <c r="D919" t="s">
        <v>1698</v>
      </c>
      <c r="E919" t="s">
        <v>108</v>
      </c>
      <c r="F919" t="s">
        <v>1699</v>
      </c>
      <c r="G919" t="s">
        <v>110</v>
      </c>
      <c r="H919" t="s">
        <v>111</v>
      </c>
      <c r="I919" t="s">
        <v>112</v>
      </c>
      <c r="J919" t="s">
        <v>112</v>
      </c>
      <c r="K919" t="s">
        <v>112</v>
      </c>
      <c r="L919" t="s">
        <v>150</v>
      </c>
      <c r="M919" t="s">
        <v>151</v>
      </c>
      <c r="N919" t="s">
        <v>112</v>
      </c>
      <c r="O919" t="s">
        <v>112</v>
      </c>
      <c r="P919">
        <v>1</v>
      </c>
      <c r="R919">
        <v>1</v>
      </c>
      <c r="S919">
        <v>33</v>
      </c>
      <c r="T919" t="s">
        <v>112</v>
      </c>
      <c r="U919" t="s">
        <v>152</v>
      </c>
      <c r="V919" t="s">
        <v>153</v>
      </c>
      <c r="W919" t="s">
        <v>154</v>
      </c>
      <c r="X919" t="s">
        <v>119</v>
      </c>
      <c r="Y919" t="s">
        <v>112</v>
      </c>
      <c r="Z919" t="s">
        <v>112</v>
      </c>
      <c r="AA919" t="s">
        <v>152</v>
      </c>
      <c r="AB919" t="s">
        <v>153</v>
      </c>
      <c r="AC919" t="s">
        <v>154</v>
      </c>
      <c r="AD919" t="s">
        <v>119</v>
      </c>
      <c r="AE919" t="s">
        <v>112</v>
      </c>
      <c r="AF919" t="s">
        <v>121</v>
      </c>
      <c r="AG919" t="s">
        <v>122</v>
      </c>
      <c r="AH919">
        <v>4831161.05</v>
      </c>
      <c r="AI919" t="s">
        <v>112</v>
      </c>
      <c r="AJ919" t="s">
        <v>152</v>
      </c>
      <c r="AK919" t="s">
        <v>153</v>
      </c>
      <c r="AL919" t="s">
        <v>154</v>
      </c>
      <c r="AM919" t="s">
        <v>119</v>
      </c>
      <c r="AN919" t="s">
        <v>112</v>
      </c>
      <c r="AO919" t="s">
        <v>121</v>
      </c>
      <c r="AP919" t="s">
        <v>122</v>
      </c>
      <c r="AQ919" t="s">
        <v>122</v>
      </c>
      <c r="AR919" t="s">
        <v>124</v>
      </c>
      <c r="AS919" t="s">
        <v>125</v>
      </c>
      <c r="AT919">
        <v>2</v>
      </c>
      <c r="AU919" t="s">
        <v>126</v>
      </c>
      <c r="AV919" t="s">
        <v>155</v>
      </c>
      <c r="AW919" t="s">
        <v>156</v>
      </c>
      <c r="AY919" t="s">
        <v>129</v>
      </c>
      <c r="AZ919">
        <v>44388.959999999999</v>
      </c>
      <c r="BC919">
        <v>98.436499999999995</v>
      </c>
      <c r="BD919" t="s">
        <v>112</v>
      </c>
      <c r="BE919" t="s">
        <v>112</v>
      </c>
      <c r="BF919" t="s">
        <v>157</v>
      </c>
      <c r="BG919" t="s">
        <v>133</v>
      </c>
      <c r="BH919" t="s">
        <v>134</v>
      </c>
      <c r="BI919" t="s">
        <v>112</v>
      </c>
      <c r="BJ919" t="s">
        <v>112</v>
      </c>
      <c r="BK919" t="s">
        <v>112</v>
      </c>
      <c r="BL919" t="s">
        <v>158</v>
      </c>
      <c r="BM919" t="s">
        <v>159</v>
      </c>
      <c r="BN919" t="s">
        <v>212</v>
      </c>
      <c r="BO919" t="s">
        <v>161</v>
      </c>
      <c r="BQ919" t="s">
        <v>232</v>
      </c>
      <c r="BR919" s="45">
        <f>ISNUMBER(SEARCH($BR$1,Таблица1[[#This Row],[31_1 Описание и характеристика товара]]))*1</f>
        <v>1</v>
      </c>
      <c r="BT919" t="s">
        <v>150</v>
      </c>
      <c r="BU919">
        <v>33</v>
      </c>
      <c r="BV919">
        <v>0</v>
      </c>
      <c r="BW919">
        <v>0</v>
      </c>
      <c r="BY919">
        <v>0</v>
      </c>
      <c r="CA919" t="s">
        <v>106</v>
      </c>
      <c r="CB919" t="s">
        <v>142</v>
      </c>
      <c r="CC919" t="s">
        <v>112</v>
      </c>
      <c r="CD919" t="s">
        <v>112</v>
      </c>
      <c r="CE919" t="s">
        <v>121</v>
      </c>
      <c r="CF919">
        <v>16147.77</v>
      </c>
      <c r="CG919" t="s">
        <v>144</v>
      </c>
      <c r="CH919">
        <v>4000000</v>
      </c>
      <c r="CI919">
        <v>16050.57</v>
      </c>
      <c r="CJ919">
        <v>0</v>
      </c>
      <c r="CK919" t="s">
        <v>112</v>
      </c>
      <c r="CL919" t="s">
        <v>112</v>
      </c>
      <c r="CM919">
        <v>44388.959999999999</v>
      </c>
      <c r="CO919">
        <v>0</v>
      </c>
      <c r="CP919">
        <v>1</v>
      </c>
      <c r="CQ919">
        <v>4831161.05</v>
      </c>
      <c r="CR919">
        <v>51791.98</v>
      </c>
      <c r="CS919" t="s">
        <v>145</v>
      </c>
      <c r="CT919">
        <v>51843.341099999998</v>
      </c>
      <c r="CU919">
        <v>3.23</v>
      </c>
      <c r="CV919">
        <v>45</v>
      </c>
      <c r="CX919" t="s">
        <v>206</v>
      </c>
      <c r="CY919">
        <v>163</v>
      </c>
    </row>
    <row r="920" spans="1:103" x14ac:dyDescent="0.25">
      <c r="A920" t="s">
        <v>106</v>
      </c>
      <c r="B920" s="38">
        <v>45133</v>
      </c>
      <c r="C920" s="43">
        <f>IF(YEAR(Таблица1[[#This Row],[Дата]])=2023,MONTH(Таблица1[[#This Row],[Дата]]),0)</f>
        <v>7</v>
      </c>
      <c r="D920" t="s">
        <v>2085</v>
      </c>
      <c r="E920" t="s">
        <v>108</v>
      </c>
      <c r="F920" t="s">
        <v>2086</v>
      </c>
      <c r="G920" t="s">
        <v>110</v>
      </c>
      <c r="H920" t="s">
        <v>111</v>
      </c>
      <c r="I920" t="s">
        <v>112</v>
      </c>
      <c r="J920" t="s">
        <v>112</v>
      </c>
      <c r="K920" t="s">
        <v>112</v>
      </c>
      <c r="L920" t="s">
        <v>150</v>
      </c>
      <c r="M920" t="s">
        <v>151</v>
      </c>
      <c r="N920" t="s">
        <v>112</v>
      </c>
      <c r="O920" t="s">
        <v>112</v>
      </c>
      <c r="P920">
        <v>1</v>
      </c>
      <c r="R920">
        <v>1</v>
      </c>
      <c r="S920">
        <v>33</v>
      </c>
      <c r="T920" t="s">
        <v>112</v>
      </c>
      <c r="U920" t="s">
        <v>152</v>
      </c>
      <c r="V920" t="s">
        <v>153</v>
      </c>
      <c r="W920" t="s">
        <v>154</v>
      </c>
      <c r="X920" t="s">
        <v>119</v>
      </c>
      <c r="Y920" t="s">
        <v>112</v>
      </c>
      <c r="Z920" t="s">
        <v>112</v>
      </c>
      <c r="AA920" t="s">
        <v>152</v>
      </c>
      <c r="AB920" t="s">
        <v>153</v>
      </c>
      <c r="AC920" t="s">
        <v>154</v>
      </c>
      <c r="AD920" t="s">
        <v>119</v>
      </c>
      <c r="AE920" t="s">
        <v>112</v>
      </c>
      <c r="AF920" t="s">
        <v>121</v>
      </c>
      <c r="AG920" t="s">
        <v>122</v>
      </c>
      <c r="AH920">
        <v>4657632.4000000004</v>
      </c>
      <c r="AI920" t="s">
        <v>112</v>
      </c>
      <c r="AJ920" t="s">
        <v>152</v>
      </c>
      <c r="AK920" t="s">
        <v>153</v>
      </c>
      <c r="AL920" t="s">
        <v>154</v>
      </c>
      <c r="AM920" t="s">
        <v>119</v>
      </c>
      <c r="AN920" t="s">
        <v>112</v>
      </c>
      <c r="AO920" t="s">
        <v>121</v>
      </c>
      <c r="AP920" t="s">
        <v>122</v>
      </c>
      <c r="AQ920" t="s">
        <v>122</v>
      </c>
      <c r="AR920" t="s">
        <v>124</v>
      </c>
      <c r="AS920" t="s">
        <v>125</v>
      </c>
      <c r="AT920">
        <v>2</v>
      </c>
      <c r="AU920" t="s">
        <v>126</v>
      </c>
      <c r="AV920" t="s">
        <v>155</v>
      </c>
      <c r="AW920" t="s">
        <v>156</v>
      </c>
      <c r="AY920" t="s">
        <v>129</v>
      </c>
      <c r="AZ920">
        <v>41158.239999999998</v>
      </c>
      <c r="BC920">
        <v>103.1631</v>
      </c>
      <c r="BD920" t="s">
        <v>112</v>
      </c>
      <c r="BE920" t="s">
        <v>112</v>
      </c>
      <c r="BF920" t="s">
        <v>157</v>
      </c>
      <c r="BG920" t="s">
        <v>133</v>
      </c>
      <c r="BH920" t="s">
        <v>167</v>
      </c>
      <c r="BI920" t="s">
        <v>112</v>
      </c>
      <c r="BJ920" t="s">
        <v>112</v>
      </c>
      <c r="BK920" t="s">
        <v>112</v>
      </c>
      <c r="BL920" t="s">
        <v>158</v>
      </c>
      <c r="BM920" t="s">
        <v>159</v>
      </c>
      <c r="BN920" t="s">
        <v>160</v>
      </c>
      <c r="BO920" t="s">
        <v>161</v>
      </c>
      <c r="BQ920" t="s">
        <v>205</v>
      </c>
      <c r="BR920" s="45">
        <f>ISNUMBER(SEARCH($BR$1,Таблица1[[#This Row],[31_1 Описание и характеристика товара]]))*1</f>
        <v>1</v>
      </c>
      <c r="BT920" t="s">
        <v>150</v>
      </c>
      <c r="BU920">
        <v>33</v>
      </c>
      <c r="BV920">
        <v>0</v>
      </c>
      <c r="BW920">
        <v>0</v>
      </c>
      <c r="BY920">
        <v>0</v>
      </c>
      <c r="CA920" t="s">
        <v>106</v>
      </c>
      <c r="CB920" t="s">
        <v>142</v>
      </c>
      <c r="CC920" t="s">
        <v>112</v>
      </c>
      <c r="CD920" t="s">
        <v>112</v>
      </c>
      <c r="CE920" t="s">
        <v>121</v>
      </c>
      <c r="CF920">
        <v>17438.5</v>
      </c>
      <c r="CG920" t="s">
        <v>144</v>
      </c>
      <c r="CH920">
        <v>4000000</v>
      </c>
      <c r="CI920">
        <v>17276.099999999999</v>
      </c>
      <c r="CJ920">
        <v>0</v>
      </c>
      <c r="CK920" t="s">
        <v>112</v>
      </c>
      <c r="CL920" t="s">
        <v>112</v>
      </c>
      <c r="CM920">
        <v>41158.239999999998</v>
      </c>
      <c r="CO920">
        <v>0</v>
      </c>
      <c r="CP920">
        <v>1</v>
      </c>
      <c r="CQ920">
        <v>4657632.4000000004</v>
      </c>
      <c r="CR920">
        <v>47812.42</v>
      </c>
      <c r="CS920" t="s">
        <v>145</v>
      </c>
      <c r="CT920">
        <v>47854.796999999999</v>
      </c>
      <c r="CU920">
        <v>2.77</v>
      </c>
      <c r="CV920">
        <v>45</v>
      </c>
      <c r="CX920" t="s">
        <v>729</v>
      </c>
      <c r="CY920">
        <v>180</v>
      </c>
    </row>
    <row r="921" spans="1:103" x14ac:dyDescent="0.25">
      <c r="A921" t="s">
        <v>106</v>
      </c>
      <c r="B921" s="38">
        <v>44952</v>
      </c>
      <c r="C921" s="43">
        <f>IF(YEAR(Таблица1[[#This Row],[Дата]])=2023,MONTH(Таблица1[[#This Row],[Дата]]),0)</f>
        <v>1</v>
      </c>
      <c r="D921" t="s">
        <v>2085</v>
      </c>
      <c r="E921" t="s">
        <v>108</v>
      </c>
      <c r="F921" t="s">
        <v>2086</v>
      </c>
      <c r="G921" t="s">
        <v>110</v>
      </c>
      <c r="H921" t="s">
        <v>111</v>
      </c>
      <c r="I921" t="s">
        <v>112</v>
      </c>
      <c r="J921" t="s">
        <v>112</v>
      </c>
      <c r="K921" t="s">
        <v>112</v>
      </c>
      <c r="L921" t="s">
        <v>150</v>
      </c>
      <c r="M921" t="s">
        <v>151</v>
      </c>
      <c r="N921" t="s">
        <v>112</v>
      </c>
      <c r="O921" t="s">
        <v>112</v>
      </c>
      <c r="P921">
        <v>1</v>
      </c>
      <c r="R921">
        <v>1</v>
      </c>
      <c r="S921">
        <v>33</v>
      </c>
      <c r="T921" t="s">
        <v>112</v>
      </c>
      <c r="U921" t="s">
        <v>152</v>
      </c>
      <c r="V921" t="s">
        <v>153</v>
      </c>
      <c r="W921" t="s">
        <v>154</v>
      </c>
      <c r="X921" t="s">
        <v>119</v>
      </c>
      <c r="Y921" t="s">
        <v>112</v>
      </c>
      <c r="Z921" t="s">
        <v>112</v>
      </c>
      <c r="AA921" t="s">
        <v>152</v>
      </c>
      <c r="AB921" t="s">
        <v>153</v>
      </c>
      <c r="AC921" t="s">
        <v>154</v>
      </c>
      <c r="AD921" t="s">
        <v>119</v>
      </c>
      <c r="AE921" t="s">
        <v>112</v>
      </c>
      <c r="AF921" t="s">
        <v>121</v>
      </c>
      <c r="AG921" t="s">
        <v>122</v>
      </c>
      <c r="AH921">
        <v>4657632.4000000004</v>
      </c>
      <c r="AI921" t="s">
        <v>112</v>
      </c>
      <c r="AJ921" t="s">
        <v>152</v>
      </c>
      <c r="AK921" t="s">
        <v>153</v>
      </c>
      <c r="AL921" t="s">
        <v>154</v>
      </c>
      <c r="AM921" t="s">
        <v>119</v>
      </c>
      <c r="AN921" t="s">
        <v>112</v>
      </c>
      <c r="AO921" t="s">
        <v>121</v>
      </c>
      <c r="AP921" t="s">
        <v>122</v>
      </c>
      <c r="AQ921" t="s">
        <v>122</v>
      </c>
      <c r="AR921" t="s">
        <v>124</v>
      </c>
      <c r="AS921" t="s">
        <v>125</v>
      </c>
      <c r="AT921">
        <v>2</v>
      </c>
      <c r="AU921" t="s">
        <v>126</v>
      </c>
      <c r="AV921" t="s">
        <v>155</v>
      </c>
      <c r="AW921" t="s">
        <v>156</v>
      </c>
      <c r="AY921" t="s">
        <v>129</v>
      </c>
      <c r="AZ921">
        <v>41158.239999999998</v>
      </c>
      <c r="BC921">
        <v>103.1631</v>
      </c>
      <c r="BD921" t="s">
        <v>112</v>
      </c>
      <c r="BE921" t="s">
        <v>112</v>
      </c>
      <c r="BF921" t="s">
        <v>157</v>
      </c>
      <c r="BG921" t="s">
        <v>133</v>
      </c>
      <c r="BH921" t="s">
        <v>167</v>
      </c>
      <c r="BI921" t="s">
        <v>112</v>
      </c>
      <c r="BJ921" t="s">
        <v>112</v>
      </c>
      <c r="BK921" t="s">
        <v>112</v>
      </c>
      <c r="BL921" t="s">
        <v>158</v>
      </c>
      <c r="BM921" t="s">
        <v>159</v>
      </c>
      <c r="BN921" t="s">
        <v>160</v>
      </c>
      <c r="BO921" t="s">
        <v>161</v>
      </c>
      <c r="BQ921" t="s">
        <v>205</v>
      </c>
      <c r="BR921" s="45">
        <f>ISNUMBER(SEARCH($BR$1,Таблица1[[#This Row],[31_1 Описание и характеристика товара]]))*1</f>
        <v>1</v>
      </c>
      <c r="BT921" t="s">
        <v>150</v>
      </c>
      <c r="BU921">
        <v>33</v>
      </c>
      <c r="BV921">
        <v>0</v>
      </c>
      <c r="BW921">
        <v>0</v>
      </c>
      <c r="BY921">
        <v>0</v>
      </c>
      <c r="CA921" t="s">
        <v>106</v>
      </c>
      <c r="CB921" t="s">
        <v>142</v>
      </c>
      <c r="CC921" t="s">
        <v>112</v>
      </c>
      <c r="CD921" t="s">
        <v>112</v>
      </c>
      <c r="CE921" t="s">
        <v>121</v>
      </c>
      <c r="CF921">
        <v>17438.5</v>
      </c>
      <c r="CG921" t="s">
        <v>144</v>
      </c>
      <c r="CH921">
        <v>4000000</v>
      </c>
      <c r="CI921">
        <v>17276.099999999999</v>
      </c>
      <c r="CJ921">
        <v>0</v>
      </c>
      <c r="CK921" t="s">
        <v>112</v>
      </c>
      <c r="CL921" t="s">
        <v>112</v>
      </c>
      <c r="CM921">
        <v>41158.239999999998</v>
      </c>
      <c r="CO921">
        <v>0</v>
      </c>
      <c r="CP921">
        <v>1</v>
      </c>
      <c r="CQ921">
        <v>4657632.4000000004</v>
      </c>
      <c r="CR921">
        <v>47812.42</v>
      </c>
      <c r="CS921" t="s">
        <v>145</v>
      </c>
      <c r="CT921">
        <v>47854.796999999999</v>
      </c>
      <c r="CU921">
        <v>2.77</v>
      </c>
      <c r="CV921">
        <v>45</v>
      </c>
      <c r="CX921" t="s">
        <v>729</v>
      </c>
      <c r="CY921">
        <v>180</v>
      </c>
    </row>
    <row r="922" spans="1:103" x14ac:dyDescent="0.25">
      <c r="A922" t="s">
        <v>106</v>
      </c>
      <c r="B922" s="38">
        <v>44981</v>
      </c>
      <c r="C922" s="43">
        <f>IF(YEAR(Таблица1[[#This Row],[Дата]])=2023,MONTH(Таблица1[[#This Row],[Дата]]),0)</f>
        <v>2</v>
      </c>
      <c r="D922" t="s">
        <v>2069</v>
      </c>
      <c r="E922" t="s">
        <v>108</v>
      </c>
      <c r="F922" t="s">
        <v>2070</v>
      </c>
      <c r="G922" t="s">
        <v>110</v>
      </c>
      <c r="H922" t="s">
        <v>111</v>
      </c>
      <c r="I922" t="s">
        <v>112</v>
      </c>
      <c r="J922" t="s">
        <v>112</v>
      </c>
      <c r="K922" t="s">
        <v>112</v>
      </c>
      <c r="L922" t="s">
        <v>150</v>
      </c>
      <c r="M922" t="s">
        <v>151</v>
      </c>
      <c r="N922" t="s">
        <v>112</v>
      </c>
      <c r="O922" t="s">
        <v>112</v>
      </c>
      <c r="P922">
        <v>1</v>
      </c>
      <c r="R922">
        <v>1</v>
      </c>
      <c r="S922">
        <v>33</v>
      </c>
      <c r="T922" t="s">
        <v>112</v>
      </c>
      <c r="U922" t="s">
        <v>152</v>
      </c>
      <c r="V922" t="s">
        <v>153</v>
      </c>
      <c r="W922" t="s">
        <v>154</v>
      </c>
      <c r="X922" t="s">
        <v>119</v>
      </c>
      <c r="Y922" t="s">
        <v>112</v>
      </c>
      <c r="Z922" t="s">
        <v>112</v>
      </c>
      <c r="AA922" t="s">
        <v>152</v>
      </c>
      <c r="AB922" t="s">
        <v>153</v>
      </c>
      <c r="AC922" t="s">
        <v>154</v>
      </c>
      <c r="AD922" t="s">
        <v>119</v>
      </c>
      <c r="AE922" t="s">
        <v>112</v>
      </c>
      <c r="AF922" t="s">
        <v>121</v>
      </c>
      <c r="AG922" t="s">
        <v>122</v>
      </c>
      <c r="AH922">
        <v>4887516.92</v>
      </c>
      <c r="AI922" t="s">
        <v>112</v>
      </c>
      <c r="AJ922" t="s">
        <v>152</v>
      </c>
      <c r="AK922" t="s">
        <v>153</v>
      </c>
      <c r="AL922" t="s">
        <v>154</v>
      </c>
      <c r="AM922" t="s">
        <v>119</v>
      </c>
      <c r="AN922" t="s">
        <v>112</v>
      </c>
      <c r="AO922" t="s">
        <v>121</v>
      </c>
      <c r="AP922" t="s">
        <v>122</v>
      </c>
      <c r="AQ922" t="s">
        <v>122</v>
      </c>
      <c r="AR922" t="s">
        <v>124</v>
      </c>
      <c r="AS922" t="s">
        <v>125</v>
      </c>
      <c r="AT922">
        <v>2</v>
      </c>
      <c r="AU922" t="s">
        <v>126</v>
      </c>
      <c r="AV922" t="s">
        <v>155</v>
      </c>
      <c r="AW922" t="s">
        <v>156</v>
      </c>
      <c r="AY922" t="s">
        <v>129</v>
      </c>
      <c r="AZ922">
        <v>43386.6</v>
      </c>
      <c r="BC922">
        <v>103.1631</v>
      </c>
      <c r="BD922" t="s">
        <v>112</v>
      </c>
      <c r="BE922" t="s">
        <v>112</v>
      </c>
      <c r="BF922" t="s">
        <v>157</v>
      </c>
      <c r="BG922" t="s">
        <v>133</v>
      </c>
      <c r="BH922" t="s">
        <v>134</v>
      </c>
      <c r="BI922" t="s">
        <v>112</v>
      </c>
      <c r="BJ922" t="s">
        <v>112</v>
      </c>
      <c r="BK922" t="s">
        <v>112</v>
      </c>
      <c r="BL922" t="s">
        <v>158</v>
      </c>
      <c r="BM922" t="s">
        <v>159</v>
      </c>
      <c r="BN922" t="s">
        <v>212</v>
      </c>
      <c r="BO922" t="s">
        <v>161</v>
      </c>
      <c r="BQ922" t="s">
        <v>162</v>
      </c>
      <c r="BR922" s="45">
        <f>ISNUMBER(SEARCH($BR$1,Таблица1[[#This Row],[31_1 Описание и характеристика товара]]))*1</f>
        <v>1</v>
      </c>
      <c r="BT922" t="s">
        <v>150</v>
      </c>
      <c r="BU922">
        <v>33</v>
      </c>
      <c r="BV922">
        <v>0</v>
      </c>
      <c r="BW922">
        <v>0</v>
      </c>
      <c r="BY922">
        <v>0</v>
      </c>
      <c r="CA922" t="s">
        <v>106</v>
      </c>
      <c r="CB922" t="s">
        <v>142</v>
      </c>
      <c r="CC922" t="s">
        <v>112</v>
      </c>
      <c r="CD922" t="s">
        <v>112</v>
      </c>
      <c r="CE922" t="s">
        <v>121</v>
      </c>
      <c r="CF922">
        <v>15065.04</v>
      </c>
      <c r="CG922" t="s">
        <v>144</v>
      </c>
      <c r="CH922">
        <v>4000000</v>
      </c>
      <c r="CI922">
        <v>14745.84</v>
      </c>
      <c r="CJ922">
        <v>0</v>
      </c>
      <c r="CK922" t="s">
        <v>112</v>
      </c>
      <c r="CL922" t="s">
        <v>112</v>
      </c>
      <c r="CM922">
        <v>43386.6</v>
      </c>
      <c r="CO922">
        <v>0</v>
      </c>
      <c r="CP922">
        <v>1</v>
      </c>
      <c r="CQ922">
        <v>4887516.92</v>
      </c>
      <c r="CR922">
        <v>50172.27</v>
      </c>
      <c r="CS922" t="s">
        <v>145</v>
      </c>
      <c r="CT922">
        <v>50135.856</v>
      </c>
      <c r="CU922">
        <v>3.4</v>
      </c>
      <c r="CV922">
        <v>45</v>
      </c>
      <c r="CX922" t="s">
        <v>1140</v>
      </c>
      <c r="CY922">
        <v>366</v>
      </c>
    </row>
    <row r="923" spans="1:103" x14ac:dyDescent="0.25">
      <c r="A923" t="s">
        <v>106</v>
      </c>
      <c r="B923" s="38">
        <v>45276</v>
      </c>
      <c r="C923" s="43">
        <f>IF(YEAR(Таблица1[[#This Row],[Дата]])=2023,MONTH(Таблица1[[#This Row],[Дата]]),0)</f>
        <v>12</v>
      </c>
      <c r="D923" t="s">
        <v>1634</v>
      </c>
      <c r="E923" t="s">
        <v>108</v>
      </c>
      <c r="F923" t="s">
        <v>1635</v>
      </c>
      <c r="G923" t="s">
        <v>110</v>
      </c>
      <c r="H923" t="s">
        <v>111</v>
      </c>
      <c r="I923" t="s">
        <v>112</v>
      </c>
      <c r="J923" t="s">
        <v>112</v>
      </c>
      <c r="K923" t="s">
        <v>112</v>
      </c>
      <c r="L923" t="s">
        <v>150</v>
      </c>
      <c r="M923" t="s">
        <v>151</v>
      </c>
      <c r="N923" t="s">
        <v>112</v>
      </c>
      <c r="O923" t="s">
        <v>112</v>
      </c>
      <c r="R923">
        <v>1</v>
      </c>
      <c r="S923">
        <v>33</v>
      </c>
      <c r="T923" t="s">
        <v>166</v>
      </c>
      <c r="U923" t="s">
        <v>152</v>
      </c>
      <c r="V923" t="s">
        <v>153</v>
      </c>
      <c r="W923" t="s">
        <v>154</v>
      </c>
      <c r="X923" t="s">
        <v>119</v>
      </c>
      <c r="Y923" t="s">
        <v>112</v>
      </c>
      <c r="Z923" t="s">
        <v>166</v>
      </c>
      <c r="AA923" t="s">
        <v>152</v>
      </c>
      <c r="AB923" t="s">
        <v>153</v>
      </c>
      <c r="AC923" t="s">
        <v>154</v>
      </c>
      <c r="AD923" t="s">
        <v>119</v>
      </c>
      <c r="AE923" t="s">
        <v>112</v>
      </c>
      <c r="AF923" t="s">
        <v>121</v>
      </c>
      <c r="AG923" t="s">
        <v>122</v>
      </c>
      <c r="AH923">
        <v>4580846.8099999996</v>
      </c>
      <c r="AI923" t="s">
        <v>166</v>
      </c>
      <c r="AJ923" t="s">
        <v>152</v>
      </c>
      <c r="AK923" t="s">
        <v>153</v>
      </c>
      <c r="AL923" t="s">
        <v>154</v>
      </c>
      <c r="AM923" t="s">
        <v>119</v>
      </c>
      <c r="AN923" t="s">
        <v>112</v>
      </c>
      <c r="AO923" t="s">
        <v>121</v>
      </c>
      <c r="AP923" t="s">
        <v>122</v>
      </c>
      <c r="AQ923" t="s">
        <v>122</v>
      </c>
      <c r="AR923" t="s">
        <v>124</v>
      </c>
      <c r="AS923" t="s">
        <v>125</v>
      </c>
      <c r="AU923" t="s">
        <v>126</v>
      </c>
      <c r="AV923" t="s">
        <v>155</v>
      </c>
      <c r="AW923" t="s">
        <v>156</v>
      </c>
      <c r="AY923" t="s">
        <v>129</v>
      </c>
      <c r="AZ923">
        <v>41360.58</v>
      </c>
      <c r="BC923">
        <v>100.69880000000001</v>
      </c>
      <c r="BD923" t="s">
        <v>112</v>
      </c>
      <c r="BE923" t="s">
        <v>112</v>
      </c>
      <c r="BF923" t="s">
        <v>112</v>
      </c>
      <c r="BG923" t="s">
        <v>133</v>
      </c>
      <c r="BH923" t="s">
        <v>1624</v>
      </c>
      <c r="BI923" t="s">
        <v>112</v>
      </c>
      <c r="BJ923" t="s">
        <v>112</v>
      </c>
      <c r="BK923" t="s">
        <v>112</v>
      </c>
      <c r="BL923" t="s">
        <v>112</v>
      </c>
      <c r="BM923" t="s">
        <v>112</v>
      </c>
      <c r="BN923" t="s">
        <v>112</v>
      </c>
      <c r="BO923" t="s">
        <v>161</v>
      </c>
      <c r="BQ923" t="s">
        <v>205</v>
      </c>
      <c r="BR923" s="45">
        <f>ISNUMBER(SEARCH($BR$1,Таблица1[[#This Row],[31_1 Описание и характеристика товара]]))*1</f>
        <v>1</v>
      </c>
      <c r="BT923" t="s">
        <v>150</v>
      </c>
      <c r="BU923">
        <v>33</v>
      </c>
      <c r="BW923">
        <v>0</v>
      </c>
      <c r="CA923" t="s">
        <v>106</v>
      </c>
      <c r="CB923" t="s">
        <v>142</v>
      </c>
      <c r="CC923" t="s">
        <v>112</v>
      </c>
      <c r="CD923" t="s">
        <v>112</v>
      </c>
      <c r="CE923" t="s">
        <v>121</v>
      </c>
      <c r="CF923">
        <v>16336.92</v>
      </c>
      <c r="CG923" t="s">
        <v>144</v>
      </c>
      <c r="CH923">
        <v>4000000</v>
      </c>
      <c r="CI923">
        <v>16246.92</v>
      </c>
      <c r="CJ923">
        <v>0</v>
      </c>
      <c r="CK923" t="s">
        <v>112</v>
      </c>
      <c r="CL923" t="s">
        <v>112</v>
      </c>
      <c r="CM923">
        <v>41360.58</v>
      </c>
      <c r="CQ923">
        <v>4580846.8099999996</v>
      </c>
      <c r="CR923">
        <v>49913.61</v>
      </c>
      <c r="CS923" t="s">
        <v>145</v>
      </c>
      <c r="CT923">
        <v>49878.044399999999</v>
      </c>
      <c r="CU923">
        <v>3.07</v>
      </c>
      <c r="CY923">
        <v>556</v>
      </c>
    </row>
    <row r="924" spans="1:103" x14ac:dyDescent="0.25">
      <c r="A924" t="s">
        <v>106</v>
      </c>
      <c r="B924" s="38">
        <v>44938</v>
      </c>
      <c r="C924" s="43">
        <f>IF(YEAR(Таблица1[[#This Row],[Дата]])=2023,MONTH(Таблица1[[#This Row],[Дата]]),0)</f>
        <v>1</v>
      </c>
      <c r="D924" t="s">
        <v>1632</v>
      </c>
      <c r="E924" t="s">
        <v>108</v>
      </c>
      <c r="F924" t="s">
        <v>1633</v>
      </c>
      <c r="G924" t="s">
        <v>110</v>
      </c>
      <c r="H924" t="s">
        <v>111</v>
      </c>
      <c r="I924" t="s">
        <v>112</v>
      </c>
      <c r="J924" t="s">
        <v>112</v>
      </c>
      <c r="K924" t="s">
        <v>112</v>
      </c>
      <c r="L924" t="s">
        <v>150</v>
      </c>
      <c r="M924" t="s">
        <v>151</v>
      </c>
      <c r="N924" t="s">
        <v>112</v>
      </c>
      <c r="O924" t="s">
        <v>112</v>
      </c>
      <c r="R924">
        <v>1</v>
      </c>
      <c r="S924">
        <v>33</v>
      </c>
      <c r="T924" t="s">
        <v>166</v>
      </c>
      <c r="U924" t="s">
        <v>152</v>
      </c>
      <c r="V924" t="s">
        <v>153</v>
      </c>
      <c r="W924" t="s">
        <v>154</v>
      </c>
      <c r="X924" t="s">
        <v>119</v>
      </c>
      <c r="Y924" t="s">
        <v>112</v>
      </c>
      <c r="Z924" t="s">
        <v>166</v>
      </c>
      <c r="AA924" t="s">
        <v>152</v>
      </c>
      <c r="AB924" t="s">
        <v>153</v>
      </c>
      <c r="AC924" t="s">
        <v>154</v>
      </c>
      <c r="AD924" t="s">
        <v>119</v>
      </c>
      <c r="AE924" t="s">
        <v>112</v>
      </c>
      <c r="AF924" t="s">
        <v>121</v>
      </c>
      <c r="AG924" t="s">
        <v>122</v>
      </c>
      <c r="AH924">
        <v>4558932.74</v>
      </c>
      <c r="AI924" t="s">
        <v>166</v>
      </c>
      <c r="AJ924" t="s">
        <v>152</v>
      </c>
      <c r="AK924" t="s">
        <v>153</v>
      </c>
      <c r="AL924" t="s">
        <v>154</v>
      </c>
      <c r="AM924" t="s">
        <v>119</v>
      </c>
      <c r="AN924" t="s">
        <v>112</v>
      </c>
      <c r="AO924" t="s">
        <v>121</v>
      </c>
      <c r="AP924" t="s">
        <v>122</v>
      </c>
      <c r="AQ924" t="s">
        <v>122</v>
      </c>
      <c r="AR924" t="s">
        <v>124</v>
      </c>
      <c r="AS924" t="s">
        <v>125</v>
      </c>
      <c r="AU924" t="s">
        <v>126</v>
      </c>
      <c r="AV924" t="s">
        <v>155</v>
      </c>
      <c r="AW924" t="s">
        <v>156</v>
      </c>
      <c r="AY924" t="s">
        <v>129</v>
      </c>
      <c r="AZ924">
        <v>40442.959999999999</v>
      </c>
      <c r="BC924">
        <v>100.69880000000001</v>
      </c>
      <c r="BD924" t="s">
        <v>112</v>
      </c>
      <c r="BE924" t="s">
        <v>112</v>
      </c>
      <c r="BF924" t="s">
        <v>112</v>
      </c>
      <c r="BG924" t="s">
        <v>133</v>
      </c>
      <c r="BH924" t="s">
        <v>1624</v>
      </c>
      <c r="BI924" t="s">
        <v>112</v>
      </c>
      <c r="BJ924" t="s">
        <v>112</v>
      </c>
      <c r="BK924" t="s">
        <v>112</v>
      </c>
      <c r="BL924" t="s">
        <v>112</v>
      </c>
      <c r="BM924" t="s">
        <v>112</v>
      </c>
      <c r="BN924" t="s">
        <v>112</v>
      </c>
      <c r="BO924" t="s">
        <v>161</v>
      </c>
      <c r="BQ924" t="s">
        <v>162</v>
      </c>
      <c r="BR924" s="45">
        <f>ISNUMBER(SEARCH($BR$1,Таблица1[[#This Row],[31_1 Описание и характеристика товара]]))*1</f>
        <v>1</v>
      </c>
      <c r="BT924" t="s">
        <v>150</v>
      </c>
      <c r="BU924">
        <v>33</v>
      </c>
      <c r="BW924">
        <v>0</v>
      </c>
      <c r="CA924" t="s">
        <v>106</v>
      </c>
      <c r="CB924" t="s">
        <v>142</v>
      </c>
      <c r="CC924" t="s">
        <v>112</v>
      </c>
      <c r="CD924" t="s">
        <v>112</v>
      </c>
      <c r="CE924" t="s">
        <v>121</v>
      </c>
      <c r="CF924">
        <v>16797.45</v>
      </c>
      <c r="CG924" t="s">
        <v>144</v>
      </c>
      <c r="CH924">
        <v>4000000</v>
      </c>
      <c r="CI924">
        <v>16711.05</v>
      </c>
      <c r="CJ924">
        <v>0</v>
      </c>
      <c r="CK924" t="s">
        <v>112</v>
      </c>
      <c r="CL924" t="s">
        <v>112</v>
      </c>
      <c r="CM924">
        <v>40442.959999999999</v>
      </c>
      <c r="CQ924">
        <v>4558932.74</v>
      </c>
      <c r="CR924">
        <v>49674.83</v>
      </c>
      <c r="CS924" t="s">
        <v>145</v>
      </c>
      <c r="CT924">
        <v>49631.818500000001</v>
      </c>
      <c r="CU924">
        <v>2.97</v>
      </c>
      <c r="CY924">
        <v>166</v>
      </c>
    </row>
    <row r="925" spans="1:103" x14ac:dyDescent="0.25">
      <c r="A925" t="s">
        <v>106</v>
      </c>
      <c r="B925" s="38">
        <v>45013</v>
      </c>
      <c r="C925" s="43">
        <f>IF(YEAR(Таблица1[[#This Row],[Дата]])=2023,MONTH(Таблица1[[#This Row],[Дата]]),0)</f>
        <v>3</v>
      </c>
      <c r="D925" t="s">
        <v>1286</v>
      </c>
      <c r="E925" t="s">
        <v>108</v>
      </c>
      <c r="F925" t="s">
        <v>1287</v>
      </c>
      <c r="G925" t="s">
        <v>110</v>
      </c>
      <c r="H925" t="s">
        <v>111</v>
      </c>
      <c r="I925" t="s">
        <v>112</v>
      </c>
      <c r="J925" t="s">
        <v>112</v>
      </c>
      <c r="K925" t="s">
        <v>112</v>
      </c>
      <c r="L925" t="s">
        <v>150</v>
      </c>
      <c r="M925" t="s">
        <v>1060</v>
      </c>
      <c r="N925" t="s">
        <v>112</v>
      </c>
      <c r="O925" t="s">
        <v>112</v>
      </c>
      <c r="P925">
        <v>1</v>
      </c>
      <c r="Q925">
        <v>0</v>
      </c>
      <c r="R925">
        <v>1</v>
      </c>
      <c r="S925">
        <v>33</v>
      </c>
      <c r="T925" t="s">
        <v>166</v>
      </c>
      <c r="U925" t="s">
        <v>152</v>
      </c>
      <c r="V925" t="s">
        <v>153</v>
      </c>
      <c r="W925" t="s">
        <v>154</v>
      </c>
      <c r="X925" t="s">
        <v>119</v>
      </c>
      <c r="Y925" t="s">
        <v>112</v>
      </c>
      <c r="Z925" t="s">
        <v>166</v>
      </c>
      <c r="AA925" t="s">
        <v>152</v>
      </c>
      <c r="AB925" t="s">
        <v>153</v>
      </c>
      <c r="AC925" t="s">
        <v>154</v>
      </c>
      <c r="AD925" t="s">
        <v>119</v>
      </c>
      <c r="AE925" t="s">
        <v>112</v>
      </c>
      <c r="AF925" t="s">
        <v>121</v>
      </c>
      <c r="AG925" t="s">
        <v>122</v>
      </c>
      <c r="AH925">
        <v>4239480.08</v>
      </c>
      <c r="AI925" t="s">
        <v>166</v>
      </c>
      <c r="AJ925" t="s">
        <v>152</v>
      </c>
      <c r="AK925" t="s">
        <v>153</v>
      </c>
      <c r="AL925" t="s">
        <v>154</v>
      </c>
      <c r="AM925" t="s">
        <v>119</v>
      </c>
      <c r="AN925" t="s">
        <v>112</v>
      </c>
      <c r="AO925" t="s">
        <v>121</v>
      </c>
      <c r="AP925" t="s">
        <v>122</v>
      </c>
      <c r="AQ925" t="s">
        <v>122</v>
      </c>
      <c r="AR925" t="s">
        <v>124</v>
      </c>
      <c r="AS925" t="s">
        <v>125</v>
      </c>
      <c r="AT925">
        <v>2</v>
      </c>
      <c r="AU925" t="s">
        <v>126</v>
      </c>
      <c r="AV925" t="s">
        <v>155</v>
      </c>
      <c r="AW925" t="s">
        <v>156</v>
      </c>
      <c r="AX925">
        <v>1</v>
      </c>
      <c r="AY925" t="s">
        <v>129</v>
      </c>
      <c r="AZ925">
        <v>44138.080000000002</v>
      </c>
      <c r="BA925">
        <v>3821316</v>
      </c>
      <c r="BB925">
        <v>52361.43</v>
      </c>
      <c r="BC925">
        <v>86.576400000000007</v>
      </c>
      <c r="BD925" t="s">
        <v>130</v>
      </c>
      <c r="BE925" t="s">
        <v>112</v>
      </c>
      <c r="BF925" t="s">
        <v>157</v>
      </c>
      <c r="BG925" t="s">
        <v>133</v>
      </c>
      <c r="BH925" t="s">
        <v>134</v>
      </c>
      <c r="BI925" t="s">
        <v>112</v>
      </c>
      <c r="BJ925" t="s">
        <v>112</v>
      </c>
      <c r="BK925" t="s">
        <v>112</v>
      </c>
      <c r="BL925" t="s">
        <v>169</v>
      </c>
      <c r="BM925" t="s">
        <v>159</v>
      </c>
      <c r="BN925" t="s">
        <v>722</v>
      </c>
      <c r="BO925" t="s">
        <v>161</v>
      </c>
      <c r="BP925">
        <v>1</v>
      </c>
      <c r="BQ925" t="s">
        <v>205</v>
      </c>
      <c r="BR925" s="45">
        <f>ISNUMBER(SEARCH($BR$1,Таблица1[[#This Row],[31_1 Описание и характеристика товара]]))*1</f>
        <v>1</v>
      </c>
      <c r="BT925" t="s">
        <v>150</v>
      </c>
      <c r="BU925">
        <v>33</v>
      </c>
      <c r="BV925">
        <v>0</v>
      </c>
      <c r="BW925">
        <v>0</v>
      </c>
      <c r="BY925">
        <v>0</v>
      </c>
      <c r="CA925" t="s">
        <v>106</v>
      </c>
      <c r="CB925" t="s">
        <v>142</v>
      </c>
      <c r="CC925" t="s">
        <v>112</v>
      </c>
      <c r="CD925" t="s">
        <v>112</v>
      </c>
      <c r="CE925" t="s">
        <v>121</v>
      </c>
      <c r="CF925">
        <v>16715.78</v>
      </c>
      <c r="CG925" t="s">
        <v>144</v>
      </c>
      <c r="CH925">
        <v>4000000</v>
      </c>
      <c r="CI925">
        <v>16715.78</v>
      </c>
      <c r="CJ925">
        <v>0</v>
      </c>
      <c r="CK925" t="s">
        <v>112</v>
      </c>
      <c r="CL925" t="s">
        <v>112</v>
      </c>
      <c r="CM925">
        <v>44138.080000000002</v>
      </c>
      <c r="CN925">
        <v>3821316</v>
      </c>
      <c r="CO925">
        <v>0</v>
      </c>
      <c r="CP925">
        <v>1</v>
      </c>
      <c r="CQ925">
        <v>4239480.08</v>
      </c>
      <c r="CR925">
        <v>52361.43</v>
      </c>
      <c r="CS925" t="s">
        <v>145</v>
      </c>
      <c r="CT925">
        <v>52320.391399999993</v>
      </c>
      <c r="CU925">
        <v>3.13</v>
      </c>
      <c r="CV925">
        <v>45</v>
      </c>
      <c r="CW925" t="s">
        <v>171</v>
      </c>
      <c r="CX925" t="s">
        <v>463</v>
      </c>
      <c r="CY925">
        <v>146</v>
      </c>
    </row>
    <row r="926" spans="1:103" x14ac:dyDescent="0.25">
      <c r="A926" t="s">
        <v>106</v>
      </c>
      <c r="B926" s="38">
        <v>45251</v>
      </c>
      <c r="C926" s="43">
        <f>IF(YEAR(Таблица1[[#This Row],[Дата]])=2023,MONTH(Таблица1[[#This Row],[Дата]]),0)</f>
        <v>11</v>
      </c>
      <c r="D926" t="s">
        <v>1115</v>
      </c>
      <c r="E926" t="s">
        <v>108</v>
      </c>
      <c r="F926" t="s">
        <v>1116</v>
      </c>
      <c r="G926" t="s">
        <v>110</v>
      </c>
      <c r="H926" t="s">
        <v>111</v>
      </c>
      <c r="I926" t="s">
        <v>112</v>
      </c>
      <c r="J926" t="s">
        <v>112</v>
      </c>
      <c r="K926" t="s">
        <v>112</v>
      </c>
      <c r="L926" t="s">
        <v>150</v>
      </c>
      <c r="M926" t="s">
        <v>1103</v>
      </c>
      <c r="N926" t="s">
        <v>112</v>
      </c>
      <c r="O926" t="s">
        <v>112</v>
      </c>
      <c r="P926">
        <v>1</v>
      </c>
      <c r="Q926">
        <v>0</v>
      </c>
      <c r="R926">
        <v>1</v>
      </c>
      <c r="S926">
        <v>33</v>
      </c>
      <c r="T926" t="s">
        <v>166</v>
      </c>
      <c r="U926" t="s">
        <v>152</v>
      </c>
      <c r="V926" t="s">
        <v>153</v>
      </c>
      <c r="W926" t="s">
        <v>154</v>
      </c>
      <c r="X926" t="s">
        <v>119</v>
      </c>
      <c r="Y926" t="s">
        <v>112</v>
      </c>
      <c r="Z926" t="s">
        <v>166</v>
      </c>
      <c r="AA926" t="s">
        <v>152</v>
      </c>
      <c r="AB926" t="s">
        <v>153</v>
      </c>
      <c r="AC926" t="s">
        <v>154</v>
      </c>
      <c r="AD926" t="s">
        <v>119</v>
      </c>
      <c r="AE926" t="s">
        <v>112</v>
      </c>
      <c r="AF926" t="s">
        <v>121</v>
      </c>
      <c r="AG926" t="s">
        <v>122</v>
      </c>
      <c r="AH926">
        <v>4017614.56</v>
      </c>
      <c r="AI926" t="s">
        <v>166</v>
      </c>
      <c r="AJ926" t="s">
        <v>152</v>
      </c>
      <c r="AK926" t="s">
        <v>153</v>
      </c>
      <c r="AL926" t="s">
        <v>154</v>
      </c>
      <c r="AM926" t="s">
        <v>119</v>
      </c>
      <c r="AN926" t="s">
        <v>112</v>
      </c>
      <c r="AO926" t="s">
        <v>121</v>
      </c>
      <c r="AP926" t="s">
        <v>122</v>
      </c>
      <c r="AQ926" t="s">
        <v>122</v>
      </c>
      <c r="AR926" t="s">
        <v>124</v>
      </c>
      <c r="AS926" t="s">
        <v>125</v>
      </c>
      <c r="AT926">
        <v>2</v>
      </c>
      <c r="AU926" t="s">
        <v>126</v>
      </c>
      <c r="AV926" t="s">
        <v>155</v>
      </c>
      <c r="AW926" t="s">
        <v>156</v>
      </c>
      <c r="AX926">
        <v>1</v>
      </c>
      <c r="AY926" t="s">
        <v>129</v>
      </c>
      <c r="AZ926">
        <v>40412.94</v>
      </c>
      <c r="BA926">
        <v>3571340</v>
      </c>
      <c r="BB926">
        <v>49902.49</v>
      </c>
      <c r="BC926">
        <v>88.371200000000002</v>
      </c>
      <c r="BD926" t="s">
        <v>130</v>
      </c>
      <c r="BE926" t="s">
        <v>112</v>
      </c>
      <c r="BF926" t="s">
        <v>157</v>
      </c>
      <c r="BG926" t="s">
        <v>133</v>
      </c>
      <c r="BH926" t="s">
        <v>134</v>
      </c>
      <c r="BI926" t="s">
        <v>112</v>
      </c>
      <c r="BJ926" t="s">
        <v>112</v>
      </c>
      <c r="BK926" t="s">
        <v>112</v>
      </c>
      <c r="BL926" t="s">
        <v>169</v>
      </c>
      <c r="BM926" t="s">
        <v>159</v>
      </c>
      <c r="BN926" t="s">
        <v>722</v>
      </c>
      <c r="BO926" t="s">
        <v>161</v>
      </c>
      <c r="BP926">
        <v>1</v>
      </c>
      <c r="BQ926" t="s">
        <v>205</v>
      </c>
      <c r="BR926" s="45">
        <f>ISNUMBER(SEARCH($BR$1,Таблица1[[#This Row],[31_1 Описание и характеристика товара]]))*1</f>
        <v>1</v>
      </c>
      <c r="BT926" t="s">
        <v>150</v>
      </c>
      <c r="BU926">
        <v>33</v>
      </c>
      <c r="BV926">
        <v>0</v>
      </c>
      <c r="BW926">
        <v>0</v>
      </c>
      <c r="BY926">
        <v>0</v>
      </c>
      <c r="CA926" t="s">
        <v>106</v>
      </c>
      <c r="CB926" t="s">
        <v>142</v>
      </c>
      <c r="CC926" t="s">
        <v>112</v>
      </c>
      <c r="CD926" t="s">
        <v>112</v>
      </c>
      <c r="CE926" t="s">
        <v>121</v>
      </c>
      <c r="CF926">
        <v>16789.759999999998</v>
      </c>
      <c r="CG926" t="s">
        <v>144</v>
      </c>
      <c r="CH926">
        <v>4000000</v>
      </c>
      <c r="CI926">
        <v>16789.759999999998</v>
      </c>
      <c r="CJ926">
        <v>0</v>
      </c>
      <c r="CK926" t="s">
        <v>112</v>
      </c>
      <c r="CL926" t="s">
        <v>112</v>
      </c>
      <c r="CM926">
        <v>40412.94</v>
      </c>
      <c r="CN926">
        <v>3571340</v>
      </c>
      <c r="CO926">
        <v>0</v>
      </c>
      <c r="CP926">
        <v>1</v>
      </c>
      <c r="CQ926">
        <v>4017614.56</v>
      </c>
      <c r="CR926">
        <v>49902.49</v>
      </c>
      <c r="CS926" t="s">
        <v>145</v>
      </c>
      <c r="CT926">
        <v>49902.524671999992</v>
      </c>
      <c r="CU926">
        <v>2.9722</v>
      </c>
      <c r="CV926">
        <v>45</v>
      </c>
      <c r="CW926" t="s">
        <v>171</v>
      </c>
      <c r="CX926" t="s">
        <v>463</v>
      </c>
      <c r="CY926">
        <v>271</v>
      </c>
    </row>
    <row r="927" spans="1:103" x14ac:dyDescent="0.25">
      <c r="A927" t="s">
        <v>106</v>
      </c>
      <c r="B927" s="38">
        <v>45211</v>
      </c>
      <c r="C927" s="43">
        <f>IF(YEAR(Таблица1[[#This Row],[Дата]])=2023,MONTH(Таблица1[[#This Row],[Дата]]),0)</f>
        <v>10</v>
      </c>
      <c r="D927" t="s">
        <v>1101</v>
      </c>
      <c r="E927" t="s">
        <v>108</v>
      </c>
      <c r="F927" t="s">
        <v>1102</v>
      </c>
      <c r="G927" t="s">
        <v>110</v>
      </c>
      <c r="H927" t="s">
        <v>111</v>
      </c>
      <c r="I927" t="s">
        <v>112</v>
      </c>
      <c r="J927" t="s">
        <v>112</v>
      </c>
      <c r="K927" t="s">
        <v>112</v>
      </c>
      <c r="L927" t="s">
        <v>150</v>
      </c>
      <c r="M927" t="s">
        <v>1103</v>
      </c>
      <c r="N927" t="s">
        <v>112</v>
      </c>
      <c r="O927" t="s">
        <v>112</v>
      </c>
      <c r="P927">
        <v>1</v>
      </c>
      <c r="Q927">
        <v>0</v>
      </c>
      <c r="R927">
        <v>1</v>
      </c>
      <c r="S927">
        <v>33</v>
      </c>
      <c r="T927" t="s">
        <v>166</v>
      </c>
      <c r="U927" t="s">
        <v>152</v>
      </c>
      <c r="V927" t="s">
        <v>153</v>
      </c>
      <c r="W927" t="s">
        <v>154</v>
      </c>
      <c r="X927" t="s">
        <v>119</v>
      </c>
      <c r="Y927" t="s">
        <v>112</v>
      </c>
      <c r="Z927" t="s">
        <v>166</v>
      </c>
      <c r="AA927" t="s">
        <v>152</v>
      </c>
      <c r="AB927" t="s">
        <v>153</v>
      </c>
      <c r="AC927" t="s">
        <v>154</v>
      </c>
      <c r="AD927" t="s">
        <v>119</v>
      </c>
      <c r="AE927" t="s">
        <v>112</v>
      </c>
      <c r="AF927" t="s">
        <v>121</v>
      </c>
      <c r="AG927" t="s">
        <v>122</v>
      </c>
      <c r="AH927">
        <v>4039733.87</v>
      </c>
      <c r="AI927" t="s">
        <v>166</v>
      </c>
      <c r="AJ927" t="s">
        <v>152</v>
      </c>
      <c r="AK927" t="s">
        <v>153</v>
      </c>
      <c r="AL927" t="s">
        <v>154</v>
      </c>
      <c r="AM927" t="s">
        <v>119</v>
      </c>
      <c r="AN927" t="s">
        <v>112</v>
      </c>
      <c r="AO927" t="s">
        <v>121</v>
      </c>
      <c r="AP927" t="s">
        <v>122</v>
      </c>
      <c r="AQ927" t="s">
        <v>122</v>
      </c>
      <c r="AR927" t="s">
        <v>124</v>
      </c>
      <c r="AS927" t="s">
        <v>125</v>
      </c>
      <c r="AT927">
        <v>2</v>
      </c>
      <c r="AU927" t="s">
        <v>126</v>
      </c>
      <c r="AV927" t="s">
        <v>155</v>
      </c>
      <c r="AW927" t="s">
        <v>156</v>
      </c>
      <c r="AX927">
        <v>1</v>
      </c>
      <c r="AY927" t="s">
        <v>129</v>
      </c>
      <c r="AZ927">
        <v>41363.24</v>
      </c>
      <c r="BA927">
        <v>3655319</v>
      </c>
      <c r="BB927">
        <v>50177.23</v>
      </c>
      <c r="BC927">
        <v>88.371200000000002</v>
      </c>
      <c r="BD927" t="s">
        <v>130</v>
      </c>
      <c r="BE927" t="s">
        <v>112</v>
      </c>
      <c r="BF927" t="s">
        <v>157</v>
      </c>
      <c r="BG927" t="s">
        <v>133</v>
      </c>
      <c r="BH927" t="s">
        <v>167</v>
      </c>
      <c r="BI927" t="s">
        <v>168</v>
      </c>
      <c r="BJ927" t="s">
        <v>112</v>
      </c>
      <c r="BK927" t="s">
        <v>112</v>
      </c>
      <c r="BL927" t="s">
        <v>169</v>
      </c>
      <c r="BM927" t="s">
        <v>159</v>
      </c>
      <c r="BN927" t="s">
        <v>726</v>
      </c>
      <c r="BO927" t="s">
        <v>161</v>
      </c>
      <c r="BP927">
        <v>1</v>
      </c>
      <c r="BQ927" t="s">
        <v>162</v>
      </c>
      <c r="BR927" s="45">
        <f>ISNUMBER(SEARCH($BR$1,Таблица1[[#This Row],[31_1 Описание и характеристика товара]]))*1</f>
        <v>1</v>
      </c>
      <c r="BT927" t="s">
        <v>150</v>
      </c>
      <c r="BU927">
        <v>33</v>
      </c>
      <c r="BV927">
        <v>0</v>
      </c>
      <c r="BW927">
        <v>0</v>
      </c>
      <c r="BY927">
        <v>0</v>
      </c>
      <c r="CA927" t="s">
        <v>106</v>
      </c>
      <c r="CB927" t="s">
        <v>142</v>
      </c>
      <c r="CC927" t="s">
        <v>112</v>
      </c>
      <c r="CD927" t="s">
        <v>112</v>
      </c>
      <c r="CE927" t="s">
        <v>121</v>
      </c>
      <c r="CF927">
        <v>17372.349999999999</v>
      </c>
      <c r="CG927" t="s">
        <v>144</v>
      </c>
      <c r="CH927">
        <v>4000000</v>
      </c>
      <c r="CI927">
        <v>17210.349999999999</v>
      </c>
      <c r="CJ927">
        <v>0</v>
      </c>
      <c r="CK927" t="s">
        <v>112</v>
      </c>
      <c r="CL927" t="s">
        <v>112</v>
      </c>
      <c r="CM927">
        <v>41363.24</v>
      </c>
      <c r="CN927">
        <v>3655319</v>
      </c>
      <c r="CO927">
        <v>0</v>
      </c>
      <c r="CP927">
        <v>1</v>
      </c>
      <c r="CQ927">
        <v>4039733.87</v>
      </c>
      <c r="CR927">
        <v>50177.23</v>
      </c>
      <c r="CS927" t="s">
        <v>145</v>
      </c>
      <c r="CT927">
        <v>50176.775425</v>
      </c>
      <c r="CU927">
        <v>2.9155000000000002</v>
      </c>
      <c r="CV927">
        <v>45</v>
      </c>
      <c r="CW927" t="s">
        <v>171</v>
      </c>
      <c r="CX927" t="s">
        <v>372</v>
      </c>
      <c r="CY927">
        <v>166</v>
      </c>
    </row>
    <row r="928" spans="1:103" x14ac:dyDescent="0.25">
      <c r="A928" t="s">
        <v>106</v>
      </c>
      <c r="B928" s="38">
        <v>45130</v>
      </c>
      <c r="C928" s="43">
        <f>IF(YEAR(Таблица1[[#This Row],[Дата]])=2023,MONTH(Таблица1[[#This Row],[Дата]]),0)</f>
        <v>7</v>
      </c>
      <c r="D928" t="s">
        <v>1111</v>
      </c>
      <c r="E928" t="s">
        <v>108</v>
      </c>
      <c r="F928" t="s">
        <v>1112</v>
      </c>
      <c r="G928" t="s">
        <v>110</v>
      </c>
      <c r="H928" t="s">
        <v>111</v>
      </c>
      <c r="I928" t="s">
        <v>112</v>
      </c>
      <c r="J928" t="s">
        <v>112</v>
      </c>
      <c r="K928" t="s">
        <v>112</v>
      </c>
      <c r="L928" t="s">
        <v>150</v>
      </c>
      <c r="M928" t="s">
        <v>1103</v>
      </c>
      <c r="N928" t="s">
        <v>112</v>
      </c>
      <c r="O928" t="s">
        <v>112</v>
      </c>
      <c r="P928">
        <v>1</v>
      </c>
      <c r="Q928">
        <v>0</v>
      </c>
      <c r="R928">
        <v>1</v>
      </c>
      <c r="S928">
        <v>33</v>
      </c>
      <c r="T928" t="s">
        <v>166</v>
      </c>
      <c r="U928" t="s">
        <v>152</v>
      </c>
      <c r="V928" t="s">
        <v>153</v>
      </c>
      <c r="W928" t="s">
        <v>154</v>
      </c>
      <c r="X928" t="s">
        <v>119</v>
      </c>
      <c r="Y928" t="s">
        <v>112</v>
      </c>
      <c r="Z928" t="s">
        <v>166</v>
      </c>
      <c r="AA928" t="s">
        <v>152</v>
      </c>
      <c r="AB928" t="s">
        <v>153</v>
      </c>
      <c r="AC928" t="s">
        <v>154</v>
      </c>
      <c r="AD928" t="s">
        <v>119</v>
      </c>
      <c r="AE928" t="s">
        <v>112</v>
      </c>
      <c r="AF928" t="s">
        <v>121</v>
      </c>
      <c r="AG928" t="s">
        <v>122</v>
      </c>
      <c r="AH928">
        <v>4219552.4800000004</v>
      </c>
      <c r="AI928" t="s">
        <v>166</v>
      </c>
      <c r="AJ928" t="s">
        <v>152</v>
      </c>
      <c r="AK928" t="s">
        <v>153</v>
      </c>
      <c r="AL928" t="s">
        <v>154</v>
      </c>
      <c r="AM928" t="s">
        <v>119</v>
      </c>
      <c r="AN928" t="s">
        <v>112</v>
      </c>
      <c r="AO928" t="s">
        <v>121</v>
      </c>
      <c r="AP928" t="s">
        <v>122</v>
      </c>
      <c r="AQ928" t="s">
        <v>122</v>
      </c>
      <c r="AR928" t="s">
        <v>124</v>
      </c>
      <c r="AS928" t="s">
        <v>125</v>
      </c>
      <c r="AT928">
        <v>2</v>
      </c>
      <c r="AU928" t="s">
        <v>126</v>
      </c>
      <c r="AV928" t="s">
        <v>155</v>
      </c>
      <c r="AW928" t="s">
        <v>156</v>
      </c>
      <c r="AX928">
        <v>1</v>
      </c>
      <c r="AY928" t="s">
        <v>129</v>
      </c>
      <c r="AZ928">
        <v>42898.05</v>
      </c>
      <c r="BA928">
        <v>3790952</v>
      </c>
      <c r="BB928">
        <v>52410.75</v>
      </c>
      <c r="BC928">
        <v>88.371200000000002</v>
      </c>
      <c r="BD928" t="s">
        <v>130</v>
      </c>
      <c r="BE928" t="s">
        <v>112</v>
      </c>
      <c r="BF928" t="s">
        <v>157</v>
      </c>
      <c r="BG928" t="s">
        <v>133</v>
      </c>
      <c r="BH928" t="s">
        <v>134</v>
      </c>
      <c r="BI928" t="s">
        <v>112</v>
      </c>
      <c r="BJ928" t="s">
        <v>112</v>
      </c>
      <c r="BK928" t="s">
        <v>112</v>
      </c>
      <c r="BL928" t="s">
        <v>169</v>
      </c>
      <c r="BM928" t="s">
        <v>159</v>
      </c>
      <c r="BN928" t="s">
        <v>722</v>
      </c>
      <c r="BO928" t="s">
        <v>161</v>
      </c>
      <c r="BP928">
        <v>1</v>
      </c>
      <c r="BQ928" t="s">
        <v>281</v>
      </c>
      <c r="BR928" s="45">
        <f>ISNUMBER(SEARCH($BR$1,Таблица1[[#This Row],[31_1 Описание и характеристика товара]]))*1</f>
        <v>1</v>
      </c>
      <c r="BT928" t="s">
        <v>150</v>
      </c>
      <c r="BU928">
        <v>33</v>
      </c>
      <c r="BV928">
        <v>0</v>
      </c>
      <c r="BW928">
        <v>0</v>
      </c>
      <c r="BY928">
        <v>0</v>
      </c>
      <c r="CA928" t="s">
        <v>106</v>
      </c>
      <c r="CB928" t="s">
        <v>142</v>
      </c>
      <c r="CC928" t="s">
        <v>112</v>
      </c>
      <c r="CD928" t="s">
        <v>112</v>
      </c>
      <c r="CE928" t="s">
        <v>121</v>
      </c>
      <c r="CF928">
        <v>17497.47</v>
      </c>
      <c r="CG928" t="s">
        <v>144</v>
      </c>
      <c r="CH928">
        <v>4000000</v>
      </c>
      <c r="CI928">
        <v>17497.47</v>
      </c>
      <c r="CJ928">
        <v>0</v>
      </c>
      <c r="CK928" t="s">
        <v>112</v>
      </c>
      <c r="CL928" t="s">
        <v>112</v>
      </c>
      <c r="CM928">
        <v>42898.05</v>
      </c>
      <c r="CN928">
        <v>3790952</v>
      </c>
      <c r="CO928">
        <v>0</v>
      </c>
      <c r="CP928">
        <v>1</v>
      </c>
      <c r="CQ928">
        <v>4219552.4800000004</v>
      </c>
      <c r="CR928">
        <v>52410.75</v>
      </c>
      <c r="CS928" t="s">
        <v>145</v>
      </c>
      <c r="CT928">
        <v>52410.171890999998</v>
      </c>
      <c r="CU928">
        <v>2.9952999999999999</v>
      </c>
      <c r="CV928">
        <v>45</v>
      </c>
      <c r="CW928" t="s">
        <v>171</v>
      </c>
      <c r="CX928" t="s">
        <v>172</v>
      </c>
      <c r="CY928">
        <v>166</v>
      </c>
    </row>
    <row r="929" spans="1:103" x14ac:dyDescent="0.25">
      <c r="A929" t="s">
        <v>106</v>
      </c>
      <c r="B929" s="38">
        <v>45281</v>
      </c>
      <c r="C929" s="43">
        <f>IF(YEAR(Таблица1[[#This Row],[Дата]])=2023,MONTH(Таблица1[[#This Row],[Дата]]),0)</f>
        <v>12</v>
      </c>
      <c r="D929" t="s">
        <v>1104</v>
      </c>
      <c r="E929" t="s">
        <v>108</v>
      </c>
      <c r="F929" t="s">
        <v>1105</v>
      </c>
      <c r="G929" t="s">
        <v>110</v>
      </c>
      <c r="H929" t="s">
        <v>111</v>
      </c>
      <c r="I929" t="s">
        <v>112</v>
      </c>
      <c r="J929" t="s">
        <v>112</v>
      </c>
      <c r="K929" t="s">
        <v>112</v>
      </c>
      <c r="L929" t="s">
        <v>150</v>
      </c>
      <c r="M929" t="s">
        <v>1103</v>
      </c>
      <c r="N929" t="s">
        <v>112</v>
      </c>
      <c r="O929" t="s">
        <v>112</v>
      </c>
      <c r="P929">
        <v>1</v>
      </c>
      <c r="Q929">
        <v>0</v>
      </c>
      <c r="R929">
        <v>1</v>
      </c>
      <c r="S929">
        <v>33</v>
      </c>
      <c r="T929" t="s">
        <v>166</v>
      </c>
      <c r="U929" t="s">
        <v>152</v>
      </c>
      <c r="V929" t="s">
        <v>153</v>
      </c>
      <c r="W929" t="s">
        <v>154</v>
      </c>
      <c r="X929" t="s">
        <v>119</v>
      </c>
      <c r="Y929" t="s">
        <v>112</v>
      </c>
      <c r="Z929" t="s">
        <v>166</v>
      </c>
      <c r="AA929" t="s">
        <v>152</v>
      </c>
      <c r="AB929" t="s">
        <v>153</v>
      </c>
      <c r="AC929" t="s">
        <v>154</v>
      </c>
      <c r="AD929" t="s">
        <v>119</v>
      </c>
      <c r="AE929" t="s">
        <v>112</v>
      </c>
      <c r="AF929" t="s">
        <v>121</v>
      </c>
      <c r="AG929" t="s">
        <v>122</v>
      </c>
      <c r="AH929">
        <v>3821054.04</v>
      </c>
      <c r="AI929" t="s">
        <v>166</v>
      </c>
      <c r="AJ929" t="s">
        <v>152</v>
      </c>
      <c r="AK929" t="s">
        <v>153</v>
      </c>
      <c r="AL929" t="s">
        <v>154</v>
      </c>
      <c r="AM929" t="s">
        <v>119</v>
      </c>
      <c r="AN929" t="s">
        <v>112</v>
      </c>
      <c r="AO929" t="s">
        <v>121</v>
      </c>
      <c r="AP929" t="s">
        <v>122</v>
      </c>
      <c r="AQ929" t="s">
        <v>122</v>
      </c>
      <c r="AR929" t="s">
        <v>124</v>
      </c>
      <c r="AS929" t="s">
        <v>125</v>
      </c>
      <c r="AT929">
        <v>2</v>
      </c>
      <c r="AU929" t="s">
        <v>126</v>
      </c>
      <c r="AV929" t="s">
        <v>155</v>
      </c>
      <c r="AW929" t="s">
        <v>156</v>
      </c>
      <c r="AX929">
        <v>1</v>
      </c>
      <c r="AY929" t="s">
        <v>129</v>
      </c>
      <c r="AZ929">
        <v>38888.68</v>
      </c>
      <c r="BA929">
        <v>3436639</v>
      </c>
      <c r="BB929">
        <v>47461.03</v>
      </c>
      <c r="BC929">
        <v>88.371200000000002</v>
      </c>
      <c r="BD929" t="s">
        <v>130</v>
      </c>
      <c r="BE929" t="s">
        <v>112</v>
      </c>
      <c r="BF929" t="s">
        <v>157</v>
      </c>
      <c r="BG929" t="s">
        <v>133</v>
      </c>
      <c r="BH929" t="s">
        <v>167</v>
      </c>
      <c r="BI929" t="s">
        <v>168</v>
      </c>
      <c r="BJ929" t="s">
        <v>112</v>
      </c>
      <c r="BK929" t="s">
        <v>112</v>
      </c>
      <c r="BL929" t="s">
        <v>169</v>
      </c>
      <c r="BM929" t="s">
        <v>159</v>
      </c>
      <c r="BN929" t="s">
        <v>726</v>
      </c>
      <c r="BO929" t="s">
        <v>161</v>
      </c>
      <c r="BP929">
        <v>1</v>
      </c>
      <c r="BQ929" t="s">
        <v>1106</v>
      </c>
      <c r="BR929" s="45">
        <f>ISNUMBER(SEARCH($BR$1,Таблица1[[#This Row],[31_1 Описание и характеристика товара]]))*1</f>
        <v>1</v>
      </c>
      <c r="BT929" t="s">
        <v>150</v>
      </c>
      <c r="BU929">
        <v>33</v>
      </c>
      <c r="BV929">
        <v>0</v>
      </c>
      <c r="BW929">
        <v>0</v>
      </c>
      <c r="BY929">
        <v>0</v>
      </c>
      <c r="CA929" t="s">
        <v>106</v>
      </c>
      <c r="CB929" t="s">
        <v>142</v>
      </c>
      <c r="CC929" t="s">
        <v>112</v>
      </c>
      <c r="CD929" t="s">
        <v>112</v>
      </c>
      <c r="CE929" t="s">
        <v>121</v>
      </c>
      <c r="CF929">
        <v>16459.64</v>
      </c>
      <c r="CG929" t="s">
        <v>144</v>
      </c>
      <c r="CH929">
        <v>4000000</v>
      </c>
      <c r="CI929">
        <v>16316.84</v>
      </c>
      <c r="CJ929">
        <v>0</v>
      </c>
      <c r="CK929" t="s">
        <v>112</v>
      </c>
      <c r="CL929" t="s">
        <v>112</v>
      </c>
      <c r="CM929">
        <v>38888.68</v>
      </c>
      <c r="CN929">
        <v>3436639</v>
      </c>
      <c r="CO929">
        <v>0</v>
      </c>
      <c r="CP929">
        <v>1</v>
      </c>
      <c r="CQ929">
        <v>3821054.04</v>
      </c>
      <c r="CR929">
        <v>47461.03</v>
      </c>
      <c r="CS929" t="s">
        <v>145</v>
      </c>
      <c r="CT929">
        <v>47460.792507999999</v>
      </c>
      <c r="CU929">
        <v>2.9087000000000001</v>
      </c>
      <c r="CV929">
        <v>45</v>
      </c>
      <c r="CW929" t="s">
        <v>171</v>
      </c>
      <c r="CX929" t="s">
        <v>369</v>
      </c>
      <c r="CY929">
        <v>564</v>
      </c>
    </row>
    <row r="930" spans="1:103" x14ac:dyDescent="0.25">
      <c r="A930" t="s">
        <v>106</v>
      </c>
      <c r="B930" s="38">
        <v>45168</v>
      </c>
      <c r="C930" s="43">
        <f>IF(YEAR(Таблица1[[#This Row],[Дата]])=2023,MONTH(Таблица1[[#This Row],[Дата]]),0)</f>
        <v>8</v>
      </c>
      <c r="D930" t="s">
        <v>1109</v>
      </c>
      <c r="E930" t="s">
        <v>108</v>
      </c>
      <c r="F930" t="s">
        <v>1110</v>
      </c>
      <c r="G930" t="s">
        <v>110</v>
      </c>
      <c r="H930" t="s">
        <v>111</v>
      </c>
      <c r="I930" t="s">
        <v>112</v>
      </c>
      <c r="J930" t="s">
        <v>112</v>
      </c>
      <c r="K930" t="s">
        <v>112</v>
      </c>
      <c r="L930" t="s">
        <v>150</v>
      </c>
      <c r="M930" t="s">
        <v>1103</v>
      </c>
      <c r="N930" t="s">
        <v>112</v>
      </c>
      <c r="O930" t="s">
        <v>112</v>
      </c>
      <c r="P930">
        <v>1</v>
      </c>
      <c r="Q930">
        <v>0</v>
      </c>
      <c r="R930">
        <v>1</v>
      </c>
      <c r="S930">
        <v>33</v>
      </c>
      <c r="T930" t="s">
        <v>166</v>
      </c>
      <c r="U930" t="s">
        <v>152</v>
      </c>
      <c r="V930" t="s">
        <v>153</v>
      </c>
      <c r="W930" t="s">
        <v>154</v>
      </c>
      <c r="X930" t="s">
        <v>119</v>
      </c>
      <c r="Y930" t="s">
        <v>112</v>
      </c>
      <c r="Z930" t="s">
        <v>166</v>
      </c>
      <c r="AA930" t="s">
        <v>152</v>
      </c>
      <c r="AB930" t="s">
        <v>153</v>
      </c>
      <c r="AC930" t="s">
        <v>154</v>
      </c>
      <c r="AD930" t="s">
        <v>119</v>
      </c>
      <c r="AE930" t="s">
        <v>112</v>
      </c>
      <c r="AF930" t="s">
        <v>121</v>
      </c>
      <c r="AG930" t="s">
        <v>122</v>
      </c>
      <c r="AH930">
        <v>3930100.56</v>
      </c>
      <c r="AI930" t="s">
        <v>166</v>
      </c>
      <c r="AJ930" t="s">
        <v>152</v>
      </c>
      <c r="AK930" t="s">
        <v>153</v>
      </c>
      <c r="AL930" t="s">
        <v>154</v>
      </c>
      <c r="AM930" t="s">
        <v>119</v>
      </c>
      <c r="AN930" t="s">
        <v>112</v>
      </c>
      <c r="AO930" t="s">
        <v>121</v>
      </c>
      <c r="AP930" t="s">
        <v>122</v>
      </c>
      <c r="AQ930" t="s">
        <v>122</v>
      </c>
      <c r="AR930" t="s">
        <v>124</v>
      </c>
      <c r="AS930" t="s">
        <v>125</v>
      </c>
      <c r="AT930">
        <v>2</v>
      </c>
      <c r="AU930" t="s">
        <v>126</v>
      </c>
      <c r="AV930" t="s">
        <v>155</v>
      </c>
      <c r="AW930" t="s">
        <v>156</v>
      </c>
      <c r="AX930">
        <v>1</v>
      </c>
      <c r="AY930" t="s">
        <v>129</v>
      </c>
      <c r="AZ930">
        <v>40122.639999999999</v>
      </c>
      <c r="BA930">
        <v>3545686</v>
      </c>
      <c r="BB930">
        <v>48815.49</v>
      </c>
      <c r="BC930">
        <v>88.371200000000002</v>
      </c>
      <c r="BD930" t="s">
        <v>130</v>
      </c>
      <c r="BE930" t="s">
        <v>112</v>
      </c>
      <c r="BF930" t="s">
        <v>157</v>
      </c>
      <c r="BG930" t="s">
        <v>133</v>
      </c>
      <c r="BH930" t="s">
        <v>167</v>
      </c>
      <c r="BI930" t="s">
        <v>168</v>
      </c>
      <c r="BJ930" t="s">
        <v>112</v>
      </c>
      <c r="BK930" t="s">
        <v>112</v>
      </c>
      <c r="BL930" t="s">
        <v>169</v>
      </c>
      <c r="BM930" t="s">
        <v>159</v>
      </c>
      <c r="BN930" t="s">
        <v>726</v>
      </c>
      <c r="BO930" t="s">
        <v>161</v>
      </c>
      <c r="BP930">
        <v>1</v>
      </c>
      <c r="BQ930" t="s">
        <v>653</v>
      </c>
      <c r="BR930" s="45">
        <f>ISNUMBER(SEARCH($BR$1,Таблица1[[#This Row],[31_1 Описание и характеристика товара]]))*1</f>
        <v>1</v>
      </c>
      <c r="BT930" t="s">
        <v>150</v>
      </c>
      <c r="BU930">
        <v>33</v>
      </c>
      <c r="BV930">
        <v>0</v>
      </c>
      <c r="BW930">
        <v>0</v>
      </c>
      <c r="BY930">
        <v>0</v>
      </c>
      <c r="CA930" t="s">
        <v>106</v>
      </c>
      <c r="CB930" t="s">
        <v>142</v>
      </c>
      <c r="CC930" t="s">
        <v>112</v>
      </c>
      <c r="CD930" t="s">
        <v>112</v>
      </c>
      <c r="CE930" t="s">
        <v>121</v>
      </c>
      <c r="CF930">
        <v>16872.21</v>
      </c>
      <c r="CG930" t="s">
        <v>144</v>
      </c>
      <c r="CH930">
        <v>4000000</v>
      </c>
      <c r="CI930">
        <v>16872.21</v>
      </c>
      <c r="CJ930">
        <v>0</v>
      </c>
      <c r="CK930" t="s">
        <v>112</v>
      </c>
      <c r="CL930" t="s">
        <v>112</v>
      </c>
      <c r="CM930">
        <v>40122.639999999999</v>
      </c>
      <c r="CN930">
        <v>3545686</v>
      </c>
      <c r="CO930">
        <v>0</v>
      </c>
      <c r="CP930">
        <v>1</v>
      </c>
      <c r="CQ930">
        <v>3930100.56</v>
      </c>
      <c r="CR930">
        <v>48815.49</v>
      </c>
      <c r="CS930" t="s">
        <v>145</v>
      </c>
      <c r="CT930">
        <v>48814.677971999998</v>
      </c>
      <c r="CU930">
        <v>2.8932000000000002</v>
      </c>
      <c r="CV930">
        <v>45</v>
      </c>
      <c r="CW930" t="s">
        <v>171</v>
      </c>
      <c r="CX930" t="s">
        <v>172</v>
      </c>
      <c r="CY930">
        <v>146</v>
      </c>
    </row>
    <row r="931" spans="1:103" x14ac:dyDescent="0.25">
      <c r="A931" t="s">
        <v>106</v>
      </c>
      <c r="B931" s="38">
        <v>45098</v>
      </c>
      <c r="C931" s="43">
        <f>IF(YEAR(Таблица1[[#This Row],[Дата]])=2023,MONTH(Таблица1[[#This Row],[Дата]]),0)</f>
        <v>6</v>
      </c>
      <c r="D931" t="s">
        <v>796</v>
      </c>
      <c r="E931" t="s">
        <v>108</v>
      </c>
      <c r="F931" t="s">
        <v>797</v>
      </c>
      <c r="G931" t="s">
        <v>110</v>
      </c>
      <c r="H931" t="s">
        <v>111</v>
      </c>
      <c r="I931" t="s">
        <v>112</v>
      </c>
      <c r="J931" t="s">
        <v>112</v>
      </c>
      <c r="K931" t="s">
        <v>112</v>
      </c>
      <c r="L931" t="s">
        <v>150</v>
      </c>
      <c r="M931" t="s">
        <v>151</v>
      </c>
      <c r="N931" t="s">
        <v>112</v>
      </c>
      <c r="O931" t="s">
        <v>112</v>
      </c>
      <c r="P931">
        <v>1</v>
      </c>
      <c r="Q931">
        <v>0</v>
      </c>
      <c r="R931">
        <v>1</v>
      </c>
      <c r="S931">
        <v>33</v>
      </c>
      <c r="T931" t="s">
        <v>166</v>
      </c>
      <c r="U931" t="s">
        <v>152</v>
      </c>
      <c r="V931" t="s">
        <v>153</v>
      </c>
      <c r="W931" t="s">
        <v>154</v>
      </c>
      <c r="X931" t="s">
        <v>119</v>
      </c>
      <c r="Y931" t="s">
        <v>112</v>
      </c>
      <c r="Z931" t="s">
        <v>166</v>
      </c>
      <c r="AA931" t="s">
        <v>152</v>
      </c>
      <c r="AB931" t="s">
        <v>153</v>
      </c>
      <c r="AC931" t="s">
        <v>154</v>
      </c>
      <c r="AD931" t="s">
        <v>119</v>
      </c>
      <c r="AE931" t="s">
        <v>112</v>
      </c>
      <c r="AF931" t="s">
        <v>121</v>
      </c>
      <c r="AG931" t="s">
        <v>122</v>
      </c>
      <c r="AH931">
        <v>3394095.18</v>
      </c>
      <c r="AI931" t="s">
        <v>166</v>
      </c>
      <c r="AJ931" t="s">
        <v>152</v>
      </c>
      <c r="AK931" t="s">
        <v>153</v>
      </c>
      <c r="AL931" t="s">
        <v>154</v>
      </c>
      <c r="AM931" t="s">
        <v>119</v>
      </c>
      <c r="AN931" t="s">
        <v>112</v>
      </c>
      <c r="AO931" t="s">
        <v>121</v>
      </c>
      <c r="AP931" t="s">
        <v>122</v>
      </c>
      <c r="AQ931" t="s">
        <v>122</v>
      </c>
      <c r="AR931" t="s">
        <v>124</v>
      </c>
      <c r="AS931" t="s">
        <v>125</v>
      </c>
      <c r="AT931">
        <v>2</v>
      </c>
      <c r="AU931" t="s">
        <v>126</v>
      </c>
      <c r="AV931" t="s">
        <v>155</v>
      </c>
      <c r="AW931" t="s">
        <v>156</v>
      </c>
      <c r="AX931">
        <v>1</v>
      </c>
      <c r="AY931" t="s">
        <v>129</v>
      </c>
      <c r="AZ931">
        <v>38022.800000000003</v>
      </c>
      <c r="BA931">
        <v>3045657</v>
      </c>
      <c r="BB931">
        <v>45103.48</v>
      </c>
      <c r="BC931">
        <v>80.100800000000007</v>
      </c>
      <c r="BD931" t="s">
        <v>130</v>
      </c>
      <c r="BE931" t="s">
        <v>112</v>
      </c>
      <c r="BF931" t="s">
        <v>157</v>
      </c>
      <c r="BG931" t="s">
        <v>133</v>
      </c>
      <c r="BH931" t="s">
        <v>134</v>
      </c>
      <c r="BI931" t="s">
        <v>112</v>
      </c>
      <c r="BJ931" t="s">
        <v>112</v>
      </c>
      <c r="BK931" t="s">
        <v>112</v>
      </c>
      <c r="BL931" t="s">
        <v>169</v>
      </c>
      <c r="BM931" t="s">
        <v>159</v>
      </c>
      <c r="BN931" t="s">
        <v>212</v>
      </c>
      <c r="BO931" t="s">
        <v>161</v>
      </c>
      <c r="BP931">
        <v>1</v>
      </c>
      <c r="BQ931" t="s">
        <v>798</v>
      </c>
      <c r="BR931" s="45">
        <f>ISNUMBER(SEARCH($BR$1,Таблица1[[#This Row],[31_1 Описание и характеристика товара]]))*1</f>
        <v>1</v>
      </c>
      <c r="BT931" t="s">
        <v>150</v>
      </c>
      <c r="BU931">
        <v>33</v>
      </c>
      <c r="BV931">
        <v>0</v>
      </c>
      <c r="BW931">
        <v>0</v>
      </c>
      <c r="BY931">
        <v>0</v>
      </c>
      <c r="CA931" t="s">
        <v>106</v>
      </c>
      <c r="CB931" t="s">
        <v>142</v>
      </c>
      <c r="CC931" t="s">
        <v>112</v>
      </c>
      <c r="CD931" t="s">
        <v>112</v>
      </c>
      <c r="CE931" t="s">
        <v>121</v>
      </c>
      <c r="CF931">
        <v>16744.62</v>
      </c>
      <c r="CG931" t="s">
        <v>144</v>
      </c>
      <c r="CH931">
        <v>4000000</v>
      </c>
      <c r="CI931">
        <v>16615.02</v>
      </c>
      <c r="CJ931">
        <v>0</v>
      </c>
      <c r="CK931" t="s">
        <v>112</v>
      </c>
      <c r="CL931" t="s">
        <v>112</v>
      </c>
      <c r="CM931">
        <v>38022.800000000003</v>
      </c>
      <c r="CN931">
        <v>3045657</v>
      </c>
      <c r="CO931">
        <v>0</v>
      </c>
      <c r="CP931">
        <v>1</v>
      </c>
      <c r="CQ931">
        <v>3394095.18</v>
      </c>
      <c r="CR931">
        <v>45103.48</v>
      </c>
      <c r="CS931" t="s">
        <v>145</v>
      </c>
      <c r="CT931">
        <v>45103.133291999999</v>
      </c>
      <c r="CU931">
        <v>2.7145999999999999</v>
      </c>
      <c r="CV931">
        <v>45</v>
      </c>
      <c r="CW931" t="s">
        <v>171</v>
      </c>
      <c r="CX931" t="s">
        <v>372</v>
      </c>
      <c r="CY931">
        <v>21</v>
      </c>
    </row>
    <row r="932" spans="1:103" x14ac:dyDescent="0.25">
      <c r="A932" t="s">
        <v>106</v>
      </c>
      <c r="B932" s="38">
        <v>45040</v>
      </c>
      <c r="C932" s="43">
        <f>IF(YEAR(Таблица1[[#This Row],[Дата]])=2023,MONTH(Таблица1[[#This Row],[Дата]]),0)</f>
        <v>4</v>
      </c>
      <c r="D932" t="s">
        <v>794</v>
      </c>
      <c r="E932" t="s">
        <v>108</v>
      </c>
      <c r="F932" t="s">
        <v>795</v>
      </c>
      <c r="G932" t="s">
        <v>110</v>
      </c>
      <c r="H932" t="s">
        <v>111</v>
      </c>
      <c r="I932" t="s">
        <v>112</v>
      </c>
      <c r="J932" t="s">
        <v>112</v>
      </c>
      <c r="K932" t="s">
        <v>112</v>
      </c>
      <c r="L932" t="s">
        <v>150</v>
      </c>
      <c r="M932" t="s">
        <v>151</v>
      </c>
      <c r="N932" t="s">
        <v>112</v>
      </c>
      <c r="O932" t="s">
        <v>112</v>
      </c>
      <c r="P932">
        <v>1</v>
      </c>
      <c r="Q932">
        <v>0</v>
      </c>
      <c r="R932">
        <v>1</v>
      </c>
      <c r="S932">
        <v>33</v>
      </c>
      <c r="T932" t="s">
        <v>166</v>
      </c>
      <c r="U932" t="s">
        <v>152</v>
      </c>
      <c r="V932" t="s">
        <v>153</v>
      </c>
      <c r="W932" t="s">
        <v>154</v>
      </c>
      <c r="X932" t="s">
        <v>119</v>
      </c>
      <c r="Y932" t="s">
        <v>112</v>
      </c>
      <c r="Z932" t="s">
        <v>166</v>
      </c>
      <c r="AA932" t="s">
        <v>152</v>
      </c>
      <c r="AB932" t="s">
        <v>153</v>
      </c>
      <c r="AC932" t="s">
        <v>154</v>
      </c>
      <c r="AD932" t="s">
        <v>119</v>
      </c>
      <c r="AE932" t="s">
        <v>112</v>
      </c>
      <c r="AF932" t="s">
        <v>121</v>
      </c>
      <c r="AG932" t="s">
        <v>122</v>
      </c>
      <c r="AH932">
        <v>3413401.07</v>
      </c>
      <c r="AI932" t="s">
        <v>166</v>
      </c>
      <c r="AJ932" t="s">
        <v>152</v>
      </c>
      <c r="AK932" t="s">
        <v>153</v>
      </c>
      <c r="AL932" t="s">
        <v>154</v>
      </c>
      <c r="AM932" t="s">
        <v>119</v>
      </c>
      <c r="AN932" t="s">
        <v>112</v>
      </c>
      <c r="AO932" t="s">
        <v>121</v>
      </c>
      <c r="AP932" t="s">
        <v>122</v>
      </c>
      <c r="AQ932" t="s">
        <v>122</v>
      </c>
      <c r="AR932" t="s">
        <v>124</v>
      </c>
      <c r="AS932" t="s">
        <v>125</v>
      </c>
      <c r="AT932">
        <v>2</v>
      </c>
      <c r="AU932" t="s">
        <v>126</v>
      </c>
      <c r="AV932" t="s">
        <v>155</v>
      </c>
      <c r="AW932" t="s">
        <v>156</v>
      </c>
      <c r="AX932">
        <v>1</v>
      </c>
      <c r="AY932" t="s">
        <v>129</v>
      </c>
      <c r="AZ932">
        <v>38263.82</v>
      </c>
      <c r="BA932">
        <v>3064963</v>
      </c>
      <c r="BB932">
        <v>45360.03</v>
      </c>
      <c r="BC932">
        <v>80.100800000000007</v>
      </c>
      <c r="BD932" t="s">
        <v>130</v>
      </c>
      <c r="BE932" t="s">
        <v>112</v>
      </c>
      <c r="BF932" t="s">
        <v>157</v>
      </c>
      <c r="BG932" t="s">
        <v>133</v>
      </c>
      <c r="BH932" t="s">
        <v>134</v>
      </c>
      <c r="BI932" t="s">
        <v>112</v>
      </c>
      <c r="BJ932" t="s">
        <v>112</v>
      </c>
      <c r="BK932" t="s">
        <v>112</v>
      </c>
      <c r="BL932" t="s">
        <v>169</v>
      </c>
      <c r="BM932" t="s">
        <v>159</v>
      </c>
      <c r="BN932" t="s">
        <v>212</v>
      </c>
      <c r="BO932" t="s">
        <v>161</v>
      </c>
      <c r="BP932">
        <v>1</v>
      </c>
      <c r="BQ932" t="s">
        <v>232</v>
      </c>
      <c r="BR932" s="45">
        <f>ISNUMBER(SEARCH($BR$1,Таблица1[[#This Row],[31_1 Описание и характеристика товара]]))*1</f>
        <v>1</v>
      </c>
      <c r="BT932" t="s">
        <v>150</v>
      </c>
      <c r="BU932">
        <v>33</v>
      </c>
      <c r="BV932">
        <v>0</v>
      </c>
      <c r="BW932">
        <v>0</v>
      </c>
      <c r="BY932">
        <v>0</v>
      </c>
      <c r="CA932" t="s">
        <v>106</v>
      </c>
      <c r="CB932" t="s">
        <v>142</v>
      </c>
      <c r="CC932" t="s">
        <v>112</v>
      </c>
      <c r="CD932" t="s">
        <v>112</v>
      </c>
      <c r="CE932" t="s">
        <v>121</v>
      </c>
      <c r="CF932">
        <v>16506.13</v>
      </c>
      <c r="CG932" t="s">
        <v>144</v>
      </c>
      <c r="CH932">
        <v>4000000</v>
      </c>
      <c r="CI932">
        <v>16361.53</v>
      </c>
      <c r="CJ932">
        <v>0</v>
      </c>
      <c r="CK932" t="s">
        <v>112</v>
      </c>
      <c r="CL932" t="s">
        <v>112</v>
      </c>
      <c r="CM932">
        <v>38263.82</v>
      </c>
      <c r="CN932">
        <v>3064963</v>
      </c>
      <c r="CO932">
        <v>0</v>
      </c>
      <c r="CP932">
        <v>1</v>
      </c>
      <c r="CQ932">
        <v>3413401.07</v>
      </c>
      <c r="CR932">
        <v>45360.03</v>
      </c>
      <c r="CS932" t="s">
        <v>145</v>
      </c>
      <c r="CT932">
        <v>45360.705772000008</v>
      </c>
      <c r="CU932">
        <v>2.7724000000000002</v>
      </c>
      <c r="CV932">
        <v>45</v>
      </c>
      <c r="CW932" t="s">
        <v>171</v>
      </c>
      <c r="CX932" t="s">
        <v>350</v>
      </c>
      <c r="CY932">
        <v>146</v>
      </c>
    </row>
    <row r="933" spans="1:103" x14ac:dyDescent="0.25">
      <c r="A933" t="s">
        <v>106</v>
      </c>
      <c r="B933" s="38">
        <v>44736</v>
      </c>
      <c r="C933" s="43">
        <f>IF(YEAR(Таблица1[[#This Row],[Дата]])=2023,MONTH(Таблица1[[#This Row],[Дата]]),0)</f>
        <v>0</v>
      </c>
      <c r="D933" t="s">
        <v>509</v>
      </c>
      <c r="E933" t="s">
        <v>108</v>
      </c>
      <c r="F933" t="s">
        <v>510</v>
      </c>
      <c r="G933" t="s">
        <v>110</v>
      </c>
      <c r="H933" t="s">
        <v>111</v>
      </c>
      <c r="I933" t="s">
        <v>112</v>
      </c>
      <c r="J933" t="s">
        <v>112</v>
      </c>
      <c r="K933" t="s">
        <v>112</v>
      </c>
      <c r="L933" t="s">
        <v>150</v>
      </c>
      <c r="M933" t="s">
        <v>151</v>
      </c>
      <c r="N933" t="s">
        <v>112</v>
      </c>
      <c r="O933" t="s">
        <v>112</v>
      </c>
      <c r="P933">
        <v>1</v>
      </c>
      <c r="Q933">
        <v>0</v>
      </c>
      <c r="R933">
        <v>1</v>
      </c>
      <c r="S933">
        <v>33</v>
      </c>
      <c r="T933" t="s">
        <v>166</v>
      </c>
      <c r="U933" t="s">
        <v>152</v>
      </c>
      <c r="V933" t="s">
        <v>153</v>
      </c>
      <c r="W933" t="s">
        <v>154</v>
      </c>
      <c r="X933" t="s">
        <v>119</v>
      </c>
      <c r="Y933" t="s">
        <v>112</v>
      </c>
      <c r="Z933" t="s">
        <v>166</v>
      </c>
      <c r="AA933" t="s">
        <v>152</v>
      </c>
      <c r="AB933" t="s">
        <v>153</v>
      </c>
      <c r="AC933" t="s">
        <v>154</v>
      </c>
      <c r="AD933" t="s">
        <v>119</v>
      </c>
      <c r="AE933" t="s">
        <v>112</v>
      </c>
      <c r="AF933" t="s">
        <v>121</v>
      </c>
      <c r="AG933" t="s">
        <v>122</v>
      </c>
      <c r="AH933">
        <v>3474547.49</v>
      </c>
      <c r="AI933" t="s">
        <v>166</v>
      </c>
      <c r="AJ933" t="s">
        <v>152</v>
      </c>
      <c r="AK933" t="s">
        <v>153</v>
      </c>
      <c r="AL933" t="s">
        <v>154</v>
      </c>
      <c r="AM933" t="s">
        <v>119</v>
      </c>
      <c r="AN933" t="s">
        <v>112</v>
      </c>
      <c r="AO933" t="s">
        <v>121</v>
      </c>
      <c r="AP933" t="s">
        <v>122</v>
      </c>
      <c r="AQ933" t="s">
        <v>122</v>
      </c>
      <c r="AR933" t="s">
        <v>124</v>
      </c>
      <c r="AS933" t="s">
        <v>125</v>
      </c>
      <c r="AT933">
        <v>2</v>
      </c>
      <c r="AU933" t="s">
        <v>126</v>
      </c>
      <c r="AV933" t="s">
        <v>155</v>
      </c>
      <c r="AW933" t="s">
        <v>156</v>
      </c>
      <c r="AX933">
        <v>1</v>
      </c>
      <c r="AY933" t="s">
        <v>129</v>
      </c>
      <c r="AZ933">
        <v>41233.08</v>
      </c>
      <c r="BA933">
        <v>3142971</v>
      </c>
      <c r="BB933">
        <v>49550.25</v>
      </c>
      <c r="BC933">
        <v>76.224500000000006</v>
      </c>
      <c r="BD933" t="s">
        <v>130</v>
      </c>
      <c r="BE933" t="s">
        <v>112</v>
      </c>
      <c r="BF933" t="s">
        <v>157</v>
      </c>
      <c r="BG933" t="s">
        <v>133</v>
      </c>
      <c r="BH933" t="s">
        <v>134</v>
      </c>
      <c r="BI933" t="s">
        <v>112</v>
      </c>
      <c r="BJ933" t="s">
        <v>112</v>
      </c>
      <c r="BK933" t="s">
        <v>112</v>
      </c>
      <c r="BL933" t="s">
        <v>169</v>
      </c>
      <c r="BM933" t="s">
        <v>159</v>
      </c>
      <c r="BN933" t="s">
        <v>212</v>
      </c>
      <c r="BO933" t="s">
        <v>161</v>
      </c>
      <c r="BP933">
        <v>1</v>
      </c>
      <c r="BQ933" t="s">
        <v>511</v>
      </c>
      <c r="BR933" s="45">
        <f>ISNUMBER(SEARCH($BR$1,Таблица1[[#This Row],[31_1 Описание и характеристика товара]]))*1</f>
        <v>1</v>
      </c>
      <c r="BT933" t="s">
        <v>150</v>
      </c>
      <c r="BU933">
        <v>33</v>
      </c>
      <c r="BV933">
        <v>0</v>
      </c>
      <c r="BW933">
        <v>0</v>
      </c>
      <c r="BY933">
        <v>0</v>
      </c>
      <c r="CA933" t="s">
        <v>106</v>
      </c>
      <c r="CB933" t="s">
        <v>142</v>
      </c>
      <c r="CC933" t="s">
        <v>112</v>
      </c>
      <c r="CD933" t="s">
        <v>112</v>
      </c>
      <c r="CE933" t="s">
        <v>121</v>
      </c>
      <c r="CF933">
        <v>16379.85</v>
      </c>
      <c r="CG933" t="s">
        <v>144</v>
      </c>
      <c r="CH933">
        <v>4000000</v>
      </c>
      <c r="CI933">
        <v>16153.05</v>
      </c>
      <c r="CJ933">
        <v>0</v>
      </c>
      <c r="CK933" t="s">
        <v>112</v>
      </c>
      <c r="CL933" t="s">
        <v>112</v>
      </c>
      <c r="CM933">
        <v>41233.08</v>
      </c>
      <c r="CN933">
        <v>3142971</v>
      </c>
      <c r="CO933">
        <v>0</v>
      </c>
      <c r="CP933">
        <v>1</v>
      </c>
      <c r="CQ933">
        <v>3474547.49</v>
      </c>
      <c r="CR933">
        <v>49550.25</v>
      </c>
      <c r="CS933" t="s">
        <v>145</v>
      </c>
      <c r="CT933">
        <v>49549.480874999994</v>
      </c>
      <c r="CU933">
        <v>3.0674999999999999</v>
      </c>
      <c r="CV933">
        <v>45</v>
      </c>
      <c r="CW933" t="s">
        <v>171</v>
      </c>
      <c r="CX933" t="s">
        <v>463</v>
      </c>
      <c r="CY933">
        <v>152</v>
      </c>
    </row>
    <row r="934" spans="1:103" x14ac:dyDescent="0.25">
      <c r="A934" t="s">
        <v>106</v>
      </c>
      <c r="B934" s="38">
        <v>44677</v>
      </c>
      <c r="C934" s="43">
        <f>IF(YEAR(Таблица1[[#This Row],[Дата]])=2023,MONTH(Таблица1[[#This Row],[Дата]]),0)</f>
        <v>0</v>
      </c>
      <c r="D934" t="s">
        <v>519</v>
      </c>
      <c r="E934" t="s">
        <v>108</v>
      </c>
      <c r="F934" t="s">
        <v>520</v>
      </c>
      <c r="G934" t="s">
        <v>110</v>
      </c>
      <c r="H934" t="s">
        <v>111</v>
      </c>
      <c r="I934" t="s">
        <v>112</v>
      </c>
      <c r="J934" t="s">
        <v>112</v>
      </c>
      <c r="K934" t="s">
        <v>112</v>
      </c>
      <c r="L934" t="s">
        <v>150</v>
      </c>
      <c r="M934" t="s">
        <v>151</v>
      </c>
      <c r="N934" t="s">
        <v>112</v>
      </c>
      <c r="O934" t="s">
        <v>112</v>
      </c>
      <c r="P934">
        <v>1</v>
      </c>
      <c r="Q934">
        <v>0</v>
      </c>
      <c r="R934">
        <v>1</v>
      </c>
      <c r="S934">
        <v>38</v>
      </c>
      <c r="T934" t="s">
        <v>166</v>
      </c>
      <c r="U934" t="s">
        <v>152</v>
      </c>
      <c r="V934" t="s">
        <v>153</v>
      </c>
      <c r="W934" t="s">
        <v>154</v>
      </c>
      <c r="X934" t="s">
        <v>119</v>
      </c>
      <c r="Y934" t="s">
        <v>112</v>
      </c>
      <c r="Z934" t="s">
        <v>166</v>
      </c>
      <c r="AA934" t="s">
        <v>152</v>
      </c>
      <c r="AB934" t="s">
        <v>153</v>
      </c>
      <c r="AC934" t="s">
        <v>154</v>
      </c>
      <c r="AD934" t="s">
        <v>119</v>
      </c>
      <c r="AE934" t="s">
        <v>112</v>
      </c>
      <c r="AF934" t="s">
        <v>121</v>
      </c>
      <c r="AG934" t="s">
        <v>122</v>
      </c>
      <c r="AH934">
        <v>4050777.27</v>
      </c>
      <c r="AI934" t="s">
        <v>166</v>
      </c>
      <c r="AJ934" t="s">
        <v>152</v>
      </c>
      <c r="AK934" t="s">
        <v>153</v>
      </c>
      <c r="AL934" t="s">
        <v>154</v>
      </c>
      <c r="AM934" t="s">
        <v>119</v>
      </c>
      <c r="AN934" t="s">
        <v>112</v>
      </c>
      <c r="AO934" t="s">
        <v>121</v>
      </c>
      <c r="AP934" t="s">
        <v>122</v>
      </c>
      <c r="AQ934" t="s">
        <v>122</v>
      </c>
      <c r="AR934" t="s">
        <v>124</v>
      </c>
      <c r="AS934" t="s">
        <v>125</v>
      </c>
      <c r="AT934">
        <v>2</v>
      </c>
      <c r="AU934" t="s">
        <v>126</v>
      </c>
      <c r="AV934" t="s">
        <v>155</v>
      </c>
      <c r="AW934" t="s">
        <v>156</v>
      </c>
      <c r="AX934">
        <v>1</v>
      </c>
      <c r="AY934" t="s">
        <v>129</v>
      </c>
      <c r="AZ934">
        <v>48792.72</v>
      </c>
      <c r="BA934">
        <v>3719201</v>
      </c>
      <c r="BB934">
        <v>57767.81</v>
      </c>
      <c r="BC934">
        <v>76.224500000000006</v>
      </c>
      <c r="BD934" t="s">
        <v>130</v>
      </c>
      <c r="BE934" t="s">
        <v>112</v>
      </c>
      <c r="BF934" t="s">
        <v>157</v>
      </c>
      <c r="BG934" t="s">
        <v>133</v>
      </c>
      <c r="BH934" t="s">
        <v>134</v>
      </c>
      <c r="BI934" t="s">
        <v>112</v>
      </c>
      <c r="BJ934" t="s">
        <v>112</v>
      </c>
      <c r="BK934" t="s">
        <v>112</v>
      </c>
      <c r="BL934" t="s">
        <v>169</v>
      </c>
      <c r="BM934" t="s">
        <v>159</v>
      </c>
      <c r="BN934" t="s">
        <v>212</v>
      </c>
      <c r="BO934" t="s">
        <v>161</v>
      </c>
      <c r="BP934">
        <v>1</v>
      </c>
      <c r="BQ934" t="s">
        <v>205</v>
      </c>
      <c r="BR934" s="45">
        <f>ISNUMBER(SEARCH($BR$1,Таблица1[[#This Row],[31_1 Описание и характеристика товара]]))*1</f>
        <v>1</v>
      </c>
      <c r="BT934" t="s">
        <v>150</v>
      </c>
      <c r="BU934">
        <v>38</v>
      </c>
      <c r="BV934">
        <v>0</v>
      </c>
      <c r="BW934">
        <v>0</v>
      </c>
      <c r="BY934">
        <v>0</v>
      </c>
      <c r="CA934" t="s">
        <v>106</v>
      </c>
      <c r="CB934" t="s">
        <v>142</v>
      </c>
      <c r="CC934" t="s">
        <v>112</v>
      </c>
      <c r="CD934" t="s">
        <v>112</v>
      </c>
      <c r="CE934" t="s">
        <v>121</v>
      </c>
      <c r="CF934">
        <v>18834.060000000001</v>
      </c>
      <c r="CG934" t="s">
        <v>144</v>
      </c>
      <c r="CH934">
        <v>4000000</v>
      </c>
      <c r="CI934">
        <v>18654.060000000001</v>
      </c>
      <c r="CJ934">
        <v>0</v>
      </c>
      <c r="CK934" t="s">
        <v>112</v>
      </c>
      <c r="CL934" t="s">
        <v>112</v>
      </c>
      <c r="CM934">
        <v>48792.72</v>
      </c>
      <c r="CN934">
        <v>3719201</v>
      </c>
      <c r="CO934">
        <v>0</v>
      </c>
      <c r="CP934">
        <v>1</v>
      </c>
      <c r="CQ934">
        <v>4050777.27</v>
      </c>
      <c r="CR934">
        <v>57767.81</v>
      </c>
      <c r="CS934" t="s">
        <v>145</v>
      </c>
      <c r="CT934">
        <v>57767.893008000006</v>
      </c>
      <c r="CU934">
        <v>3.0968</v>
      </c>
      <c r="CV934">
        <v>45</v>
      </c>
      <c r="CW934" t="s">
        <v>171</v>
      </c>
      <c r="CX934" t="s">
        <v>350</v>
      </c>
      <c r="CY934">
        <v>124</v>
      </c>
    </row>
    <row r="935" spans="1:103" x14ac:dyDescent="0.25">
      <c r="A935" t="s">
        <v>106</v>
      </c>
      <c r="B935" s="38">
        <v>44733</v>
      </c>
      <c r="C935" s="43">
        <f>IF(YEAR(Таблица1[[#This Row],[Дата]])=2023,MONTH(Таблица1[[#This Row],[Дата]]),0)</f>
        <v>0</v>
      </c>
      <c r="D935" t="s">
        <v>517</v>
      </c>
      <c r="E935" t="s">
        <v>108</v>
      </c>
      <c r="F935" t="s">
        <v>518</v>
      </c>
      <c r="G935" t="s">
        <v>110</v>
      </c>
      <c r="H935" t="s">
        <v>111</v>
      </c>
      <c r="I935" t="s">
        <v>112</v>
      </c>
      <c r="J935" t="s">
        <v>112</v>
      </c>
      <c r="K935" t="s">
        <v>112</v>
      </c>
      <c r="L935" t="s">
        <v>150</v>
      </c>
      <c r="M935" t="s">
        <v>151</v>
      </c>
      <c r="N935" t="s">
        <v>112</v>
      </c>
      <c r="O935" t="s">
        <v>112</v>
      </c>
      <c r="P935">
        <v>1</v>
      </c>
      <c r="Q935">
        <v>0</v>
      </c>
      <c r="R935">
        <v>1</v>
      </c>
      <c r="S935">
        <v>33</v>
      </c>
      <c r="T935" t="s">
        <v>166</v>
      </c>
      <c r="U935" t="s">
        <v>152</v>
      </c>
      <c r="V935" t="s">
        <v>153</v>
      </c>
      <c r="W935" t="s">
        <v>154</v>
      </c>
      <c r="X935" t="s">
        <v>119</v>
      </c>
      <c r="Y935" t="s">
        <v>112</v>
      </c>
      <c r="Z935" t="s">
        <v>166</v>
      </c>
      <c r="AA935" t="s">
        <v>152</v>
      </c>
      <c r="AB935" t="s">
        <v>153</v>
      </c>
      <c r="AC935" t="s">
        <v>154</v>
      </c>
      <c r="AD935" t="s">
        <v>119</v>
      </c>
      <c r="AE935" t="s">
        <v>112</v>
      </c>
      <c r="AF935" t="s">
        <v>121</v>
      </c>
      <c r="AG935" t="s">
        <v>122</v>
      </c>
      <c r="AH935">
        <v>3161423.34</v>
      </c>
      <c r="AI935" t="s">
        <v>166</v>
      </c>
      <c r="AJ935" t="s">
        <v>152</v>
      </c>
      <c r="AK935" t="s">
        <v>153</v>
      </c>
      <c r="AL935" t="s">
        <v>154</v>
      </c>
      <c r="AM935" t="s">
        <v>119</v>
      </c>
      <c r="AN935" t="s">
        <v>112</v>
      </c>
      <c r="AO935" t="s">
        <v>121</v>
      </c>
      <c r="AP935" t="s">
        <v>122</v>
      </c>
      <c r="AQ935" t="s">
        <v>122</v>
      </c>
      <c r="AR935" t="s">
        <v>124</v>
      </c>
      <c r="AS935" t="s">
        <v>125</v>
      </c>
      <c r="AT935">
        <v>2</v>
      </c>
      <c r="AU935" t="s">
        <v>126</v>
      </c>
      <c r="AV935" t="s">
        <v>155</v>
      </c>
      <c r="AW935" t="s">
        <v>156</v>
      </c>
      <c r="AX935">
        <v>1</v>
      </c>
      <c r="AY935" t="s">
        <v>129</v>
      </c>
      <c r="AZ935">
        <v>37125.160000000003</v>
      </c>
      <c r="BA935">
        <v>2829847</v>
      </c>
      <c r="BB935">
        <v>45084.81</v>
      </c>
      <c r="BC935">
        <v>76.224500000000006</v>
      </c>
      <c r="BD935" t="s">
        <v>130</v>
      </c>
      <c r="BE935" t="s">
        <v>112</v>
      </c>
      <c r="BF935" t="s">
        <v>157</v>
      </c>
      <c r="BG935" t="s">
        <v>133</v>
      </c>
      <c r="BH935" t="s">
        <v>167</v>
      </c>
      <c r="BI935" t="s">
        <v>168</v>
      </c>
      <c r="BJ935" t="s">
        <v>112</v>
      </c>
      <c r="BK935" t="s">
        <v>112</v>
      </c>
      <c r="BL935" t="s">
        <v>169</v>
      </c>
      <c r="BM935" t="s">
        <v>159</v>
      </c>
      <c r="BN935" t="s">
        <v>160</v>
      </c>
      <c r="BO935" t="s">
        <v>161</v>
      </c>
      <c r="BP935">
        <v>1</v>
      </c>
      <c r="BQ935" t="s">
        <v>1967</v>
      </c>
      <c r="BR935" s="45">
        <f>ISNUMBER(SEARCH($BR$1,Таблица1[[#This Row],[31_1 Описание и характеристика товара]]))*1</f>
        <v>1</v>
      </c>
      <c r="BT935" t="s">
        <v>150</v>
      </c>
      <c r="BU935">
        <v>33</v>
      </c>
      <c r="BV935">
        <v>0</v>
      </c>
      <c r="BW935">
        <v>0</v>
      </c>
      <c r="BY935">
        <v>0</v>
      </c>
      <c r="CA935" t="s">
        <v>106</v>
      </c>
      <c r="CB935" t="s">
        <v>142</v>
      </c>
      <c r="CC935" t="s">
        <v>112</v>
      </c>
      <c r="CD935" t="s">
        <v>112</v>
      </c>
      <c r="CE935" t="s">
        <v>121</v>
      </c>
      <c r="CF935">
        <v>15756.48</v>
      </c>
      <c r="CG935" t="s">
        <v>144</v>
      </c>
      <c r="CH935">
        <v>4000000</v>
      </c>
      <c r="CI935">
        <v>15473.28</v>
      </c>
      <c r="CJ935">
        <v>0</v>
      </c>
      <c r="CK935" t="s">
        <v>112</v>
      </c>
      <c r="CL935" t="s">
        <v>112</v>
      </c>
      <c r="CM935">
        <v>37125.160000000003</v>
      </c>
      <c r="CN935">
        <v>2829847</v>
      </c>
      <c r="CO935">
        <v>0</v>
      </c>
      <c r="CP935">
        <v>1</v>
      </c>
      <c r="CQ935">
        <v>3161423.34</v>
      </c>
      <c r="CR935">
        <v>45084.81</v>
      </c>
      <c r="CS935" t="s">
        <v>145</v>
      </c>
      <c r="CT935">
        <v>45084.495935999999</v>
      </c>
      <c r="CU935">
        <v>2.9137</v>
      </c>
      <c r="CV935">
        <v>45</v>
      </c>
      <c r="CW935" t="s">
        <v>171</v>
      </c>
      <c r="CX935" t="s">
        <v>350</v>
      </c>
      <c r="CY935">
        <v>554</v>
      </c>
    </row>
    <row r="936" spans="1:103" x14ac:dyDescent="0.25">
      <c r="A936" t="s">
        <v>106</v>
      </c>
      <c r="B936" s="38">
        <v>44655</v>
      </c>
      <c r="C936" s="43">
        <f>IF(YEAR(Таблица1[[#This Row],[Дата]])=2023,MONTH(Таблица1[[#This Row],[Дата]]),0)</f>
        <v>0</v>
      </c>
      <c r="D936" t="s">
        <v>514</v>
      </c>
      <c r="E936" t="s">
        <v>108</v>
      </c>
      <c r="F936" t="s">
        <v>515</v>
      </c>
      <c r="G936" t="s">
        <v>110</v>
      </c>
      <c r="H936" t="s">
        <v>111</v>
      </c>
      <c r="I936" t="s">
        <v>112</v>
      </c>
      <c r="J936" t="s">
        <v>112</v>
      </c>
      <c r="K936" t="s">
        <v>112</v>
      </c>
      <c r="L936" t="s">
        <v>150</v>
      </c>
      <c r="M936" t="s">
        <v>151</v>
      </c>
      <c r="N936" t="s">
        <v>112</v>
      </c>
      <c r="O936" t="s">
        <v>112</v>
      </c>
      <c r="P936">
        <v>1</v>
      </c>
      <c r="Q936">
        <v>0</v>
      </c>
      <c r="R936">
        <v>1</v>
      </c>
      <c r="S936">
        <v>33</v>
      </c>
      <c r="T936" t="s">
        <v>166</v>
      </c>
      <c r="U936" t="s">
        <v>152</v>
      </c>
      <c r="V936" t="s">
        <v>153</v>
      </c>
      <c r="W936" t="s">
        <v>154</v>
      </c>
      <c r="X936" t="s">
        <v>119</v>
      </c>
      <c r="Y936" t="s">
        <v>112</v>
      </c>
      <c r="Z936" t="s">
        <v>166</v>
      </c>
      <c r="AA936" t="s">
        <v>152</v>
      </c>
      <c r="AB936" t="s">
        <v>153</v>
      </c>
      <c r="AC936" t="s">
        <v>154</v>
      </c>
      <c r="AD936" t="s">
        <v>119</v>
      </c>
      <c r="AE936" t="s">
        <v>112</v>
      </c>
      <c r="AF936" t="s">
        <v>121</v>
      </c>
      <c r="AG936" t="s">
        <v>122</v>
      </c>
      <c r="AH936">
        <v>3923927.5</v>
      </c>
      <c r="AI936" t="s">
        <v>166</v>
      </c>
      <c r="AJ936" t="s">
        <v>152</v>
      </c>
      <c r="AK936" t="s">
        <v>153</v>
      </c>
      <c r="AL936" t="s">
        <v>154</v>
      </c>
      <c r="AM936" t="s">
        <v>119</v>
      </c>
      <c r="AN936" t="s">
        <v>112</v>
      </c>
      <c r="AO936" t="s">
        <v>121</v>
      </c>
      <c r="AP936" t="s">
        <v>122</v>
      </c>
      <c r="AQ936" t="s">
        <v>122</v>
      </c>
      <c r="AR936" t="s">
        <v>124</v>
      </c>
      <c r="AS936" t="s">
        <v>125</v>
      </c>
      <c r="AT936">
        <v>2</v>
      </c>
      <c r="AU936" t="s">
        <v>126</v>
      </c>
      <c r="AV936" t="s">
        <v>155</v>
      </c>
      <c r="AW936" t="s">
        <v>156</v>
      </c>
      <c r="AX936">
        <v>1</v>
      </c>
      <c r="AY936" t="s">
        <v>129</v>
      </c>
      <c r="AZ936">
        <v>47128.56</v>
      </c>
      <c r="BA936">
        <v>3592351</v>
      </c>
      <c r="BB936">
        <v>55958.82</v>
      </c>
      <c r="BC936">
        <v>76.224500000000006</v>
      </c>
      <c r="BD936" t="s">
        <v>130</v>
      </c>
      <c r="BE936" t="s">
        <v>112</v>
      </c>
      <c r="BF936" t="s">
        <v>157</v>
      </c>
      <c r="BG936" t="s">
        <v>133</v>
      </c>
      <c r="BH936" t="s">
        <v>167</v>
      </c>
      <c r="BI936" t="s">
        <v>168</v>
      </c>
      <c r="BJ936" t="s">
        <v>112</v>
      </c>
      <c r="BK936" t="s">
        <v>112</v>
      </c>
      <c r="BL936" t="s">
        <v>169</v>
      </c>
      <c r="BM936" t="s">
        <v>159</v>
      </c>
      <c r="BN936" t="s">
        <v>160</v>
      </c>
      <c r="BO936" t="s">
        <v>161</v>
      </c>
      <c r="BP936">
        <v>1</v>
      </c>
      <c r="BQ936" t="s">
        <v>516</v>
      </c>
      <c r="BR936" s="45">
        <f>ISNUMBER(SEARCH($BR$1,Таблица1[[#This Row],[31_1 Описание и характеристика товара]]))*1</f>
        <v>1</v>
      </c>
      <c r="BT936" t="s">
        <v>150</v>
      </c>
      <c r="BU936">
        <v>33</v>
      </c>
      <c r="BV936">
        <v>0</v>
      </c>
      <c r="BW936">
        <v>0</v>
      </c>
      <c r="BY936">
        <v>0</v>
      </c>
      <c r="CA936" t="s">
        <v>106</v>
      </c>
      <c r="CB936" t="s">
        <v>142</v>
      </c>
      <c r="CC936" t="s">
        <v>112</v>
      </c>
      <c r="CD936" t="s">
        <v>112</v>
      </c>
      <c r="CE936" t="s">
        <v>121</v>
      </c>
      <c r="CF936">
        <v>17636.23</v>
      </c>
      <c r="CG936" t="s">
        <v>144</v>
      </c>
      <c r="CH936">
        <v>4000000</v>
      </c>
      <c r="CI936">
        <v>17636.23</v>
      </c>
      <c r="CJ936">
        <v>0</v>
      </c>
      <c r="CK936" t="s">
        <v>112</v>
      </c>
      <c r="CL936" t="s">
        <v>112</v>
      </c>
      <c r="CM936">
        <v>47128.56</v>
      </c>
      <c r="CN936">
        <v>3592351</v>
      </c>
      <c r="CO936">
        <v>0</v>
      </c>
      <c r="CP936">
        <v>1</v>
      </c>
      <c r="CQ936">
        <v>3923927.5</v>
      </c>
      <c r="CR936">
        <v>55958.82</v>
      </c>
      <c r="CS936" t="s">
        <v>145</v>
      </c>
      <c r="CT936">
        <v>55957.994166999997</v>
      </c>
      <c r="CU936">
        <v>3.1728999999999998</v>
      </c>
      <c r="CV936">
        <v>45</v>
      </c>
      <c r="CW936" t="s">
        <v>171</v>
      </c>
      <c r="CX936" t="s">
        <v>372</v>
      </c>
      <c r="CY936">
        <v>1</v>
      </c>
    </row>
    <row r="937" spans="1:103" x14ac:dyDescent="0.25">
      <c r="A937" t="s">
        <v>106</v>
      </c>
      <c r="B937" s="38">
        <v>44898</v>
      </c>
      <c r="C937" s="43">
        <f>IF(YEAR(Таблица1[[#This Row],[Дата]])=2023,MONTH(Таблица1[[#This Row],[Дата]]),0)</f>
        <v>0</v>
      </c>
      <c r="D937" t="s">
        <v>512</v>
      </c>
      <c r="E937" t="s">
        <v>108</v>
      </c>
      <c r="F937" t="s">
        <v>513</v>
      </c>
      <c r="G937" t="s">
        <v>110</v>
      </c>
      <c r="H937" t="s">
        <v>111</v>
      </c>
      <c r="I937" t="s">
        <v>112</v>
      </c>
      <c r="J937" t="s">
        <v>112</v>
      </c>
      <c r="K937" t="s">
        <v>112</v>
      </c>
      <c r="L937" t="s">
        <v>150</v>
      </c>
      <c r="M937" t="s">
        <v>151</v>
      </c>
      <c r="N937" t="s">
        <v>112</v>
      </c>
      <c r="O937" t="s">
        <v>112</v>
      </c>
      <c r="P937">
        <v>1</v>
      </c>
      <c r="Q937">
        <v>0</v>
      </c>
      <c r="R937">
        <v>1</v>
      </c>
      <c r="S937">
        <v>33</v>
      </c>
      <c r="T937" t="s">
        <v>166</v>
      </c>
      <c r="U937" t="s">
        <v>152</v>
      </c>
      <c r="V937" t="s">
        <v>153</v>
      </c>
      <c r="W937" t="s">
        <v>154</v>
      </c>
      <c r="X937" t="s">
        <v>119</v>
      </c>
      <c r="Y937" t="s">
        <v>112</v>
      </c>
      <c r="Z937" t="s">
        <v>166</v>
      </c>
      <c r="AA937" t="s">
        <v>152</v>
      </c>
      <c r="AB937" t="s">
        <v>153</v>
      </c>
      <c r="AC937" t="s">
        <v>154</v>
      </c>
      <c r="AD937" t="s">
        <v>119</v>
      </c>
      <c r="AE937" t="s">
        <v>112</v>
      </c>
      <c r="AF937" t="s">
        <v>121</v>
      </c>
      <c r="AG937" t="s">
        <v>122</v>
      </c>
      <c r="AH937">
        <v>3383318.96</v>
      </c>
      <c r="AI937" t="s">
        <v>166</v>
      </c>
      <c r="AJ937" t="s">
        <v>152</v>
      </c>
      <c r="AK937" t="s">
        <v>153</v>
      </c>
      <c r="AL937" t="s">
        <v>154</v>
      </c>
      <c r="AM937" t="s">
        <v>119</v>
      </c>
      <c r="AN937" t="s">
        <v>112</v>
      </c>
      <c r="AO937" t="s">
        <v>121</v>
      </c>
      <c r="AP937" t="s">
        <v>122</v>
      </c>
      <c r="AQ937" t="s">
        <v>122</v>
      </c>
      <c r="AR937" t="s">
        <v>124</v>
      </c>
      <c r="AS937" t="s">
        <v>125</v>
      </c>
      <c r="AT937">
        <v>2</v>
      </c>
      <c r="AU937" t="s">
        <v>126</v>
      </c>
      <c r="AV937" t="s">
        <v>155</v>
      </c>
      <c r="AW937" t="s">
        <v>156</v>
      </c>
      <c r="AX937">
        <v>1</v>
      </c>
      <c r="AY937" t="s">
        <v>129</v>
      </c>
      <c r="AZ937">
        <v>39336.239999999998</v>
      </c>
      <c r="BA937">
        <v>2998385</v>
      </c>
      <c r="BB937">
        <v>48249.24</v>
      </c>
      <c r="BC937">
        <v>76.224500000000006</v>
      </c>
      <c r="BD937" t="s">
        <v>130</v>
      </c>
      <c r="BE937" t="s">
        <v>112</v>
      </c>
      <c r="BF937" t="s">
        <v>157</v>
      </c>
      <c r="BG937" t="s">
        <v>133</v>
      </c>
      <c r="BH937" t="s">
        <v>167</v>
      </c>
      <c r="BI937" t="s">
        <v>168</v>
      </c>
      <c r="BJ937" t="s">
        <v>112</v>
      </c>
      <c r="BK937" t="s">
        <v>112</v>
      </c>
      <c r="BL937" t="s">
        <v>169</v>
      </c>
      <c r="BM937" t="s">
        <v>159</v>
      </c>
      <c r="BN937" t="s">
        <v>160</v>
      </c>
      <c r="BO937" t="s">
        <v>161</v>
      </c>
      <c r="BP937">
        <v>1</v>
      </c>
      <c r="BQ937" t="s">
        <v>205</v>
      </c>
      <c r="BR937" s="45">
        <f>ISNUMBER(SEARCH($BR$1,Таблица1[[#This Row],[31_1 Описание и характеристика товара]]))*1</f>
        <v>1</v>
      </c>
      <c r="BT937" t="s">
        <v>150</v>
      </c>
      <c r="BU937">
        <v>33</v>
      </c>
      <c r="BV937">
        <v>0</v>
      </c>
      <c r="BW937">
        <v>0</v>
      </c>
      <c r="BY937">
        <v>0</v>
      </c>
      <c r="CA937" t="s">
        <v>106</v>
      </c>
      <c r="CB937" t="s">
        <v>142</v>
      </c>
      <c r="CC937" t="s">
        <v>112</v>
      </c>
      <c r="CD937" t="s">
        <v>112</v>
      </c>
      <c r="CE937" t="s">
        <v>121</v>
      </c>
      <c r="CF937">
        <v>16858.849999999999</v>
      </c>
      <c r="CG937" t="s">
        <v>144</v>
      </c>
      <c r="CH937">
        <v>4000000</v>
      </c>
      <c r="CI937">
        <v>16844.45</v>
      </c>
      <c r="CJ937">
        <v>0</v>
      </c>
      <c r="CK937" t="s">
        <v>112</v>
      </c>
      <c r="CL937" t="s">
        <v>112</v>
      </c>
      <c r="CM937">
        <v>39336.239999999998</v>
      </c>
      <c r="CN937">
        <v>2998385</v>
      </c>
      <c r="CO937">
        <v>0</v>
      </c>
      <c r="CP937">
        <v>1</v>
      </c>
      <c r="CQ937">
        <v>3383318.96</v>
      </c>
      <c r="CR937">
        <v>48249.24</v>
      </c>
      <c r="CS937" t="s">
        <v>145</v>
      </c>
      <c r="CT937">
        <v>48249.242579999998</v>
      </c>
      <c r="CU937">
        <v>2.8643999999999998</v>
      </c>
      <c r="CV937">
        <v>45</v>
      </c>
      <c r="CW937" t="s">
        <v>171</v>
      </c>
      <c r="CX937" t="s">
        <v>369</v>
      </c>
      <c r="CY937">
        <v>78</v>
      </c>
    </row>
    <row r="938" spans="1:103" x14ac:dyDescent="0.25">
      <c r="A938" t="s">
        <v>106</v>
      </c>
      <c r="B938" s="38">
        <v>45020</v>
      </c>
      <c r="C938" s="43">
        <f>IF(YEAR(Таблица1[[#This Row],[Дата]])=2023,MONTH(Таблица1[[#This Row],[Дата]]),0)</f>
        <v>4</v>
      </c>
      <c r="D938" t="s">
        <v>1736</v>
      </c>
      <c r="E938" t="s">
        <v>108</v>
      </c>
      <c r="F938" t="s">
        <v>1737</v>
      </c>
      <c r="G938" t="s">
        <v>110</v>
      </c>
      <c r="H938" t="s">
        <v>111</v>
      </c>
      <c r="I938" t="s">
        <v>112</v>
      </c>
      <c r="J938" t="s">
        <v>112</v>
      </c>
      <c r="K938" t="s">
        <v>112</v>
      </c>
      <c r="L938" t="s">
        <v>150</v>
      </c>
      <c r="M938" t="s">
        <v>151</v>
      </c>
      <c r="N938" t="s">
        <v>112</v>
      </c>
      <c r="O938" t="s">
        <v>112</v>
      </c>
      <c r="P938">
        <v>1</v>
      </c>
      <c r="R938">
        <v>1</v>
      </c>
      <c r="S938">
        <v>33</v>
      </c>
      <c r="T938" t="s">
        <v>112</v>
      </c>
      <c r="U938" t="s">
        <v>152</v>
      </c>
      <c r="V938" t="s">
        <v>153</v>
      </c>
      <c r="W938" t="s">
        <v>154</v>
      </c>
      <c r="X938" t="s">
        <v>119</v>
      </c>
      <c r="Y938" t="s">
        <v>112</v>
      </c>
      <c r="Z938" t="s">
        <v>112</v>
      </c>
      <c r="AA938" t="s">
        <v>152</v>
      </c>
      <c r="AB938" t="s">
        <v>153</v>
      </c>
      <c r="AC938" t="s">
        <v>154</v>
      </c>
      <c r="AD938" t="s">
        <v>119</v>
      </c>
      <c r="AE938" t="s">
        <v>112</v>
      </c>
      <c r="AF938" t="s">
        <v>121</v>
      </c>
      <c r="AG938" t="s">
        <v>122</v>
      </c>
      <c r="AH938">
        <v>4772406.95</v>
      </c>
      <c r="AI938" t="s">
        <v>112</v>
      </c>
      <c r="AJ938" t="s">
        <v>152</v>
      </c>
      <c r="AK938" t="s">
        <v>153</v>
      </c>
      <c r="AL938" t="s">
        <v>154</v>
      </c>
      <c r="AM938" t="s">
        <v>119</v>
      </c>
      <c r="AN938" t="s">
        <v>112</v>
      </c>
      <c r="AO938" t="s">
        <v>121</v>
      </c>
      <c r="AP938" t="s">
        <v>122</v>
      </c>
      <c r="AQ938" t="s">
        <v>122</v>
      </c>
      <c r="AR938" t="s">
        <v>124</v>
      </c>
      <c r="AS938" t="s">
        <v>125</v>
      </c>
      <c r="AT938">
        <v>2</v>
      </c>
      <c r="AU938" t="s">
        <v>126</v>
      </c>
      <c r="AV938" t="s">
        <v>155</v>
      </c>
      <c r="AW938" t="s">
        <v>156</v>
      </c>
      <c r="AY938" t="s">
        <v>129</v>
      </c>
      <c r="AZ938">
        <v>44740.6</v>
      </c>
      <c r="BC938">
        <v>97.9345</v>
      </c>
      <c r="BD938" t="s">
        <v>112</v>
      </c>
      <c r="BE938" t="s">
        <v>112</v>
      </c>
      <c r="BF938" t="s">
        <v>157</v>
      </c>
      <c r="BG938" t="s">
        <v>133</v>
      </c>
      <c r="BH938" t="s">
        <v>134</v>
      </c>
      <c r="BI938" t="s">
        <v>112</v>
      </c>
      <c r="BJ938" t="s">
        <v>112</v>
      </c>
      <c r="BK938" t="s">
        <v>112</v>
      </c>
      <c r="BL938" t="s">
        <v>158</v>
      </c>
      <c r="BM938" t="s">
        <v>159</v>
      </c>
      <c r="BN938" t="s">
        <v>212</v>
      </c>
      <c r="BO938" t="s">
        <v>161</v>
      </c>
      <c r="BQ938" t="s">
        <v>205</v>
      </c>
      <c r="BR938" s="45">
        <f>ISNUMBER(SEARCH($BR$1,Таблица1[[#This Row],[31_1 Описание и характеристика товара]]))*1</f>
        <v>1</v>
      </c>
      <c r="BT938" t="s">
        <v>150</v>
      </c>
      <c r="BU938">
        <v>33</v>
      </c>
      <c r="BV938">
        <v>0</v>
      </c>
      <c r="BW938">
        <v>0</v>
      </c>
      <c r="BY938">
        <v>0</v>
      </c>
      <c r="CA938" t="s">
        <v>106</v>
      </c>
      <c r="CB938" t="s">
        <v>142</v>
      </c>
      <c r="CC938" t="s">
        <v>112</v>
      </c>
      <c r="CD938" t="s">
        <v>112</v>
      </c>
      <c r="CE938" t="s">
        <v>121</v>
      </c>
      <c r="CF938">
        <v>15894.06</v>
      </c>
      <c r="CG938" t="s">
        <v>144</v>
      </c>
      <c r="CH938">
        <v>4000000</v>
      </c>
      <c r="CI938">
        <v>15638.46</v>
      </c>
      <c r="CJ938">
        <v>0</v>
      </c>
      <c r="CK938" t="s">
        <v>112</v>
      </c>
      <c r="CL938" t="s">
        <v>112</v>
      </c>
      <c r="CM938">
        <v>44740.6</v>
      </c>
      <c r="CO938">
        <v>0</v>
      </c>
      <c r="CP938">
        <v>1</v>
      </c>
      <c r="CQ938">
        <v>4772406.95</v>
      </c>
      <c r="CR938">
        <v>51861.25</v>
      </c>
      <c r="CS938" t="s">
        <v>145</v>
      </c>
      <c r="CT938">
        <v>51919.687199999993</v>
      </c>
      <c r="CU938">
        <v>3.32</v>
      </c>
      <c r="CV938">
        <v>45</v>
      </c>
      <c r="CX938" t="s">
        <v>729</v>
      </c>
      <c r="CY938">
        <v>140</v>
      </c>
    </row>
    <row r="939" spans="1:103" x14ac:dyDescent="0.25">
      <c r="A939" t="s">
        <v>106</v>
      </c>
      <c r="B939" s="38">
        <v>44945</v>
      </c>
      <c r="C939" s="43">
        <f>IF(YEAR(Таблица1[[#This Row],[Дата]])=2023,MONTH(Таблица1[[#This Row],[Дата]]),0)</f>
        <v>1</v>
      </c>
      <c r="D939" t="s">
        <v>1638</v>
      </c>
      <c r="E939" t="s">
        <v>108</v>
      </c>
      <c r="F939" t="s">
        <v>1639</v>
      </c>
      <c r="G939" t="s">
        <v>110</v>
      </c>
      <c r="H939" t="s">
        <v>111</v>
      </c>
      <c r="I939" t="s">
        <v>112</v>
      </c>
      <c r="J939" t="s">
        <v>112</v>
      </c>
      <c r="K939" t="s">
        <v>112</v>
      </c>
      <c r="L939" t="s">
        <v>150</v>
      </c>
      <c r="M939" t="s">
        <v>151</v>
      </c>
      <c r="N939" t="s">
        <v>112</v>
      </c>
      <c r="O939" t="s">
        <v>112</v>
      </c>
      <c r="P939">
        <v>1</v>
      </c>
      <c r="R939">
        <v>1</v>
      </c>
      <c r="S939">
        <v>33</v>
      </c>
      <c r="T939" t="s">
        <v>112</v>
      </c>
      <c r="U939" t="s">
        <v>152</v>
      </c>
      <c r="V939" t="s">
        <v>153</v>
      </c>
      <c r="W939" t="s">
        <v>154</v>
      </c>
      <c r="X939" t="s">
        <v>119</v>
      </c>
      <c r="Y939" t="s">
        <v>112</v>
      </c>
      <c r="Z939" t="s">
        <v>112</v>
      </c>
      <c r="AA939" t="s">
        <v>152</v>
      </c>
      <c r="AB939" t="s">
        <v>153</v>
      </c>
      <c r="AC939" t="s">
        <v>154</v>
      </c>
      <c r="AD939" t="s">
        <v>119</v>
      </c>
      <c r="AE939" t="s">
        <v>112</v>
      </c>
      <c r="AF939" t="s">
        <v>121</v>
      </c>
      <c r="AG939" t="s">
        <v>122</v>
      </c>
      <c r="AH939">
        <v>4704990.8</v>
      </c>
      <c r="AI939" t="s">
        <v>112</v>
      </c>
      <c r="AJ939" t="s">
        <v>152</v>
      </c>
      <c r="AK939" t="s">
        <v>153</v>
      </c>
      <c r="AL939" t="s">
        <v>154</v>
      </c>
      <c r="AM939" t="s">
        <v>119</v>
      </c>
      <c r="AN939" t="s">
        <v>112</v>
      </c>
      <c r="AO939" t="s">
        <v>121</v>
      </c>
      <c r="AP939" t="s">
        <v>122</v>
      </c>
      <c r="AQ939" t="s">
        <v>122</v>
      </c>
      <c r="AR939" t="s">
        <v>124</v>
      </c>
      <c r="AS939" t="s">
        <v>125</v>
      </c>
      <c r="AT939">
        <v>2</v>
      </c>
      <c r="AU939" t="s">
        <v>126</v>
      </c>
      <c r="AV939" t="s">
        <v>155</v>
      </c>
      <c r="AW939" t="s">
        <v>156</v>
      </c>
      <c r="AY939" t="s">
        <v>129</v>
      </c>
      <c r="AZ939">
        <v>44052.22</v>
      </c>
      <c r="BC939">
        <v>97.9345</v>
      </c>
      <c r="BD939" t="s">
        <v>112</v>
      </c>
      <c r="BE939" t="s">
        <v>112</v>
      </c>
      <c r="BF939" t="s">
        <v>157</v>
      </c>
      <c r="BG939" t="s">
        <v>133</v>
      </c>
      <c r="BH939" t="s">
        <v>134</v>
      </c>
      <c r="BI939" t="s">
        <v>112</v>
      </c>
      <c r="BJ939" t="s">
        <v>112</v>
      </c>
      <c r="BK939" t="s">
        <v>112</v>
      </c>
      <c r="BL939" t="s">
        <v>158</v>
      </c>
      <c r="BM939" t="s">
        <v>159</v>
      </c>
      <c r="BN939" t="s">
        <v>212</v>
      </c>
      <c r="BO939" t="s">
        <v>161</v>
      </c>
      <c r="BQ939" t="s">
        <v>232</v>
      </c>
      <c r="BR939" s="45">
        <f>ISNUMBER(SEARCH($BR$1,Таблица1[[#This Row],[31_1 Описание и характеристика товара]]))*1</f>
        <v>1</v>
      </c>
      <c r="BT939" t="s">
        <v>150</v>
      </c>
      <c r="BU939">
        <v>33</v>
      </c>
      <c r="BV939">
        <v>0</v>
      </c>
      <c r="BW939">
        <v>0</v>
      </c>
      <c r="BY939">
        <v>0</v>
      </c>
      <c r="CA939" t="s">
        <v>106</v>
      </c>
      <c r="CB939" t="s">
        <v>142</v>
      </c>
      <c r="CC939" t="s">
        <v>112</v>
      </c>
      <c r="CD939" t="s">
        <v>112</v>
      </c>
      <c r="CE939" t="s">
        <v>121</v>
      </c>
      <c r="CF939">
        <v>16842.82</v>
      </c>
      <c r="CG939" t="s">
        <v>144</v>
      </c>
      <c r="CH939">
        <v>4000000</v>
      </c>
      <c r="CI939">
        <v>16788.830000000002</v>
      </c>
      <c r="CJ939">
        <v>0</v>
      </c>
      <c r="CK939" t="s">
        <v>112</v>
      </c>
      <c r="CL939" t="s">
        <v>112</v>
      </c>
      <c r="CM939">
        <v>44052.22</v>
      </c>
      <c r="CO939">
        <v>0</v>
      </c>
      <c r="CP939">
        <v>1</v>
      </c>
      <c r="CQ939">
        <v>4704990.8</v>
      </c>
      <c r="CR939">
        <v>51128.639999999999</v>
      </c>
      <c r="CS939" t="s">
        <v>145</v>
      </c>
      <c r="CT939">
        <v>51205.931499999999</v>
      </c>
      <c r="CU939">
        <v>3.05</v>
      </c>
      <c r="CV939">
        <v>45</v>
      </c>
      <c r="CX939" t="s">
        <v>163</v>
      </c>
      <c r="CY939">
        <v>140</v>
      </c>
    </row>
    <row r="940" spans="1:103" x14ac:dyDescent="0.25">
      <c r="A940" t="s">
        <v>106</v>
      </c>
      <c r="B940" s="38">
        <v>45117</v>
      </c>
      <c r="C940" s="43">
        <f>IF(YEAR(Таблица1[[#This Row],[Дата]])=2023,MONTH(Таблица1[[#This Row],[Дата]]),0)</f>
        <v>7</v>
      </c>
      <c r="D940" t="s">
        <v>1646</v>
      </c>
      <c r="E940" t="s">
        <v>108</v>
      </c>
      <c r="F940" t="s">
        <v>1647</v>
      </c>
      <c r="G940" t="s">
        <v>110</v>
      </c>
      <c r="H940" t="s">
        <v>111</v>
      </c>
      <c r="I940" t="s">
        <v>112</v>
      </c>
      <c r="J940" t="s">
        <v>112</v>
      </c>
      <c r="K940" t="s">
        <v>112</v>
      </c>
      <c r="L940" t="s">
        <v>150</v>
      </c>
      <c r="M940" t="s">
        <v>151</v>
      </c>
      <c r="N940" t="s">
        <v>112</v>
      </c>
      <c r="O940" t="s">
        <v>112</v>
      </c>
      <c r="P940">
        <v>1</v>
      </c>
      <c r="R940">
        <v>1</v>
      </c>
      <c r="S940">
        <v>33</v>
      </c>
      <c r="T940" t="s">
        <v>112</v>
      </c>
      <c r="U940" t="s">
        <v>152</v>
      </c>
      <c r="V940" t="s">
        <v>153</v>
      </c>
      <c r="W940" t="s">
        <v>154</v>
      </c>
      <c r="X940" t="s">
        <v>119</v>
      </c>
      <c r="Y940" t="s">
        <v>112</v>
      </c>
      <c r="Z940" t="s">
        <v>112</v>
      </c>
      <c r="AA940" t="s">
        <v>152</v>
      </c>
      <c r="AB940" t="s">
        <v>153</v>
      </c>
      <c r="AC940" t="s">
        <v>154</v>
      </c>
      <c r="AD940" t="s">
        <v>119</v>
      </c>
      <c r="AE940" t="s">
        <v>112</v>
      </c>
      <c r="AF940" t="s">
        <v>121</v>
      </c>
      <c r="AG940" t="s">
        <v>122</v>
      </c>
      <c r="AH940">
        <v>3995077.32</v>
      </c>
      <c r="AI940" t="s">
        <v>112</v>
      </c>
      <c r="AJ940" t="s">
        <v>152</v>
      </c>
      <c r="AK940" t="s">
        <v>153</v>
      </c>
      <c r="AL940" t="s">
        <v>154</v>
      </c>
      <c r="AM940" t="s">
        <v>119</v>
      </c>
      <c r="AN940" t="s">
        <v>112</v>
      </c>
      <c r="AO940" t="s">
        <v>121</v>
      </c>
      <c r="AP940" t="s">
        <v>122</v>
      </c>
      <c r="AQ940" t="s">
        <v>122</v>
      </c>
      <c r="AR940" t="s">
        <v>124</v>
      </c>
      <c r="AS940" t="s">
        <v>125</v>
      </c>
      <c r="AT940">
        <v>2</v>
      </c>
      <c r="AU940" t="s">
        <v>126</v>
      </c>
      <c r="AV940" t="s">
        <v>155</v>
      </c>
      <c r="AW940" t="s">
        <v>156</v>
      </c>
      <c r="AY940" t="s">
        <v>129</v>
      </c>
      <c r="AZ940">
        <v>36803.360000000001</v>
      </c>
      <c r="BC940">
        <v>97.9345</v>
      </c>
      <c r="BD940" t="s">
        <v>112</v>
      </c>
      <c r="BE940" t="s">
        <v>112</v>
      </c>
      <c r="BF940" t="s">
        <v>157</v>
      </c>
      <c r="BG940" t="s">
        <v>133</v>
      </c>
      <c r="BH940" t="s">
        <v>134</v>
      </c>
      <c r="BI940" t="s">
        <v>112</v>
      </c>
      <c r="BJ940" t="s">
        <v>112</v>
      </c>
      <c r="BK940" t="s">
        <v>112</v>
      </c>
      <c r="BL940" t="s">
        <v>158</v>
      </c>
      <c r="BM940" t="s">
        <v>159</v>
      </c>
      <c r="BN940" t="s">
        <v>212</v>
      </c>
      <c r="BO940" t="s">
        <v>161</v>
      </c>
      <c r="BQ940" t="s">
        <v>213</v>
      </c>
      <c r="BR940" s="45">
        <f>ISNUMBER(SEARCH($BR$1,Таблица1[[#This Row],[31_1 Описание и характеристика товара]]))*1</f>
        <v>1</v>
      </c>
      <c r="BT940" t="s">
        <v>150</v>
      </c>
      <c r="BU940">
        <v>33</v>
      </c>
      <c r="BV940">
        <v>0</v>
      </c>
      <c r="BW940">
        <v>0</v>
      </c>
      <c r="BY940">
        <v>0</v>
      </c>
      <c r="CA940" t="s">
        <v>106</v>
      </c>
      <c r="CB940" t="s">
        <v>142</v>
      </c>
      <c r="CC940" t="s">
        <v>112</v>
      </c>
      <c r="CD940" t="s">
        <v>112</v>
      </c>
      <c r="CE940" t="s">
        <v>121</v>
      </c>
      <c r="CF940">
        <v>17353.91</v>
      </c>
      <c r="CG940" t="s">
        <v>144</v>
      </c>
      <c r="CH940">
        <v>4000000</v>
      </c>
      <c r="CI940">
        <v>17353.91</v>
      </c>
      <c r="CJ940">
        <v>0</v>
      </c>
      <c r="CK940" t="s">
        <v>112</v>
      </c>
      <c r="CL940" t="s">
        <v>112</v>
      </c>
      <c r="CM940">
        <v>36803.360000000001</v>
      </c>
      <c r="CO940">
        <v>0</v>
      </c>
      <c r="CP940">
        <v>1</v>
      </c>
      <c r="CQ940">
        <v>3995077.32</v>
      </c>
      <c r="CR940">
        <v>43414.09</v>
      </c>
      <c r="CS940" t="s">
        <v>145</v>
      </c>
      <c r="CT940">
        <v>43384.775000000001</v>
      </c>
      <c r="CU940">
        <v>2.5</v>
      </c>
      <c r="CV940">
        <v>45</v>
      </c>
      <c r="CX940" t="s">
        <v>233</v>
      </c>
      <c r="CY940">
        <v>70</v>
      </c>
    </row>
    <row r="941" spans="1:103" x14ac:dyDescent="0.25">
      <c r="A941" t="s">
        <v>106</v>
      </c>
      <c r="B941" s="38">
        <v>45272</v>
      </c>
      <c r="C941" s="43">
        <f>IF(YEAR(Таблица1[[#This Row],[Дата]])=2023,MONTH(Таблица1[[#This Row],[Дата]]),0)</f>
        <v>12</v>
      </c>
      <c r="D941" t="s">
        <v>1842</v>
      </c>
      <c r="E941" t="s">
        <v>108</v>
      </c>
      <c r="F941" t="s">
        <v>1843</v>
      </c>
      <c r="G941" t="s">
        <v>110</v>
      </c>
      <c r="H941" t="s">
        <v>111</v>
      </c>
      <c r="I941" t="s">
        <v>112</v>
      </c>
      <c r="J941" t="s">
        <v>112</v>
      </c>
      <c r="K941" t="s">
        <v>112</v>
      </c>
      <c r="L941" t="s">
        <v>150</v>
      </c>
      <c r="M941" t="s">
        <v>151</v>
      </c>
      <c r="N941" t="s">
        <v>112</v>
      </c>
      <c r="O941" t="s">
        <v>112</v>
      </c>
      <c r="P941">
        <v>1</v>
      </c>
      <c r="R941">
        <v>1</v>
      </c>
      <c r="S941">
        <v>33</v>
      </c>
      <c r="T941" t="s">
        <v>112</v>
      </c>
      <c r="U941" t="s">
        <v>152</v>
      </c>
      <c r="V941" t="s">
        <v>153</v>
      </c>
      <c r="W941" t="s">
        <v>154</v>
      </c>
      <c r="X941" t="s">
        <v>119</v>
      </c>
      <c r="Y941" t="s">
        <v>112</v>
      </c>
      <c r="Z941" t="s">
        <v>112</v>
      </c>
      <c r="AA941" t="s">
        <v>152</v>
      </c>
      <c r="AB941" t="s">
        <v>153</v>
      </c>
      <c r="AC941" t="s">
        <v>154</v>
      </c>
      <c r="AD941" t="s">
        <v>119</v>
      </c>
      <c r="AE941" t="s">
        <v>112</v>
      </c>
      <c r="AF941" t="s">
        <v>121</v>
      </c>
      <c r="AG941" t="s">
        <v>122</v>
      </c>
      <c r="AH941">
        <v>4550610.74</v>
      </c>
      <c r="AI941" t="s">
        <v>112</v>
      </c>
      <c r="AJ941" t="s">
        <v>152</v>
      </c>
      <c r="AK941" t="s">
        <v>153</v>
      </c>
      <c r="AL941" t="s">
        <v>154</v>
      </c>
      <c r="AM941" t="s">
        <v>119</v>
      </c>
      <c r="AN941" t="s">
        <v>112</v>
      </c>
      <c r="AO941" t="s">
        <v>121</v>
      </c>
      <c r="AP941" t="s">
        <v>122</v>
      </c>
      <c r="AQ941" t="s">
        <v>122</v>
      </c>
      <c r="AR941" t="s">
        <v>124</v>
      </c>
      <c r="AS941" t="s">
        <v>125</v>
      </c>
      <c r="AT941">
        <v>2</v>
      </c>
      <c r="AU941" t="s">
        <v>126</v>
      </c>
      <c r="AV941" t="s">
        <v>155</v>
      </c>
      <c r="AW941" t="s">
        <v>156</v>
      </c>
      <c r="AY941" t="s">
        <v>129</v>
      </c>
      <c r="AZ941">
        <v>39233.64</v>
      </c>
      <c r="BC941">
        <v>104.94070000000001</v>
      </c>
      <c r="BD941" t="s">
        <v>112</v>
      </c>
      <c r="BE941" t="s">
        <v>112</v>
      </c>
      <c r="BF941" t="s">
        <v>157</v>
      </c>
      <c r="BG941" t="s">
        <v>133</v>
      </c>
      <c r="BH941" t="s">
        <v>134</v>
      </c>
      <c r="BI941" t="s">
        <v>112</v>
      </c>
      <c r="BJ941" t="s">
        <v>112</v>
      </c>
      <c r="BK941" t="s">
        <v>112</v>
      </c>
      <c r="BL941" t="s">
        <v>169</v>
      </c>
      <c r="BM941" t="s">
        <v>159</v>
      </c>
      <c r="BN941" t="s">
        <v>212</v>
      </c>
      <c r="BO941" t="s">
        <v>161</v>
      </c>
      <c r="BQ941" t="s">
        <v>232</v>
      </c>
      <c r="BR941" s="45">
        <f>ISNUMBER(SEARCH($BR$1,Таблица1[[#This Row],[31_1 Описание и характеристика товара]]))*1</f>
        <v>1</v>
      </c>
      <c r="BT941" t="s">
        <v>150</v>
      </c>
      <c r="BU941">
        <v>33</v>
      </c>
      <c r="CA941" t="s">
        <v>106</v>
      </c>
      <c r="CB941" t="s">
        <v>142</v>
      </c>
      <c r="CC941" t="s">
        <v>112</v>
      </c>
      <c r="CD941" t="s">
        <v>112</v>
      </c>
      <c r="CE941" t="s">
        <v>121</v>
      </c>
      <c r="CF941">
        <v>16861.57</v>
      </c>
      <c r="CG941" t="s">
        <v>144</v>
      </c>
      <c r="CH941">
        <v>4000000</v>
      </c>
      <c r="CI941">
        <v>16796.77</v>
      </c>
      <c r="CK941" t="s">
        <v>112</v>
      </c>
      <c r="CL941" t="s">
        <v>112</v>
      </c>
      <c r="CM941">
        <v>39233.64</v>
      </c>
      <c r="CO941">
        <v>0</v>
      </c>
      <c r="CP941">
        <v>1</v>
      </c>
      <c r="CQ941">
        <v>4550610.74</v>
      </c>
      <c r="CR941">
        <v>47237.65</v>
      </c>
      <c r="CS941" t="s">
        <v>145</v>
      </c>
      <c r="CT941">
        <v>47198.923699999999</v>
      </c>
      <c r="CU941">
        <v>2.81</v>
      </c>
      <c r="CV941">
        <v>45</v>
      </c>
      <c r="CX941" t="s">
        <v>163</v>
      </c>
      <c r="CY941">
        <v>155</v>
      </c>
    </row>
    <row r="942" spans="1:103" x14ac:dyDescent="0.25">
      <c r="A942" t="s">
        <v>106</v>
      </c>
      <c r="B942" s="38">
        <v>44966</v>
      </c>
      <c r="C942" s="43">
        <f>IF(YEAR(Таблица1[[#This Row],[Дата]])=2023,MONTH(Таблица1[[#This Row],[Дата]]),0)</f>
        <v>2</v>
      </c>
      <c r="D942" t="s">
        <v>1630</v>
      </c>
      <c r="E942" t="s">
        <v>108</v>
      </c>
      <c r="F942" t="s">
        <v>1631</v>
      </c>
      <c r="G942" t="s">
        <v>110</v>
      </c>
      <c r="H942" t="s">
        <v>111</v>
      </c>
      <c r="I942" t="s">
        <v>112</v>
      </c>
      <c r="J942" t="s">
        <v>112</v>
      </c>
      <c r="K942" t="s">
        <v>112</v>
      </c>
      <c r="L942" t="s">
        <v>150</v>
      </c>
      <c r="M942" t="s">
        <v>151</v>
      </c>
      <c r="N942" t="s">
        <v>112</v>
      </c>
      <c r="O942" t="s">
        <v>112</v>
      </c>
      <c r="R942">
        <v>1</v>
      </c>
      <c r="S942">
        <v>33</v>
      </c>
      <c r="T942" t="s">
        <v>166</v>
      </c>
      <c r="U942" t="s">
        <v>152</v>
      </c>
      <c r="V942" t="s">
        <v>153</v>
      </c>
      <c r="W942" t="s">
        <v>154</v>
      </c>
      <c r="X942" t="s">
        <v>119</v>
      </c>
      <c r="Y942" t="s">
        <v>112</v>
      </c>
      <c r="Z942" t="s">
        <v>166</v>
      </c>
      <c r="AA942" t="s">
        <v>152</v>
      </c>
      <c r="AB942" t="s">
        <v>153</v>
      </c>
      <c r="AC942" t="s">
        <v>154</v>
      </c>
      <c r="AD942" t="s">
        <v>119</v>
      </c>
      <c r="AE942" t="s">
        <v>112</v>
      </c>
      <c r="AF942" t="s">
        <v>121</v>
      </c>
      <c r="AG942" t="s">
        <v>122</v>
      </c>
      <c r="AH942">
        <v>4686277.5599999996</v>
      </c>
      <c r="AI942" t="s">
        <v>166</v>
      </c>
      <c r="AJ942" t="s">
        <v>152</v>
      </c>
      <c r="AK942" t="s">
        <v>153</v>
      </c>
      <c r="AL942" t="s">
        <v>154</v>
      </c>
      <c r="AM942" t="s">
        <v>119</v>
      </c>
      <c r="AN942" t="s">
        <v>112</v>
      </c>
      <c r="AO942" t="s">
        <v>121</v>
      </c>
      <c r="AP942" t="s">
        <v>122</v>
      </c>
      <c r="AQ942" t="s">
        <v>122</v>
      </c>
      <c r="AR942" t="s">
        <v>124</v>
      </c>
      <c r="AS942" t="s">
        <v>125</v>
      </c>
      <c r="AU942" t="s">
        <v>126</v>
      </c>
      <c r="AV942" t="s">
        <v>155</v>
      </c>
      <c r="AW942" t="s">
        <v>156</v>
      </c>
      <c r="AY942" t="s">
        <v>129</v>
      </c>
      <c r="AZ942">
        <v>42295.08</v>
      </c>
      <c r="BC942">
        <v>100.94280000000001</v>
      </c>
      <c r="BD942" t="s">
        <v>112</v>
      </c>
      <c r="BE942" t="s">
        <v>112</v>
      </c>
      <c r="BF942" t="s">
        <v>112</v>
      </c>
      <c r="BG942" t="s">
        <v>133</v>
      </c>
      <c r="BH942" t="s">
        <v>1627</v>
      </c>
      <c r="BI942" t="s">
        <v>112</v>
      </c>
      <c r="BJ942" t="s">
        <v>112</v>
      </c>
      <c r="BK942" t="s">
        <v>112</v>
      </c>
      <c r="BL942" t="s">
        <v>112</v>
      </c>
      <c r="BM942" t="s">
        <v>112</v>
      </c>
      <c r="BN942" t="s">
        <v>112</v>
      </c>
      <c r="BO942" t="s">
        <v>161</v>
      </c>
      <c r="BQ942" t="s">
        <v>205</v>
      </c>
      <c r="BR942" s="45">
        <f>ISNUMBER(SEARCH($BR$1,Таблица1[[#This Row],[31_1 Описание и характеристика товара]]))*1</f>
        <v>1</v>
      </c>
      <c r="BT942" t="s">
        <v>150</v>
      </c>
      <c r="BU942">
        <v>33</v>
      </c>
      <c r="BW942">
        <v>0</v>
      </c>
      <c r="CA942" t="s">
        <v>106</v>
      </c>
      <c r="CB942" t="s">
        <v>142</v>
      </c>
      <c r="CC942" t="s">
        <v>112</v>
      </c>
      <c r="CD942" t="s">
        <v>112</v>
      </c>
      <c r="CE942" t="s">
        <v>121</v>
      </c>
      <c r="CF942">
        <v>16553.98</v>
      </c>
      <c r="CG942" t="s">
        <v>144</v>
      </c>
      <c r="CH942">
        <v>4000000</v>
      </c>
      <c r="CI942">
        <v>16438.78</v>
      </c>
      <c r="CJ942">
        <v>0</v>
      </c>
      <c r="CK942" t="s">
        <v>112</v>
      </c>
      <c r="CL942" t="s">
        <v>112</v>
      </c>
      <c r="CM942">
        <v>42295.08</v>
      </c>
      <c r="CQ942">
        <v>4686277.5599999996</v>
      </c>
      <c r="CR942">
        <v>51164.54</v>
      </c>
      <c r="CS942" t="s">
        <v>145</v>
      </c>
      <c r="CT942">
        <v>51124.605799999998</v>
      </c>
      <c r="CU942">
        <v>3.11</v>
      </c>
      <c r="CY942">
        <v>212</v>
      </c>
    </row>
    <row r="943" spans="1:103" x14ac:dyDescent="0.25">
      <c r="A943" t="s">
        <v>106</v>
      </c>
      <c r="B943" s="38">
        <v>44944</v>
      </c>
      <c r="C943" s="43">
        <f>IF(YEAR(Таблица1[[#This Row],[Дата]])=2023,MONTH(Таблица1[[#This Row],[Дата]]),0)</f>
        <v>1</v>
      </c>
      <c r="D943" t="s">
        <v>1628</v>
      </c>
      <c r="E943" t="s">
        <v>108</v>
      </c>
      <c r="F943" t="s">
        <v>1629</v>
      </c>
      <c r="G943" t="s">
        <v>110</v>
      </c>
      <c r="H943" t="s">
        <v>111</v>
      </c>
      <c r="I943" t="s">
        <v>112</v>
      </c>
      <c r="J943" t="s">
        <v>112</v>
      </c>
      <c r="K943" t="s">
        <v>112</v>
      </c>
      <c r="L943" t="s">
        <v>150</v>
      </c>
      <c r="M943" t="s">
        <v>151</v>
      </c>
      <c r="N943" t="s">
        <v>112</v>
      </c>
      <c r="O943" t="s">
        <v>112</v>
      </c>
      <c r="R943">
        <v>1</v>
      </c>
      <c r="S943">
        <v>33</v>
      </c>
      <c r="T943" t="s">
        <v>166</v>
      </c>
      <c r="U943" t="s">
        <v>152</v>
      </c>
      <c r="V943" t="s">
        <v>153</v>
      </c>
      <c r="W943" t="s">
        <v>154</v>
      </c>
      <c r="X943" t="s">
        <v>119</v>
      </c>
      <c r="Y943" t="s">
        <v>112</v>
      </c>
      <c r="Z943" t="s">
        <v>166</v>
      </c>
      <c r="AA943" t="s">
        <v>152</v>
      </c>
      <c r="AB943" t="s">
        <v>153</v>
      </c>
      <c r="AC943" t="s">
        <v>154</v>
      </c>
      <c r="AD943" t="s">
        <v>119</v>
      </c>
      <c r="AE943" t="s">
        <v>112</v>
      </c>
      <c r="AF943" t="s">
        <v>121</v>
      </c>
      <c r="AG943" t="s">
        <v>122</v>
      </c>
      <c r="AH943">
        <v>4569981.3600000003</v>
      </c>
      <c r="AI943" t="s">
        <v>166</v>
      </c>
      <c r="AJ943" t="s">
        <v>152</v>
      </c>
      <c r="AK943" t="s">
        <v>153</v>
      </c>
      <c r="AL943" t="s">
        <v>154</v>
      </c>
      <c r="AM943" t="s">
        <v>119</v>
      </c>
      <c r="AN943" t="s">
        <v>112</v>
      </c>
      <c r="AO943" t="s">
        <v>121</v>
      </c>
      <c r="AP943" t="s">
        <v>122</v>
      </c>
      <c r="AQ943" t="s">
        <v>122</v>
      </c>
      <c r="AR943" t="s">
        <v>124</v>
      </c>
      <c r="AS943" t="s">
        <v>125</v>
      </c>
      <c r="AU943" t="s">
        <v>126</v>
      </c>
      <c r="AV943" t="s">
        <v>155</v>
      </c>
      <c r="AW943" t="s">
        <v>156</v>
      </c>
      <c r="AY943" t="s">
        <v>129</v>
      </c>
      <c r="AZ943">
        <v>41142.980000000003</v>
      </c>
      <c r="BC943">
        <v>100.94280000000001</v>
      </c>
      <c r="BD943" t="s">
        <v>112</v>
      </c>
      <c r="BE943" t="s">
        <v>112</v>
      </c>
      <c r="BF943" t="s">
        <v>112</v>
      </c>
      <c r="BG943" t="s">
        <v>133</v>
      </c>
      <c r="BH943" t="s">
        <v>1624</v>
      </c>
      <c r="BI943" t="s">
        <v>112</v>
      </c>
      <c r="BJ943" t="s">
        <v>112</v>
      </c>
      <c r="BK943" t="s">
        <v>112</v>
      </c>
      <c r="BL943" t="s">
        <v>112</v>
      </c>
      <c r="BM943" t="s">
        <v>112</v>
      </c>
      <c r="BN943" t="s">
        <v>112</v>
      </c>
      <c r="BO943" t="s">
        <v>161</v>
      </c>
      <c r="BQ943" t="s">
        <v>162</v>
      </c>
      <c r="BR943" s="45">
        <f>ISNUMBER(SEARCH($BR$1,Таблица1[[#This Row],[31_1 Описание и характеристика товара]]))*1</f>
        <v>1</v>
      </c>
      <c r="BT943" t="s">
        <v>150</v>
      </c>
      <c r="BU943">
        <v>33</v>
      </c>
      <c r="BW943">
        <v>0</v>
      </c>
      <c r="CA943" t="s">
        <v>106</v>
      </c>
      <c r="CB943" t="s">
        <v>142</v>
      </c>
      <c r="CC943" t="s">
        <v>112</v>
      </c>
      <c r="CD943" t="s">
        <v>112</v>
      </c>
      <c r="CE943" t="s">
        <v>121</v>
      </c>
      <c r="CF943">
        <v>16104.12</v>
      </c>
      <c r="CG943" t="s">
        <v>144</v>
      </c>
      <c r="CH943">
        <v>4000000</v>
      </c>
      <c r="CI943">
        <v>15952.92</v>
      </c>
      <c r="CJ943">
        <v>0</v>
      </c>
      <c r="CK943" t="s">
        <v>112</v>
      </c>
      <c r="CL943" t="s">
        <v>112</v>
      </c>
      <c r="CM943">
        <v>41142.980000000003</v>
      </c>
      <c r="CQ943">
        <v>4569981.3600000003</v>
      </c>
      <c r="CR943">
        <v>49894.82</v>
      </c>
      <c r="CS943" t="s">
        <v>145</v>
      </c>
      <c r="CT943">
        <v>49932.639599999995</v>
      </c>
      <c r="CU943">
        <v>3.13</v>
      </c>
      <c r="CY943">
        <v>271</v>
      </c>
    </row>
    <row r="944" spans="1:103" x14ac:dyDescent="0.25">
      <c r="A944" t="s">
        <v>106</v>
      </c>
      <c r="B944" s="38">
        <v>45285</v>
      </c>
      <c r="C944" s="43">
        <f>IF(YEAR(Таблица1[[#This Row],[Дата]])=2023,MONTH(Таблица1[[#This Row],[Дата]]),0)</f>
        <v>12</v>
      </c>
      <c r="D944" t="s">
        <v>1625</v>
      </c>
      <c r="E944" t="s">
        <v>108</v>
      </c>
      <c r="F944" t="s">
        <v>1626</v>
      </c>
      <c r="G944" t="s">
        <v>3244</v>
      </c>
      <c r="H944" t="s">
        <v>111</v>
      </c>
      <c r="I944" t="s">
        <v>112</v>
      </c>
      <c r="J944" t="s">
        <v>112</v>
      </c>
      <c r="K944" t="s">
        <v>112</v>
      </c>
      <c r="L944" t="s">
        <v>150</v>
      </c>
      <c r="M944" t="s">
        <v>151</v>
      </c>
      <c r="N944" t="s">
        <v>112</v>
      </c>
      <c r="O944" t="s">
        <v>112</v>
      </c>
      <c r="R944">
        <v>1</v>
      </c>
      <c r="S944">
        <v>33</v>
      </c>
      <c r="T944" t="s">
        <v>166</v>
      </c>
      <c r="U944" t="s">
        <v>152</v>
      </c>
      <c r="V944" t="s">
        <v>153</v>
      </c>
      <c r="W944" t="s">
        <v>154</v>
      </c>
      <c r="X944" t="s">
        <v>119</v>
      </c>
      <c r="Y944" t="s">
        <v>112</v>
      </c>
      <c r="Z944" t="s">
        <v>166</v>
      </c>
      <c r="AA944" t="s">
        <v>152</v>
      </c>
      <c r="AB944" t="s">
        <v>153</v>
      </c>
      <c r="AC944" t="s">
        <v>154</v>
      </c>
      <c r="AD944" t="s">
        <v>119</v>
      </c>
      <c r="AE944" t="s">
        <v>112</v>
      </c>
      <c r="AF944" t="s">
        <v>121</v>
      </c>
      <c r="AG944" t="s">
        <v>122</v>
      </c>
      <c r="AH944">
        <v>3948668.33</v>
      </c>
      <c r="AI944" t="s">
        <v>166</v>
      </c>
      <c r="AJ944" t="s">
        <v>152</v>
      </c>
      <c r="AK944" t="s">
        <v>153</v>
      </c>
      <c r="AL944" t="s">
        <v>154</v>
      </c>
      <c r="AM944" t="s">
        <v>119</v>
      </c>
      <c r="AN944" t="s">
        <v>112</v>
      </c>
      <c r="AO944" t="s">
        <v>121</v>
      </c>
      <c r="AP944" t="s">
        <v>122</v>
      </c>
      <c r="AQ944" t="s">
        <v>122</v>
      </c>
      <c r="AR944" t="s">
        <v>124</v>
      </c>
      <c r="AS944" t="s">
        <v>125</v>
      </c>
      <c r="AU944" t="s">
        <v>126</v>
      </c>
      <c r="AV944" t="s">
        <v>155</v>
      </c>
      <c r="AW944" t="s">
        <v>156</v>
      </c>
      <c r="AY944" t="s">
        <v>129</v>
      </c>
      <c r="AZ944">
        <v>34987.879999999997</v>
      </c>
      <c r="BC944">
        <v>100.94280000000001</v>
      </c>
      <c r="BD944" t="s">
        <v>112</v>
      </c>
      <c r="BE944" t="s">
        <v>112</v>
      </c>
      <c r="BF944" t="s">
        <v>112</v>
      </c>
      <c r="BG944" t="s">
        <v>133</v>
      </c>
      <c r="BH944" t="s">
        <v>1627</v>
      </c>
      <c r="BI944" t="s">
        <v>112</v>
      </c>
      <c r="BJ944" t="s">
        <v>112</v>
      </c>
      <c r="BK944" t="s">
        <v>112</v>
      </c>
      <c r="BL944" t="s">
        <v>112</v>
      </c>
      <c r="BM944" t="s">
        <v>112</v>
      </c>
      <c r="BN944" t="s">
        <v>112</v>
      </c>
      <c r="BO944" t="s">
        <v>161</v>
      </c>
      <c r="BQ944" t="s">
        <v>281</v>
      </c>
      <c r="BR944" s="45">
        <f>ISNUMBER(SEARCH($BR$1,Таблица1[[#This Row],[31_1 Описание и характеристика товара]]))*1</f>
        <v>1</v>
      </c>
      <c r="BT944" t="s">
        <v>150</v>
      </c>
      <c r="BU944">
        <v>33</v>
      </c>
      <c r="BW944">
        <v>0</v>
      </c>
      <c r="CA944" t="s">
        <v>106</v>
      </c>
      <c r="CB944" t="s">
        <v>142</v>
      </c>
      <c r="CC944" t="s">
        <v>112</v>
      </c>
      <c r="CD944" t="s">
        <v>112</v>
      </c>
      <c r="CE944" t="s">
        <v>121</v>
      </c>
      <c r="CF944">
        <v>16303.57</v>
      </c>
      <c r="CG944" t="s">
        <v>144</v>
      </c>
      <c r="CH944">
        <v>4000000</v>
      </c>
      <c r="CI944">
        <v>16204.57</v>
      </c>
      <c r="CJ944">
        <v>0</v>
      </c>
      <c r="CK944" t="s">
        <v>112</v>
      </c>
      <c r="CL944" t="s">
        <v>112</v>
      </c>
      <c r="CM944">
        <v>34987.879999999997</v>
      </c>
      <c r="CQ944">
        <v>3948668.33</v>
      </c>
      <c r="CR944">
        <v>43111.360000000001</v>
      </c>
      <c r="CS944" t="s">
        <v>145</v>
      </c>
      <c r="CT944">
        <v>43104.156200000005</v>
      </c>
      <c r="CU944">
        <v>2.66</v>
      </c>
      <c r="CY944">
        <v>20</v>
      </c>
    </row>
    <row r="945" spans="1:103" x14ac:dyDescent="0.25">
      <c r="A945" t="s">
        <v>106</v>
      </c>
      <c r="B945" s="38">
        <v>45110</v>
      </c>
      <c r="C945" s="43">
        <f>IF(YEAR(Таблица1[[#This Row],[Дата]])=2023,MONTH(Таблица1[[#This Row],[Дата]]),0)</f>
        <v>7</v>
      </c>
      <c r="D945" t="s">
        <v>1622</v>
      </c>
      <c r="E945" t="s">
        <v>108</v>
      </c>
      <c r="F945" t="s">
        <v>1623</v>
      </c>
      <c r="G945" t="s">
        <v>3244</v>
      </c>
      <c r="H945" t="s">
        <v>111</v>
      </c>
      <c r="I945" t="s">
        <v>112</v>
      </c>
      <c r="J945" t="s">
        <v>112</v>
      </c>
      <c r="K945" t="s">
        <v>112</v>
      </c>
      <c r="L945" t="s">
        <v>150</v>
      </c>
      <c r="M945" t="s">
        <v>151</v>
      </c>
      <c r="N945" t="s">
        <v>112</v>
      </c>
      <c r="O945" t="s">
        <v>112</v>
      </c>
      <c r="R945">
        <v>1</v>
      </c>
      <c r="S945">
        <v>33</v>
      </c>
      <c r="T945" t="s">
        <v>166</v>
      </c>
      <c r="U945" t="s">
        <v>152</v>
      </c>
      <c r="V945" t="s">
        <v>153</v>
      </c>
      <c r="W945" t="s">
        <v>154</v>
      </c>
      <c r="X945" t="s">
        <v>119</v>
      </c>
      <c r="Y945" t="s">
        <v>112</v>
      </c>
      <c r="Z945" t="s">
        <v>166</v>
      </c>
      <c r="AA945" t="s">
        <v>152</v>
      </c>
      <c r="AB945" t="s">
        <v>153</v>
      </c>
      <c r="AC945" t="s">
        <v>154</v>
      </c>
      <c r="AD945" t="s">
        <v>119</v>
      </c>
      <c r="AE945" t="s">
        <v>112</v>
      </c>
      <c r="AF945" t="s">
        <v>121</v>
      </c>
      <c r="AG945" t="s">
        <v>122</v>
      </c>
      <c r="AH945">
        <v>4638517.49</v>
      </c>
      <c r="AI945" t="s">
        <v>166</v>
      </c>
      <c r="AJ945" t="s">
        <v>152</v>
      </c>
      <c r="AK945" t="s">
        <v>153</v>
      </c>
      <c r="AL945" t="s">
        <v>154</v>
      </c>
      <c r="AM945" t="s">
        <v>119</v>
      </c>
      <c r="AN945" t="s">
        <v>112</v>
      </c>
      <c r="AO945" t="s">
        <v>121</v>
      </c>
      <c r="AP945" t="s">
        <v>122</v>
      </c>
      <c r="AQ945" t="s">
        <v>122</v>
      </c>
      <c r="AR945" t="s">
        <v>124</v>
      </c>
      <c r="AS945" t="s">
        <v>125</v>
      </c>
      <c r="AU945" t="s">
        <v>126</v>
      </c>
      <c r="AV945" t="s">
        <v>155</v>
      </c>
      <c r="AW945" t="s">
        <v>156</v>
      </c>
      <c r="AY945" t="s">
        <v>129</v>
      </c>
      <c r="AZ945">
        <v>41821.94</v>
      </c>
      <c r="BC945">
        <v>100.94280000000001</v>
      </c>
      <c r="BD945" t="s">
        <v>112</v>
      </c>
      <c r="BE945" t="s">
        <v>112</v>
      </c>
      <c r="BF945" t="s">
        <v>112</v>
      </c>
      <c r="BG945" t="s">
        <v>133</v>
      </c>
      <c r="BH945" t="s">
        <v>1624</v>
      </c>
      <c r="BI945" t="s">
        <v>112</v>
      </c>
      <c r="BJ945" t="s">
        <v>112</v>
      </c>
      <c r="BK945" t="s">
        <v>112</v>
      </c>
      <c r="BL945" t="s">
        <v>112</v>
      </c>
      <c r="BM945" t="s">
        <v>112</v>
      </c>
      <c r="BN945" t="s">
        <v>112</v>
      </c>
      <c r="BO945" t="s">
        <v>161</v>
      </c>
      <c r="BQ945" t="s">
        <v>232</v>
      </c>
      <c r="BR945" s="45">
        <f>ISNUMBER(SEARCH($BR$1,Таблица1[[#This Row],[31_1 Описание и характеристика товара]]))*1</f>
        <v>1</v>
      </c>
      <c r="BT945" t="s">
        <v>150</v>
      </c>
      <c r="BU945">
        <v>33</v>
      </c>
      <c r="BW945">
        <v>0</v>
      </c>
      <c r="CA945" t="s">
        <v>106</v>
      </c>
      <c r="CB945" t="s">
        <v>142</v>
      </c>
      <c r="CC945" t="s">
        <v>112</v>
      </c>
      <c r="CD945" t="s">
        <v>112</v>
      </c>
      <c r="CE945" t="s">
        <v>121</v>
      </c>
      <c r="CF945">
        <v>16370.21</v>
      </c>
      <c r="CG945" t="s">
        <v>144</v>
      </c>
      <c r="CH945">
        <v>4000000</v>
      </c>
      <c r="CI945">
        <v>16247.81</v>
      </c>
      <c r="CJ945">
        <v>0</v>
      </c>
      <c r="CK945" t="s">
        <v>112</v>
      </c>
      <c r="CL945" t="s">
        <v>112</v>
      </c>
      <c r="CM945">
        <v>41821.94</v>
      </c>
      <c r="CQ945">
        <v>4638517.49</v>
      </c>
      <c r="CR945">
        <v>50643.09</v>
      </c>
      <c r="CS945" t="s">
        <v>145</v>
      </c>
      <c r="CT945">
        <v>50693.167200000004</v>
      </c>
      <c r="CU945">
        <v>3.12</v>
      </c>
      <c r="CY945">
        <v>163</v>
      </c>
    </row>
    <row r="946" spans="1:103" x14ac:dyDescent="0.25">
      <c r="A946" t="s">
        <v>106</v>
      </c>
      <c r="B946" s="38">
        <v>45091</v>
      </c>
      <c r="C946" s="43">
        <f>IF(YEAR(Таблица1[[#This Row],[Дата]])=2023,MONTH(Таблица1[[#This Row],[Дата]]),0)</f>
        <v>6</v>
      </c>
      <c r="D946" t="s">
        <v>1282</v>
      </c>
      <c r="E946" t="s">
        <v>108</v>
      </c>
      <c r="F946" t="s">
        <v>1283</v>
      </c>
      <c r="G946" t="s">
        <v>3244</v>
      </c>
      <c r="H946" t="s">
        <v>111</v>
      </c>
      <c r="I946" t="s">
        <v>112</v>
      </c>
      <c r="J946" t="s">
        <v>112</v>
      </c>
      <c r="K946" t="s">
        <v>112</v>
      </c>
      <c r="L946" t="s">
        <v>150</v>
      </c>
      <c r="M946" t="s">
        <v>1060</v>
      </c>
      <c r="N946" t="s">
        <v>112</v>
      </c>
      <c r="O946" t="s">
        <v>112</v>
      </c>
      <c r="P946">
        <v>1</v>
      </c>
      <c r="Q946">
        <v>0</v>
      </c>
      <c r="R946">
        <v>1</v>
      </c>
      <c r="S946">
        <v>33</v>
      </c>
      <c r="T946" t="s">
        <v>166</v>
      </c>
      <c r="U946" t="s">
        <v>152</v>
      </c>
      <c r="V946" t="s">
        <v>153</v>
      </c>
      <c r="W946" t="s">
        <v>154</v>
      </c>
      <c r="X946" t="s">
        <v>119</v>
      </c>
      <c r="Y946" t="s">
        <v>112</v>
      </c>
      <c r="Z946" t="s">
        <v>166</v>
      </c>
      <c r="AA946" t="s">
        <v>152</v>
      </c>
      <c r="AB946" t="s">
        <v>153</v>
      </c>
      <c r="AC946" t="s">
        <v>154</v>
      </c>
      <c r="AD946" t="s">
        <v>119</v>
      </c>
      <c r="AE946" t="s">
        <v>112</v>
      </c>
      <c r="AF946" t="s">
        <v>121</v>
      </c>
      <c r="AG946" t="s">
        <v>122</v>
      </c>
      <c r="AH946">
        <v>4492853.29</v>
      </c>
      <c r="AI946" t="s">
        <v>166</v>
      </c>
      <c r="AJ946" t="s">
        <v>152</v>
      </c>
      <c r="AK946" t="s">
        <v>153</v>
      </c>
      <c r="AL946" t="s">
        <v>154</v>
      </c>
      <c r="AM946" t="s">
        <v>119</v>
      </c>
      <c r="AN946" t="s">
        <v>112</v>
      </c>
      <c r="AO946" t="s">
        <v>121</v>
      </c>
      <c r="AP946" t="s">
        <v>122</v>
      </c>
      <c r="AQ946" t="s">
        <v>122</v>
      </c>
      <c r="AR946" t="s">
        <v>124</v>
      </c>
      <c r="AS946" t="s">
        <v>125</v>
      </c>
      <c r="AT946">
        <v>2</v>
      </c>
      <c r="AU946" t="s">
        <v>126</v>
      </c>
      <c r="AV946" t="s">
        <v>155</v>
      </c>
      <c r="AW946" t="s">
        <v>156</v>
      </c>
      <c r="AX946">
        <v>1</v>
      </c>
      <c r="AY946" t="s">
        <v>129</v>
      </c>
      <c r="AZ946">
        <v>47809.96</v>
      </c>
      <c r="BA946">
        <v>4135605</v>
      </c>
      <c r="BB946">
        <v>55471.3</v>
      </c>
      <c r="BC946">
        <v>86.500900000000001</v>
      </c>
      <c r="BD946" t="s">
        <v>130</v>
      </c>
      <c r="BE946" t="s">
        <v>112</v>
      </c>
      <c r="BF946" t="s">
        <v>157</v>
      </c>
      <c r="BG946" t="s">
        <v>133</v>
      </c>
      <c r="BH946" t="s">
        <v>134</v>
      </c>
      <c r="BI946" t="s">
        <v>112</v>
      </c>
      <c r="BJ946" t="s">
        <v>112</v>
      </c>
      <c r="BK946" t="s">
        <v>112</v>
      </c>
      <c r="BL946" t="s">
        <v>169</v>
      </c>
      <c r="BM946" t="s">
        <v>159</v>
      </c>
      <c r="BN946" t="s">
        <v>722</v>
      </c>
      <c r="BO946" t="s">
        <v>161</v>
      </c>
      <c r="BP946">
        <v>1</v>
      </c>
      <c r="BQ946" t="s">
        <v>232</v>
      </c>
      <c r="BR946" s="45">
        <f>ISNUMBER(SEARCH($BR$1,Таблица1[[#This Row],[31_1 Описание и характеристика товара]]))*1</f>
        <v>1</v>
      </c>
      <c r="BT946" t="s">
        <v>150</v>
      </c>
      <c r="BU946">
        <v>33</v>
      </c>
      <c r="BV946">
        <v>0</v>
      </c>
      <c r="BW946">
        <v>0</v>
      </c>
      <c r="BY946">
        <v>0</v>
      </c>
      <c r="CA946" t="s">
        <v>106</v>
      </c>
      <c r="CB946" t="s">
        <v>142</v>
      </c>
      <c r="CC946" t="s">
        <v>112</v>
      </c>
      <c r="CD946" t="s">
        <v>112</v>
      </c>
      <c r="CE946" t="s">
        <v>121</v>
      </c>
      <c r="CF946">
        <v>17389.3</v>
      </c>
      <c r="CG946" t="s">
        <v>144</v>
      </c>
      <c r="CH946">
        <v>4000000</v>
      </c>
      <c r="CI946">
        <v>17112.5</v>
      </c>
      <c r="CJ946">
        <v>0</v>
      </c>
      <c r="CK946" t="s">
        <v>112</v>
      </c>
      <c r="CL946" t="s">
        <v>112</v>
      </c>
      <c r="CM946">
        <v>47809.96</v>
      </c>
      <c r="CN946">
        <v>4135605</v>
      </c>
      <c r="CO946">
        <v>0</v>
      </c>
      <c r="CP946">
        <v>1</v>
      </c>
      <c r="CQ946">
        <v>4492853.29</v>
      </c>
      <c r="CR946">
        <v>55471.3</v>
      </c>
      <c r="CS946" t="s">
        <v>145</v>
      </c>
      <c r="CT946">
        <v>55444.500000000007</v>
      </c>
      <c r="CU946">
        <v>3.24</v>
      </c>
      <c r="CV946">
        <v>45</v>
      </c>
      <c r="CW946" t="s">
        <v>171</v>
      </c>
      <c r="CX946" t="s">
        <v>350</v>
      </c>
      <c r="CY946">
        <v>88</v>
      </c>
    </row>
    <row r="947" spans="1:103" x14ac:dyDescent="0.25">
      <c r="A947" t="s">
        <v>106</v>
      </c>
      <c r="B947" s="38">
        <v>45278</v>
      </c>
      <c r="C947" s="43">
        <f>IF(YEAR(Таблица1[[#This Row],[Дата]])=2023,MONTH(Таблица1[[#This Row],[Дата]]),0)</f>
        <v>12</v>
      </c>
      <c r="D947" t="s">
        <v>782</v>
      </c>
      <c r="E947" t="s">
        <v>108</v>
      </c>
      <c r="F947" t="s">
        <v>783</v>
      </c>
      <c r="G947" t="s">
        <v>3244</v>
      </c>
      <c r="H947" t="s">
        <v>111</v>
      </c>
      <c r="I947" t="s">
        <v>112</v>
      </c>
      <c r="J947" t="s">
        <v>112</v>
      </c>
      <c r="K947" t="s">
        <v>112</v>
      </c>
      <c r="L947" t="s">
        <v>150</v>
      </c>
      <c r="M947" t="s">
        <v>151</v>
      </c>
      <c r="N947" t="s">
        <v>112</v>
      </c>
      <c r="O947" t="s">
        <v>112</v>
      </c>
      <c r="P947">
        <v>1</v>
      </c>
      <c r="Q947">
        <v>0</v>
      </c>
      <c r="R947">
        <v>1</v>
      </c>
      <c r="S947">
        <v>33</v>
      </c>
      <c r="T947" t="s">
        <v>166</v>
      </c>
      <c r="U947" t="s">
        <v>152</v>
      </c>
      <c r="V947" t="s">
        <v>153</v>
      </c>
      <c r="W947" t="s">
        <v>154</v>
      </c>
      <c r="X947" t="s">
        <v>119</v>
      </c>
      <c r="Y947" t="s">
        <v>112</v>
      </c>
      <c r="Z947" t="s">
        <v>166</v>
      </c>
      <c r="AA947" t="s">
        <v>152</v>
      </c>
      <c r="AB947" t="s">
        <v>153</v>
      </c>
      <c r="AC947" t="s">
        <v>154</v>
      </c>
      <c r="AD947" t="s">
        <v>119</v>
      </c>
      <c r="AE947" t="s">
        <v>112</v>
      </c>
      <c r="AF947" t="s">
        <v>121</v>
      </c>
      <c r="AG947" t="s">
        <v>122</v>
      </c>
      <c r="AH947">
        <v>3611901.76</v>
      </c>
      <c r="AI947" t="s">
        <v>166</v>
      </c>
      <c r="AJ947" t="s">
        <v>152</v>
      </c>
      <c r="AK947" t="s">
        <v>153</v>
      </c>
      <c r="AL947" t="s">
        <v>154</v>
      </c>
      <c r="AM947" t="s">
        <v>119</v>
      </c>
      <c r="AN947" t="s">
        <v>112</v>
      </c>
      <c r="AO947" t="s">
        <v>121</v>
      </c>
      <c r="AP947" t="s">
        <v>122</v>
      </c>
      <c r="AQ947" t="s">
        <v>122</v>
      </c>
      <c r="AR947" t="s">
        <v>124</v>
      </c>
      <c r="AS947" t="s">
        <v>125</v>
      </c>
      <c r="AT947">
        <v>2</v>
      </c>
      <c r="AU947" t="s">
        <v>126</v>
      </c>
      <c r="AV947" t="s">
        <v>155</v>
      </c>
      <c r="AW947" t="s">
        <v>156</v>
      </c>
      <c r="AX947">
        <v>1</v>
      </c>
      <c r="AY947" t="s">
        <v>129</v>
      </c>
      <c r="AZ947">
        <v>41075.07</v>
      </c>
      <c r="BA947">
        <v>3266018</v>
      </c>
      <c r="BB947">
        <v>48227.37</v>
      </c>
      <c r="BC947">
        <v>79.513400000000004</v>
      </c>
      <c r="BD947" t="s">
        <v>130</v>
      </c>
      <c r="BE947" t="s">
        <v>112</v>
      </c>
      <c r="BF947" t="s">
        <v>157</v>
      </c>
      <c r="BG947" t="s">
        <v>133</v>
      </c>
      <c r="BH947" t="s">
        <v>134</v>
      </c>
      <c r="BI947" t="s">
        <v>112</v>
      </c>
      <c r="BJ947" t="s">
        <v>112</v>
      </c>
      <c r="BK947" t="s">
        <v>112</v>
      </c>
      <c r="BL947" t="s">
        <v>169</v>
      </c>
      <c r="BM947" t="s">
        <v>159</v>
      </c>
      <c r="BN947" t="s">
        <v>212</v>
      </c>
      <c r="BO947" t="s">
        <v>161</v>
      </c>
      <c r="BP947">
        <v>1</v>
      </c>
      <c r="BQ947" t="s">
        <v>162</v>
      </c>
      <c r="BR947" s="45">
        <f>ISNUMBER(SEARCH($BR$1,Таблица1[[#This Row],[31_1 Описание и характеристика товара]]))*1</f>
        <v>1</v>
      </c>
      <c r="BT947" t="s">
        <v>150</v>
      </c>
      <c r="BU947">
        <v>33</v>
      </c>
      <c r="BV947">
        <v>0</v>
      </c>
      <c r="BW947">
        <v>0</v>
      </c>
      <c r="BY947">
        <v>0</v>
      </c>
      <c r="CA947" t="s">
        <v>106</v>
      </c>
      <c r="CB947" t="s">
        <v>142</v>
      </c>
      <c r="CC947" t="s">
        <v>112</v>
      </c>
      <c r="CD947" t="s">
        <v>112</v>
      </c>
      <c r="CE947" t="s">
        <v>121</v>
      </c>
      <c r="CF947">
        <v>16796.66</v>
      </c>
      <c r="CG947" t="s">
        <v>144</v>
      </c>
      <c r="CH947">
        <v>4000000</v>
      </c>
      <c r="CI947">
        <v>16706.66</v>
      </c>
      <c r="CJ947">
        <v>0</v>
      </c>
      <c r="CK947" t="s">
        <v>112</v>
      </c>
      <c r="CL947" t="s">
        <v>112</v>
      </c>
      <c r="CM947">
        <v>41075.07</v>
      </c>
      <c r="CN947">
        <v>3266018</v>
      </c>
      <c r="CO947">
        <v>0</v>
      </c>
      <c r="CP947">
        <v>1</v>
      </c>
      <c r="CQ947">
        <v>3611901.76</v>
      </c>
      <c r="CR947">
        <v>48227.37</v>
      </c>
      <c r="CS947" t="s">
        <v>145</v>
      </c>
      <c r="CT947">
        <v>48227.115421999995</v>
      </c>
      <c r="CU947">
        <v>2.8866999999999998</v>
      </c>
      <c r="CV947">
        <v>45</v>
      </c>
      <c r="CW947" t="s">
        <v>171</v>
      </c>
      <c r="CX947" t="s">
        <v>350</v>
      </c>
      <c r="CY947">
        <v>151</v>
      </c>
    </row>
    <row r="948" spans="1:103" x14ac:dyDescent="0.25">
      <c r="A948" t="s">
        <v>106</v>
      </c>
      <c r="B948" s="38">
        <v>45001</v>
      </c>
      <c r="C948" s="43">
        <f>IF(YEAR(Таблица1[[#This Row],[Дата]])=2023,MONTH(Таблица1[[#This Row],[Дата]]),0)</f>
        <v>3</v>
      </c>
      <c r="D948" t="s">
        <v>780</v>
      </c>
      <c r="E948" t="s">
        <v>108</v>
      </c>
      <c r="F948" t="s">
        <v>781</v>
      </c>
      <c r="G948" t="s">
        <v>3244</v>
      </c>
      <c r="H948" t="s">
        <v>111</v>
      </c>
      <c r="I948" t="s">
        <v>112</v>
      </c>
      <c r="J948" t="s">
        <v>112</v>
      </c>
      <c r="K948" t="s">
        <v>112</v>
      </c>
      <c r="L948" t="s">
        <v>150</v>
      </c>
      <c r="M948" t="s">
        <v>151</v>
      </c>
      <c r="N948" t="s">
        <v>112</v>
      </c>
      <c r="O948" t="s">
        <v>112</v>
      </c>
      <c r="P948">
        <v>1</v>
      </c>
      <c r="Q948">
        <v>0</v>
      </c>
      <c r="R948">
        <v>1</v>
      </c>
      <c r="S948">
        <v>33</v>
      </c>
      <c r="T948" t="s">
        <v>166</v>
      </c>
      <c r="U948" t="s">
        <v>152</v>
      </c>
      <c r="V948" t="s">
        <v>153</v>
      </c>
      <c r="W948" t="s">
        <v>154</v>
      </c>
      <c r="X948" t="s">
        <v>119</v>
      </c>
      <c r="Y948" t="s">
        <v>112</v>
      </c>
      <c r="Z948" t="s">
        <v>166</v>
      </c>
      <c r="AA948" t="s">
        <v>152</v>
      </c>
      <c r="AB948" t="s">
        <v>153</v>
      </c>
      <c r="AC948" t="s">
        <v>154</v>
      </c>
      <c r="AD948" t="s">
        <v>119</v>
      </c>
      <c r="AE948" t="s">
        <v>112</v>
      </c>
      <c r="AF948" t="s">
        <v>121</v>
      </c>
      <c r="AG948" t="s">
        <v>122</v>
      </c>
      <c r="AH948">
        <v>3313833.06</v>
      </c>
      <c r="AI948" t="s">
        <v>166</v>
      </c>
      <c r="AJ948" t="s">
        <v>152</v>
      </c>
      <c r="AK948" t="s">
        <v>153</v>
      </c>
      <c r="AL948" t="s">
        <v>154</v>
      </c>
      <c r="AM948" t="s">
        <v>119</v>
      </c>
      <c r="AN948" t="s">
        <v>112</v>
      </c>
      <c r="AO948" t="s">
        <v>121</v>
      </c>
      <c r="AP948" t="s">
        <v>122</v>
      </c>
      <c r="AQ948" t="s">
        <v>122</v>
      </c>
      <c r="AR948" t="s">
        <v>124</v>
      </c>
      <c r="AS948" t="s">
        <v>125</v>
      </c>
      <c r="AT948">
        <v>2</v>
      </c>
      <c r="AU948" t="s">
        <v>126</v>
      </c>
      <c r="AV948" t="s">
        <v>155</v>
      </c>
      <c r="AW948" t="s">
        <v>156</v>
      </c>
      <c r="AX948">
        <v>1</v>
      </c>
      <c r="AY948" t="s">
        <v>129</v>
      </c>
      <c r="AZ948">
        <v>37326.410000000003</v>
      </c>
      <c r="BA948">
        <v>2967950</v>
      </c>
      <c r="BB948">
        <v>44247.45</v>
      </c>
      <c r="BC948">
        <v>79.513400000000004</v>
      </c>
      <c r="BD948" t="s">
        <v>130</v>
      </c>
      <c r="BE948" t="s">
        <v>112</v>
      </c>
      <c r="BF948" t="s">
        <v>157</v>
      </c>
      <c r="BG948" t="s">
        <v>133</v>
      </c>
      <c r="BH948" t="s">
        <v>134</v>
      </c>
      <c r="BI948" t="s">
        <v>112</v>
      </c>
      <c r="BJ948" t="s">
        <v>112</v>
      </c>
      <c r="BK948" t="s">
        <v>112</v>
      </c>
      <c r="BL948" t="s">
        <v>169</v>
      </c>
      <c r="BM948" t="s">
        <v>159</v>
      </c>
      <c r="BN948" t="s">
        <v>212</v>
      </c>
      <c r="BO948" t="s">
        <v>161</v>
      </c>
      <c r="BP948">
        <v>1</v>
      </c>
      <c r="BQ948" t="s">
        <v>466</v>
      </c>
      <c r="BR948" s="45">
        <f>ISNUMBER(SEARCH($BR$1,Таблица1[[#This Row],[31_1 Описание и характеристика товара]]))*1</f>
        <v>1</v>
      </c>
      <c r="BT948" t="s">
        <v>150</v>
      </c>
      <c r="BU948">
        <v>33</v>
      </c>
      <c r="BV948">
        <v>0</v>
      </c>
      <c r="BW948">
        <v>0</v>
      </c>
      <c r="BY948">
        <v>0</v>
      </c>
      <c r="CA948" t="s">
        <v>106</v>
      </c>
      <c r="CB948" t="s">
        <v>142</v>
      </c>
      <c r="CC948" t="s">
        <v>112</v>
      </c>
      <c r="CD948" t="s">
        <v>112</v>
      </c>
      <c r="CE948" t="s">
        <v>121</v>
      </c>
      <c r="CF948">
        <v>16141.48</v>
      </c>
      <c r="CG948" t="s">
        <v>144</v>
      </c>
      <c r="CH948">
        <v>4000000</v>
      </c>
      <c r="CI948">
        <v>16088.08</v>
      </c>
      <c r="CJ948">
        <v>0</v>
      </c>
      <c r="CK948" t="s">
        <v>112</v>
      </c>
      <c r="CL948" t="s">
        <v>112</v>
      </c>
      <c r="CM948">
        <v>37326.410000000003</v>
      </c>
      <c r="CN948">
        <v>2967950</v>
      </c>
      <c r="CO948">
        <v>0</v>
      </c>
      <c r="CP948">
        <v>1</v>
      </c>
      <c r="CQ948">
        <v>3313833.06</v>
      </c>
      <c r="CR948">
        <v>44247.45</v>
      </c>
      <c r="CS948" t="s">
        <v>145</v>
      </c>
      <c r="CT948">
        <v>44247.046424</v>
      </c>
      <c r="CU948">
        <v>2.7503000000000002</v>
      </c>
      <c r="CV948">
        <v>45</v>
      </c>
      <c r="CW948" t="s">
        <v>171</v>
      </c>
      <c r="CX948" t="s">
        <v>369</v>
      </c>
      <c r="CY948">
        <v>153</v>
      </c>
    </row>
    <row r="949" spans="1:103" x14ac:dyDescent="0.25">
      <c r="A949" t="s">
        <v>106</v>
      </c>
      <c r="B949" s="38">
        <v>44994</v>
      </c>
      <c r="C949" s="43">
        <f>IF(YEAR(Таблица1[[#This Row],[Дата]])=2023,MONTH(Таблица1[[#This Row],[Дата]]),0)</f>
        <v>3</v>
      </c>
      <c r="D949" t="s">
        <v>788</v>
      </c>
      <c r="E949" t="s">
        <v>108</v>
      </c>
      <c r="F949" t="s">
        <v>789</v>
      </c>
      <c r="G949" t="s">
        <v>3244</v>
      </c>
      <c r="H949" t="s">
        <v>111</v>
      </c>
      <c r="I949" t="s">
        <v>112</v>
      </c>
      <c r="J949" t="s">
        <v>112</v>
      </c>
      <c r="K949" t="s">
        <v>112</v>
      </c>
      <c r="L949" t="s">
        <v>150</v>
      </c>
      <c r="M949" t="s">
        <v>151</v>
      </c>
      <c r="N949" t="s">
        <v>112</v>
      </c>
      <c r="O949" t="s">
        <v>112</v>
      </c>
      <c r="P949">
        <v>1</v>
      </c>
      <c r="Q949">
        <v>0</v>
      </c>
      <c r="R949">
        <v>1</v>
      </c>
      <c r="S949">
        <v>33</v>
      </c>
      <c r="T949" t="s">
        <v>166</v>
      </c>
      <c r="U949" t="s">
        <v>152</v>
      </c>
      <c r="V949" t="s">
        <v>153</v>
      </c>
      <c r="W949" t="s">
        <v>154</v>
      </c>
      <c r="X949" t="s">
        <v>119</v>
      </c>
      <c r="Y949" t="s">
        <v>112</v>
      </c>
      <c r="Z949" t="s">
        <v>166</v>
      </c>
      <c r="AA949" t="s">
        <v>152</v>
      </c>
      <c r="AB949" t="s">
        <v>153</v>
      </c>
      <c r="AC949" t="s">
        <v>154</v>
      </c>
      <c r="AD949" t="s">
        <v>119</v>
      </c>
      <c r="AE949" t="s">
        <v>112</v>
      </c>
      <c r="AF949" t="s">
        <v>121</v>
      </c>
      <c r="AG949" t="s">
        <v>122</v>
      </c>
      <c r="AH949">
        <v>3512125.96</v>
      </c>
      <c r="AI949" t="s">
        <v>166</v>
      </c>
      <c r="AJ949" t="s">
        <v>152</v>
      </c>
      <c r="AK949" t="s">
        <v>153</v>
      </c>
      <c r="AL949" t="s">
        <v>154</v>
      </c>
      <c r="AM949" t="s">
        <v>119</v>
      </c>
      <c r="AN949" t="s">
        <v>112</v>
      </c>
      <c r="AO949" t="s">
        <v>121</v>
      </c>
      <c r="AP949" t="s">
        <v>122</v>
      </c>
      <c r="AQ949" t="s">
        <v>122</v>
      </c>
      <c r="AR949" t="s">
        <v>124</v>
      </c>
      <c r="AS949" t="s">
        <v>125</v>
      </c>
      <c r="AT949">
        <v>2</v>
      </c>
      <c r="AU949" t="s">
        <v>126</v>
      </c>
      <c r="AV949" t="s">
        <v>155</v>
      </c>
      <c r="AW949" t="s">
        <v>156</v>
      </c>
      <c r="AX949">
        <v>1</v>
      </c>
      <c r="AY949" t="s">
        <v>129</v>
      </c>
      <c r="AZ949">
        <v>39820.239999999998</v>
      </c>
      <c r="BA949">
        <v>3166243</v>
      </c>
      <c r="BB949">
        <v>46895.12</v>
      </c>
      <c r="BC949">
        <v>79.513400000000004</v>
      </c>
      <c r="BD949" t="s">
        <v>130</v>
      </c>
      <c r="BE949" t="s">
        <v>112</v>
      </c>
      <c r="BF949" t="s">
        <v>157</v>
      </c>
      <c r="BG949" t="s">
        <v>133</v>
      </c>
      <c r="BH949" t="s">
        <v>134</v>
      </c>
      <c r="BI949" t="s">
        <v>112</v>
      </c>
      <c r="BJ949" t="s">
        <v>112</v>
      </c>
      <c r="BK949" t="s">
        <v>112</v>
      </c>
      <c r="BL949" t="s">
        <v>169</v>
      </c>
      <c r="BM949" t="s">
        <v>159</v>
      </c>
      <c r="BN949" t="s">
        <v>212</v>
      </c>
      <c r="BO949" t="s">
        <v>161</v>
      </c>
      <c r="BP949">
        <v>1</v>
      </c>
      <c r="BQ949" t="s">
        <v>205</v>
      </c>
      <c r="BR949" s="45">
        <f>ISNUMBER(SEARCH($BR$1,Таблица1[[#This Row],[31_1 Описание и характеристика товара]]))*1</f>
        <v>1</v>
      </c>
      <c r="BT949" t="s">
        <v>150</v>
      </c>
      <c r="BU949">
        <v>33</v>
      </c>
      <c r="BV949">
        <v>0</v>
      </c>
      <c r="BW949">
        <v>0</v>
      </c>
      <c r="BY949">
        <v>0</v>
      </c>
      <c r="CA949" t="s">
        <v>106</v>
      </c>
      <c r="CB949" t="s">
        <v>142</v>
      </c>
      <c r="CC949" t="s">
        <v>112</v>
      </c>
      <c r="CD949" t="s">
        <v>112</v>
      </c>
      <c r="CE949" t="s">
        <v>121</v>
      </c>
      <c r="CF949">
        <v>16602.8</v>
      </c>
      <c r="CG949" t="s">
        <v>144</v>
      </c>
      <c r="CH949">
        <v>4000000</v>
      </c>
      <c r="CI949">
        <v>16462.46</v>
      </c>
      <c r="CJ949">
        <v>0</v>
      </c>
      <c r="CK949" t="s">
        <v>112</v>
      </c>
      <c r="CL949" t="s">
        <v>112</v>
      </c>
      <c r="CM949">
        <v>39820.239999999998</v>
      </c>
      <c r="CN949">
        <v>3166243</v>
      </c>
      <c r="CO949">
        <v>0</v>
      </c>
      <c r="CP949">
        <v>1</v>
      </c>
      <c r="CQ949">
        <v>3512125.96</v>
      </c>
      <c r="CR949">
        <v>46895.12</v>
      </c>
      <c r="CS949" t="s">
        <v>145</v>
      </c>
      <c r="CT949">
        <v>46894.963555999995</v>
      </c>
      <c r="CU949">
        <v>2.8485999999999998</v>
      </c>
      <c r="CV949">
        <v>45</v>
      </c>
      <c r="CW949" t="s">
        <v>171</v>
      </c>
      <c r="CX949" t="s">
        <v>463</v>
      </c>
      <c r="CY949">
        <v>551</v>
      </c>
    </row>
    <row r="950" spans="1:103" x14ac:dyDescent="0.25">
      <c r="A950" t="s">
        <v>106</v>
      </c>
      <c r="B950" s="38">
        <v>45138</v>
      </c>
      <c r="C950" s="43">
        <f>IF(YEAR(Таблица1[[#This Row],[Дата]])=2023,MONTH(Таблица1[[#This Row],[Дата]]),0)</f>
        <v>7</v>
      </c>
      <c r="D950" t="s">
        <v>764</v>
      </c>
      <c r="E950" t="s">
        <v>108</v>
      </c>
      <c r="F950" t="s">
        <v>765</v>
      </c>
      <c r="G950" t="s">
        <v>3244</v>
      </c>
      <c r="H950" t="s">
        <v>111</v>
      </c>
      <c r="I950" t="s">
        <v>112</v>
      </c>
      <c r="J950" t="s">
        <v>112</v>
      </c>
      <c r="K950" t="s">
        <v>112</v>
      </c>
      <c r="L950" t="s">
        <v>150</v>
      </c>
      <c r="M950" t="s">
        <v>151</v>
      </c>
      <c r="N950" t="s">
        <v>112</v>
      </c>
      <c r="O950" t="s">
        <v>112</v>
      </c>
      <c r="P950">
        <v>1</v>
      </c>
      <c r="Q950">
        <v>0</v>
      </c>
      <c r="R950">
        <v>1</v>
      </c>
      <c r="S950">
        <v>33</v>
      </c>
      <c r="T950" t="s">
        <v>166</v>
      </c>
      <c r="U950" t="s">
        <v>152</v>
      </c>
      <c r="V950" t="s">
        <v>153</v>
      </c>
      <c r="W950" t="s">
        <v>154</v>
      </c>
      <c r="X950" t="s">
        <v>119</v>
      </c>
      <c r="Y950" t="s">
        <v>112</v>
      </c>
      <c r="Z950" t="s">
        <v>166</v>
      </c>
      <c r="AA950" t="s">
        <v>152</v>
      </c>
      <c r="AB950" t="s">
        <v>153</v>
      </c>
      <c r="AC950" t="s">
        <v>154</v>
      </c>
      <c r="AD950" t="s">
        <v>119</v>
      </c>
      <c r="AE950" t="s">
        <v>112</v>
      </c>
      <c r="AF950" t="s">
        <v>121</v>
      </c>
      <c r="AG950" t="s">
        <v>122</v>
      </c>
      <c r="AH950">
        <v>3787865.71</v>
      </c>
      <c r="AI950" t="s">
        <v>166</v>
      </c>
      <c r="AJ950" t="s">
        <v>152</v>
      </c>
      <c r="AK950" t="s">
        <v>153</v>
      </c>
      <c r="AL950" t="s">
        <v>154</v>
      </c>
      <c r="AM950" t="s">
        <v>119</v>
      </c>
      <c r="AN950" t="s">
        <v>112</v>
      </c>
      <c r="AO950" t="s">
        <v>121</v>
      </c>
      <c r="AP950" t="s">
        <v>122</v>
      </c>
      <c r="AQ950" t="s">
        <v>122</v>
      </c>
      <c r="AR950" t="s">
        <v>124</v>
      </c>
      <c r="AS950" t="s">
        <v>125</v>
      </c>
      <c r="AT950">
        <v>2</v>
      </c>
      <c r="AU950" t="s">
        <v>126</v>
      </c>
      <c r="AV950" t="s">
        <v>155</v>
      </c>
      <c r="AW950" t="s">
        <v>156</v>
      </c>
      <c r="AX950">
        <v>1</v>
      </c>
      <c r="AY950" t="s">
        <v>129</v>
      </c>
      <c r="AZ950">
        <v>43288.08</v>
      </c>
      <c r="BA950">
        <v>3441982</v>
      </c>
      <c r="BB950">
        <v>50576.9</v>
      </c>
      <c r="BC950">
        <v>79.513400000000004</v>
      </c>
      <c r="BD950" t="s">
        <v>130</v>
      </c>
      <c r="BE950" t="s">
        <v>112</v>
      </c>
      <c r="BF950" t="s">
        <v>157</v>
      </c>
      <c r="BG950" t="s">
        <v>133</v>
      </c>
      <c r="BH950" t="s">
        <v>134</v>
      </c>
      <c r="BI950" t="s">
        <v>112</v>
      </c>
      <c r="BJ950" t="s">
        <v>112</v>
      </c>
      <c r="BK950" t="s">
        <v>112</v>
      </c>
      <c r="BL950" t="s">
        <v>169</v>
      </c>
      <c r="BM950" t="s">
        <v>159</v>
      </c>
      <c r="BN950" t="s">
        <v>212</v>
      </c>
      <c r="BO950" t="s">
        <v>161</v>
      </c>
      <c r="BP950">
        <v>1</v>
      </c>
      <c r="BQ950" t="s">
        <v>162</v>
      </c>
      <c r="BR950" s="45">
        <f>ISNUMBER(SEARCH($BR$1,Таблица1[[#This Row],[31_1 Описание и характеристика товара]]))*1</f>
        <v>1</v>
      </c>
      <c r="BT950" t="s">
        <v>150</v>
      </c>
      <c r="BU950">
        <v>33</v>
      </c>
      <c r="BV950">
        <v>0</v>
      </c>
      <c r="BW950">
        <v>0</v>
      </c>
      <c r="BY950">
        <v>0</v>
      </c>
      <c r="CA950" t="s">
        <v>106</v>
      </c>
      <c r="CB950" t="s">
        <v>142</v>
      </c>
      <c r="CC950" t="s">
        <v>112</v>
      </c>
      <c r="CD950" t="s">
        <v>112</v>
      </c>
      <c r="CE950" t="s">
        <v>121</v>
      </c>
      <c r="CF950">
        <v>16606.64</v>
      </c>
      <c r="CG950" t="s">
        <v>144</v>
      </c>
      <c r="CH950">
        <v>4000000</v>
      </c>
      <c r="CI950">
        <v>16480.64</v>
      </c>
      <c r="CJ950">
        <v>0</v>
      </c>
      <c r="CK950" t="s">
        <v>112</v>
      </c>
      <c r="CL950" t="s">
        <v>112</v>
      </c>
      <c r="CM950">
        <v>43288.08</v>
      </c>
      <c r="CN950">
        <v>3441982</v>
      </c>
      <c r="CO950">
        <v>0</v>
      </c>
      <c r="CP950">
        <v>1</v>
      </c>
      <c r="CQ950">
        <v>3787865.71</v>
      </c>
      <c r="CR950">
        <v>50576.9</v>
      </c>
      <c r="CS950" t="s">
        <v>145</v>
      </c>
      <c r="CT950">
        <v>50577.436095999998</v>
      </c>
      <c r="CU950">
        <v>3.0689000000000002</v>
      </c>
      <c r="CV950">
        <v>45</v>
      </c>
      <c r="CW950" t="s">
        <v>171</v>
      </c>
      <c r="CX950" t="s">
        <v>350</v>
      </c>
      <c r="CY950">
        <v>236</v>
      </c>
    </row>
    <row r="951" spans="1:103" x14ac:dyDescent="0.25">
      <c r="A951" t="s">
        <v>106</v>
      </c>
      <c r="B951" s="38">
        <v>45087</v>
      </c>
      <c r="C951" s="43">
        <f>IF(YEAR(Таблица1[[#This Row],[Дата]])=2023,MONTH(Таблица1[[#This Row],[Дата]]),0)</f>
        <v>6</v>
      </c>
      <c r="D951" t="s">
        <v>773</v>
      </c>
      <c r="E951" t="s">
        <v>108</v>
      </c>
      <c r="F951" t="s">
        <v>774</v>
      </c>
      <c r="G951" t="s">
        <v>3244</v>
      </c>
      <c r="H951" t="s">
        <v>111</v>
      </c>
      <c r="I951" t="s">
        <v>112</v>
      </c>
      <c r="J951" t="s">
        <v>112</v>
      </c>
      <c r="K951" t="s">
        <v>112</v>
      </c>
      <c r="L951" t="s">
        <v>150</v>
      </c>
      <c r="M951" t="s">
        <v>151</v>
      </c>
      <c r="N951" t="s">
        <v>112</v>
      </c>
      <c r="O951" t="s">
        <v>112</v>
      </c>
      <c r="P951">
        <v>1</v>
      </c>
      <c r="Q951">
        <v>0</v>
      </c>
      <c r="R951">
        <v>1</v>
      </c>
      <c r="S951">
        <v>33</v>
      </c>
      <c r="T951" t="s">
        <v>166</v>
      </c>
      <c r="U951" t="s">
        <v>152</v>
      </c>
      <c r="V951" t="s">
        <v>153</v>
      </c>
      <c r="W951" t="s">
        <v>154</v>
      </c>
      <c r="X951" t="s">
        <v>119</v>
      </c>
      <c r="Y951" t="s">
        <v>112</v>
      </c>
      <c r="Z951" t="s">
        <v>166</v>
      </c>
      <c r="AA951" t="s">
        <v>152</v>
      </c>
      <c r="AB951" t="s">
        <v>153</v>
      </c>
      <c r="AC951" t="s">
        <v>154</v>
      </c>
      <c r="AD951" t="s">
        <v>119</v>
      </c>
      <c r="AE951" t="s">
        <v>112</v>
      </c>
      <c r="AF951" t="s">
        <v>121</v>
      </c>
      <c r="AG951" t="s">
        <v>122</v>
      </c>
      <c r="AH951">
        <v>3633708.31</v>
      </c>
      <c r="AI951" t="s">
        <v>166</v>
      </c>
      <c r="AJ951" t="s">
        <v>152</v>
      </c>
      <c r="AK951" t="s">
        <v>153</v>
      </c>
      <c r="AL951" t="s">
        <v>154</v>
      </c>
      <c r="AM951" t="s">
        <v>119</v>
      </c>
      <c r="AN951" t="s">
        <v>112</v>
      </c>
      <c r="AO951" t="s">
        <v>121</v>
      </c>
      <c r="AP951" t="s">
        <v>122</v>
      </c>
      <c r="AQ951" t="s">
        <v>122</v>
      </c>
      <c r="AR951" t="s">
        <v>124</v>
      </c>
      <c r="AS951" t="s">
        <v>125</v>
      </c>
      <c r="AT951">
        <v>2</v>
      </c>
      <c r="AU951" t="s">
        <v>126</v>
      </c>
      <c r="AV951" t="s">
        <v>155</v>
      </c>
      <c r="AW951" t="s">
        <v>156</v>
      </c>
      <c r="AX951">
        <v>1</v>
      </c>
      <c r="AY951" t="s">
        <v>129</v>
      </c>
      <c r="AZ951">
        <v>41349.32</v>
      </c>
      <c r="BA951">
        <v>3287825</v>
      </c>
      <c r="BB951">
        <v>48518.53</v>
      </c>
      <c r="BC951">
        <v>79.513400000000004</v>
      </c>
      <c r="BD951" t="s">
        <v>130</v>
      </c>
      <c r="BE951" t="s">
        <v>112</v>
      </c>
      <c r="BF951" t="s">
        <v>157</v>
      </c>
      <c r="BG951" t="s">
        <v>133</v>
      </c>
      <c r="BH951" t="s">
        <v>167</v>
      </c>
      <c r="BI951" t="s">
        <v>168</v>
      </c>
      <c r="BJ951" t="s">
        <v>112</v>
      </c>
      <c r="BK951" t="s">
        <v>112</v>
      </c>
      <c r="BL951" t="s">
        <v>169</v>
      </c>
      <c r="BM951" t="s">
        <v>159</v>
      </c>
      <c r="BN951" t="s">
        <v>160</v>
      </c>
      <c r="BO951" t="s">
        <v>161</v>
      </c>
      <c r="BP951">
        <v>1</v>
      </c>
      <c r="BQ951" t="s">
        <v>775</v>
      </c>
      <c r="BR951" s="45">
        <f>ISNUMBER(SEARCH($BR$1,Таблица1[[#This Row],[31_1 Описание и характеристика товара]]))*1</f>
        <v>1</v>
      </c>
      <c r="BT951" t="s">
        <v>150</v>
      </c>
      <c r="BU951">
        <v>33</v>
      </c>
      <c r="BV951">
        <v>0</v>
      </c>
      <c r="BW951">
        <v>0</v>
      </c>
      <c r="BY951">
        <v>0</v>
      </c>
      <c r="CA951" t="s">
        <v>106</v>
      </c>
      <c r="CB951" t="s">
        <v>142</v>
      </c>
      <c r="CC951" t="s">
        <v>112</v>
      </c>
      <c r="CD951" t="s">
        <v>112</v>
      </c>
      <c r="CE951" t="s">
        <v>121</v>
      </c>
      <c r="CF951">
        <v>16964.77</v>
      </c>
      <c r="CG951" t="s">
        <v>144</v>
      </c>
      <c r="CH951">
        <v>4000000</v>
      </c>
      <c r="CI951">
        <v>16929.38</v>
      </c>
      <c r="CJ951">
        <v>0</v>
      </c>
      <c r="CK951" t="s">
        <v>112</v>
      </c>
      <c r="CL951" t="s">
        <v>112</v>
      </c>
      <c r="CM951">
        <v>41349.32</v>
      </c>
      <c r="CN951">
        <v>3287825</v>
      </c>
      <c r="CO951">
        <v>0</v>
      </c>
      <c r="CP951">
        <v>1</v>
      </c>
      <c r="CQ951">
        <v>3633708.31</v>
      </c>
      <c r="CR951">
        <v>48518.53</v>
      </c>
      <c r="CS951" t="s">
        <v>145</v>
      </c>
      <c r="CT951">
        <v>48517.910142000001</v>
      </c>
      <c r="CU951">
        <v>2.8658999999999999</v>
      </c>
      <c r="CV951">
        <v>45</v>
      </c>
      <c r="CW951" t="s">
        <v>171</v>
      </c>
      <c r="CX951" t="s">
        <v>369</v>
      </c>
      <c r="CY951">
        <v>238</v>
      </c>
    </row>
    <row r="952" spans="1:103" x14ac:dyDescent="0.25">
      <c r="A952" t="s">
        <v>106</v>
      </c>
      <c r="B952" s="38">
        <v>45092</v>
      </c>
      <c r="C952" s="43">
        <f>IF(YEAR(Таблица1[[#This Row],[Дата]])=2023,MONTH(Таблица1[[#This Row],[Дата]]),0)</f>
        <v>6</v>
      </c>
      <c r="D952" t="s">
        <v>786</v>
      </c>
      <c r="E952" t="s">
        <v>108</v>
      </c>
      <c r="F952" t="s">
        <v>787</v>
      </c>
      <c r="G952" t="s">
        <v>3244</v>
      </c>
      <c r="H952" t="s">
        <v>111</v>
      </c>
      <c r="I952" t="s">
        <v>112</v>
      </c>
      <c r="J952" t="s">
        <v>112</v>
      </c>
      <c r="K952" t="s">
        <v>112</v>
      </c>
      <c r="L952" t="s">
        <v>150</v>
      </c>
      <c r="M952" t="s">
        <v>151</v>
      </c>
      <c r="N952" t="s">
        <v>112</v>
      </c>
      <c r="O952" t="s">
        <v>112</v>
      </c>
      <c r="P952">
        <v>1</v>
      </c>
      <c r="Q952">
        <v>0</v>
      </c>
      <c r="R952">
        <v>1</v>
      </c>
      <c r="S952">
        <v>33</v>
      </c>
      <c r="T952" t="s">
        <v>166</v>
      </c>
      <c r="U952" t="s">
        <v>152</v>
      </c>
      <c r="V952" t="s">
        <v>153</v>
      </c>
      <c r="W952" t="s">
        <v>154</v>
      </c>
      <c r="X952" t="s">
        <v>119</v>
      </c>
      <c r="Y952" t="s">
        <v>112</v>
      </c>
      <c r="Z952" t="s">
        <v>166</v>
      </c>
      <c r="AA952" t="s">
        <v>152</v>
      </c>
      <c r="AB952" t="s">
        <v>153</v>
      </c>
      <c r="AC952" t="s">
        <v>154</v>
      </c>
      <c r="AD952" t="s">
        <v>119</v>
      </c>
      <c r="AE952" t="s">
        <v>112</v>
      </c>
      <c r="AF952" t="s">
        <v>121</v>
      </c>
      <c r="AG952" t="s">
        <v>122</v>
      </c>
      <c r="AH952">
        <v>3416420.45</v>
      </c>
      <c r="AI952" t="s">
        <v>166</v>
      </c>
      <c r="AJ952" t="s">
        <v>152</v>
      </c>
      <c r="AK952" t="s">
        <v>153</v>
      </c>
      <c r="AL952" t="s">
        <v>154</v>
      </c>
      <c r="AM952" t="s">
        <v>119</v>
      </c>
      <c r="AN952" t="s">
        <v>112</v>
      </c>
      <c r="AO952" t="s">
        <v>121</v>
      </c>
      <c r="AP952" t="s">
        <v>122</v>
      </c>
      <c r="AQ952" t="s">
        <v>122</v>
      </c>
      <c r="AR952" t="s">
        <v>124</v>
      </c>
      <c r="AS952" t="s">
        <v>125</v>
      </c>
      <c r="AT952">
        <v>2</v>
      </c>
      <c r="AU952" t="s">
        <v>126</v>
      </c>
      <c r="AV952" t="s">
        <v>155</v>
      </c>
      <c r="AW952" t="s">
        <v>156</v>
      </c>
      <c r="AX952">
        <v>1</v>
      </c>
      <c r="AY952" t="s">
        <v>129</v>
      </c>
      <c r="AZ952">
        <v>38616.6</v>
      </c>
      <c r="BA952">
        <v>3070537</v>
      </c>
      <c r="BB952">
        <v>45617.23</v>
      </c>
      <c r="BC952">
        <v>79.513400000000004</v>
      </c>
      <c r="BD952" t="s">
        <v>130</v>
      </c>
      <c r="BE952" t="s">
        <v>112</v>
      </c>
      <c r="BF952" t="s">
        <v>157</v>
      </c>
      <c r="BG952" t="s">
        <v>133</v>
      </c>
      <c r="BH952" t="s">
        <v>167</v>
      </c>
      <c r="BI952" t="s">
        <v>168</v>
      </c>
      <c r="BJ952" t="s">
        <v>112</v>
      </c>
      <c r="BK952" t="s">
        <v>112</v>
      </c>
      <c r="BL952" t="s">
        <v>169</v>
      </c>
      <c r="BM952" t="s">
        <v>159</v>
      </c>
      <c r="BN952" t="s">
        <v>160</v>
      </c>
      <c r="BO952" t="s">
        <v>161</v>
      </c>
      <c r="BP952">
        <v>1</v>
      </c>
      <c r="BQ952" t="s">
        <v>232</v>
      </c>
      <c r="BR952" s="45">
        <f>ISNUMBER(SEARCH($BR$1,Таблица1[[#This Row],[31_1 Описание и характеристика товара]]))*1</f>
        <v>1</v>
      </c>
      <c r="BT952" t="s">
        <v>150</v>
      </c>
      <c r="BU952">
        <v>33</v>
      </c>
      <c r="BV952">
        <v>0</v>
      </c>
      <c r="BW952">
        <v>0</v>
      </c>
      <c r="BY952">
        <v>0</v>
      </c>
      <c r="CA952" t="s">
        <v>106</v>
      </c>
      <c r="CB952" t="s">
        <v>142</v>
      </c>
      <c r="CC952" t="s">
        <v>112</v>
      </c>
      <c r="CD952" t="s">
        <v>112</v>
      </c>
      <c r="CE952" t="s">
        <v>121</v>
      </c>
      <c r="CF952">
        <v>16885.439999999999</v>
      </c>
      <c r="CG952" t="s">
        <v>144</v>
      </c>
      <c r="CH952">
        <v>4000000</v>
      </c>
      <c r="CI952">
        <v>16885.439999999999</v>
      </c>
      <c r="CJ952">
        <v>0</v>
      </c>
      <c r="CK952" t="s">
        <v>112</v>
      </c>
      <c r="CL952" t="s">
        <v>112</v>
      </c>
      <c r="CM952">
        <v>38616.6</v>
      </c>
      <c r="CN952">
        <v>3070537</v>
      </c>
      <c r="CO952">
        <v>0</v>
      </c>
      <c r="CP952">
        <v>1</v>
      </c>
      <c r="CQ952">
        <v>3416420.45</v>
      </c>
      <c r="CR952">
        <v>45617.23</v>
      </c>
      <c r="CS952" t="s">
        <v>145</v>
      </c>
      <c r="CT952">
        <v>45617.704703999996</v>
      </c>
      <c r="CU952">
        <v>2.7016</v>
      </c>
      <c r="CV952">
        <v>45</v>
      </c>
      <c r="CW952" t="s">
        <v>171</v>
      </c>
      <c r="CX952" t="s">
        <v>463</v>
      </c>
      <c r="CY952">
        <v>69</v>
      </c>
    </row>
    <row r="953" spans="1:103" x14ac:dyDescent="0.25">
      <c r="A953" t="s">
        <v>106</v>
      </c>
      <c r="B953" s="38">
        <v>45191</v>
      </c>
      <c r="C953" s="43">
        <f>IF(YEAR(Таблица1[[#This Row],[Дата]])=2023,MONTH(Таблица1[[#This Row],[Дата]]),0)</f>
        <v>9</v>
      </c>
      <c r="D953" t="s">
        <v>766</v>
      </c>
      <c r="E953" t="s">
        <v>108</v>
      </c>
      <c r="F953" t="s">
        <v>767</v>
      </c>
      <c r="G953" t="s">
        <v>3244</v>
      </c>
      <c r="H953" t="s">
        <v>111</v>
      </c>
      <c r="I953" t="s">
        <v>112</v>
      </c>
      <c r="J953" t="s">
        <v>112</v>
      </c>
      <c r="K953" t="s">
        <v>112</v>
      </c>
      <c r="L953" t="s">
        <v>150</v>
      </c>
      <c r="M953" t="s">
        <v>151</v>
      </c>
      <c r="N953" t="s">
        <v>112</v>
      </c>
      <c r="O953" t="s">
        <v>112</v>
      </c>
      <c r="P953">
        <v>1</v>
      </c>
      <c r="Q953">
        <v>0</v>
      </c>
      <c r="R953">
        <v>1</v>
      </c>
      <c r="S953">
        <v>33</v>
      </c>
      <c r="T953" t="s">
        <v>166</v>
      </c>
      <c r="U953" t="s">
        <v>152</v>
      </c>
      <c r="V953" t="s">
        <v>153</v>
      </c>
      <c r="W953" t="s">
        <v>154</v>
      </c>
      <c r="X953" t="s">
        <v>119</v>
      </c>
      <c r="Y953" t="s">
        <v>112</v>
      </c>
      <c r="Z953" t="s">
        <v>166</v>
      </c>
      <c r="AA953" t="s">
        <v>152</v>
      </c>
      <c r="AB953" t="s">
        <v>153</v>
      </c>
      <c r="AC953" t="s">
        <v>154</v>
      </c>
      <c r="AD953" t="s">
        <v>119</v>
      </c>
      <c r="AE953" t="s">
        <v>112</v>
      </c>
      <c r="AF953" t="s">
        <v>121</v>
      </c>
      <c r="AG953" t="s">
        <v>122</v>
      </c>
      <c r="AH953">
        <v>3925525.67</v>
      </c>
      <c r="AI953" t="s">
        <v>166</v>
      </c>
      <c r="AJ953" t="s">
        <v>152</v>
      </c>
      <c r="AK953" t="s">
        <v>153</v>
      </c>
      <c r="AL953" t="s">
        <v>154</v>
      </c>
      <c r="AM953" t="s">
        <v>119</v>
      </c>
      <c r="AN953" t="s">
        <v>112</v>
      </c>
      <c r="AO953" t="s">
        <v>121</v>
      </c>
      <c r="AP953" t="s">
        <v>122</v>
      </c>
      <c r="AQ953" t="s">
        <v>122</v>
      </c>
      <c r="AR953" t="s">
        <v>124</v>
      </c>
      <c r="AS953" t="s">
        <v>125</v>
      </c>
      <c r="AT953">
        <v>2</v>
      </c>
      <c r="AU953" t="s">
        <v>126</v>
      </c>
      <c r="AV953" t="s">
        <v>155</v>
      </c>
      <c r="AW953" t="s">
        <v>156</v>
      </c>
      <c r="AX953">
        <v>1</v>
      </c>
      <c r="AY953" t="s">
        <v>129</v>
      </c>
      <c r="AZ953">
        <v>45019.360000000001</v>
      </c>
      <c r="BA953">
        <v>3579642</v>
      </c>
      <c r="BB953">
        <v>52414.98</v>
      </c>
      <c r="BC953">
        <v>79.513400000000004</v>
      </c>
      <c r="BD953" t="s">
        <v>130</v>
      </c>
      <c r="BE953" t="s">
        <v>112</v>
      </c>
      <c r="BF953" t="s">
        <v>157</v>
      </c>
      <c r="BG953" t="s">
        <v>133</v>
      </c>
      <c r="BH953" t="s">
        <v>167</v>
      </c>
      <c r="BI953" t="s">
        <v>168</v>
      </c>
      <c r="BJ953" t="s">
        <v>112</v>
      </c>
      <c r="BK953" t="s">
        <v>112</v>
      </c>
      <c r="BL953" t="s">
        <v>169</v>
      </c>
      <c r="BM953" t="s">
        <v>159</v>
      </c>
      <c r="BN953" t="s">
        <v>160</v>
      </c>
      <c r="BO953" t="s">
        <v>161</v>
      </c>
      <c r="BP953">
        <v>1</v>
      </c>
      <c r="BQ953" t="s">
        <v>466</v>
      </c>
      <c r="BR953" s="45">
        <f>ISNUMBER(SEARCH($BR$1,Таблица1[[#This Row],[31_1 Описание и характеристика товара]]))*1</f>
        <v>1</v>
      </c>
      <c r="BT953" t="s">
        <v>150</v>
      </c>
      <c r="BU953">
        <v>33</v>
      </c>
      <c r="BV953">
        <v>0</v>
      </c>
      <c r="BW953">
        <v>0</v>
      </c>
      <c r="BY953">
        <v>0</v>
      </c>
      <c r="CA953" t="s">
        <v>106</v>
      </c>
      <c r="CB953" t="s">
        <v>142</v>
      </c>
      <c r="CC953" t="s">
        <v>112</v>
      </c>
      <c r="CD953" t="s">
        <v>112</v>
      </c>
      <c r="CE953" t="s">
        <v>121</v>
      </c>
      <c r="CF953">
        <v>15687.93</v>
      </c>
      <c r="CG953" t="s">
        <v>144</v>
      </c>
      <c r="CH953">
        <v>4000000</v>
      </c>
      <c r="CI953">
        <v>15525.93</v>
      </c>
      <c r="CJ953">
        <v>0</v>
      </c>
      <c r="CK953" t="s">
        <v>112</v>
      </c>
      <c r="CL953" t="s">
        <v>112</v>
      </c>
      <c r="CM953">
        <v>45019.360000000001</v>
      </c>
      <c r="CN953">
        <v>3579642</v>
      </c>
      <c r="CO953">
        <v>0</v>
      </c>
      <c r="CP953">
        <v>1</v>
      </c>
      <c r="CQ953">
        <v>3925525.67</v>
      </c>
      <c r="CR953">
        <v>52414.98</v>
      </c>
      <c r="CS953" t="s">
        <v>145</v>
      </c>
      <c r="CT953">
        <v>52415.539680000002</v>
      </c>
      <c r="CU953">
        <v>3.3759999999999999</v>
      </c>
      <c r="CV953">
        <v>45</v>
      </c>
      <c r="CW953" t="s">
        <v>171</v>
      </c>
      <c r="CX953" t="s">
        <v>369</v>
      </c>
      <c r="CY953">
        <v>153</v>
      </c>
    </row>
    <row r="954" spans="1:103" x14ac:dyDescent="0.25">
      <c r="A954" t="s">
        <v>106</v>
      </c>
      <c r="B954" s="38">
        <v>44609</v>
      </c>
      <c r="C954" s="43">
        <f>IF(YEAR(Таблица1[[#This Row],[Дата]])=2023,MONTH(Таблица1[[#This Row],[Дата]]),0)</f>
        <v>0</v>
      </c>
      <c r="D954" t="s">
        <v>505</v>
      </c>
      <c r="E954" t="s">
        <v>108</v>
      </c>
      <c r="F954" t="s">
        <v>506</v>
      </c>
      <c r="G954" t="s">
        <v>3244</v>
      </c>
      <c r="H954" t="s">
        <v>111</v>
      </c>
      <c r="I954" t="s">
        <v>112</v>
      </c>
      <c r="J954" t="s">
        <v>112</v>
      </c>
      <c r="K954" t="s">
        <v>112</v>
      </c>
      <c r="L954" t="s">
        <v>113</v>
      </c>
      <c r="M954" t="s">
        <v>507</v>
      </c>
      <c r="N954" t="s">
        <v>112</v>
      </c>
      <c r="O954" t="s">
        <v>112</v>
      </c>
      <c r="P954">
        <v>1</v>
      </c>
      <c r="Q954">
        <v>0</v>
      </c>
      <c r="R954">
        <v>1</v>
      </c>
      <c r="S954">
        <v>33</v>
      </c>
      <c r="T954" t="s">
        <v>115</v>
      </c>
      <c r="U954" t="s">
        <v>116</v>
      </c>
      <c r="V954" t="s">
        <v>117</v>
      </c>
      <c r="W954" t="s">
        <v>118</v>
      </c>
      <c r="X954" t="s">
        <v>119</v>
      </c>
      <c r="Y954" t="s">
        <v>120</v>
      </c>
      <c r="Z954" t="s">
        <v>115</v>
      </c>
      <c r="AA954" t="s">
        <v>116</v>
      </c>
      <c r="AB954" t="s">
        <v>117</v>
      </c>
      <c r="AC954" t="s">
        <v>118</v>
      </c>
      <c r="AD954" t="s">
        <v>119</v>
      </c>
      <c r="AE954" t="s">
        <v>120</v>
      </c>
      <c r="AF954" t="s">
        <v>121</v>
      </c>
      <c r="AG954" t="s">
        <v>122</v>
      </c>
      <c r="AH954">
        <v>3576822.36</v>
      </c>
      <c r="AI954" t="s">
        <v>115</v>
      </c>
      <c r="AJ954" t="s">
        <v>116</v>
      </c>
      <c r="AK954" t="s">
        <v>117</v>
      </c>
      <c r="AL954" t="s">
        <v>118</v>
      </c>
      <c r="AM954" t="s">
        <v>119</v>
      </c>
      <c r="AN954" t="s">
        <v>120</v>
      </c>
      <c r="AO954" t="s">
        <v>121</v>
      </c>
      <c r="AP954" t="s">
        <v>122</v>
      </c>
      <c r="AQ954" t="s">
        <v>123</v>
      </c>
      <c r="AR954" t="s">
        <v>124</v>
      </c>
      <c r="AS954" t="s">
        <v>125</v>
      </c>
      <c r="AT954">
        <v>2</v>
      </c>
      <c r="AU954" t="s">
        <v>126</v>
      </c>
      <c r="AV954" t="s">
        <v>127</v>
      </c>
      <c r="AW954" t="s">
        <v>128</v>
      </c>
      <c r="AX954">
        <v>1</v>
      </c>
      <c r="AY954" t="s">
        <v>129</v>
      </c>
      <c r="AZ954">
        <v>43862.16</v>
      </c>
      <c r="BA954">
        <v>3346700</v>
      </c>
      <c r="BB954">
        <v>50722.55</v>
      </c>
      <c r="BC954">
        <v>76.300399999999996</v>
      </c>
      <c r="BD954" t="s">
        <v>130</v>
      </c>
      <c r="BE954" t="s">
        <v>131</v>
      </c>
      <c r="BF954" t="s">
        <v>132</v>
      </c>
      <c r="BG954" t="s">
        <v>133</v>
      </c>
      <c r="BH954" t="s">
        <v>134</v>
      </c>
      <c r="BI954" t="s">
        <v>112</v>
      </c>
      <c r="BJ954" t="s">
        <v>135</v>
      </c>
      <c r="BK954" t="s">
        <v>112</v>
      </c>
      <c r="BL954" t="s">
        <v>136</v>
      </c>
      <c r="BM954" t="s">
        <v>137</v>
      </c>
      <c r="BN954" t="s">
        <v>138</v>
      </c>
      <c r="BO954" t="s">
        <v>139</v>
      </c>
      <c r="BP954">
        <v>1</v>
      </c>
      <c r="BQ954" t="s">
        <v>508</v>
      </c>
      <c r="BR954" s="45">
        <f>ISNUMBER(SEARCH($BR$1,Таблица1[[#This Row],[31_1 Описание и характеристика товара]]))*1</f>
        <v>1</v>
      </c>
      <c r="BT954" t="s">
        <v>141</v>
      </c>
      <c r="BU954">
        <v>33</v>
      </c>
      <c r="BV954">
        <v>0</v>
      </c>
      <c r="BW954">
        <v>0</v>
      </c>
      <c r="BY954">
        <v>0</v>
      </c>
      <c r="CA954" t="s">
        <v>106</v>
      </c>
      <c r="CB954" t="s">
        <v>142</v>
      </c>
      <c r="CC954" t="s">
        <v>112</v>
      </c>
      <c r="CD954" t="s">
        <v>112</v>
      </c>
      <c r="CE954" t="s">
        <v>143</v>
      </c>
      <c r="CF954">
        <v>15670.8</v>
      </c>
      <c r="CG954" t="s">
        <v>144</v>
      </c>
      <c r="CH954">
        <v>4000000</v>
      </c>
      <c r="CI954">
        <v>15612.24</v>
      </c>
      <c r="CJ954">
        <v>0</v>
      </c>
      <c r="CK954" t="s">
        <v>112</v>
      </c>
      <c r="CL954" t="s">
        <v>112</v>
      </c>
      <c r="CM954">
        <v>43862.16</v>
      </c>
      <c r="CN954">
        <v>3346700</v>
      </c>
      <c r="CO954">
        <v>0</v>
      </c>
      <c r="CP954">
        <v>1</v>
      </c>
      <c r="CQ954">
        <v>3576822.36</v>
      </c>
      <c r="CR954">
        <v>50722.55</v>
      </c>
      <c r="CS954" t="s">
        <v>145</v>
      </c>
      <c r="CT954">
        <v>50722.606535999999</v>
      </c>
      <c r="CU954">
        <v>3.2488999999999999</v>
      </c>
      <c r="CV954">
        <v>941</v>
      </c>
      <c r="CW954" t="s">
        <v>146</v>
      </c>
      <c r="CX954" t="s">
        <v>147</v>
      </c>
      <c r="CY954">
        <v>547</v>
      </c>
    </row>
    <row r="955" spans="1:103" x14ac:dyDescent="0.25">
      <c r="A955" t="s">
        <v>106</v>
      </c>
      <c r="B955" s="38">
        <v>44647</v>
      </c>
      <c r="C955" s="43">
        <f>IF(YEAR(Таблица1[[#This Row],[Дата]])=2023,MONTH(Таблица1[[#This Row],[Дата]]),0)</f>
        <v>0</v>
      </c>
      <c r="D955" t="s">
        <v>488</v>
      </c>
      <c r="E955" t="s">
        <v>108</v>
      </c>
      <c r="F955" t="s">
        <v>489</v>
      </c>
      <c r="G955" t="s">
        <v>3244</v>
      </c>
      <c r="H955" t="s">
        <v>111</v>
      </c>
      <c r="I955" t="s">
        <v>112</v>
      </c>
      <c r="J955" t="s">
        <v>112</v>
      </c>
      <c r="K955" t="s">
        <v>112</v>
      </c>
      <c r="L955" t="s">
        <v>150</v>
      </c>
      <c r="M955" t="s">
        <v>151</v>
      </c>
      <c r="N955" t="s">
        <v>112</v>
      </c>
      <c r="O955" t="s">
        <v>112</v>
      </c>
      <c r="P955">
        <v>1</v>
      </c>
      <c r="Q955">
        <v>0</v>
      </c>
      <c r="R955">
        <v>1</v>
      </c>
      <c r="S955">
        <v>33</v>
      </c>
      <c r="T955" t="s">
        <v>166</v>
      </c>
      <c r="U955" t="s">
        <v>152</v>
      </c>
      <c r="V955" t="s">
        <v>153</v>
      </c>
      <c r="W955" t="s">
        <v>154</v>
      </c>
      <c r="X955" t="s">
        <v>119</v>
      </c>
      <c r="Y955" t="s">
        <v>112</v>
      </c>
      <c r="Z955" t="s">
        <v>166</v>
      </c>
      <c r="AA955" t="s">
        <v>152</v>
      </c>
      <c r="AB955" t="s">
        <v>153</v>
      </c>
      <c r="AC955" t="s">
        <v>154</v>
      </c>
      <c r="AD955" t="s">
        <v>119</v>
      </c>
      <c r="AE955" t="s">
        <v>112</v>
      </c>
      <c r="AF955" t="s">
        <v>121</v>
      </c>
      <c r="AG955" t="s">
        <v>122</v>
      </c>
      <c r="AH955">
        <v>3549949.36</v>
      </c>
      <c r="AI955" t="s">
        <v>166</v>
      </c>
      <c r="AJ955" t="s">
        <v>152</v>
      </c>
      <c r="AK955" t="s">
        <v>153</v>
      </c>
      <c r="AL955" t="s">
        <v>154</v>
      </c>
      <c r="AM955" t="s">
        <v>119</v>
      </c>
      <c r="AN955" t="s">
        <v>112</v>
      </c>
      <c r="AO955" t="s">
        <v>121</v>
      </c>
      <c r="AP955" t="s">
        <v>122</v>
      </c>
      <c r="AQ955" t="s">
        <v>122</v>
      </c>
      <c r="AR955" t="s">
        <v>124</v>
      </c>
      <c r="AS955" t="s">
        <v>125</v>
      </c>
      <c r="AT955">
        <v>2</v>
      </c>
      <c r="AU955" t="s">
        <v>126</v>
      </c>
      <c r="AV955" t="s">
        <v>155</v>
      </c>
      <c r="AW955" t="s">
        <v>156</v>
      </c>
      <c r="AX955">
        <v>1</v>
      </c>
      <c r="AY955" t="s">
        <v>129</v>
      </c>
      <c r="AZ955">
        <v>42175.96</v>
      </c>
      <c r="BA955">
        <v>3218043</v>
      </c>
      <c r="BB955">
        <v>50341.47</v>
      </c>
      <c r="BC955">
        <v>76.300399999999996</v>
      </c>
      <c r="BD955" t="s">
        <v>130</v>
      </c>
      <c r="BE955" t="s">
        <v>112</v>
      </c>
      <c r="BF955" t="s">
        <v>157</v>
      </c>
      <c r="BG955" t="s">
        <v>133</v>
      </c>
      <c r="BH955" t="s">
        <v>134</v>
      </c>
      <c r="BI955" t="s">
        <v>112</v>
      </c>
      <c r="BJ955" t="s">
        <v>112</v>
      </c>
      <c r="BK955" t="s">
        <v>112</v>
      </c>
      <c r="BL955" t="s">
        <v>169</v>
      </c>
      <c r="BM955" t="s">
        <v>159</v>
      </c>
      <c r="BN955" t="s">
        <v>212</v>
      </c>
      <c r="BO955" t="s">
        <v>161</v>
      </c>
      <c r="BP955">
        <v>1</v>
      </c>
      <c r="BQ955" t="s">
        <v>490</v>
      </c>
      <c r="BR955" s="45">
        <f>ISNUMBER(SEARCH($BR$1,Таблица1[[#This Row],[31_1 Описание и характеристика товара]]))*1</f>
        <v>1</v>
      </c>
      <c r="BT955" t="s">
        <v>150</v>
      </c>
      <c r="BU955">
        <v>33</v>
      </c>
      <c r="BV955">
        <v>0</v>
      </c>
      <c r="BW955">
        <v>0</v>
      </c>
      <c r="BY955">
        <v>0</v>
      </c>
      <c r="CA955" t="s">
        <v>106</v>
      </c>
      <c r="CB955" t="s">
        <v>142</v>
      </c>
      <c r="CC955" t="s">
        <v>112</v>
      </c>
      <c r="CD955" t="s">
        <v>112</v>
      </c>
      <c r="CE955" t="s">
        <v>121</v>
      </c>
      <c r="CF955">
        <v>17117.27</v>
      </c>
      <c r="CG955" t="s">
        <v>144</v>
      </c>
      <c r="CH955">
        <v>4000000</v>
      </c>
      <c r="CI955">
        <v>17117.27</v>
      </c>
      <c r="CJ955">
        <v>0</v>
      </c>
      <c r="CK955" t="s">
        <v>112</v>
      </c>
      <c r="CL955" t="s">
        <v>112</v>
      </c>
      <c r="CM955">
        <v>42175.96</v>
      </c>
      <c r="CN955">
        <v>3218043</v>
      </c>
      <c r="CO955">
        <v>0</v>
      </c>
      <c r="CP955">
        <v>1</v>
      </c>
      <c r="CQ955">
        <v>3549949.36</v>
      </c>
      <c r="CR955">
        <v>50341.47</v>
      </c>
      <c r="CS955" t="s">
        <v>145</v>
      </c>
      <c r="CT955">
        <v>50341.891069999998</v>
      </c>
      <c r="CU955">
        <v>2.9409999999999998</v>
      </c>
      <c r="CV955">
        <v>45</v>
      </c>
      <c r="CW955" t="s">
        <v>171</v>
      </c>
      <c r="CX955" t="s">
        <v>372</v>
      </c>
      <c r="CY955">
        <v>9</v>
      </c>
    </row>
    <row r="956" spans="1:103" x14ac:dyDescent="0.25">
      <c r="A956" t="s">
        <v>106</v>
      </c>
      <c r="B956" s="38">
        <v>44726</v>
      </c>
      <c r="C956" s="43">
        <f>IF(YEAR(Таблица1[[#This Row],[Дата]])=2023,MONTH(Таблица1[[#This Row],[Дата]]),0)</f>
        <v>0</v>
      </c>
      <c r="D956" t="s">
        <v>485</v>
      </c>
      <c r="E956" t="s">
        <v>108</v>
      </c>
      <c r="F956" t="s">
        <v>486</v>
      </c>
      <c r="G956" t="s">
        <v>3244</v>
      </c>
      <c r="H956" t="s">
        <v>111</v>
      </c>
      <c r="I956" t="s">
        <v>112</v>
      </c>
      <c r="J956" t="s">
        <v>112</v>
      </c>
      <c r="K956" t="s">
        <v>112</v>
      </c>
      <c r="L956" t="s">
        <v>150</v>
      </c>
      <c r="M956" t="s">
        <v>151</v>
      </c>
      <c r="N956" t="s">
        <v>112</v>
      </c>
      <c r="O956" t="s">
        <v>112</v>
      </c>
      <c r="P956">
        <v>1</v>
      </c>
      <c r="Q956">
        <v>0</v>
      </c>
      <c r="R956">
        <v>1</v>
      </c>
      <c r="S956">
        <v>33</v>
      </c>
      <c r="T956" t="s">
        <v>166</v>
      </c>
      <c r="U956" t="s">
        <v>152</v>
      </c>
      <c r="V956" t="s">
        <v>153</v>
      </c>
      <c r="W956" t="s">
        <v>154</v>
      </c>
      <c r="X956" t="s">
        <v>119</v>
      </c>
      <c r="Y956" t="s">
        <v>112</v>
      </c>
      <c r="Z956" t="s">
        <v>166</v>
      </c>
      <c r="AA956" t="s">
        <v>152</v>
      </c>
      <c r="AB956" t="s">
        <v>153</v>
      </c>
      <c r="AC956" t="s">
        <v>154</v>
      </c>
      <c r="AD956" t="s">
        <v>119</v>
      </c>
      <c r="AE956" t="s">
        <v>112</v>
      </c>
      <c r="AF956" t="s">
        <v>121</v>
      </c>
      <c r="AG956" t="s">
        <v>122</v>
      </c>
      <c r="AH956">
        <v>3410679.76</v>
      </c>
      <c r="AI956" t="s">
        <v>166</v>
      </c>
      <c r="AJ956" t="s">
        <v>152</v>
      </c>
      <c r="AK956" t="s">
        <v>153</v>
      </c>
      <c r="AL956" t="s">
        <v>154</v>
      </c>
      <c r="AM956" t="s">
        <v>119</v>
      </c>
      <c r="AN956" t="s">
        <v>112</v>
      </c>
      <c r="AO956" t="s">
        <v>121</v>
      </c>
      <c r="AP956" t="s">
        <v>122</v>
      </c>
      <c r="AQ956" t="s">
        <v>122</v>
      </c>
      <c r="AR956" t="s">
        <v>124</v>
      </c>
      <c r="AS956" t="s">
        <v>125</v>
      </c>
      <c r="AT956">
        <v>2</v>
      </c>
      <c r="AU956" t="s">
        <v>126</v>
      </c>
      <c r="AV956" t="s">
        <v>155</v>
      </c>
      <c r="AW956" t="s">
        <v>156</v>
      </c>
      <c r="AX956">
        <v>1</v>
      </c>
      <c r="AY956" t="s">
        <v>129</v>
      </c>
      <c r="AZ956">
        <v>40350.68</v>
      </c>
      <c r="BA956">
        <v>3078773</v>
      </c>
      <c r="BB956">
        <v>48366.5</v>
      </c>
      <c r="BC956">
        <v>76.300399999999996</v>
      </c>
      <c r="BD956" t="s">
        <v>130</v>
      </c>
      <c r="BE956" t="s">
        <v>112</v>
      </c>
      <c r="BF956" t="s">
        <v>157</v>
      </c>
      <c r="BG956" t="s">
        <v>133</v>
      </c>
      <c r="BH956" t="s">
        <v>134</v>
      </c>
      <c r="BI956" t="s">
        <v>112</v>
      </c>
      <c r="BJ956" t="s">
        <v>112</v>
      </c>
      <c r="BK956" t="s">
        <v>112</v>
      </c>
      <c r="BL956" t="s">
        <v>169</v>
      </c>
      <c r="BM956" t="s">
        <v>159</v>
      </c>
      <c r="BN956" t="s">
        <v>212</v>
      </c>
      <c r="BO956" t="s">
        <v>161</v>
      </c>
      <c r="BP956">
        <v>1</v>
      </c>
      <c r="BQ956" t="s">
        <v>487</v>
      </c>
      <c r="BR956" s="45">
        <f>ISNUMBER(SEARCH($BR$1,Таблица1[[#This Row],[31_1 Описание и характеристика товара]]))*1</f>
        <v>1</v>
      </c>
      <c r="BT956" t="s">
        <v>150</v>
      </c>
      <c r="BU956">
        <v>33</v>
      </c>
      <c r="BV956">
        <v>0</v>
      </c>
      <c r="BW956">
        <v>0</v>
      </c>
      <c r="BY956">
        <v>0</v>
      </c>
      <c r="CA956" t="s">
        <v>106</v>
      </c>
      <c r="CB956" t="s">
        <v>142</v>
      </c>
      <c r="CC956" t="s">
        <v>112</v>
      </c>
      <c r="CD956" t="s">
        <v>112</v>
      </c>
      <c r="CE956" t="s">
        <v>121</v>
      </c>
      <c r="CF956">
        <v>18086.95</v>
      </c>
      <c r="CG956" t="s">
        <v>144</v>
      </c>
      <c r="CH956">
        <v>4000000</v>
      </c>
      <c r="CI956">
        <v>18086.95</v>
      </c>
      <c r="CJ956">
        <v>0</v>
      </c>
      <c r="CK956" t="s">
        <v>112</v>
      </c>
      <c r="CL956" t="s">
        <v>112</v>
      </c>
      <c r="CM956">
        <v>40350.68</v>
      </c>
      <c r="CN956">
        <v>3078773</v>
      </c>
      <c r="CO956">
        <v>0</v>
      </c>
      <c r="CP956">
        <v>1</v>
      </c>
      <c r="CQ956">
        <v>3410679.76</v>
      </c>
      <c r="CR956">
        <v>48366.5</v>
      </c>
      <c r="CS956" t="s">
        <v>145</v>
      </c>
      <c r="CT956">
        <v>48366.312995000008</v>
      </c>
      <c r="CU956">
        <v>2.6741000000000001</v>
      </c>
      <c r="CV956">
        <v>45</v>
      </c>
      <c r="CW956" t="s">
        <v>171</v>
      </c>
      <c r="CX956" t="s">
        <v>369</v>
      </c>
      <c r="CY956">
        <v>252</v>
      </c>
    </row>
    <row r="957" spans="1:103" x14ac:dyDescent="0.25">
      <c r="A957" t="s">
        <v>106</v>
      </c>
      <c r="B957" s="38">
        <v>44803</v>
      </c>
      <c r="C957" s="43">
        <f>IF(YEAR(Таблица1[[#This Row],[Дата]])=2023,MONTH(Таблица1[[#This Row],[Дата]]),0)</f>
        <v>0</v>
      </c>
      <c r="D957" t="s">
        <v>491</v>
      </c>
      <c r="E957" t="s">
        <v>108</v>
      </c>
      <c r="F957" t="s">
        <v>492</v>
      </c>
      <c r="G957" t="s">
        <v>3244</v>
      </c>
      <c r="H957" t="s">
        <v>111</v>
      </c>
      <c r="I957" t="s">
        <v>112</v>
      </c>
      <c r="J957" t="s">
        <v>112</v>
      </c>
      <c r="K957" t="s">
        <v>112</v>
      </c>
      <c r="L957" t="s">
        <v>150</v>
      </c>
      <c r="M957" t="s">
        <v>151</v>
      </c>
      <c r="N957" t="s">
        <v>112</v>
      </c>
      <c r="O957" t="s">
        <v>112</v>
      </c>
      <c r="P957">
        <v>1</v>
      </c>
      <c r="Q957">
        <v>0</v>
      </c>
      <c r="R957">
        <v>1</v>
      </c>
      <c r="S957">
        <v>33</v>
      </c>
      <c r="T957" t="s">
        <v>166</v>
      </c>
      <c r="U957" t="s">
        <v>152</v>
      </c>
      <c r="V957" t="s">
        <v>153</v>
      </c>
      <c r="W957" t="s">
        <v>154</v>
      </c>
      <c r="X957" t="s">
        <v>119</v>
      </c>
      <c r="Y957" t="s">
        <v>112</v>
      </c>
      <c r="Z957" t="s">
        <v>166</v>
      </c>
      <c r="AA957" t="s">
        <v>152</v>
      </c>
      <c r="AB957" t="s">
        <v>153</v>
      </c>
      <c r="AC957" t="s">
        <v>154</v>
      </c>
      <c r="AD957" t="s">
        <v>119</v>
      </c>
      <c r="AE957" t="s">
        <v>112</v>
      </c>
      <c r="AF957" t="s">
        <v>121</v>
      </c>
      <c r="AG957" t="s">
        <v>122</v>
      </c>
      <c r="AH957">
        <v>3737050.15</v>
      </c>
      <c r="AI957" t="s">
        <v>166</v>
      </c>
      <c r="AJ957" t="s">
        <v>152</v>
      </c>
      <c r="AK957" t="s">
        <v>153</v>
      </c>
      <c r="AL957" t="s">
        <v>154</v>
      </c>
      <c r="AM957" t="s">
        <v>119</v>
      </c>
      <c r="AN957" t="s">
        <v>112</v>
      </c>
      <c r="AO957" t="s">
        <v>121</v>
      </c>
      <c r="AP957" t="s">
        <v>122</v>
      </c>
      <c r="AQ957" t="s">
        <v>122</v>
      </c>
      <c r="AR957" t="s">
        <v>124</v>
      </c>
      <c r="AS957" t="s">
        <v>125</v>
      </c>
      <c r="AT957">
        <v>2</v>
      </c>
      <c r="AU957" t="s">
        <v>126</v>
      </c>
      <c r="AV957" t="s">
        <v>155</v>
      </c>
      <c r="AW957" t="s">
        <v>156</v>
      </c>
      <c r="AX957">
        <v>1</v>
      </c>
      <c r="AY957" t="s">
        <v>129</v>
      </c>
      <c r="AZ957">
        <v>44128.12</v>
      </c>
      <c r="BA957">
        <v>3366993</v>
      </c>
      <c r="BB957">
        <v>52994.720000000001</v>
      </c>
      <c r="BC957">
        <v>76.300399999999996</v>
      </c>
      <c r="BD957" t="s">
        <v>130</v>
      </c>
      <c r="BE957" t="s">
        <v>112</v>
      </c>
      <c r="BF957" t="s">
        <v>157</v>
      </c>
      <c r="BG957" t="s">
        <v>133</v>
      </c>
      <c r="BH957" t="s">
        <v>134</v>
      </c>
      <c r="BI957" t="s">
        <v>112</v>
      </c>
      <c r="BJ957" t="s">
        <v>112</v>
      </c>
      <c r="BK957" t="s">
        <v>112</v>
      </c>
      <c r="BL957" t="s">
        <v>169</v>
      </c>
      <c r="BM957" t="s">
        <v>159</v>
      </c>
      <c r="BN957" t="s">
        <v>212</v>
      </c>
      <c r="BO957" t="s">
        <v>161</v>
      </c>
      <c r="BP957">
        <v>1</v>
      </c>
      <c r="BQ957" t="s">
        <v>493</v>
      </c>
      <c r="BR957" s="45">
        <f>ISNUMBER(SEARCH($BR$1,Таблица1[[#This Row],[31_1 Описание и характеристика товара]]))*1</f>
        <v>1</v>
      </c>
      <c r="BT957" t="s">
        <v>150</v>
      </c>
      <c r="BU957">
        <v>33</v>
      </c>
      <c r="BV957">
        <v>0</v>
      </c>
      <c r="BW957">
        <v>0</v>
      </c>
      <c r="BY957">
        <v>0</v>
      </c>
      <c r="CA957" t="s">
        <v>106</v>
      </c>
      <c r="CB957" t="s">
        <v>142</v>
      </c>
      <c r="CC957" t="s">
        <v>112</v>
      </c>
      <c r="CD957" t="s">
        <v>112</v>
      </c>
      <c r="CE957" t="s">
        <v>121</v>
      </c>
      <c r="CF957">
        <v>16120.37</v>
      </c>
      <c r="CG957" t="s">
        <v>144</v>
      </c>
      <c r="CH957">
        <v>4000000</v>
      </c>
      <c r="CI957">
        <v>16084.37</v>
      </c>
      <c r="CJ957">
        <v>0</v>
      </c>
      <c r="CK957" t="s">
        <v>112</v>
      </c>
      <c r="CL957" t="s">
        <v>112</v>
      </c>
      <c r="CM957">
        <v>44128.12</v>
      </c>
      <c r="CN957">
        <v>3366993</v>
      </c>
      <c r="CO957">
        <v>0</v>
      </c>
      <c r="CP957">
        <v>1</v>
      </c>
      <c r="CQ957">
        <v>3737050.15</v>
      </c>
      <c r="CR957">
        <v>52994.720000000001</v>
      </c>
      <c r="CS957" t="s">
        <v>145</v>
      </c>
      <c r="CT957">
        <v>52994.782276000005</v>
      </c>
      <c r="CU957">
        <v>3.2948</v>
      </c>
      <c r="CV957">
        <v>45</v>
      </c>
      <c r="CW957" t="s">
        <v>171</v>
      </c>
      <c r="CX957" t="s">
        <v>463</v>
      </c>
      <c r="CY957">
        <v>9</v>
      </c>
    </row>
    <row r="958" spans="1:103" x14ac:dyDescent="0.25">
      <c r="A958" t="s">
        <v>106</v>
      </c>
      <c r="B958" s="38">
        <v>44746</v>
      </c>
      <c r="C958" s="43">
        <f>IF(YEAR(Таблица1[[#This Row],[Дата]])=2023,MONTH(Таблица1[[#This Row],[Дата]]),0)</f>
        <v>0</v>
      </c>
      <c r="D958" t="s">
        <v>498</v>
      </c>
      <c r="E958" t="s">
        <v>108</v>
      </c>
      <c r="F958" t="s">
        <v>499</v>
      </c>
      <c r="G958" t="s">
        <v>3244</v>
      </c>
      <c r="H958" t="s">
        <v>111</v>
      </c>
      <c r="I958" t="s">
        <v>112</v>
      </c>
      <c r="J958" t="s">
        <v>112</v>
      </c>
      <c r="K958" t="s">
        <v>112</v>
      </c>
      <c r="L958" t="s">
        <v>150</v>
      </c>
      <c r="M958" t="s">
        <v>151</v>
      </c>
      <c r="N958" t="s">
        <v>112</v>
      </c>
      <c r="O958" t="s">
        <v>112</v>
      </c>
      <c r="P958">
        <v>1</v>
      </c>
      <c r="Q958">
        <v>0</v>
      </c>
      <c r="R958">
        <v>1</v>
      </c>
      <c r="S958">
        <v>33</v>
      </c>
      <c r="T958" t="s">
        <v>166</v>
      </c>
      <c r="U958" t="s">
        <v>152</v>
      </c>
      <c r="V958" t="s">
        <v>153</v>
      </c>
      <c r="W958" t="s">
        <v>154</v>
      </c>
      <c r="X958" t="s">
        <v>119</v>
      </c>
      <c r="Y958" t="s">
        <v>112</v>
      </c>
      <c r="Z958" t="s">
        <v>166</v>
      </c>
      <c r="AA958" t="s">
        <v>152</v>
      </c>
      <c r="AB958" t="s">
        <v>153</v>
      </c>
      <c r="AC958" t="s">
        <v>154</v>
      </c>
      <c r="AD958" t="s">
        <v>119</v>
      </c>
      <c r="AE958" t="s">
        <v>112</v>
      </c>
      <c r="AF958" t="s">
        <v>121</v>
      </c>
      <c r="AG958" t="s">
        <v>122</v>
      </c>
      <c r="AH958">
        <v>3726343.68</v>
      </c>
      <c r="AI958" t="s">
        <v>166</v>
      </c>
      <c r="AJ958" t="s">
        <v>152</v>
      </c>
      <c r="AK958" t="s">
        <v>153</v>
      </c>
      <c r="AL958" t="s">
        <v>154</v>
      </c>
      <c r="AM958" t="s">
        <v>119</v>
      </c>
      <c r="AN958" t="s">
        <v>112</v>
      </c>
      <c r="AO958" t="s">
        <v>121</v>
      </c>
      <c r="AP958" t="s">
        <v>122</v>
      </c>
      <c r="AQ958" t="s">
        <v>122</v>
      </c>
      <c r="AR958" t="s">
        <v>124</v>
      </c>
      <c r="AS958" t="s">
        <v>125</v>
      </c>
      <c r="AT958">
        <v>2</v>
      </c>
      <c r="AU958" t="s">
        <v>126</v>
      </c>
      <c r="AV958" t="s">
        <v>155</v>
      </c>
      <c r="AW958" t="s">
        <v>156</v>
      </c>
      <c r="AX958">
        <v>1</v>
      </c>
      <c r="AY958" t="s">
        <v>129</v>
      </c>
      <c r="AZ958">
        <v>43987.8</v>
      </c>
      <c r="BA958">
        <v>3356287</v>
      </c>
      <c r="BB958">
        <v>52842.9</v>
      </c>
      <c r="BC958">
        <v>76.300399999999996</v>
      </c>
      <c r="BD958" t="s">
        <v>130</v>
      </c>
      <c r="BE958" t="s">
        <v>112</v>
      </c>
      <c r="BF958" t="s">
        <v>157</v>
      </c>
      <c r="BG958" t="s">
        <v>133</v>
      </c>
      <c r="BH958" t="s">
        <v>134</v>
      </c>
      <c r="BI958" t="s">
        <v>112</v>
      </c>
      <c r="BJ958" t="s">
        <v>112</v>
      </c>
      <c r="BK958" t="s">
        <v>112</v>
      </c>
      <c r="BL958" t="s">
        <v>169</v>
      </c>
      <c r="BM958" t="s">
        <v>159</v>
      </c>
      <c r="BN958" t="s">
        <v>212</v>
      </c>
      <c r="BO958" t="s">
        <v>161</v>
      </c>
      <c r="BP958">
        <v>1</v>
      </c>
      <c r="BQ958" t="s">
        <v>232</v>
      </c>
      <c r="BR958" s="45">
        <f>ISNUMBER(SEARCH($BR$1,Таблица1[[#This Row],[31_1 Описание и характеристика товара]]))*1</f>
        <v>1</v>
      </c>
      <c r="BT958" t="s">
        <v>150</v>
      </c>
      <c r="BU958">
        <v>33</v>
      </c>
      <c r="BV958">
        <v>0</v>
      </c>
      <c r="BW958">
        <v>0</v>
      </c>
      <c r="BY958">
        <v>0</v>
      </c>
      <c r="CA958" t="s">
        <v>106</v>
      </c>
      <c r="CB958" t="s">
        <v>142</v>
      </c>
      <c r="CC958" t="s">
        <v>112</v>
      </c>
      <c r="CD958" t="s">
        <v>112</v>
      </c>
      <c r="CE958" t="s">
        <v>121</v>
      </c>
      <c r="CF958">
        <v>16525.080000000002</v>
      </c>
      <c r="CG958" t="s">
        <v>144</v>
      </c>
      <c r="CH958">
        <v>4000000</v>
      </c>
      <c r="CI958">
        <v>16525.080000000002</v>
      </c>
      <c r="CJ958">
        <v>0</v>
      </c>
      <c r="CK958" t="s">
        <v>112</v>
      </c>
      <c r="CL958" t="s">
        <v>112</v>
      </c>
      <c r="CM958">
        <v>43987.8</v>
      </c>
      <c r="CN958">
        <v>3356287</v>
      </c>
      <c r="CO958">
        <v>0</v>
      </c>
      <c r="CP958">
        <v>1</v>
      </c>
      <c r="CQ958">
        <v>3726343.68</v>
      </c>
      <c r="CR958">
        <v>52842.9</v>
      </c>
      <c r="CS958" t="s">
        <v>145</v>
      </c>
      <c r="CT958">
        <v>52842.248316000012</v>
      </c>
      <c r="CU958">
        <v>3.1977000000000002</v>
      </c>
      <c r="CV958">
        <v>45</v>
      </c>
      <c r="CW958" t="s">
        <v>171</v>
      </c>
      <c r="CX958" t="s">
        <v>350</v>
      </c>
      <c r="CY958">
        <v>4</v>
      </c>
    </row>
    <row r="959" spans="1:103" x14ac:dyDescent="0.25">
      <c r="A959" t="s">
        <v>106</v>
      </c>
      <c r="B959" s="38">
        <v>44622</v>
      </c>
      <c r="C959" s="43">
        <f>IF(YEAR(Таблица1[[#This Row],[Дата]])=2023,MONTH(Таблица1[[#This Row],[Дата]]),0)</f>
        <v>0</v>
      </c>
      <c r="D959" t="s">
        <v>483</v>
      </c>
      <c r="E959" t="s">
        <v>108</v>
      </c>
      <c r="F959" t="s">
        <v>484</v>
      </c>
      <c r="G959" t="s">
        <v>3244</v>
      </c>
      <c r="H959" t="s">
        <v>111</v>
      </c>
      <c r="I959" t="s">
        <v>112</v>
      </c>
      <c r="J959" t="s">
        <v>112</v>
      </c>
      <c r="K959" t="s">
        <v>112</v>
      </c>
      <c r="L959" t="s">
        <v>150</v>
      </c>
      <c r="M959" t="s">
        <v>151</v>
      </c>
      <c r="N959" t="s">
        <v>112</v>
      </c>
      <c r="O959" t="s">
        <v>112</v>
      </c>
      <c r="P959">
        <v>1</v>
      </c>
      <c r="Q959">
        <v>0</v>
      </c>
      <c r="R959">
        <v>1</v>
      </c>
      <c r="S959">
        <v>36</v>
      </c>
      <c r="T959" t="s">
        <v>166</v>
      </c>
      <c r="U959" t="s">
        <v>152</v>
      </c>
      <c r="V959" t="s">
        <v>153</v>
      </c>
      <c r="W959" t="s">
        <v>154</v>
      </c>
      <c r="X959" t="s">
        <v>119</v>
      </c>
      <c r="Y959" t="s">
        <v>112</v>
      </c>
      <c r="Z959" t="s">
        <v>166</v>
      </c>
      <c r="AA959" t="s">
        <v>152</v>
      </c>
      <c r="AB959" t="s">
        <v>153</v>
      </c>
      <c r="AC959" t="s">
        <v>154</v>
      </c>
      <c r="AD959" t="s">
        <v>119</v>
      </c>
      <c r="AE959" t="s">
        <v>112</v>
      </c>
      <c r="AF959" t="s">
        <v>121</v>
      </c>
      <c r="AG959" t="s">
        <v>122</v>
      </c>
      <c r="AH959">
        <v>3788646</v>
      </c>
      <c r="AI959" t="s">
        <v>166</v>
      </c>
      <c r="AJ959" t="s">
        <v>152</v>
      </c>
      <c r="AK959" t="s">
        <v>153</v>
      </c>
      <c r="AL959" t="s">
        <v>154</v>
      </c>
      <c r="AM959" t="s">
        <v>119</v>
      </c>
      <c r="AN959" t="s">
        <v>112</v>
      </c>
      <c r="AO959" t="s">
        <v>121</v>
      </c>
      <c r="AP959" t="s">
        <v>122</v>
      </c>
      <c r="AQ959" t="s">
        <v>122</v>
      </c>
      <c r="AR959" t="s">
        <v>124</v>
      </c>
      <c r="AS959" t="s">
        <v>125</v>
      </c>
      <c r="AT959">
        <v>2</v>
      </c>
      <c r="AU959" t="s">
        <v>126</v>
      </c>
      <c r="AV959" t="s">
        <v>155</v>
      </c>
      <c r="AW959" t="s">
        <v>156</v>
      </c>
      <c r="AX959">
        <v>1</v>
      </c>
      <c r="AY959" t="s">
        <v>129</v>
      </c>
      <c r="AZ959">
        <v>45304.34</v>
      </c>
      <c r="BA959">
        <v>3456739</v>
      </c>
      <c r="BB959">
        <v>53726.400000000001</v>
      </c>
      <c r="BC959">
        <v>76.300399999999996</v>
      </c>
      <c r="BD959" t="s">
        <v>130</v>
      </c>
      <c r="BE959" t="s">
        <v>112</v>
      </c>
      <c r="BF959" t="s">
        <v>157</v>
      </c>
      <c r="BG959" t="s">
        <v>133</v>
      </c>
      <c r="BH959" t="s">
        <v>134</v>
      </c>
      <c r="BI959" t="s">
        <v>112</v>
      </c>
      <c r="BJ959" t="s">
        <v>112</v>
      </c>
      <c r="BK959" t="s">
        <v>112</v>
      </c>
      <c r="BL959" t="s">
        <v>169</v>
      </c>
      <c r="BM959" t="s">
        <v>159</v>
      </c>
      <c r="BN959" t="s">
        <v>212</v>
      </c>
      <c r="BO959" t="s">
        <v>161</v>
      </c>
      <c r="BP959">
        <v>1</v>
      </c>
      <c r="BQ959" t="s">
        <v>1967</v>
      </c>
      <c r="BR959" s="45">
        <f>ISNUMBER(SEARCH($BR$1,Таблица1[[#This Row],[31_1 Описание и характеристика товара]]))*1</f>
        <v>1</v>
      </c>
      <c r="BT959" t="s">
        <v>150</v>
      </c>
      <c r="BU959">
        <v>36</v>
      </c>
      <c r="BV959">
        <v>0</v>
      </c>
      <c r="BW959">
        <v>0</v>
      </c>
      <c r="BY959">
        <v>0</v>
      </c>
      <c r="CA959" t="s">
        <v>106</v>
      </c>
      <c r="CB959" t="s">
        <v>142</v>
      </c>
      <c r="CC959" t="s">
        <v>112</v>
      </c>
      <c r="CD959" t="s">
        <v>112</v>
      </c>
      <c r="CE959" t="s">
        <v>121</v>
      </c>
      <c r="CF959">
        <v>18803.25</v>
      </c>
      <c r="CG959" t="s">
        <v>144</v>
      </c>
      <c r="CH959">
        <v>4000000</v>
      </c>
      <c r="CI959">
        <v>18803.25</v>
      </c>
      <c r="CJ959">
        <v>0</v>
      </c>
      <c r="CK959" t="s">
        <v>112</v>
      </c>
      <c r="CL959" t="s">
        <v>112</v>
      </c>
      <c r="CM959">
        <v>45304.34</v>
      </c>
      <c r="CN959">
        <v>3456739</v>
      </c>
      <c r="CO959">
        <v>0</v>
      </c>
      <c r="CP959">
        <v>1</v>
      </c>
      <c r="CQ959">
        <v>3788646</v>
      </c>
      <c r="CR959">
        <v>53726.400000000001</v>
      </c>
      <c r="CS959" t="s">
        <v>145</v>
      </c>
      <c r="CT959">
        <v>53726.526225000001</v>
      </c>
      <c r="CU959">
        <v>2.8573</v>
      </c>
      <c r="CV959">
        <v>45</v>
      </c>
      <c r="CW959" t="s">
        <v>171</v>
      </c>
      <c r="CX959" t="s">
        <v>350</v>
      </c>
      <c r="CY959">
        <v>134</v>
      </c>
    </row>
    <row r="960" spans="1:103" x14ac:dyDescent="0.25">
      <c r="A960" t="s">
        <v>106</v>
      </c>
      <c r="B960" s="38">
        <v>44690</v>
      </c>
      <c r="C960" s="43">
        <f>IF(YEAR(Таблица1[[#This Row],[Дата]])=2023,MONTH(Таблица1[[#This Row],[Дата]]),0)</f>
        <v>0</v>
      </c>
      <c r="D960" t="s">
        <v>502</v>
      </c>
      <c r="E960" t="s">
        <v>108</v>
      </c>
      <c r="F960" t="s">
        <v>503</v>
      </c>
      <c r="G960" t="s">
        <v>3244</v>
      </c>
      <c r="H960" t="s">
        <v>111</v>
      </c>
      <c r="I960" t="s">
        <v>112</v>
      </c>
      <c r="J960" t="s">
        <v>112</v>
      </c>
      <c r="K960" t="s">
        <v>112</v>
      </c>
      <c r="L960" t="s">
        <v>150</v>
      </c>
      <c r="M960" t="s">
        <v>151</v>
      </c>
      <c r="N960" t="s">
        <v>112</v>
      </c>
      <c r="O960" t="s">
        <v>112</v>
      </c>
      <c r="P960">
        <v>1</v>
      </c>
      <c r="Q960">
        <v>0</v>
      </c>
      <c r="R960">
        <v>1</v>
      </c>
      <c r="S960">
        <v>33</v>
      </c>
      <c r="T960" t="s">
        <v>166</v>
      </c>
      <c r="U960" t="s">
        <v>152</v>
      </c>
      <c r="V960" t="s">
        <v>153</v>
      </c>
      <c r="W960" t="s">
        <v>154</v>
      </c>
      <c r="X960" t="s">
        <v>119</v>
      </c>
      <c r="Y960" t="s">
        <v>112</v>
      </c>
      <c r="Z960" t="s">
        <v>166</v>
      </c>
      <c r="AA960" t="s">
        <v>152</v>
      </c>
      <c r="AB960" t="s">
        <v>153</v>
      </c>
      <c r="AC960" t="s">
        <v>154</v>
      </c>
      <c r="AD960" t="s">
        <v>119</v>
      </c>
      <c r="AE960" t="s">
        <v>112</v>
      </c>
      <c r="AF960" t="s">
        <v>121</v>
      </c>
      <c r="AG960" t="s">
        <v>122</v>
      </c>
      <c r="AH960">
        <v>3322983.9</v>
      </c>
      <c r="AI960" t="s">
        <v>166</v>
      </c>
      <c r="AJ960" t="s">
        <v>152</v>
      </c>
      <c r="AK960" t="s">
        <v>153</v>
      </c>
      <c r="AL960" t="s">
        <v>154</v>
      </c>
      <c r="AM960" t="s">
        <v>119</v>
      </c>
      <c r="AN960" t="s">
        <v>112</v>
      </c>
      <c r="AO960" t="s">
        <v>121</v>
      </c>
      <c r="AP960" t="s">
        <v>122</v>
      </c>
      <c r="AQ960" t="s">
        <v>122</v>
      </c>
      <c r="AR960" t="s">
        <v>124</v>
      </c>
      <c r="AS960" t="s">
        <v>125</v>
      </c>
      <c r="AT960">
        <v>2</v>
      </c>
      <c r="AU960" t="s">
        <v>126</v>
      </c>
      <c r="AV960" t="s">
        <v>155</v>
      </c>
      <c r="AW960" t="s">
        <v>156</v>
      </c>
      <c r="AX960">
        <v>1</v>
      </c>
      <c r="AY960" t="s">
        <v>129</v>
      </c>
      <c r="AZ960">
        <v>39201.33</v>
      </c>
      <c r="BA960">
        <v>2991077</v>
      </c>
      <c r="BB960">
        <v>47122.89</v>
      </c>
      <c r="BC960">
        <v>76.300399999999996</v>
      </c>
      <c r="BD960" t="s">
        <v>130</v>
      </c>
      <c r="BE960" t="s">
        <v>112</v>
      </c>
      <c r="BF960" t="s">
        <v>157</v>
      </c>
      <c r="BG960" t="s">
        <v>133</v>
      </c>
      <c r="BH960" t="s">
        <v>134</v>
      </c>
      <c r="BI960" t="s">
        <v>112</v>
      </c>
      <c r="BJ960" t="s">
        <v>112</v>
      </c>
      <c r="BK960" t="s">
        <v>112</v>
      </c>
      <c r="BL960" t="s">
        <v>169</v>
      </c>
      <c r="BM960" t="s">
        <v>159</v>
      </c>
      <c r="BN960" t="s">
        <v>212</v>
      </c>
      <c r="BO960" t="s">
        <v>161</v>
      </c>
      <c r="BP960">
        <v>1</v>
      </c>
      <c r="BQ960" t="s">
        <v>504</v>
      </c>
      <c r="BR960" s="45">
        <f>ISNUMBER(SEARCH($BR$1,Таблица1[[#This Row],[31_1 Описание и характеристика товара]]))*1</f>
        <v>1</v>
      </c>
      <c r="BT960" t="s">
        <v>150</v>
      </c>
      <c r="BU960">
        <v>33</v>
      </c>
      <c r="BV960">
        <v>0</v>
      </c>
      <c r="BW960">
        <v>0</v>
      </c>
      <c r="BY960">
        <v>0</v>
      </c>
      <c r="CA960" t="s">
        <v>106</v>
      </c>
      <c r="CB960" t="s">
        <v>142</v>
      </c>
      <c r="CC960" t="s">
        <v>112</v>
      </c>
      <c r="CD960" t="s">
        <v>112</v>
      </c>
      <c r="CE960" t="s">
        <v>121</v>
      </c>
      <c r="CF960">
        <v>17763.77</v>
      </c>
      <c r="CG960" t="s">
        <v>144</v>
      </c>
      <c r="CH960">
        <v>4000000</v>
      </c>
      <c r="CI960">
        <v>17763.77</v>
      </c>
      <c r="CJ960">
        <v>0</v>
      </c>
      <c r="CK960" t="s">
        <v>112</v>
      </c>
      <c r="CL960" t="s">
        <v>112</v>
      </c>
      <c r="CM960">
        <v>39201.33</v>
      </c>
      <c r="CN960">
        <v>2991077</v>
      </c>
      <c r="CO960">
        <v>0</v>
      </c>
      <c r="CP960">
        <v>1</v>
      </c>
      <c r="CQ960">
        <v>3322983.9</v>
      </c>
      <c r="CR960">
        <v>47122.89</v>
      </c>
      <c r="CS960" t="s">
        <v>145</v>
      </c>
      <c r="CT960">
        <v>47123.729056000004</v>
      </c>
      <c r="CU960">
        <v>2.6528</v>
      </c>
      <c r="CV960">
        <v>45</v>
      </c>
      <c r="CW960" t="s">
        <v>171</v>
      </c>
      <c r="CX960" t="s">
        <v>372</v>
      </c>
      <c r="CY960">
        <v>153</v>
      </c>
    </row>
    <row r="961" spans="1:103" x14ac:dyDescent="0.25">
      <c r="A961" t="s">
        <v>106</v>
      </c>
      <c r="B961" s="38">
        <v>45104</v>
      </c>
      <c r="C961" s="43">
        <f>IF(YEAR(Таблица1[[#This Row],[Дата]])=2023,MONTH(Таблица1[[#This Row],[Дата]]),0)</f>
        <v>6</v>
      </c>
      <c r="D961" t="s">
        <v>898</v>
      </c>
      <c r="E961" t="s">
        <v>583</v>
      </c>
      <c r="F961" t="s">
        <v>899</v>
      </c>
      <c r="G961" t="s">
        <v>3244</v>
      </c>
      <c r="H961" t="s">
        <v>111</v>
      </c>
      <c r="I961" t="s">
        <v>112</v>
      </c>
      <c r="J961" t="s">
        <v>112</v>
      </c>
      <c r="K961" t="s">
        <v>112</v>
      </c>
      <c r="L961" t="s">
        <v>113</v>
      </c>
      <c r="M961" t="s">
        <v>585</v>
      </c>
      <c r="N961" t="s">
        <v>112</v>
      </c>
      <c r="O961" t="s">
        <v>112</v>
      </c>
      <c r="P961">
        <v>2</v>
      </c>
      <c r="Q961">
        <v>0</v>
      </c>
      <c r="R961">
        <v>2</v>
      </c>
      <c r="S961">
        <v>33</v>
      </c>
      <c r="T961" t="s">
        <v>115</v>
      </c>
      <c r="U961" t="s">
        <v>116</v>
      </c>
      <c r="V961" t="s">
        <v>117</v>
      </c>
      <c r="W961" t="s">
        <v>586</v>
      </c>
      <c r="X961" t="s">
        <v>119</v>
      </c>
      <c r="Y961" t="s">
        <v>120</v>
      </c>
      <c r="Z961" t="s">
        <v>115</v>
      </c>
      <c r="AA961" t="s">
        <v>116</v>
      </c>
      <c r="AB961" t="s">
        <v>117</v>
      </c>
      <c r="AC961" t="s">
        <v>586</v>
      </c>
      <c r="AD961" t="s">
        <v>119</v>
      </c>
      <c r="AE961" t="s">
        <v>120</v>
      </c>
      <c r="AF961" t="s">
        <v>121</v>
      </c>
      <c r="AG961" t="s">
        <v>122</v>
      </c>
      <c r="AH961">
        <v>4518050.54</v>
      </c>
      <c r="AI961" t="s">
        <v>115</v>
      </c>
      <c r="AJ961" t="s">
        <v>116</v>
      </c>
      <c r="AK961" t="s">
        <v>117</v>
      </c>
      <c r="AL961" t="s">
        <v>586</v>
      </c>
      <c r="AM961" t="s">
        <v>119</v>
      </c>
      <c r="AN961" t="s">
        <v>120</v>
      </c>
      <c r="AO961" t="s">
        <v>121</v>
      </c>
      <c r="AP961" t="s">
        <v>122</v>
      </c>
      <c r="AQ961" t="s">
        <v>123</v>
      </c>
      <c r="AR961" t="s">
        <v>124</v>
      </c>
      <c r="AS961" t="s">
        <v>125</v>
      </c>
      <c r="AT961">
        <v>2</v>
      </c>
      <c r="AU961" t="s">
        <v>126</v>
      </c>
      <c r="AV961" t="s">
        <v>127</v>
      </c>
      <c r="AW961" t="s">
        <v>128</v>
      </c>
      <c r="AX961">
        <v>1</v>
      </c>
      <c r="AY961" t="s">
        <v>129</v>
      </c>
      <c r="AZ961">
        <v>51482.92</v>
      </c>
      <c r="BA961">
        <v>4312410</v>
      </c>
      <c r="BB961">
        <v>58610.29</v>
      </c>
      <c r="BC961">
        <v>83.763900000000007</v>
      </c>
      <c r="BD961" t="s">
        <v>130</v>
      </c>
      <c r="BE961" t="s">
        <v>131</v>
      </c>
      <c r="BF961" t="s">
        <v>132</v>
      </c>
      <c r="BG961" t="s">
        <v>133</v>
      </c>
      <c r="BH961" t="s">
        <v>134</v>
      </c>
      <c r="BI961" t="s">
        <v>112</v>
      </c>
      <c r="BJ961" t="s">
        <v>900</v>
      </c>
      <c r="BK961" t="s">
        <v>112</v>
      </c>
      <c r="BL961" t="s">
        <v>588</v>
      </c>
      <c r="BM961" t="s">
        <v>901</v>
      </c>
      <c r="BN961" t="s">
        <v>902</v>
      </c>
      <c r="BO961" t="s">
        <v>591</v>
      </c>
      <c r="BP961">
        <v>1</v>
      </c>
      <c r="BQ961" t="s">
        <v>903</v>
      </c>
      <c r="BR961" s="45">
        <f>ISNUMBER(SEARCH($BR$1,Таблица1[[#This Row],[31_1 Описание и характеристика товара]]))*1</f>
        <v>1</v>
      </c>
      <c r="BT961" t="s">
        <v>141</v>
      </c>
      <c r="BU961">
        <v>33</v>
      </c>
      <c r="BV961">
        <v>0</v>
      </c>
      <c r="BW961">
        <v>0</v>
      </c>
      <c r="BY961">
        <v>0</v>
      </c>
      <c r="CA961" t="s">
        <v>106</v>
      </c>
      <c r="CB961" t="s">
        <v>142</v>
      </c>
      <c r="CC961" t="s">
        <v>112</v>
      </c>
      <c r="CD961" t="s">
        <v>112</v>
      </c>
      <c r="CE961" t="s">
        <v>143</v>
      </c>
      <c r="CF961">
        <v>4245.6000000000004</v>
      </c>
      <c r="CG961" t="s">
        <v>144</v>
      </c>
      <c r="CH961">
        <v>4000000</v>
      </c>
      <c r="CI961">
        <v>3964.4</v>
      </c>
      <c r="CJ961">
        <v>0</v>
      </c>
      <c r="CK961" t="s">
        <v>112</v>
      </c>
      <c r="CL961" t="s">
        <v>112</v>
      </c>
      <c r="CM961">
        <v>14753.22</v>
      </c>
      <c r="CN961">
        <v>1235787</v>
      </c>
      <c r="CO961">
        <v>0</v>
      </c>
      <c r="CP961">
        <v>1</v>
      </c>
      <c r="CQ961">
        <v>1294994.92</v>
      </c>
      <c r="CR961">
        <v>16799.29</v>
      </c>
      <c r="CS961" t="s">
        <v>145</v>
      </c>
      <c r="CT961">
        <v>16799.145</v>
      </c>
      <c r="CU961">
        <v>4.2374999999999998</v>
      </c>
      <c r="CV961">
        <v>952</v>
      </c>
      <c r="CW961" t="s">
        <v>593</v>
      </c>
      <c r="CX961" t="s">
        <v>792</v>
      </c>
      <c r="CY961">
        <v>0</v>
      </c>
    </row>
    <row r="962" spans="1:103" x14ac:dyDescent="0.25">
      <c r="A962" t="s">
        <v>106</v>
      </c>
      <c r="B962" s="38">
        <v>44960</v>
      </c>
      <c r="C962" s="43">
        <f>IF(YEAR(Таблица1[[#This Row],[Дата]])=2023,MONTH(Таблица1[[#This Row],[Дата]]),0)</f>
        <v>2</v>
      </c>
      <c r="D962" t="s">
        <v>898</v>
      </c>
      <c r="E962" t="s">
        <v>583</v>
      </c>
      <c r="F962" t="s">
        <v>899</v>
      </c>
      <c r="G962" t="s">
        <v>3244</v>
      </c>
      <c r="H962" t="s">
        <v>111</v>
      </c>
      <c r="I962" t="s">
        <v>112</v>
      </c>
      <c r="J962" t="s">
        <v>112</v>
      </c>
      <c r="K962" t="s">
        <v>112</v>
      </c>
      <c r="L962" t="s">
        <v>113</v>
      </c>
      <c r="M962" t="s">
        <v>585</v>
      </c>
      <c r="N962" t="s">
        <v>112</v>
      </c>
      <c r="O962" t="s">
        <v>112</v>
      </c>
      <c r="P962">
        <v>2</v>
      </c>
      <c r="Q962">
        <v>0</v>
      </c>
      <c r="R962">
        <v>2</v>
      </c>
      <c r="S962">
        <v>33</v>
      </c>
      <c r="T962" t="s">
        <v>115</v>
      </c>
      <c r="U962" t="s">
        <v>116</v>
      </c>
      <c r="V962" t="s">
        <v>117</v>
      </c>
      <c r="W962" t="s">
        <v>586</v>
      </c>
      <c r="X962" t="s">
        <v>119</v>
      </c>
      <c r="Y962" t="s">
        <v>120</v>
      </c>
      <c r="Z962" t="s">
        <v>115</v>
      </c>
      <c r="AA962" t="s">
        <v>116</v>
      </c>
      <c r="AB962" t="s">
        <v>117</v>
      </c>
      <c r="AC962" t="s">
        <v>586</v>
      </c>
      <c r="AD962" t="s">
        <v>119</v>
      </c>
      <c r="AE962" t="s">
        <v>120</v>
      </c>
      <c r="AF962" t="s">
        <v>121</v>
      </c>
      <c r="AG962" t="s">
        <v>122</v>
      </c>
      <c r="AH962">
        <v>4518050.54</v>
      </c>
      <c r="AI962" t="s">
        <v>115</v>
      </c>
      <c r="AJ962" t="s">
        <v>116</v>
      </c>
      <c r="AK962" t="s">
        <v>117</v>
      </c>
      <c r="AL962" t="s">
        <v>586</v>
      </c>
      <c r="AM962" t="s">
        <v>119</v>
      </c>
      <c r="AN962" t="s">
        <v>120</v>
      </c>
      <c r="AO962" t="s">
        <v>121</v>
      </c>
      <c r="AP962" t="s">
        <v>122</v>
      </c>
      <c r="AQ962" t="s">
        <v>123</v>
      </c>
      <c r="AR962" t="s">
        <v>124</v>
      </c>
      <c r="AS962" t="s">
        <v>125</v>
      </c>
      <c r="AT962">
        <v>2</v>
      </c>
      <c r="AU962" t="s">
        <v>126</v>
      </c>
      <c r="AV962" t="s">
        <v>127</v>
      </c>
      <c r="AW962" t="s">
        <v>128</v>
      </c>
      <c r="AX962">
        <v>1</v>
      </c>
      <c r="AY962" t="s">
        <v>129</v>
      </c>
      <c r="AZ962">
        <v>51482.92</v>
      </c>
      <c r="BA962">
        <v>4312410</v>
      </c>
      <c r="BB962">
        <v>58610.29</v>
      </c>
      <c r="BC962">
        <v>83.763900000000007</v>
      </c>
      <c r="BD962" t="s">
        <v>130</v>
      </c>
      <c r="BE962" t="s">
        <v>131</v>
      </c>
      <c r="BF962" t="s">
        <v>132</v>
      </c>
      <c r="BG962" t="s">
        <v>133</v>
      </c>
      <c r="BH962" t="s">
        <v>134</v>
      </c>
      <c r="BI962" t="s">
        <v>112</v>
      </c>
      <c r="BJ962" t="s">
        <v>900</v>
      </c>
      <c r="BK962" t="s">
        <v>112</v>
      </c>
      <c r="BL962" t="s">
        <v>588</v>
      </c>
      <c r="BM962" t="s">
        <v>901</v>
      </c>
      <c r="BN962" t="s">
        <v>902</v>
      </c>
      <c r="BO962" t="s">
        <v>591</v>
      </c>
      <c r="BP962">
        <v>2</v>
      </c>
      <c r="BQ962" t="s">
        <v>904</v>
      </c>
      <c r="BR962" s="45">
        <f>ISNUMBER(SEARCH($BR$1,Таблица1[[#This Row],[31_1 Описание и характеристика товара]]))*1</f>
        <v>1</v>
      </c>
      <c r="BT962" t="s">
        <v>141</v>
      </c>
      <c r="BU962">
        <v>33</v>
      </c>
      <c r="BV962">
        <v>0</v>
      </c>
      <c r="BW962">
        <v>0</v>
      </c>
      <c r="BY962">
        <v>0</v>
      </c>
      <c r="CA962" t="s">
        <v>596</v>
      </c>
      <c r="CB962" t="s">
        <v>597</v>
      </c>
      <c r="CC962" t="s">
        <v>112</v>
      </c>
      <c r="CD962" t="s">
        <v>112</v>
      </c>
      <c r="CE962" t="s">
        <v>143</v>
      </c>
      <c r="CF962">
        <v>10500.32</v>
      </c>
      <c r="CG962" t="s">
        <v>144</v>
      </c>
      <c r="CH962">
        <v>4000000</v>
      </c>
      <c r="CI962">
        <v>9836.4</v>
      </c>
      <c r="CJ962">
        <v>0</v>
      </c>
      <c r="CK962" t="s">
        <v>112</v>
      </c>
      <c r="CL962" t="s">
        <v>112</v>
      </c>
      <c r="CM962">
        <v>36729.699999999997</v>
      </c>
      <c r="CN962">
        <v>3076623</v>
      </c>
      <c r="CO962">
        <v>0</v>
      </c>
      <c r="CP962">
        <v>1</v>
      </c>
      <c r="CQ962">
        <v>3223055.62</v>
      </c>
      <c r="CR962">
        <v>41811</v>
      </c>
      <c r="CS962" t="s">
        <v>145</v>
      </c>
      <c r="CT962">
        <v>41810.601840000003</v>
      </c>
      <c r="CU962">
        <v>4.2506000000000004</v>
      </c>
      <c r="CV962">
        <v>952</v>
      </c>
      <c r="CW962" t="s">
        <v>593</v>
      </c>
      <c r="CX962" t="s">
        <v>792</v>
      </c>
      <c r="CY962">
        <v>0</v>
      </c>
    </row>
    <row r="963" spans="1:103" x14ac:dyDescent="0.25">
      <c r="A963" s="8" t="s">
        <v>106</v>
      </c>
      <c r="B963" s="38">
        <v>44955</v>
      </c>
      <c r="C963" s="43">
        <f>IF(YEAR(Таблица1[[#This Row],[Дата]])=2023,MONTH(Таблица1[[#This Row],[Дата]]),0)</f>
        <v>1</v>
      </c>
      <c r="D963" s="8" t="s">
        <v>2347</v>
      </c>
      <c r="E963" s="8" t="s">
        <v>583</v>
      </c>
      <c r="F963" s="8" t="s">
        <v>2348</v>
      </c>
      <c r="G963" t="s">
        <v>3244</v>
      </c>
      <c r="H963" s="8" t="s">
        <v>111</v>
      </c>
      <c r="I963" s="8" t="s">
        <v>112</v>
      </c>
      <c r="J963" s="8" t="s">
        <v>112</v>
      </c>
      <c r="K963" s="8" t="s">
        <v>112</v>
      </c>
      <c r="L963" s="8" t="s">
        <v>2349</v>
      </c>
      <c r="M963" s="8" t="s">
        <v>2350</v>
      </c>
      <c r="N963" s="8" t="s">
        <v>112</v>
      </c>
      <c r="O963" s="8" t="s">
        <v>112</v>
      </c>
      <c r="P963">
        <v>1</v>
      </c>
      <c r="Q963">
        <v>0</v>
      </c>
      <c r="R963">
        <v>1</v>
      </c>
      <c r="S963">
        <v>30</v>
      </c>
      <c r="T963" s="8" t="s">
        <v>2351</v>
      </c>
      <c r="U963" s="8" t="s">
        <v>2352</v>
      </c>
      <c r="V963" s="8" t="s">
        <v>2353</v>
      </c>
      <c r="W963" s="8" t="s">
        <v>2354</v>
      </c>
      <c r="X963" s="8" t="s">
        <v>119</v>
      </c>
      <c r="Y963" s="8" t="s">
        <v>2140</v>
      </c>
      <c r="Z963" s="8" t="s">
        <v>2351</v>
      </c>
      <c r="AA963" s="8" t="s">
        <v>2352</v>
      </c>
      <c r="AB963" s="8" t="s">
        <v>2353</v>
      </c>
      <c r="AC963" s="8" t="s">
        <v>2354</v>
      </c>
      <c r="AD963" s="8" t="s">
        <v>119</v>
      </c>
      <c r="AE963" s="8" t="s">
        <v>2140</v>
      </c>
      <c r="AF963" s="8" t="s">
        <v>2355</v>
      </c>
      <c r="AG963" s="8" t="s">
        <v>2356</v>
      </c>
      <c r="AH963">
        <v>10181566.199999901</v>
      </c>
      <c r="AI963" s="8" t="s">
        <v>2351</v>
      </c>
      <c r="AJ963" s="8" t="s">
        <v>2352</v>
      </c>
      <c r="AK963" s="8" t="s">
        <v>2353</v>
      </c>
      <c r="AL963" s="8" t="s">
        <v>2354</v>
      </c>
      <c r="AM963" s="8" t="s">
        <v>119</v>
      </c>
      <c r="AN963" s="8" t="s">
        <v>2140</v>
      </c>
      <c r="AO963" s="8" t="s">
        <v>2355</v>
      </c>
      <c r="AP963" s="8" t="s">
        <v>2356</v>
      </c>
      <c r="AQ963" s="8" t="s">
        <v>2356</v>
      </c>
      <c r="AR963" s="8" t="s">
        <v>124</v>
      </c>
      <c r="AS963" s="8" t="s">
        <v>125</v>
      </c>
      <c r="AT963">
        <v>2</v>
      </c>
      <c r="AU963" s="8" t="s">
        <v>126</v>
      </c>
      <c r="AV963" s="8" t="s">
        <v>127</v>
      </c>
      <c r="AW963" s="8" t="s">
        <v>2357</v>
      </c>
      <c r="AX963">
        <v>1</v>
      </c>
      <c r="AY963" s="8" t="s">
        <v>129</v>
      </c>
      <c r="AZ963">
        <v>132770</v>
      </c>
      <c r="BA963">
        <v>10045378</v>
      </c>
      <c r="BB963">
        <v>142746.71</v>
      </c>
      <c r="BC963">
        <v>75.66</v>
      </c>
      <c r="BD963" s="8" t="s">
        <v>130</v>
      </c>
      <c r="BE963" s="8" t="s">
        <v>131</v>
      </c>
      <c r="BF963" s="8" t="s">
        <v>2358</v>
      </c>
      <c r="BG963" s="8" t="s">
        <v>133</v>
      </c>
      <c r="BH963" s="8" t="s">
        <v>134</v>
      </c>
      <c r="BI963" s="8" t="s">
        <v>112</v>
      </c>
      <c r="BJ963" s="8" t="s">
        <v>2359</v>
      </c>
      <c r="BK963" s="8" t="s">
        <v>2360</v>
      </c>
      <c r="BL963" s="8" t="s">
        <v>2361</v>
      </c>
      <c r="BM963" s="8" t="s">
        <v>2362</v>
      </c>
      <c r="BN963" s="8" t="s">
        <v>2363</v>
      </c>
      <c r="BO963" s="8" t="s">
        <v>2364</v>
      </c>
      <c r="BP963">
        <v>1</v>
      </c>
      <c r="BQ963" s="8" t="s">
        <v>2365</v>
      </c>
      <c r="BR963" s="45">
        <f>ISNUMBER(SEARCH($BR$1,Таблица1[[#This Row],[31_1 Описание и характеристика товара]]))*1</f>
        <v>0</v>
      </c>
      <c r="BT963" s="8" t="s">
        <v>2349</v>
      </c>
      <c r="BU963">
        <v>30</v>
      </c>
      <c r="BV963">
        <v>0</v>
      </c>
      <c r="BW963">
        <v>462</v>
      </c>
      <c r="BX963" t="s">
        <v>2147</v>
      </c>
      <c r="BY963">
        <v>0</v>
      </c>
      <c r="CA963" s="8" t="s">
        <v>106</v>
      </c>
      <c r="CB963" s="8" t="s">
        <v>2148</v>
      </c>
      <c r="CC963" s="8" t="s">
        <v>112</v>
      </c>
      <c r="CD963" s="8" t="s">
        <v>112</v>
      </c>
      <c r="CE963" s="8" t="s">
        <v>2355</v>
      </c>
      <c r="CF963">
        <v>15330.6</v>
      </c>
      <c r="CG963" t="s">
        <v>144</v>
      </c>
      <c r="CH963">
        <v>4000000</v>
      </c>
      <c r="CI963">
        <v>13637.2</v>
      </c>
      <c r="CJ963">
        <v>0</v>
      </c>
      <c r="CK963" s="8" t="s">
        <v>112</v>
      </c>
      <c r="CL963" s="8" t="s">
        <v>112</v>
      </c>
      <c r="CM963">
        <v>132770</v>
      </c>
      <c r="CN963">
        <v>10045378</v>
      </c>
      <c r="CO963">
        <v>0</v>
      </c>
      <c r="CP963">
        <v>1</v>
      </c>
      <c r="CQ963">
        <v>10181566.199999901</v>
      </c>
      <c r="CR963">
        <v>142746.71</v>
      </c>
      <c r="CS963" s="8" t="s">
        <v>145</v>
      </c>
      <c r="CT963">
        <v>10.467499999999999</v>
      </c>
      <c r="CU963">
        <v>1175</v>
      </c>
      <c r="CV963">
        <v>220714</v>
      </c>
      <c r="CX963" t="s">
        <v>2366</v>
      </c>
      <c r="CY963">
        <v>0</v>
      </c>
    </row>
    <row r="964" spans="1:103" x14ac:dyDescent="0.25">
      <c r="A964" s="8" t="s">
        <v>106</v>
      </c>
      <c r="B964" s="38">
        <v>44638</v>
      </c>
      <c r="C964" s="43">
        <f>IF(YEAR(Таблица1[[#This Row],[Дата]])=2023,MONTH(Таблица1[[#This Row],[Дата]]),0)</f>
        <v>0</v>
      </c>
      <c r="D964" s="8" t="s">
        <v>2487</v>
      </c>
      <c r="E964" s="8" t="s">
        <v>583</v>
      </c>
      <c r="F964" s="8" t="s">
        <v>2488</v>
      </c>
      <c r="G964" t="s">
        <v>3244</v>
      </c>
      <c r="H964" s="8" t="s">
        <v>111</v>
      </c>
      <c r="I964" s="8" t="s">
        <v>112</v>
      </c>
      <c r="J964" s="8" t="s">
        <v>112</v>
      </c>
      <c r="K964" s="8" t="s">
        <v>112</v>
      </c>
      <c r="L964" s="8" t="s">
        <v>2458</v>
      </c>
      <c r="M964" s="8" t="s">
        <v>2459</v>
      </c>
      <c r="N964" s="8" t="s">
        <v>112</v>
      </c>
      <c r="O964" s="8" t="s">
        <v>112</v>
      </c>
      <c r="P964">
        <v>1</v>
      </c>
      <c r="Q964">
        <v>0</v>
      </c>
      <c r="R964">
        <v>1</v>
      </c>
      <c r="S964">
        <v>40</v>
      </c>
      <c r="T964" s="8" t="s">
        <v>2460</v>
      </c>
      <c r="U964" s="8" t="s">
        <v>2461</v>
      </c>
      <c r="V964" s="8" t="s">
        <v>2462</v>
      </c>
      <c r="W964" s="8" t="s">
        <v>2463</v>
      </c>
      <c r="X964" s="8" t="s">
        <v>119</v>
      </c>
      <c r="Y964" s="8" t="s">
        <v>112</v>
      </c>
      <c r="Z964" s="8" t="s">
        <v>2460</v>
      </c>
      <c r="AA964" s="8" t="s">
        <v>2461</v>
      </c>
      <c r="AB964" s="8" t="s">
        <v>2462</v>
      </c>
      <c r="AC964" s="8" t="s">
        <v>2463</v>
      </c>
      <c r="AD964" s="8" t="s">
        <v>119</v>
      </c>
      <c r="AE964" s="8" t="s">
        <v>112</v>
      </c>
      <c r="AF964" s="8" t="s">
        <v>2163</v>
      </c>
      <c r="AG964" s="8" t="s">
        <v>2164</v>
      </c>
      <c r="AH964">
        <v>4939503.8499999903</v>
      </c>
      <c r="AI964" s="8" t="s">
        <v>2460</v>
      </c>
      <c r="AJ964" s="8" t="s">
        <v>2461</v>
      </c>
      <c r="AK964" s="8" t="s">
        <v>2462</v>
      </c>
      <c r="AL964" s="8" t="s">
        <v>2463</v>
      </c>
      <c r="AM964" s="8" t="s">
        <v>119</v>
      </c>
      <c r="AN964" s="8" t="s">
        <v>112</v>
      </c>
      <c r="AO964" s="8" t="s">
        <v>2163</v>
      </c>
      <c r="AP964" s="8" t="s">
        <v>2164</v>
      </c>
      <c r="AQ964" s="8" t="s">
        <v>2164</v>
      </c>
      <c r="AR964" s="8" t="s">
        <v>124</v>
      </c>
      <c r="AS964" s="8" t="s">
        <v>125</v>
      </c>
      <c r="AT964">
        <v>2</v>
      </c>
      <c r="AU964" s="8" t="s">
        <v>126</v>
      </c>
      <c r="AV964" s="8" t="s">
        <v>127</v>
      </c>
      <c r="AW964" s="8" t="s">
        <v>2464</v>
      </c>
      <c r="AX964">
        <v>1</v>
      </c>
      <c r="AY964" s="8" t="s">
        <v>129</v>
      </c>
      <c r="AZ964">
        <v>61683.86</v>
      </c>
      <c r="BA964">
        <v>4479642</v>
      </c>
      <c r="BB964">
        <v>72163.59</v>
      </c>
      <c r="BC964">
        <v>72.622600000000006</v>
      </c>
      <c r="BD964" s="8" t="s">
        <v>130</v>
      </c>
      <c r="BE964" s="8" t="s">
        <v>746</v>
      </c>
      <c r="BF964" s="8" t="s">
        <v>2465</v>
      </c>
      <c r="BG964" s="8" t="s">
        <v>133</v>
      </c>
      <c r="BH964" s="8" t="s">
        <v>167</v>
      </c>
      <c r="BI964" s="8" t="s">
        <v>587</v>
      </c>
      <c r="BJ964" s="8" t="s">
        <v>112</v>
      </c>
      <c r="BK964" s="8" t="s">
        <v>112</v>
      </c>
      <c r="BL964" s="8" t="s">
        <v>588</v>
      </c>
      <c r="BM964" s="8" t="s">
        <v>901</v>
      </c>
      <c r="BN964" s="8" t="s">
        <v>590</v>
      </c>
      <c r="BO964" s="8" t="s">
        <v>591</v>
      </c>
      <c r="BP964">
        <v>1</v>
      </c>
      <c r="BQ964" s="8" t="s">
        <v>2466</v>
      </c>
      <c r="BR964" s="45">
        <f>ISNUMBER(SEARCH($BR$1,Таблица1[[#This Row],[31_1 Описание и характеристика товара]]))*1</f>
        <v>0</v>
      </c>
      <c r="BT964" s="8" t="s">
        <v>2458</v>
      </c>
      <c r="BU964">
        <v>40</v>
      </c>
      <c r="BV964">
        <v>0</v>
      </c>
      <c r="BW964">
        <v>38</v>
      </c>
      <c r="BX964" t="s">
        <v>2147</v>
      </c>
      <c r="BY964">
        <v>0</v>
      </c>
      <c r="CA964" s="8" t="s">
        <v>106</v>
      </c>
      <c r="CB964" s="8" t="s">
        <v>2467</v>
      </c>
      <c r="CC964" s="8" t="s">
        <v>112</v>
      </c>
      <c r="CD964" s="8" t="s">
        <v>112</v>
      </c>
      <c r="CE964" s="8" t="s">
        <v>2163</v>
      </c>
      <c r="CF964">
        <v>19543.5999999999</v>
      </c>
      <c r="CG964" t="s">
        <v>144</v>
      </c>
      <c r="CH964">
        <v>4000000</v>
      </c>
      <c r="CI964">
        <v>18741.5999999999</v>
      </c>
      <c r="CJ964">
        <v>0</v>
      </c>
      <c r="CK964" s="8" t="s">
        <v>112</v>
      </c>
      <c r="CL964" s="8" t="s">
        <v>112</v>
      </c>
      <c r="CM964">
        <v>61683.86</v>
      </c>
      <c r="CN964">
        <v>4479642</v>
      </c>
      <c r="CO964">
        <v>0</v>
      </c>
      <c r="CP964">
        <v>1</v>
      </c>
      <c r="CQ964">
        <v>4939503.8499999903</v>
      </c>
      <c r="CR964">
        <v>72163.59</v>
      </c>
      <c r="CS964" s="8" t="s">
        <v>145</v>
      </c>
      <c r="CT964">
        <v>3.8504</v>
      </c>
      <c r="CX964" t="s">
        <v>2468</v>
      </c>
      <c r="CY964">
        <v>1561</v>
      </c>
    </row>
    <row r="965" spans="1:103" x14ac:dyDescent="0.25">
      <c r="A965" s="8" t="s">
        <v>106</v>
      </c>
      <c r="B965" s="38">
        <v>44736</v>
      </c>
      <c r="C965" s="43">
        <f>IF(YEAR(Таблица1[[#This Row],[Дата]])=2023,MONTH(Таблица1[[#This Row],[Дата]]),0)</f>
        <v>0</v>
      </c>
      <c r="D965" s="8" t="s">
        <v>2456</v>
      </c>
      <c r="E965" s="8" t="s">
        <v>583</v>
      </c>
      <c r="F965" s="8" t="s">
        <v>2457</v>
      </c>
      <c r="G965" t="s">
        <v>3244</v>
      </c>
      <c r="H965" s="8" t="s">
        <v>111</v>
      </c>
      <c r="I965" s="8" t="s">
        <v>112</v>
      </c>
      <c r="J965" s="8" t="s">
        <v>112</v>
      </c>
      <c r="K965" s="8" t="s">
        <v>112</v>
      </c>
      <c r="L965" s="8" t="s">
        <v>2458</v>
      </c>
      <c r="M965" s="8" t="s">
        <v>2459</v>
      </c>
      <c r="N965" s="8" t="s">
        <v>112</v>
      </c>
      <c r="O965" s="8" t="s">
        <v>112</v>
      </c>
      <c r="P965">
        <v>2</v>
      </c>
      <c r="Q965">
        <v>0</v>
      </c>
      <c r="R965">
        <v>2</v>
      </c>
      <c r="S965">
        <v>194</v>
      </c>
      <c r="T965" s="8" t="s">
        <v>2460</v>
      </c>
      <c r="U965" s="8" t="s">
        <v>2461</v>
      </c>
      <c r="V965" s="8" t="s">
        <v>2462</v>
      </c>
      <c r="W965" s="8" t="s">
        <v>2463</v>
      </c>
      <c r="X965" s="8" t="s">
        <v>119</v>
      </c>
      <c r="Y965" s="8" t="s">
        <v>112</v>
      </c>
      <c r="Z965" s="8" t="s">
        <v>2460</v>
      </c>
      <c r="AA965" s="8" t="s">
        <v>2461</v>
      </c>
      <c r="AB965" s="8" t="s">
        <v>2462</v>
      </c>
      <c r="AC965" s="8" t="s">
        <v>2463</v>
      </c>
      <c r="AD965" s="8" t="s">
        <v>119</v>
      </c>
      <c r="AE965" s="8" t="s">
        <v>112</v>
      </c>
      <c r="AF965" s="8" t="s">
        <v>2163</v>
      </c>
      <c r="AG965" s="8" t="s">
        <v>2164</v>
      </c>
      <c r="AH965">
        <v>6984509.7800000003</v>
      </c>
      <c r="AI965" s="8" t="s">
        <v>2460</v>
      </c>
      <c r="AJ965" s="8" t="s">
        <v>2461</v>
      </c>
      <c r="AK965" s="8" t="s">
        <v>2462</v>
      </c>
      <c r="AL965" s="8" t="s">
        <v>2463</v>
      </c>
      <c r="AM965" s="8" t="s">
        <v>119</v>
      </c>
      <c r="AN965" s="8" t="s">
        <v>112</v>
      </c>
      <c r="AO965" s="8" t="s">
        <v>2163</v>
      </c>
      <c r="AP965" s="8" t="s">
        <v>2164</v>
      </c>
      <c r="AQ965" s="8" t="s">
        <v>2164</v>
      </c>
      <c r="AR965" s="8" t="s">
        <v>124</v>
      </c>
      <c r="AS965" s="8" t="s">
        <v>125</v>
      </c>
      <c r="AT965">
        <v>2</v>
      </c>
      <c r="AU965" s="8" t="s">
        <v>126</v>
      </c>
      <c r="AV965" s="8" t="s">
        <v>127</v>
      </c>
      <c r="AW965" s="8" t="s">
        <v>2464</v>
      </c>
      <c r="AX965">
        <v>1</v>
      </c>
      <c r="AY965" s="8" t="s">
        <v>129</v>
      </c>
      <c r="AZ965">
        <v>89771</v>
      </c>
      <c r="BA965">
        <v>6519403</v>
      </c>
      <c r="BB965">
        <v>102040.07</v>
      </c>
      <c r="BC965">
        <v>72.622600000000006</v>
      </c>
      <c r="BD965" s="8" t="s">
        <v>130</v>
      </c>
      <c r="BE965" s="8" t="s">
        <v>746</v>
      </c>
      <c r="BF965" s="8" t="s">
        <v>2465</v>
      </c>
      <c r="BG965" s="8" t="s">
        <v>133</v>
      </c>
      <c r="BH965" s="8" t="s">
        <v>167</v>
      </c>
      <c r="BI965" s="8" t="s">
        <v>587</v>
      </c>
      <c r="BJ965" s="8" t="s">
        <v>112</v>
      </c>
      <c r="BK965" s="8" t="s">
        <v>112</v>
      </c>
      <c r="BL965" s="8" t="s">
        <v>588</v>
      </c>
      <c r="BM965" s="8" t="s">
        <v>901</v>
      </c>
      <c r="BN965" s="8" t="s">
        <v>590</v>
      </c>
      <c r="BO965" s="8" t="s">
        <v>591</v>
      </c>
      <c r="BP965">
        <v>1</v>
      </c>
      <c r="BQ965" s="8" t="s">
        <v>2466</v>
      </c>
      <c r="BR965" s="45">
        <f>ISNUMBER(SEARCH($BR$1,Таблица1[[#This Row],[31_1 Описание и характеристика товара]]))*1</f>
        <v>0</v>
      </c>
      <c r="BT965" s="8" t="s">
        <v>2458</v>
      </c>
      <c r="BU965">
        <v>192</v>
      </c>
      <c r="BV965">
        <v>0</v>
      </c>
      <c r="BW965">
        <v>117</v>
      </c>
      <c r="BX965" t="s">
        <v>2147</v>
      </c>
      <c r="BY965">
        <v>0</v>
      </c>
      <c r="CA965" s="8" t="s">
        <v>106</v>
      </c>
      <c r="CB965" s="8" t="s">
        <v>2467</v>
      </c>
      <c r="CC965" s="8" t="s">
        <v>112</v>
      </c>
      <c r="CD965" s="8" t="s">
        <v>112</v>
      </c>
      <c r="CE965" s="8" t="s">
        <v>2163</v>
      </c>
      <c r="CF965">
        <v>19735</v>
      </c>
      <c r="CG965" t="s">
        <v>144</v>
      </c>
      <c r="CH965">
        <v>4000000</v>
      </c>
      <c r="CI965">
        <v>18542.5</v>
      </c>
      <c r="CJ965">
        <v>0</v>
      </c>
      <c r="CK965" s="8" t="s">
        <v>112</v>
      </c>
      <c r="CL965" s="8" t="s">
        <v>112</v>
      </c>
      <c r="CM965">
        <v>87600.89</v>
      </c>
      <c r="CN965">
        <v>6361804</v>
      </c>
      <c r="CO965">
        <v>0</v>
      </c>
      <c r="CP965">
        <v>1</v>
      </c>
      <c r="CQ965">
        <v>6826150.3899999904</v>
      </c>
      <c r="CR965">
        <v>99726.52</v>
      </c>
      <c r="CS965" s="8" t="s">
        <v>145</v>
      </c>
      <c r="CT965">
        <v>5.3783000000000003</v>
      </c>
      <c r="CX965" t="s">
        <v>2468</v>
      </c>
      <c r="CY965">
        <v>1045</v>
      </c>
    </row>
    <row r="966" spans="1:103" x14ac:dyDescent="0.25">
      <c r="A966" t="s">
        <v>106</v>
      </c>
      <c r="B966" s="38">
        <v>45104</v>
      </c>
      <c r="C966" s="43">
        <f>IF(YEAR(Таблица1[[#This Row],[Дата]])=2023,MONTH(Таблица1[[#This Row],[Дата]]),0)</f>
        <v>6</v>
      </c>
      <c r="D966" t="s">
        <v>676</v>
      </c>
      <c r="E966" t="s">
        <v>583</v>
      </c>
      <c r="F966" t="s">
        <v>677</v>
      </c>
      <c r="G966" t="s">
        <v>110</v>
      </c>
      <c r="H966" t="s">
        <v>111</v>
      </c>
      <c r="I966" t="s">
        <v>112</v>
      </c>
      <c r="J966" t="s">
        <v>112</v>
      </c>
      <c r="K966" t="s">
        <v>112</v>
      </c>
      <c r="L966" t="s">
        <v>113</v>
      </c>
      <c r="M966" t="s">
        <v>585</v>
      </c>
      <c r="N966" t="s">
        <v>112</v>
      </c>
      <c r="O966" t="s">
        <v>112</v>
      </c>
      <c r="P966">
        <v>2</v>
      </c>
      <c r="Q966">
        <v>0</v>
      </c>
      <c r="R966">
        <v>2</v>
      </c>
      <c r="S966">
        <v>33</v>
      </c>
      <c r="T966" t="s">
        <v>115</v>
      </c>
      <c r="U966" t="s">
        <v>116</v>
      </c>
      <c r="V966" t="s">
        <v>117</v>
      </c>
      <c r="W966" t="s">
        <v>586</v>
      </c>
      <c r="X966" t="s">
        <v>119</v>
      </c>
      <c r="Y966" t="s">
        <v>120</v>
      </c>
      <c r="Z966" t="s">
        <v>115</v>
      </c>
      <c r="AA966" t="s">
        <v>116</v>
      </c>
      <c r="AB966" t="s">
        <v>117</v>
      </c>
      <c r="AC966" t="s">
        <v>586</v>
      </c>
      <c r="AD966" t="s">
        <v>119</v>
      </c>
      <c r="AE966" t="s">
        <v>120</v>
      </c>
      <c r="AF966" t="s">
        <v>121</v>
      </c>
      <c r="AG966" t="s">
        <v>122</v>
      </c>
      <c r="AH966">
        <v>4072946.35</v>
      </c>
      <c r="AI966" t="s">
        <v>115</v>
      </c>
      <c r="AJ966" t="s">
        <v>116</v>
      </c>
      <c r="AK966" t="s">
        <v>117</v>
      </c>
      <c r="AL966" t="s">
        <v>586</v>
      </c>
      <c r="AM966" t="s">
        <v>119</v>
      </c>
      <c r="AN966" t="s">
        <v>120</v>
      </c>
      <c r="AO966" t="s">
        <v>121</v>
      </c>
      <c r="AP966" t="s">
        <v>122</v>
      </c>
      <c r="AQ966" t="s">
        <v>123</v>
      </c>
      <c r="AR966" t="s">
        <v>124</v>
      </c>
      <c r="AS966" t="s">
        <v>125</v>
      </c>
      <c r="AT966">
        <v>2</v>
      </c>
      <c r="AU966" t="s">
        <v>126</v>
      </c>
      <c r="AV966" t="s">
        <v>127</v>
      </c>
      <c r="AW966" t="s">
        <v>128</v>
      </c>
      <c r="AX966">
        <v>1</v>
      </c>
      <c r="AY966" t="s">
        <v>129</v>
      </c>
      <c r="AZ966">
        <v>48730.93</v>
      </c>
      <c r="BA966">
        <v>3877598</v>
      </c>
      <c r="BB966">
        <v>54517.7</v>
      </c>
      <c r="BC966">
        <v>79.571600000000004</v>
      </c>
      <c r="BD966" t="s">
        <v>130</v>
      </c>
      <c r="BE966" t="s">
        <v>131</v>
      </c>
      <c r="BF966" t="s">
        <v>132</v>
      </c>
      <c r="BG966" t="s">
        <v>133</v>
      </c>
      <c r="BH966" t="s">
        <v>167</v>
      </c>
      <c r="BI966" t="s">
        <v>587</v>
      </c>
      <c r="BJ966" t="s">
        <v>112</v>
      </c>
      <c r="BK966" t="s">
        <v>112</v>
      </c>
      <c r="BL966" t="s">
        <v>588</v>
      </c>
      <c r="BM966" t="s">
        <v>589</v>
      </c>
      <c r="BN966" t="s">
        <v>590</v>
      </c>
      <c r="BO966" t="s">
        <v>591</v>
      </c>
      <c r="BP966">
        <v>1</v>
      </c>
      <c r="BQ966" t="s">
        <v>678</v>
      </c>
      <c r="BR966" s="45">
        <f>ISNUMBER(SEARCH($BR$1,Таблица1[[#This Row],[31_1 Описание и характеристика товара]]))*1</f>
        <v>1</v>
      </c>
      <c r="BT966" t="s">
        <v>141</v>
      </c>
      <c r="BU966">
        <v>18</v>
      </c>
      <c r="BV966">
        <v>0</v>
      </c>
      <c r="BW966">
        <v>0</v>
      </c>
      <c r="BY966">
        <v>0</v>
      </c>
      <c r="CA966" t="s">
        <v>106</v>
      </c>
      <c r="CB966" t="s">
        <v>142</v>
      </c>
      <c r="CC966" t="s">
        <v>112</v>
      </c>
      <c r="CD966" t="s">
        <v>112</v>
      </c>
      <c r="CE966" t="s">
        <v>143</v>
      </c>
      <c r="CF966">
        <v>7752.72</v>
      </c>
      <c r="CG966" t="s">
        <v>144</v>
      </c>
      <c r="CH966">
        <v>4000000</v>
      </c>
      <c r="CI966">
        <v>7356.2</v>
      </c>
      <c r="CJ966">
        <v>0</v>
      </c>
      <c r="CK966" t="s">
        <v>112</v>
      </c>
      <c r="CL966" t="s">
        <v>112</v>
      </c>
      <c r="CM966">
        <v>26506.29</v>
      </c>
      <c r="CN966">
        <v>2109148</v>
      </c>
      <c r="CO966">
        <v>0</v>
      </c>
      <c r="CP966">
        <v>1</v>
      </c>
      <c r="CQ966">
        <v>2212840.0499999998</v>
      </c>
      <c r="CR966">
        <v>29619.58</v>
      </c>
      <c r="CS966" t="s">
        <v>145</v>
      </c>
      <c r="CT966">
        <v>29619.739300000001</v>
      </c>
      <c r="CU966">
        <v>4.0265000000000004</v>
      </c>
      <c r="CV966">
        <v>952</v>
      </c>
      <c r="CW966" t="s">
        <v>593</v>
      </c>
      <c r="CX966" t="s">
        <v>594</v>
      </c>
      <c r="CY966">
        <v>0</v>
      </c>
    </row>
    <row r="967" spans="1:103" x14ac:dyDescent="0.25">
      <c r="A967" t="s">
        <v>106</v>
      </c>
      <c r="B967" s="38">
        <v>45218</v>
      </c>
      <c r="C967" s="43">
        <f>IF(YEAR(Таблица1[[#This Row],[Дата]])=2023,MONTH(Таблица1[[#This Row],[Дата]]),0)</f>
        <v>10</v>
      </c>
      <c r="D967" t="s">
        <v>676</v>
      </c>
      <c r="E967" t="s">
        <v>583</v>
      </c>
      <c r="F967" t="s">
        <v>677</v>
      </c>
      <c r="G967" t="s">
        <v>110</v>
      </c>
      <c r="H967" t="s">
        <v>111</v>
      </c>
      <c r="I967" t="s">
        <v>112</v>
      </c>
      <c r="J967" t="s">
        <v>112</v>
      </c>
      <c r="K967" t="s">
        <v>112</v>
      </c>
      <c r="L967" t="s">
        <v>113</v>
      </c>
      <c r="M967" t="s">
        <v>585</v>
      </c>
      <c r="N967" t="s">
        <v>112</v>
      </c>
      <c r="O967" t="s">
        <v>112</v>
      </c>
      <c r="P967">
        <v>2</v>
      </c>
      <c r="Q967">
        <v>0</v>
      </c>
      <c r="R967">
        <v>2</v>
      </c>
      <c r="S967">
        <v>33</v>
      </c>
      <c r="T967" t="s">
        <v>115</v>
      </c>
      <c r="U967" t="s">
        <v>116</v>
      </c>
      <c r="V967" t="s">
        <v>117</v>
      </c>
      <c r="W967" t="s">
        <v>586</v>
      </c>
      <c r="X967" t="s">
        <v>119</v>
      </c>
      <c r="Y967" t="s">
        <v>120</v>
      </c>
      <c r="Z967" t="s">
        <v>115</v>
      </c>
      <c r="AA967" t="s">
        <v>116</v>
      </c>
      <c r="AB967" t="s">
        <v>117</v>
      </c>
      <c r="AC967" t="s">
        <v>586</v>
      </c>
      <c r="AD967" t="s">
        <v>119</v>
      </c>
      <c r="AE967" t="s">
        <v>120</v>
      </c>
      <c r="AF967" t="s">
        <v>121</v>
      </c>
      <c r="AG967" t="s">
        <v>122</v>
      </c>
      <c r="AH967">
        <v>4072946.35</v>
      </c>
      <c r="AI967" t="s">
        <v>115</v>
      </c>
      <c r="AJ967" t="s">
        <v>116</v>
      </c>
      <c r="AK967" t="s">
        <v>117</v>
      </c>
      <c r="AL967" t="s">
        <v>586</v>
      </c>
      <c r="AM967" t="s">
        <v>119</v>
      </c>
      <c r="AN967" t="s">
        <v>120</v>
      </c>
      <c r="AO967" t="s">
        <v>121</v>
      </c>
      <c r="AP967" t="s">
        <v>122</v>
      </c>
      <c r="AQ967" t="s">
        <v>123</v>
      </c>
      <c r="AR967" t="s">
        <v>124</v>
      </c>
      <c r="AS967" t="s">
        <v>125</v>
      </c>
      <c r="AT967">
        <v>2</v>
      </c>
      <c r="AU967" t="s">
        <v>126</v>
      </c>
      <c r="AV967" t="s">
        <v>127</v>
      </c>
      <c r="AW967" t="s">
        <v>128</v>
      </c>
      <c r="AX967">
        <v>1</v>
      </c>
      <c r="AY967" t="s">
        <v>129</v>
      </c>
      <c r="AZ967">
        <v>48730.93</v>
      </c>
      <c r="BA967">
        <v>3877598</v>
      </c>
      <c r="BB967">
        <v>54517.7</v>
      </c>
      <c r="BC967">
        <v>79.571600000000004</v>
      </c>
      <c r="BD967" t="s">
        <v>130</v>
      </c>
      <c r="BE967" t="s">
        <v>131</v>
      </c>
      <c r="BF967" t="s">
        <v>132</v>
      </c>
      <c r="BG967" t="s">
        <v>133</v>
      </c>
      <c r="BH967" t="s">
        <v>167</v>
      </c>
      <c r="BI967" t="s">
        <v>587</v>
      </c>
      <c r="BJ967" t="s">
        <v>112</v>
      </c>
      <c r="BK967" t="s">
        <v>112</v>
      </c>
      <c r="BL967" t="s">
        <v>588</v>
      </c>
      <c r="BM967" t="s">
        <v>589</v>
      </c>
      <c r="BN967" t="s">
        <v>590</v>
      </c>
      <c r="BO967" t="s">
        <v>591</v>
      </c>
      <c r="BP967">
        <v>2</v>
      </c>
      <c r="BQ967" t="s">
        <v>595</v>
      </c>
      <c r="BR967" s="45">
        <f>ISNUMBER(SEARCH($BR$1,Таблица1[[#This Row],[31_1 Описание и характеристика товара]]))*1</f>
        <v>1</v>
      </c>
      <c r="BT967" t="s">
        <v>141</v>
      </c>
      <c r="BU967">
        <v>15</v>
      </c>
      <c r="BV967">
        <v>0</v>
      </c>
      <c r="BW967">
        <v>0</v>
      </c>
      <c r="BY967">
        <v>0</v>
      </c>
      <c r="CA967" t="s">
        <v>596</v>
      </c>
      <c r="CB967" t="s">
        <v>597</v>
      </c>
      <c r="CC967" t="s">
        <v>112</v>
      </c>
      <c r="CD967" t="s">
        <v>112</v>
      </c>
      <c r="CE967" t="s">
        <v>143</v>
      </c>
      <c r="CF967">
        <v>6852.8</v>
      </c>
      <c r="CG967" t="s">
        <v>144</v>
      </c>
      <c r="CH967">
        <v>4000000</v>
      </c>
      <c r="CI967">
        <v>6492.8</v>
      </c>
      <c r="CJ967">
        <v>0</v>
      </c>
      <c r="CK967" t="s">
        <v>112</v>
      </c>
      <c r="CL967" t="s">
        <v>112</v>
      </c>
      <c r="CM967">
        <v>22224.639999999999</v>
      </c>
      <c r="CN967">
        <v>1768450</v>
      </c>
      <c r="CO967">
        <v>0</v>
      </c>
      <c r="CP967">
        <v>1</v>
      </c>
      <c r="CQ967">
        <v>1860106.3</v>
      </c>
      <c r="CR967">
        <v>24898.12</v>
      </c>
      <c r="CS967" t="s">
        <v>145</v>
      </c>
      <c r="CT967">
        <v>24897.940160000002</v>
      </c>
      <c r="CU967">
        <v>3.8347000000000002</v>
      </c>
      <c r="CV967">
        <v>952</v>
      </c>
      <c r="CW967" t="s">
        <v>593</v>
      </c>
      <c r="CX967" t="s">
        <v>594</v>
      </c>
      <c r="CY967">
        <v>0</v>
      </c>
    </row>
    <row r="968" spans="1:103" x14ac:dyDescent="0.25">
      <c r="A968" s="8" t="s">
        <v>106</v>
      </c>
      <c r="B968" s="38">
        <v>45125</v>
      </c>
      <c r="C968" s="43">
        <f>IF(YEAR(Таблица1[[#This Row],[Дата]])=2023,MONTH(Таблица1[[#This Row],[Дата]]),0)</f>
        <v>7</v>
      </c>
      <c r="D968" s="8" t="s">
        <v>2661</v>
      </c>
      <c r="E968" s="8" t="s">
        <v>583</v>
      </c>
      <c r="F968" s="8" t="s">
        <v>2662</v>
      </c>
      <c r="G968" t="s">
        <v>110</v>
      </c>
      <c r="H968" s="8" t="s">
        <v>111</v>
      </c>
      <c r="I968" s="8" t="s">
        <v>112</v>
      </c>
      <c r="J968" s="8" t="s">
        <v>112</v>
      </c>
      <c r="K968" s="8" t="s">
        <v>112</v>
      </c>
      <c r="L968" s="8" t="s">
        <v>2578</v>
      </c>
      <c r="M968" s="8" t="s">
        <v>2579</v>
      </c>
      <c r="N968" s="8" t="s">
        <v>112</v>
      </c>
      <c r="O968" s="8" t="s">
        <v>112</v>
      </c>
      <c r="P968">
        <v>1</v>
      </c>
      <c r="Q968">
        <v>0</v>
      </c>
      <c r="R968">
        <v>1</v>
      </c>
      <c r="S968">
        <v>10</v>
      </c>
      <c r="T968" s="8" t="s">
        <v>2580</v>
      </c>
      <c r="U968" s="8" t="s">
        <v>2581</v>
      </c>
      <c r="V968" s="8" t="s">
        <v>2582</v>
      </c>
      <c r="W968" s="8" t="s">
        <v>2583</v>
      </c>
      <c r="X968" s="8" t="s">
        <v>2552</v>
      </c>
      <c r="Y968" s="8" t="s">
        <v>2584</v>
      </c>
      <c r="Z968" s="8" t="s">
        <v>2580</v>
      </c>
      <c r="AA968" s="8" t="s">
        <v>2581</v>
      </c>
      <c r="AB968" s="8" t="s">
        <v>2582</v>
      </c>
      <c r="AC968" s="8" t="s">
        <v>2583</v>
      </c>
      <c r="AD968" s="8" t="s">
        <v>2552</v>
      </c>
      <c r="AE968" s="8" t="s">
        <v>2584</v>
      </c>
      <c r="AF968" s="8" t="s">
        <v>2163</v>
      </c>
      <c r="AG968" s="8" t="s">
        <v>2164</v>
      </c>
      <c r="AH968">
        <v>2774012.75</v>
      </c>
      <c r="AI968" s="8" t="s">
        <v>2580</v>
      </c>
      <c r="AJ968" s="8" t="s">
        <v>2581</v>
      </c>
      <c r="AK968" s="8" t="s">
        <v>2582</v>
      </c>
      <c r="AL968" s="8" t="s">
        <v>2583</v>
      </c>
      <c r="AM968" s="8" t="s">
        <v>2552</v>
      </c>
      <c r="AN968" s="8" t="s">
        <v>2584</v>
      </c>
      <c r="AO968" s="8" t="s">
        <v>2163</v>
      </c>
      <c r="AP968" s="8" t="s">
        <v>2164</v>
      </c>
      <c r="AQ968" s="8" t="s">
        <v>2164</v>
      </c>
      <c r="AR968" s="8" t="s">
        <v>124</v>
      </c>
      <c r="AS968" s="8" t="s">
        <v>125</v>
      </c>
      <c r="AT968">
        <v>2</v>
      </c>
      <c r="AU968" s="8" t="s">
        <v>126</v>
      </c>
      <c r="AV968" s="8" t="s">
        <v>155</v>
      </c>
      <c r="AW968" s="8" t="s">
        <v>2609</v>
      </c>
      <c r="AX968">
        <v>1</v>
      </c>
      <c r="AY968" s="8" t="s">
        <v>129</v>
      </c>
      <c r="AZ968">
        <v>32479</v>
      </c>
      <c r="BA968">
        <v>2372289</v>
      </c>
      <c r="BB968">
        <v>40392.75</v>
      </c>
      <c r="BC968">
        <v>73.040700000000001</v>
      </c>
      <c r="BD968" s="8" t="s">
        <v>130</v>
      </c>
      <c r="BE968" s="8" t="s">
        <v>131</v>
      </c>
      <c r="BF968" s="8" t="s">
        <v>2586</v>
      </c>
      <c r="BG968" s="8" t="s">
        <v>133</v>
      </c>
      <c r="BH968" s="8" t="s">
        <v>134</v>
      </c>
      <c r="BI968" s="8" t="s">
        <v>112</v>
      </c>
      <c r="BJ968" s="8" t="s">
        <v>112</v>
      </c>
      <c r="BK968" s="8" t="s">
        <v>112</v>
      </c>
      <c r="BL968" s="8" t="s">
        <v>2587</v>
      </c>
      <c r="BM968" s="8" t="s">
        <v>2588</v>
      </c>
      <c r="BN968" s="8" t="s">
        <v>2589</v>
      </c>
      <c r="BO968" s="8" t="s">
        <v>2590</v>
      </c>
      <c r="BP968">
        <v>1</v>
      </c>
      <c r="BQ968" s="8" t="s">
        <v>2591</v>
      </c>
      <c r="BR968" s="45">
        <f>ISNUMBER(SEARCH($BR$1,Таблица1[[#This Row],[31_1 Описание и характеристика товара]]))*1</f>
        <v>0</v>
      </c>
      <c r="BT968" s="8" t="s">
        <v>2578</v>
      </c>
      <c r="BU968">
        <v>10</v>
      </c>
      <c r="BV968">
        <v>0</v>
      </c>
      <c r="BW968">
        <v>5</v>
      </c>
      <c r="BX968" t="s">
        <v>2147</v>
      </c>
      <c r="BY968">
        <v>0</v>
      </c>
      <c r="CA968" s="8" t="s">
        <v>106</v>
      </c>
      <c r="CB968" s="8" t="s">
        <v>2148</v>
      </c>
      <c r="CC968" s="8" t="s">
        <v>112</v>
      </c>
      <c r="CD968" s="8" t="s">
        <v>112</v>
      </c>
      <c r="CE968" s="8" t="s">
        <v>2163</v>
      </c>
      <c r="CF968">
        <v>16262</v>
      </c>
      <c r="CG968" t="s">
        <v>144</v>
      </c>
      <c r="CH968">
        <v>4000000</v>
      </c>
      <c r="CI968">
        <v>16229</v>
      </c>
      <c r="CJ968">
        <v>0</v>
      </c>
      <c r="CK968" s="8" t="s">
        <v>112</v>
      </c>
      <c r="CL968" s="8" t="s">
        <v>112</v>
      </c>
      <c r="CM968">
        <v>32479</v>
      </c>
      <c r="CN968">
        <v>2372289</v>
      </c>
      <c r="CO968">
        <v>0</v>
      </c>
      <c r="CP968">
        <v>1</v>
      </c>
      <c r="CQ968">
        <v>2774012.75</v>
      </c>
      <c r="CR968">
        <v>40392.75</v>
      </c>
      <c r="CS968" s="8" t="s">
        <v>145</v>
      </c>
      <c r="CT968">
        <v>2.4889000000000001</v>
      </c>
      <c r="CU968">
        <v>1239</v>
      </c>
      <c r="CV968" t="s">
        <v>2592</v>
      </c>
      <c r="CX968" t="s">
        <v>2593</v>
      </c>
      <c r="CY968">
        <v>0</v>
      </c>
    </row>
    <row r="969" spans="1:103" x14ac:dyDescent="0.25">
      <c r="A969" s="8" t="s">
        <v>106</v>
      </c>
      <c r="B969" s="38">
        <v>45049</v>
      </c>
      <c r="C969" s="43">
        <f>IF(YEAR(Таблица1[[#This Row],[Дата]])=2023,MONTH(Таблица1[[#This Row],[Дата]]),0)</f>
        <v>5</v>
      </c>
      <c r="D969" s="8" t="s">
        <v>2607</v>
      </c>
      <c r="E969" s="8" t="s">
        <v>583</v>
      </c>
      <c r="F969" s="8" t="s">
        <v>2608</v>
      </c>
      <c r="G969" t="s">
        <v>110</v>
      </c>
      <c r="H969" s="8" t="s">
        <v>111</v>
      </c>
      <c r="I969" s="8" t="s">
        <v>112</v>
      </c>
      <c r="J969" s="8" t="s">
        <v>112</v>
      </c>
      <c r="K969" s="8" t="s">
        <v>112</v>
      </c>
      <c r="L969" s="8" t="s">
        <v>2578</v>
      </c>
      <c r="M969" s="8" t="s">
        <v>2579</v>
      </c>
      <c r="N969" s="8" t="s">
        <v>112</v>
      </c>
      <c r="O969" s="8" t="s">
        <v>112</v>
      </c>
      <c r="P969">
        <v>1</v>
      </c>
      <c r="Q969">
        <v>0</v>
      </c>
      <c r="R969">
        <v>1</v>
      </c>
      <c r="S969">
        <v>5</v>
      </c>
      <c r="T969" s="8" t="s">
        <v>2580</v>
      </c>
      <c r="U969" s="8" t="s">
        <v>2581</v>
      </c>
      <c r="V969" s="8" t="s">
        <v>2582</v>
      </c>
      <c r="W969" s="8" t="s">
        <v>2583</v>
      </c>
      <c r="X969" s="8" t="s">
        <v>2552</v>
      </c>
      <c r="Y969" s="8" t="s">
        <v>2584</v>
      </c>
      <c r="Z969" s="8" t="s">
        <v>2580</v>
      </c>
      <c r="AA969" s="8" t="s">
        <v>2581</v>
      </c>
      <c r="AB969" s="8" t="s">
        <v>2582</v>
      </c>
      <c r="AC969" s="8" t="s">
        <v>2583</v>
      </c>
      <c r="AD969" s="8" t="s">
        <v>2552</v>
      </c>
      <c r="AE969" s="8" t="s">
        <v>2584</v>
      </c>
      <c r="AF969" s="8" t="s">
        <v>2163</v>
      </c>
      <c r="AG969" s="8" t="s">
        <v>2164</v>
      </c>
      <c r="AH969">
        <v>2697977.38</v>
      </c>
      <c r="AI969" s="8" t="s">
        <v>2580</v>
      </c>
      <c r="AJ969" s="8" t="s">
        <v>2581</v>
      </c>
      <c r="AK969" s="8" t="s">
        <v>2582</v>
      </c>
      <c r="AL969" s="8" t="s">
        <v>2583</v>
      </c>
      <c r="AM969" s="8" t="s">
        <v>2552</v>
      </c>
      <c r="AN969" s="8" t="s">
        <v>2584</v>
      </c>
      <c r="AO969" s="8" t="s">
        <v>2163</v>
      </c>
      <c r="AP969" s="8" t="s">
        <v>2164</v>
      </c>
      <c r="AQ969" s="8" t="s">
        <v>2164</v>
      </c>
      <c r="AR969" s="8" t="s">
        <v>124</v>
      </c>
      <c r="AS969" s="8" t="s">
        <v>125</v>
      </c>
      <c r="AT969">
        <v>2</v>
      </c>
      <c r="AU969" s="8" t="s">
        <v>126</v>
      </c>
      <c r="AV969" s="8" t="s">
        <v>155</v>
      </c>
      <c r="AW969" s="8" t="s">
        <v>2609</v>
      </c>
      <c r="AX969">
        <v>1</v>
      </c>
      <c r="AY969" s="8" t="s">
        <v>129</v>
      </c>
      <c r="AZ969">
        <v>31038</v>
      </c>
      <c r="BA969">
        <v>2267037</v>
      </c>
      <c r="BB969">
        <v>39285.589999999902</v>
      </c>
      <c r="BC969">
        <v>73.040700000000001</v>
      </c>
      <c r="BD969" s="8" t="s">
        <v>130</v>
      </c>
      <c r="BE969" s="8" t="s">
        <v>131</v>
      </c>
      <c r="BF969" s="8" t="s">
        <v>2586</v>
      </c>
      <c r="BG969" s="8" t="s">
        <v>133</v>
      </c>
      <c r="BH969" s="8" t="s">
        <v>134</v>
      </c>
      <c r="BI969" s="8" t="s">
        <v>112</v>
      </c>
      <c r="BJ969" s="8" t="s">
        <v>112</v>
      </c>
      <c r="BK969" s="8" t="s">
        <v>112</v>
      </c>
      <c r="BL969" s="8" t="s">
        <v>2587</v>
      </c>
      <c r="BM969" s="8" t="s">
        <v>2588</v>
      </c>
      <c r="BN969" s="8" t="s">
        <v>2589</v>
      </c>
      <c r="BO969" s="8" t="s">
        <v>2590</v>
      </c>
      <c r="BP969">
        <v>1</v>
      </c>
      <c r="BQ969" s="8" t="s">
        <v>2591</v>
      </c>
      <c r="BR969" s="45">
        <f>ISNUMBER(SEARCH($BR$1,Таблица1[[#This Row],[31_1 Описание и характеристика товара]]))*1</f>
        <v>0</v>
      </c>
      <c r="BT969" s="8" t="s">
        <v>2578</v>
      </c>
      <c r="BU969">
        <v>5</v>
      </c>
      <c r="BV969">
        <v>0</v>
      </c>
      <c r="BW969">
        <v>3</v>
      </c>
      <c r="BX969" t="s">
        <v>2147</v>
      </c>
      <c r="BY969">
        <v>0</v>
      </c>
      <c r="CA969" s="8" t="s">
        <v>106</v>
      </c>
      <c r="CB969" s="8" t="s">
        <v>2148</v>
      </c>
      <c r="CC969" s="8" t="s">
        <v>112</v>
      </c>
      <c r="CD969" s="8" t="s">
        <v>112</v>
      </c>
      <c r="CE969" s="8" t="s">
        <v>2163</v>
      </c>
      <c r="CF969">
        <v>15297</v>
      </c>
      <c r="CG969" t="s">
        <v>144</v>
      </c>
      <c r="CH969">
        <v>4000000</v>
      </c>
      <c r="CI969">
        <v>15267</v>
      </c>
      <c r="CJ969">
        <v>0</v>
      </c>
      <c r="CK969" s="8" t="s">
        <v>112</v>
      </c>
      <c r="CL969" s="8" t="s">
        <v>112</v>
      </c>
      <c r="CM969">
        <v>31038</v>
      </c>
      <c r="CN969">
        <v>2267037</v>
      </c>
      <c r="CO969">
        <v>0</v>
      </c>
      <c r="CP969">
        <v>1</v>
      </c>
      <c r="CQ969">
        <v>2697977.38</v>
      </c>
      <c r="CR969">
        <v>39285.589999999902</v>
      </c>
      <c r="CS969" s="8" t="s">
        <v>145</v>
      </c>
      <c r="CT969">
        <v>2.5731999999999999</v>
      </c>
      <c r="CU969">
        <v>1239</v>
      </c>
      <c r="CV969" t="s">
        <v>2592</v>
      </c>
      <c r="CX969" t="s">
        <v>2593</v>
      </c>
      <c r="CY969">
        <v>0</v>
      </c>
    </row>
    <row r="970" spans="1:103" x14ac:dyDescent="0.25">
      <c r="A970" s="8" t="s">
        <v>106</v>
      </c>
      <c r="B970" s="38">
        <v>45135</v>
      </c>
      <c r="C970" s="43">
        <f>IF(YEAR(Таблица1[[#This Row],[Дата]])=2023,MONTH(Таблица1[[#This Row],[Дата]]),0)</f>
        <v>7</v>
      </c>
      <c r="D970" s="8" t="s">
        <v>2635</v>
      </c>
      <c r="E970" s="8" t="s">
        <v>583</v>
      </c>
      <c r="F970" s="8" t="s">
        <v>2636</v>
      </c>
      <c r="G970" t="s">
        <v>110</v>
      </c>
      <c r="H970" s="8" t="s">
        <v>111</v>
      </c>
      <c r="I970" s="8" t="s">
        <v>112</v>
      </c>
      <c r="J970" s="8" t="s">
        <v>112</v>
      </c>
      <c r="K970" s="8" t="s">
        <v>112</v>
      </c>
      <c r="L970" s="8" t="s">
        <v>2637</v>
      </c>
      <c r="M970" s="8" t="s">
        <v>2638</v>
      </c>
      <c r="N970" s="8" t="s">
        <v>112</v>
      </c>
      <c r="O970" s="8" t="s">
        <v>112</v>
      </c>
      <c r="P970">
        <v>4</v>
      </c>
      <c r="Q970">
        <v>0</v>
      </c>
      <c r="R970">
        <v>9</v>
      </c>
      <c r="S970">
        <v>40</v>
      </c>
      <c r="T970" s="8" t="s">
        <v>2639</v>
      </c>
      <c r="U970" s="8" t="s">
        <v>2640</v>
      </c>
      <c r="V970" s="8" t="s">
        <v>2641</v>
      </c>
      <c r="W970" s="8" t="s">
        <v>2642</v>
      </c>
      <c r="X970" s="8" t="s">
        <v>119</v>
      </c>
      <c r="Y970" s="8" t="s">
        <v>2395</v>
      </c>
      <c r="Z970" s="8" t="s">
        <v>2639</v>
      </c>
      <c r="AA970" s="8" t="s">
        <v>2640</v>
      </c>
      <c r="AB970" s="8" t="s">
        <v>2641</v>
      </c>
      <c r="AC970" s="8" t="s">
        <v>2642</v>
      </c>
      <c r="AD970" s="8" t="s">
        <v>119</v>
      </c>
      <c r="AE970" s="8" t="s">
        <v>2395</v>
      </c>
      <c r="AF970" s="8" t="s">
        <v>2396</v>
      </c>
      <c r="AG970" s="8" t="s">
        <v>2397</v>
      </c>
      <c r="AH970">
        <v>12392108.050000001</v>
      </c>
      <c r="AI970" s="8" t="s">
        <v>2639</v>
      </c>
      <c r="AJ970" s="8" t="s">
        <v>2640</v>
      </c>
      <c r="AK970" s="8" t="s">
        <v>2641</v>
      </c>
      <c r="AL970" s="8" t="s">
        <v>2642</v>
      </c>
      <c r="AM970" s="8" t="s">
        <v>119</v>
      </c>
      <c r="AN970" s="8" t="s">
        <v>2395</v>
      </c>
      <c r="AO970" s="8" t="s">
        <v>2396</v>
      </c>
      <c r="AP970" s="8" t="s">
        <v>2397</v>
      </c>
      <c r="AQ970" s="8" t="s">
        <v>2397</v>
      </c>
      <c r="AR970" s="8" t="s">
        <v>124</v>
      </c>
      <c r="AS970" s="8" t="s">
        <v>125</v>
      </c>
      <c r="AT970">
        <v>2</v>
      </c>
      <c r="AU970" s="8" t="s">
        <v>126</v>
      </c>
      <c r="AV970" s="8" t="s">
        <v>2318</v>
      </c>
      <c r="AW970" s="8" t="s">
        <v>2401</v>
      </c>
      <c r="AX970">
        <v>1</v>
      </c>
      <c r="AY970" s="8" t="s">
        <v>2643</v>
      </c>
      <c r="AZ970">
        <v>12392108.050000001</v>
      </c>
      <c r="BA970">
        <v>12392108</v>
      </c>
      <c r="BB970">
        <v>180443.06</v>
      </c>
      <c r="BC970">
        <v>0</v>
      </c>
      <c r="BD970" s="8" t="s">
        <v>130</v>
      </c>
      <c r="BE970" s="8" t="s">
        <v>112</v>
      </c>
      <c r="BF970" s="8" t="s">
        <v>2644</v>
      </c>
      <c r="BG970" s="8" t="s">
        <v>133</v>
      </c>
      <c r="BH970" s="8" t="s">
        <v>134</v>
      </c>
      <c r="BI970" s="8" t="s">
        <v>112</v>
      </c>
      <c r="BJ970" s="8" t="s">
        <v>112</v>
      </c>
      <c r="BK970" s="8" t="s">
        <v>112</v>
      </c>
      <c r="BL970" s="8" t="s">
        <v>2645</v>
      </c>
      <c r="BM970" s="8" t="s">
        <v>2646</v>
      </c>
      <c r="BN970" s="8" t="s">
        <v>2647</v>
      </c>
      <c r="BO970" s="8" t="s">
        <v>2648</v>
      </c>
      <c r="BP970">
        <v>3</v>
      </c>
      <c r="BQ970" s="8" t="s">
        <v>2649</v>
      </c>
      <c r="BR970" s="45">
        <f>ISNUMBER(SEARCH($BR$1,Таблица1[[#This Row],[31_1 Описание и характеристика товара]]))*1</f>
        <v>0</v>
      </c>
      <c r="BT970" s="8" t="s">
        <v>2637</v>
      </c>
      <c r="BU970">
        <v>40</v>
      </c>
      <c r="BV970">
        <v>0</v>
      </c>
      <c r="BW970">
        <v>221</v>
      </c>
      <c r="BX970" t="s">
        <v>2147</v>
      </c>
      <c r="BY970">
        <v>0</v>
      </c>
      <c r="CA970" s="8" t="s">
        <v>2650</v>
      </c>
      <c r="CB970" s="8" t="s">
        <v>2148</v>
      </c>
      <c r="CC970" s="8" t="s">
        <v>112</v>
      </c>
      <c r="CD970" s="8" t="s">
        <v>112</v>
      </c>
      <c r="CE970" s="8" t="s">
        <v>2396</v>
      </c>
      <c r="CF970">
        <v>9996.384</v>
      </c>
      <c r="CG970" t="s">
        <v>144</v>
      </c>
      <c r="CH970">
        <v>4000000</v>
      </c>
      <c r="CI970">
        <v>8942.384</v>
      </c>
      <c r="CJ970">
        <v>0</v>
      </c>
      <c r="CK970" s="8" t="s">
        <v>112</v>
      </c>
      <c r="CL970" s="8" t="s">
        <v>112</v>
      </c>
      <c r="CM970">
        <v>12220198.1199999</v>
      </c>
      <c r="CN970">
        <v>12220198</v>
      </c>
      <c r="CO970">
        <v>0</v>
      </c>
      <c r="CP970">
        <v>1</v>
      </c>
      <c r="CQ970">
        <v>12220198.1199999</v>
      </c>
      <c r="CR970">
        <v>177939.86</v>
      </c>
      <c r="CS970" s="8" t="s">
        <v>145</v>
      </c>
      <c r="CT970">
        <v>19.898499999999999</v>
      </c>
      <c r="CU970">
        <v>966</v>
      </c>
      <c r="CV970" t="s">
        <v>2651</v>
      </c>
      <c r="CX970" t="s">
        <v>2652</v>
      </c>
      <c r="CY970">
        <v>1366</v>
      </c>
    </row>
    <row r="971" spans="1:103" x14ac:dyDescent="0.25">
      <c r="A971" s="8" t="s">
        <v>106</v>
      </c>
      <c r="B971" s="38">
        <v>45116</v>
      </c>
      <c r="C971" s="43">
        <f>IF(YEAR(Таблица1[[#This Row],[Дата]])=2023,MONTH(Таблица1[[#This Row],[Дата]]),0)</f>
        <v>7</v>
      </c>
      <c r="D971" s="8" t="s">
        <v>2576</v>
      </c>
      <c r="E971" s="8" t="s">
        <v>583</v>
      </c>
      <c r="F971" s="8" t="s">
        <v>2577</v>
      </c>
      <c r="G971" t="s">
        <v>110</v>
      </c>
      <c r="H971" s="8" t="s">
        <v>111</v>
      </c>
      <c r="I971" s="8" t="s">
        <v>112</v>
      </c>
      <c r="J971" s="8" t="s">
        <v>112</v>
      </c>
      <c r="K971" s="8" t="s">
        <v>112</v>
      </c>
      <c r="L971" s="8" t="s">
        <v>2578</v>
      </c>
      <c r="M971" s="8" t="s">
        <v>2579</v>
      </c>
      <c r="N971" s="8" t="s">
        <v>112</v>
      </c>
      <c r="O971" s="8" t="s">
        <v>112</v>
      </c>
      <c r="P971">
        <v>2</v>
      </c>
      <c r="Q971">
        <v>0</v>
      </c>
      <c r="R971">
        <v>2</v>
      </c>
      <c r="S971">
        <v>28</v>
      </c>
      <c r="T971" s="8" t="s">
        <v>2580</v>
      </c>
      <c r="U971" s="8" t="s">
        <v>2581</v>
      </c>
      <c r="V971" s="8" t="s">
        <v>2582</v>
      </c>
      <c r="W971" s="8" t="s">
        <v>2583</v>
      </c>
      <c r="X971" s="8" t="s">
        <v>2552</v>
      </c>
      <c r="Y971" s="8" t="s">
        <v>2584</v>
      </c>
      <c r="Z971" s="8" t="s">
        <v>2580</v>
      </c>
      <c r="AA971" s="8" t="s">
        <v>2581</v>
      </c>
      <c r="AB971" s="8" t="s">
        <v>2582</v>
      </c>
      <c r="AC971" s="8" t="s">
        <v>2583</v>
      </c>
      <c r="AD971" s="8" t="s">
        <v>2552</v>
      </c>
      <c r="AE971" s="8" t="s">
        <v>2584</v>
      </c>
      <c r="AF971" s="8" t="s">
        <v>2163</v>
      </c>
      <c r="AG971" s="8" t="s">
        <v>2164</v>
      </c>
      <c r="AH971">
        <v>4895764.74</v>
      </c>
      <c r="AI971" s="8" t="s">
        <v>2580</v>
      </c>
      <c r="AJ971" s="8" t="s">
        <v>2581</v>
      </c>
      <c r="AK971" s="8" t="s">
        <v>2582</v>
      </c>
      <c r="AL971" s="8" t="s">
        <v>2583</v>
      </c>
      <c r="AM971" s="8" t="s">
        <v>2552</v>
      </c>
      <c r="AN971" s="8" t="s">
        <v>2584</v>
      </c>
      <c r="AO971" s="8" t="s">
        <v>2163</v>
      </c>
      <c r="AP971" s="8" t="s">
        <v>2164</v>
      </c>
      <c r="AQ971" s="8" t="s">
        <v>2164</v>
      </c>
      <c r="AR971" s="8" t="s">
        <v>124</v>
      </c>
      <c r="AS971" s="8" t="s">
        <v>125</v>
      </c>
      <c r="AT971">
        <v>2</v>
      </c>
      <c r="AU971" s="8" t="s">
        <v>126</v>
      </c>
      <c r="AV971" s="8" t="s">
        <v>112</v>
      </c>
      <c r="AW971" s="8" t="s">
        <v>2585</v>
      </c>
      <c r="AX971">
        <v>1</v>
      </c>
      <c r="AY971" s="8" t="s">
        <v>129</v>
      </c>
      <c r="AZ971">
        <v>61127.9</v>
      </c>
      <c r="BA971">
        <v>4464825</v>
      </c>
      <c r="BB971">
        <v>71287.86</v>
      </c>
      <c r="BC971">
        <v>73.040700000000001</v>
      </c>
      <c r="BD971" s="8" t="s">
        <v>130</v>
      </c>
      <c r="BE971" s="8" t="s">
        <v>112</v>
      </c>
      <c r="BF971" s="8" t="s">
        <v>2586</v>
      </c>
      <c r="BG971" s="8" t="s">
        <v>133</v>
      </c>
      <c r="BH971" s="8" t="s">
        <v>134</v>
      </c>
      <c r="BI971" s="8" t="s">
        <v>112</v>
      </c>
      <c r="BJ971" s="8" t="s">
        <v>112</v>
      </c>
      <c r="BK971" s="8" t="s">
        <v>112</v>
      </c>
      <c r="BL971" s="8" t="s">
        <v>2587</v>
      </c>
      <c r="BM971" s="8" t="s">
        <v>2588</v>
      </c>
      <c r="BN971" s="8" t="s">
        <v>2589</v>
      </c>
      <c r="BO971" s="8" t="s">
        <v>2590</v>
      </c>
      <c r="BP971">
        <v>1</v>
      </c>
      <c r="BQ971" s="8" t="s">
        <v>2591</v>
      </c>
      <c r="BR971" s="45">
        <f>ISNUMBER(SEARCH($BR$1,Таблица1[[#This Row],[31_1 Описание и характеристика товара]]))*1</f>
        <v>0</v>
      </c>
      <c r="BT971" s="8" t="s">
        <v>2578</v>
      </c>
      <c r="BU971">
        <v>17</v>
      </c>
      <c r="BV971">
        <v>0</v>
      </c>
      <c r="BW971">
        <v>31</v>
      </c>
      <c r="BX971" t="s">
        <v>2147</v>
      </c>
      <c r="BY971">
        <v>0</v>
      </c>
      <c r="CA971" s="8" t="s">
        <v>106</v>
      </c>
      <c r="CB971" s="8" t="s">
        <v>2148</v>
      </c>
      <c r="CC971" s="8" t="s">
        <v>112</v>
      </c>
      <c r="CD971" s="8" t="s">
        <v>112</v>
      </c>
      <c r="CE971" s="8" t="s">
        <v>2163</v>
      </c>
      <c r="CF971">
        <v>9958.5</v>
      </c>
      <c r="CG971" t="s">
        <v>144</v>
      </c>
      <c r="CH971">
        <v>4000000</v>
      </c>
      <c r="CI971">
        <v>9623.5</v>
      </c>
      <c r="CJ971">
        <v>0</v>
      </c>
      <c r="CK971" s="8" t="s">
        <v>112</v>
      </c>
      <c r="CL971" s="8" t="s">
        <v>112</v>
      </c>
      <c r="CM971">
        <v>60436</v>
      </c>
      <c r="CN971">
        <v>4414288</v>
      </c>
      <c r="CO971">
        <v>0</v>
      </c>
      <c r="CP971">
        <v>1</v>
      </c>
      <c r="CQ971">
        <v>4845108.82</v>
      </c>
      <c r="CR971">
        <v>70550.25</v>
      </c>
      <c r="CS971" s="8" t="s">
        <v>145</v>
      </c>
      <c r="CT971">
        <v>7.3310000000000004</v>
      </c>
      <c r="CU971">
        <v>1239</v>
      </c>
      <c r="CV971" t="s">
        <v>2592</v>
      </c>
      <c r="CX971" t="s">
        <v>2593</v>
      </c>
      <c r="CY971">
        <v>1178</v>
      </c>
    </row>
    <row r="972" spans="1:103" x14ac:dyDescent="0.25">
      <c r="A972" s="8" t="s">
        <v>106</v>
      </c>
      <c r="B972" s="38">
        <v>45068</v>
      </c>
      <c r="C972" s="43">
        <f>IF(YEAR(Таблица1[[#This Row],[Дата]])=2023,MONTH(Таблица1[[#This Row],[Дата]]),0)</f>
        <v>5</v>
      </c>
      <c r="D972" s="8" t="s">
        <v>2709</v>
      </c>
      <c r="E972" s="8" t="s">
        <v>583</v>
      </c>
      <c r="F972" s="8" t="s">
        <v>2710</v>
      </c>
      <c r="G972" t="s">
        <v>110</v>
      </c>
      <c r="H972" s="8" t="s">
        <v>111</v>
      </c>
      <c r="I972" s="8" t="s">
        <v>112</v>
      </c>
      <c r="J972" s="8" t="s">
        <v>112</v>
      </c>
      <c r="K972" s="8" t="s">
        <v>112</v>
      </c>
      <c r="L972" s="8" t="s">
        <v>2471</v>
      </c>
      <c r="M972" s="8" t="s">
        <v>2472</v>
      </c>
      <c r="N972" s="8" t="s">
        <v>112</v>
      </c>
      <c r="O972" s="8" t="s">
        <v>112</v>
      </c>
      <c r="P972">
        <v>4</v>
      </c>
      <c r="Q972">
        <v>0</v>
      </c>
      <c r="R972">
        <v>9</v>
      </c>
      <c r="S972">
        <v>449</v>
      </c>
      <c r="T972" s="8" t="s">
        <v>2473</v>
      </c>
      <c r="U972" s="8" t="s">
        <v>2474</v>
      </c>
      <c r="V972" s="8" t="s">
        <v>2475</v>
      </c>
      <c r="W972" s="8" t="s">
        <v>2476</v>
      </c>
      <c r="X972" s="8" t="s">
        <v>119</v>
      </c>
      <c r="Y972" s="8" t="s">
        <v>2477</v>
      </c>
      <c r="Z972" s="8" t="s">
        <v>2473</v>
      </c>
      <c r="AA972" s="8" t="s">
        <v>2474</v>
      </c>
      <c r="AB972" s="8" t="s">
        <v>2475</v>
      </c>
      <c r="AC972" s="8" t="s">
        <v>2476</v>
      </c>
      <c r="AD972" s="8" t="s">
        <v>119</v>
      </c>
      <c r="AE972" s="8" t="s">
        <v>2477</v>
      </c>
      <c r="AF972" s="8" t="s">
        <v>2185</v>
      </c>
      <c r="AG972" s="8" t="s">
        <v>2186</v>
      </c>
      <c r="AH972">
        <v>8990505.6600000001</v>
      </c>
      <c r="AI972" s="8" t="s">
        <v>2473</v>
      </c>
      <c r="AJ972" s="8" t="s">
        <v>2474</v>
      </c>
      <c r="AK972" s="8" t="s">
        <v>2475</v>
      </c>
      <c r="AL972" s="8" t="s">
        <v>2476</v>
      </c>
      <c r="AM972" s="8" t="s">
        <v>119</v>
      </c>
      <c r="AN972" s="8" t="s">
        <v>2477</v>
      </c>
      <c r="AO972" s="8" t="s">
        <v>2185</v>
      </c>
      <c r="AP972" s="8" t="s">
        <v>2186</v>
      </c>
      <c r="AQ972" s="8" t="s">
        <v>2186</v>
      </c>
      <c r="AR972" s="8" t="s">
        <v>124</v>
      </c>
      <c r="AS972" s="8" t="s">
        <v>125</v>
      </c>
      <c r="AT972">
        <v>2</v>
      </c>
      <c r="AU972" s="8" t="s">
        <v>126</v>
      </c>
      <c r="AV972" s="8" t="s">
        <v>155</v>
      </c>
      <c r="AW972" s="8" t="s">
        <v>2478</v>
      </c>
      <c r="AX972">
        <v>1</v>
      </c>
      <c r="AY972" s="8" t="s">
        <v>2188</v>
      </c>
      <c r="AZ972">
        <v>129366.92</v>
      </c>
      <c r="BA972">
        <v>8884403</v>
      </c>
      <c r="BB972">
        <v>130911.92</v>
      </c>
      <c r="BC972">
        <v>68.676000000000002</v>
      </c>
      <c r="BD972" s="8" t="s">
        <v>130</v>
      </c>
      <c r="BE972" s="8" t="s">
        <v>112</v>
      </c>
      <c r="BF972" s="8" t="s">
        <v>2479</v>
      </c>
      <c r="BG972" s="8" t="s">
        <v>133</v>
      </c>
      <c r="BH972" s="8" t="s">
        <v>167</v>
      </c>
      <c r="BI972" s="8" t="s">
        <v>2711</v>
      </c>
      <c r="BJ972" s="8" t="s">
        <v>112</v>
      </c>
      <c r="BK972" s="8" t="s">
        <v>112</v>
      </c>
      <c r="BL972" s="8" t="s">
        <v>2587</v>
      </c>
      <c r="BM972" s="8" t="s">
        <v>2712</v>
      </c>
      <c r="BN972" s="8" t="s">
        <v>2713</v>
      </c>
      <c r="BO972" s="8" t="s">
        <v>2714</v>
      </c>
      <c r="BP972">
        <v>1</v>
      </c>
      <c r="BQ972" s="8" t="s">
        <v>2484</v>
      </c>
      <c r="BR972" s="45">
        <f>ISNUMBER(SEARCH($BR$1,Таблица1[[#This Row],[31_1 Описание и характеристика товара]]))*1</f>
        <v>0</v>
      </c>
      <c r="BT972" s="8" t="s">
        <v>2485</v>
      </c>
      <c r="BU972">
        <v>181</v>
      </c>
      <c r="BV972">
        <v>0</v>
      </c>
      <c r="BW972">
        <v>181</v>
      </c>
      <c r="BX972" t="s">
        <v>2147</v>
      </c>
      <c r="BY972">
        <v>0</v>
      </c>
      <c r="CA972" s="8" t="s">
        <v>106</v>
      </c>
      <c r="CB972" s="8" t="s">
        <v>2148</v>
      </c>
      <c r="CC972" s="8" t="s">
        <v>112</v>
      </c>
      <c r="CD972" s="8" t="s">
        <v>112</v>
      </c>
      <c r="CE972" s="8" t="s">
        <v>2185</v>
      </c>
      <c r="CF972">
        <v>5948</v>
      </c>
      <c r="CG972" t="s">
        <v>144</v>
      </c>
      <c r="CH972">
        <v>4000000</v>
      </c>
      <c r="CI972">
        <v>5742</v>
      </c>
      <c r="CJ972">
        <v>0</v>
      </c>
      <c r="CK972" s="8" t="s">
        <v>112</v>
      </c>
      <c r="CL972" s="8" t="s">
        <v>112</v>
      </c>
      <c r="CM972">
        <v>75499.64</v>
      </c>
      <c r="CN972">
        <v>5185013</v>
      </c>
      <c r="CO972">
        <v>0</v>
      </c>
      <c r="CP972">
        <v>1</v>
      </c>
      <c r="CQ972">
        <v>5258074.17</v>
      </c>
      <c r="CR972">
        <v>76563.490000000005</v>
      </c>
      <c r="CS972" s="8" t="s">
        <v>145</v>
      </c>
      <c r="CT972">
        <v>13.3339</v>
      </c>
      <c r="CU972">
        <v>1405</v>
      </c>
      <c r="CV972">
        <v>140</v>
      </c>
      <c r="CX972" t="s">
        <v>2486</v>
      </c>
      <c r="CY972">
        <v>1628</v>
      </c>
    </row>
    <row r="973" spans="1:103" x14ac:dyDescent="0.25">
      <c r="A973" s="8" t="s">
        <v>106</v>
      </c>
      <c r="B973" s="38">
        <v>44855</v>
      </c>
      <c r="C973" s="43">
        <f>IF(YEAR(Таблица1[[#This Row],[Дата]])=2023,MONTH(Таблица1[[#This Row],[Дата]]),0)</f>
        <v>0</v>
      </c>
      <c r="D973" s="8" t="s">
        <v>2544</v>
      </c>
      <c r="E973" s="8" t="s">
        <v>583</v>
      </c>
      <c r="F973" s="8" t="s">
        <v>2545</v>
      </c>
      <c r="G973" t="s">
        <v>110</v>
      </c>
      <c r="H973" s="8" t="s">
        <v>111</v>
      </c>
      <c r="I973" s="8" t="s">
        <v>112</v>
      </c>
      <c r="J973" s="8" t="s">
        <v>112</v>
      </c>
      <c r="K973" s="8" t="s">
        <v>112</v>
      </c>
      <c r="L973" s="8" t="s">
        <v>2546</v>
      </c>
      <c r="M973" s="8" t="s">
        <v>2547</v>
      </c>
      <c r="N973" s="8" t="s">
        <v>112</v>
      </c>
      <c r="O973" s="8" t="s">
        <v>112</v>
      </c>
      <c r="P973">
        <v>1</v>
      </c>
      <c r="Q973">
        <v>0</v>
      </c>
      <c r="R973">
        <v>1</v>
      </c>
      <c r="S973">
        <v>5</v>
      </c>
      <c r="T973" s="8" t="s">
        <v>2548</v>
      </c>
      <c r="U973" s="8" t="s">
        <v>2549</v>
      </c>
      <c r="V973" s="8" t="s">
        <v>2550</v>
      </c>
      <c r="W973" s="8" t="s">
        <v>2551</v>
      </c>
      <c r="X973" s="8" t="s">
        <v>2552</v>
      </c>
      <c r="Y973" s="8" t="s">
        <v>2553</v>
      </c>
      <c r="Z973" s="8" t="s">
        <v>2548</v>
      </c>
      <c r="AA973" s="8" t="s">
        <v>2549</v>
      </c>
      <c r="AB973" s="8" t="s">
        <v>2550</v>
      </c>
      <c r="AC973" s="8" t="s">
        <v>2551</v>
      </c>
      <c r="AD973" s="8" t="s">
        <v>2552</v>
      </c>
      <c r="AE973" s="8" t="s">
        <v>2553</v>
      </c>
      <c r="AF973" s="8" t="s">
        <v>2163</v>
      </c>
      <c r="AG973" s="8" t="s">
        <v>2164</v>
      </c>
      <c r="AH973">
        <v>2828208.94</v>
      </c>
      <c r="AI973" s="8" t="s">
        <v>2548</v>
      </c>
      <c r="AJ973" s="8" t="s">
        <v>2549</v>
      </c>
      <c r="AK973" s="8" t="s">
        <v>2550</v>
      </c>
      <c r="AL973" s="8" t="s">
        <v>2551</v>
      </c>
      <c r="AM973" s="8" t="s">
        <v>2552</v>
      </c>
      <c r="AN973" s="8" t="s">
        <v>2553</v>
      </c>
      <c r="AO973" s="8" t="s">
        <v>2163</v>
      </c>
      <c r="AP973" s="8" t="s">
        <v>2164</v>
      </c>
      <c r="AQ973" s="8" t="s">
        <v>2164</v>
      </c>
      <c r="AR973" s="8" t="s">
        <v>124</v>
      </c>
      <c r="AS973" s="8" t="s">
        <v>125</v>
      </c>
      <c r="AT973">
        <v>2</v>
      </c>
      <c r="AU973" s="8" t="s">
        <v>126</v>
      </c>
      <c r="AV973" s="8" t="s">
        <v>155</v>
      </c>
      <c r="AW973" s="8" t="s">
        <v>2554</v>
      </c>
      <c r="AX973">
        <v>1</v>
      </c>
      <c r="AY973" s="8" t="s">
        <v>129</v>
      </c>
      <c r="AZ973">
        <v>35221</v>
      </c>
      <c r="BA973">
        <v>2572566</v>
      </c>
      <c r="BB973">
        <v>41181.910000000003</v>
      </c>
      <c r="BC973">
        <v>73.040700000000001</v>
      </c>
      <c r="BD973" s="8" t="s">
        <v>130</v>
      </c>
      <c r="BE973" s="8" t="s">
        <v>112</v>
      </c>
      <c r="BF973" s="8" t="s">
        <v>2555</v>
      </c>
      <c r="BG973" s="8" t="s">
        <v>133</v>
      </c>
      <c r="BH973" s="8" t="s">
        <v>134</v>
      </c>
      <c r="BI973" s="8" t="s">
        <v>112</v>
      </c>
      <c r="BJ973" s="8" t="s">
        <v>112</v>
      </c>
      <c r="BK973" s="8" t="s">
        <v>112</v>
      </c>
      <c r="BL973" s="8" t="s">
        <v>2556</v>
      </c>
      <c r="BM973" s="8" t="s">
        <v>2557</v>
      </c>
      <c r="BN973" s="8" t="s">
        <v>2558</v>
      </c>
      <c r="BO973" s="8" t="s">
        <v>2497</v>
      </c>
      <c r="BP973">
        <v>1</v>
      </c>
      <c r="BQ973" s="8" t="s">
        <v>2559</v>
      </c>
      <c r="BR973" s="45">
        <f>ISNUMBER(SEARCH($BR$1,Таблица1[[#This Row],[31_1 Описание и характеристика товара]]))*1</f>
        <v>0</v>
      </c>
      <c r="BT973" s="8" t="s">
        <v>2546</v>
      </c>
      <c r="BU973">
        <v>5</v>
      </c>
      <c r="BV973">
        <v>0</v>
      </c>
      <c r="BW973">
        <v>7</v>
      </c>
      <c r="BX973" t="s">
        <v>2147</v>
      </c>
      <c r="BY973">
        <v>0</v>
      </c>
      <c r="CA973" s="8" t="s">
        <v>106</v>
      </c>
      <c r="CB973" s="8" t="s">
        <v>2148</v>
      </c>
      <c r="CC973" s="8" t="s">
        <v>112</v>
      </c>
      <c r="CD973" s="8" t="s">
        <v>112</v>
      </c>
      <c r="CE973" s="8" t="s">
        <v>2163</v>
      </c>
      <c r="CF973">
        <v>10880</v>
      </c>
      <c r="CG973" t="s">
        <v>144</v>
      </c>
      <c r="CH973">
        <v>4000000</v>
      </c>
      <c r="CI973">
        <v>10835</v>
      </c>
      <c r="CJ973">
        <v>0</v>
      </c>
      <c r="CK973" s="8" t="s">
        <v>112</v>
      </c>
      <c r="CL973" s="8" t="s">
        <v>112</v>
      </c>
      <c r="CM973">
        <v>35221</v>
      </c>
      <c r="CN973">
        <v>2572566</v>
      </c>
      <c r="CO973">
        <v>2</v>
      </c>
      <c r="CP973">
        <v>1</v>
      </c>
      <c r="CQ973">
        <v>2828208.94</v>
      </c>
      <c r="CR973">
        <v>41181.910000000003</v>
      </c>
      <c r="CS973" s="8" t="s">
        <v>2560</v>
      </c>
      <c r="CT973">
        <v>3.8008000000000002</v>
      </c>
      <c r="CX973" t="s">
        <v>2561</v>
      </c>
      <c r="CY973">
        <v>1615</v>
      </c>
    </row>
    <row r="974" spans="1:103" x14ac:dyDescent="0.25">
      <c r="A974" s="8" t="s">
        <v>106</v>
      </c>
      <c r="B974" s="38">
        <v>45203</v>
      </c>
      <c r="C974" s="43">
        <f>IF(YEAR(Таблица1[[#This Row],[Дата]])=2023,MONTH(Таблица1[[#This Row],[Дата]]),0)</f>
        <v>10</v>
      </c>
      <c r="D974" s="8" t="s">
        <v>2736</v>
      </c>
      <c r="E974" s="8" t="s">
        <v>583</v>
      </c>
      <c r="F974" s="8" t="s">
        <v>2737</v>
      </c>
      <c r="G974" t="s">
        <v>110</v>
      </c>
      <c r="H974" s="8" t="s">
        <v>111</v>
      </c>
      <c r="I974" s="8" t="s">
        <v>112</v>
      </c>
      <c r="J974" s="8" t="s">
        <v>112</v>
      </c>
      <c r="K974" s="8" t="s">
        <v>112</v>
      </c>
      <c r="L974" s="8" t="s">
        <v>2738</v>
      </c>
      <c r="M974" s="8" t="s">
        <v>2739</v>
      </c>
      <c r="N974" s="8" t="s">
        <v>112</v>
      </c>
      <c r="O974" s="8" t="s">
        <v>112</v>
      </c>
      <c r="P974">
        <v>16</v>
      </c>
      <c r="Q974">
        <v>0</v>
      </c>
      <c r="R974">
        <v>45</v>
      </c>
      <c r="S974">
        <v>164</v>
      </c>
      <c r="T974" s="8" t="s">
        <v>2740</v>
      </c>
      <c r="U974" s="8" t="s">
        <v>2741</v>
      </c>
      <c r="V974" s="8" t="s">
        <v>2742</v>
      </c>
      <c r="W974" s="8" t="s">
        <v>2743</v>
      </c>
      <c r="X974" s="8" t="s">
        <v>2552</v>
      </c>
      <c r="Y974" s="8" t="s">
        <v>2671</v>
      </c>
      <c r="Z974" s="8" t="s">
        <v>2740</v>
      </c>
      <c r="AA974" s="8" t="s">
        <v>2741</v>
      </c>
      <c r="AB974" s="8" t="s">
        <v>2742</v>
      </c>
      <c r="AC974" s="8" t="s">
        <v>2743</v>
      </c>
      <c r="AD974" s="8" t="s">
        <v>2552</v>
      </c>
      <c r="AE974" s="8" t="s">
        <v>2671</v>
      </c>
      <c r="AF974" s="8" t="s">
        <v>2398</v>
      </c>
      <c r="AG974" s="8" t="s">
        <v>2399</v>
      </c>
      <c r="AH974">
        <v>15480139.279999901</v>
      </c>
      <c r="AI974" s="8" t="s">
        <v>2740</v>
      </c>
      <c r="AJ974" s="8" t="s">
        <v>2741</v>
      </c>
      <c r="AK974" s="8" t="s">
        <v>2742</v>
      </c>
      <c r="AL974" s="8" t="s">
        <v>2743</v>
      </c>
      <c r="AM974" s="8" t="s">
        <v>2552</v>
      </c>
      <c r="AN974" s="8" t="s">
        <v>2671</v>
      </c>
      <c r="AO974" s="8" t="s">
        <v>2398</v>
      </c>
      <c r="AP974" s="8" t="s">
        <v>2399</v>
      </c>
      <c r="AQ974" s="8" t="s">
        <v>2744</v>
      </c>
      <c r="AR974" s="8" t="s">
        <v>124</v>
      </c>
      <c r="AS974" s="8" t="s">
        <v>125</v>
      </c>
      <c r="AT974">
        <v>2</v>
      </c>
      <c r="AU974" s="8" t="s">
        <v>126</v>
      </c>
      <c r="AV974" s="8" t="s">
        <v>155</v>
      </c>
      <c r="AW974" s="8" t="s">
        <v>2745</v>
      </c>
      <c r="AX974">
        <v>1</v>
      </c>
      <c r="AY974" s="8" t="s">
        <v>129</v>
      </c>
      <c r="AZ974">
        <v>211188.58</v>
      </c>
      <c r="BA974">
        <v>15425362</v>
      </c>
      <c r="BB974">
        <v>225408.29</v>
      </c>
      <c r="BC974">
        <v>73.040700000000001</v>
      </c>
      <c r="BD974" s="8" t="s">
        <v>130</v>
      </c>
      <c r="BE974" s="8" t="s">
        <v>112</v>
      </c>
      <c r="BF974" s="8" t="s">
        <v>2746</v>
      </c>
      <c r="BG974" s="8" t="s">
        <v>133</v>
      </c>
      <c r="BH974" s="8" t="s">
        <v>134</v>
      </c>
      <c r="BI974" s="8" t="s">
        <v>112</v>
      </c>
      <c r="BJ974" s="8" t="s">
        <v>112</v>
      </c>
      <c r="BK974" s="8" t="s">
        <v>112</v>
      </c>
      <c r="BL974" s="8" t="s">
        <v>2587</v>
      </c>
      <c r="BM974" s="8" t="s">
        <v>2747</v>
      </c>
      <c r="BN974" s="8" t="s">
        <v>2748</v>
      </c>
      <c r="BO974" s="8" t="s">
        <v>2749</v>
      </c>
      <c r="BP974">
        <v>1</v>
      </c>
      <c r="BQ974" s="8" t="s">
        <v>2754</v>
      </c>
      <c r="BR974" s="45">
        <f>ISNUMBER(SEARCH($BR$1,Таблица1[[#This Row],[31_1 Описание и характеристика товара]]))*1</f>
        <v>0</v>
      </c>
      <c r="BT974" s="8" t="s">
        <v>2751</v>
      </c>
      <c r="BU974">
        <v>2</v>
      </c>
      <c r="BV974">
        <v>0</v>
      </c>
      <c r="BW974">
        <v>2</v>
      </c>
      <c r="BX974" t="s">
        <v>2147</v>
      </c>
      <c r="BY974">
        <v>0</v>
      </c>
      <c r="CA974" s="8" t="s">
        <v>106</v>
      </c>
      <c r="CB974" s="8" t="s">
        <v>2467</v>
      </c>
      <c r="CC974" s="8" t="s">
        <v>112</v>
      </c>
      <c r="CD974" s="8" t="s">
        <v>112</v>
      </c>
      <c r="CE974" s="8" t="s">
        <v>2752</v>
      </c>
      <c r="CF974">
        <v>322</v>
      </c>
      <c r="CG974" t="s">
        <v>144</v>
      </c>
      <c r="CH974">
        <v>4000000</v>
      </c>
      <c r="CI974">
        <v>300</v>
      </c>
      <c r="CJ974">
        <v>0</v>
      </c>
      <c r="CK974" s="8" t="s">
        <v>112</v>
      </c>
      <c r="CL974" s="8" t="s">
        <v>112</v>
      </c>
      <c r="CM974">
        <v>1192</v>
      </c>
      <c r="CN974">
        <v>87065</v>
      </c>
      <c r="CO974">
        <v>0</v>
      </c>
      <c r="CP974">
        <v>1</v>
      </c>
      <c r="CQ974">
        <v>88631.23</v>
      </c>
      <c r="CR974">
        <v>1290.57</v>
      </c>
      <c r="CS974" s="8" t="s">
        <v>145</v>
      </c>
      <c r="CT974">
        <v>4.3018999999999998</v>
      </c>
      <c r="CX974" t="s">
        <v>2753</v>
      </c>
      <c r="CY974">
        <v>1370</v>
      </c>
    </row>
    <row r="975" spans="1:103" x14ac:dyDescent="0.25">
      <c r="A975" s="8" t="s">
        <v>106</v>
      </c>
      <c r="B975" s="38">
        <v>45272</v>
      </c>
      <c r="C975" s="43">
        <f>IF(YEAR(Таблица1[[#This Row],[Дата]])=2023,MONTH(Таблица1[[#This Row],[Дата]]),0)</f>
        <v>12</v>
      </c>
      <c r="D975" s="8" t="s">
        <v>2736</v>
      </c>
      <c r="E975" s="8" t="s">
        <v>583</v>
      </c>
      <c r="F975" s="8" t="s">
        <v>2737</v>
      </c>
      <c r="G975" t="s">
        <v>110</v>
      </c>
      <c r="H975" s="8" t="s">
        <v>111</v>
      </c>
      <c r="I975" s="8" t="s">
        <v>112</v>
      </c>
      <c r="J975" s="8" t="s">
        <v>112</v>
      </c>
      <c r="K975" s="8" t="s">
        <v>112</v>
      </c>
      <c r="L975" s="8" t="s">
        <v>2738</v>
      </c>
      <c r="M975" s="8" t="s">
        <v>2739</v>
      </c>
      <c r="N975" s="8" t="s">
        <v>112</v>
      </c>
      <c r="O975" s="8" t="s">
        <v>112</v>
      </c>
      <c r="P975">
        <v>16</v>
      </c>
      <c r="Q975">
        <v>0</v>
      </c>
      <c r="R975">
        <v>45</v>
      </c>
      <c r="S975">
        <v>164</v>
      </c>
      <c r="T975" s="8" t="s">
        <v>2740</v>
      </c>
      <c r="U975" s="8" t="s">
        <v>2741</v>
      </c>
      <c r="V975" s="8" t="s">
        <v>2742</v>
      </c>
      <c r="W975" s="8" t="s">
        <v>2743</v>
      </c>
      <c r="X975" s="8" t="s">
        <v>2552</v>
      </c>
      <c r="Y975" s="8" t="s">
        <v>2671</v>
      </c>
      <c r="Z975" s="8" t="s">
        <v>2740</v>
      </c>
      <c r="AA975" s="8" t="s">
        <v>2741</v>
      </c>
      <c r="AB975" s="8" t="s">
        <v>2742</v>
      </c>
      <c r="AC975" s="8" t="s">
        <v>2743</v>
      </c>
      <c r="AD975" s="8" t="s">
        <v>2552</v>
      </c>
      <c r="AE975" s="8" t="s">
        <v>2671</v>
      </c>
      <c r="AF975" s="8" t="s">
        <v>2398</v>
      </c>
      <c r="AG975" s="8" t="s">
        <v>2399</v>
      </c>
      <c r="AH975">
        <v>15480139.279999901</v>
      </c>
      <c r="AI975" s="8" t="s">
        <v>2740</v>
      </c>
      <c r="AJ975" s="8" t="s">
        <v>2741</v>
      </c>
      <c r="AK975" s="8" t="s">
        <v>2742</v>
      </c>
      <c r="AL975" s="8" t="s">
        <v>2743</v>
      </c>
      <c r="AM975" s="8" t="s">
        <v>2552</v>
      </c>
      <c r="AN975" s="8" t="s">
        <v>2671</v>
      </c>
      <c r="AO975" s="8" t="s">
        <v>2398</v>
      </c>
      <c r="AP975" s="8" t="s">
        <v>2399</v>
      </c>
      <c r="AQ975" s="8" t="s">
        <v>2744</v>
      </c>
      <c r="AR975" s="8" t="s">
        <v>124</v>
      </c>
      <c r="AS975" s="8" t="s">
        <v>125</v>
      </c>
      <c r="AT975">
        <v>2</v>
      </c>
      <c r="AU975" s="8" t="s">
        <v>126</v>
      </c>
      <c r="AV975" s="8" t="s">
        <v>155</v>
      </c>
      <c r="AW975" s="8" t="s">
        <v>2745</v>
      </c>
      <c r="AX975">
        <v>1</v>
      </c>
      <c r="AY975" s="8" t="s">
        <v>129</v>
      </c>
      <c r="AZ975">
        <v>211188.58</v>
      </c>
      <c r="BA975">
        <v>15425362</v>
      </c>
      <c r="BB975">
        <v>225408.29</v>
      </c>
      <c r="BC975">
        <v>73.040700000000001</v>
      </c>
      <c r="BD975" s="8" t="s">
        <v>130</v>
      </c>
      <c r="BE975" s="8" t="s">
        <v>112</v>
      </c>
      <c r="BF975" s="8" t="s">
        <v>2746</v>
      </c>
      <c r="BG975" s="8" t="s">
        <v>133</v>
      </c>
      <c r="BH975" s="8" t="s">
        <v>134</v>
      </c>
      <c r="BI975" s="8" t="s">
        <v>112</v>
      </c>
      <c r="BJ975" s="8" t="s">
        <v>112</v>
      </c>
      <c r="BK975" s="8" t="s">
        <v>112</v>
      </c>
      <c r="BL975" s="8" t="s">
        <v>2587</v>
      </c>
      <c r="BM975" s="8" t="s">
        <v>2747</v>
      </c>
      <c r="BN975" s="8" t="s">
        <v>2748</v>
      </c>
      <c r="BO975" s="8" t="s">
        <v>2749</v>
      </c>
      <c r="BP975">
        <v>2</v>
      </c>
      <c r="BQ975" s="8" t="s">
        <v>2750</v>
      </c>
      <c r="BR975" s="45">
        <f>ISNUMBER(SEARCH($BR$1,Таблица1[[#This Row],[31_1 Описание и характеристика товара]]))*1</f>
        <v>0</v>
      </c>
      <c r="BT975" s="8" t="s">
        <v>2751</v>
      </c>
      <c r="BU975">
        <v>159</v>
      </c>
      <c r="BV975">
        <v>0</v>
      </c>
      <c r="BW975">
        <v>159</v>
      </c>
      <c r="BX975" t="s">
        <v>2147</v>
      </c>
      <c r="BY975">
        <v>0</v>
      </c>
      <c r="CA975" s="8" t="s">
        <v>596</v>
      </c>
      <c r="CB975" s="8" t="s">
        <v>2148</v>
      </c>
      <c r="CC975" s="8" t="s">
        <v>112</v>
      </c>
      <c r="CD975" s="8" t="s">
        <v>112</v>
      </c>
      <c r="CE975" s="8" t="s">
        <v>2752</v>
      </c>
      <c r="CF975">
        <v>10106</v>
      </c>
      <c r="CG975" t="s">
        <v>144</v>
      </c>
      <c r="CH975">
        <v>4000000</v>
      </c>
      <c r="CI975">
        <v>9152</v>
      </c>
      <c r="CJ975">
        <v>0</v>
      </c>
      <c r="CK975" s="8" t="s">
        <v>112</v>
      </c>
      <c r="CL975" s="8" t="s">
        <v>112</v>
      </c>
      <c r="CM975">
        <v>166661</v>
      </c>
      <c r="CN975">
        <v>12173036</v>
      </c>
      <c r="CO975">
        <v>0</v>
      </c>
      <c r="CP975">
        <v>1</v>
      </c>
      <c r="CQ975">
        <v>12222236.32</v>
      </c>
      <c r="CR975">
        <v>177969.54</v>
      </c>
      <c r="CS975" s="8" t="s">
        <v>145</v>
      </c>
      <c r="CT975">
        <v>19.446000000000002</v>
      </c>
      <c r="CX975" t="s">
        <v>2753</v>
      </c>
      <c r="CY975">
        <v>1370</v>
      </c>
    </row>
    <row r="976" spans="1:103" x14ac:dyDescent="0.25">
      <c r="A976" s="8" t="s">
        <v>106</v>
      </c>
      <c r="B976" s="38">
        <v>45056</v>
      </c>
      <c r="C976" s="43">
        <f>IF(YEAR(Таблица1[[#This Row],[Дата]])=2023,MONTH(Таблица1[[#This Row],[Дата]]),0)</f>
        <v>5</v>
      </c>
      <c r="D976" s="8" t="s">
        <v>2597</v>
      </c>
      <c r="E976" s="8" t="s">
        <v>583</v>
      </c>
      <c r="F976" s="8" t="s">
        <v>2598</v>
      </c>
      <c r="G976" t="s">
        <v>110</v>
      </c>
      <c r="H976" s="8" t="s">
        <v>111</v>
      </c>
      <c r="I976" s="8" t="s">
        <v>112</v>
      </c>
      <c r="J976" s="8" t="s">
        <v>112</v>
      </c>
      <c r="K976" s="8" t="s">
        <v>112</v>
      </c>
      <c r="L976" s="8" t="s">
        <v>2161</v>
      </c>
      <c r="M976" s="8" t="s">
        <v>2162</v>
      </c>
      <c r="N976" s="8" t="s">
        <v>112</v>
      </c>
      <c r="O976" s="8" t="s">
        <v>112</v>
      </c>
      <c r="P976">
        <v>1</v>
      </c>
      <c r="Q976">
        <v>0</v>
      </c>
      <c r="R976">
        <v>1</v>
      </c>
      <c r="S976">
        <v>91</v>
      </c>
      <c r="T976" s="8" t="s">
        <v>2136</v>
      </c>
      <c r="U976" s="8" t="s">
        <v>2137</v>
      </c>
      <c r="V976" s="8" t="s">
        <v>2141</v>
      </c>
      <c r="W976" s="8" t="s">
        <v>2139</v>
      </c>
      <c r="X976" s="8" t="s">
        <v>119</v>
      </c>
      <c r="Y976" s="8" t="s">
        <v>2140</v>
      </c>
      <c r="Z976" s="8" t="s">
        <v>2136</v>
      </c>
      <c r="AA976" s="8" t="s">
        <v>2137</v>
      </c>
      <c r="AB976" s="8" t="s">
        <v>2141</v>
      </c>
      <c r="AC976" s="8" t="s">
        <v>2139</v>
      </c>
      <c r="AD976" s="8" t="s">
        <v>119</v>
      </c>
      <c r="AE976" s="8" t="s">
        <v>2140</v>
      </c>
      <c r="AF976" s="8" t="s">
        <v>2163</v>
      </c>
      <c r="AG976" s="8" t="s">
        <v>2164</v>
      </c>
      <c r="AH976">
        <v>10143171.5</v>
      </c>
      <c r="AI976" s="8" t="s">
        <v>2136</v>
      </c>
      <c r="AJ976" s="8" t="s">
        <v>2137</v>
      </c>
      <c r="AK976" s="8" t="s">
        <v>2141</v>
      </c>
      <c r="AL976" s="8" t="s">
        <v>2139</v>
      </c>
      <c r="AM976" s="8" t="s">
        <v>119</v>
      </c>
      <c r="AN976" s="8" t="s">
        <v>2140</v>
      </c>
      <c r="AO976" s="8" t="s">
        <v>2163</v>
      </c>
      <c r="AP976" s="8" t="s">
        <v>2164</v>
      </c>
      <c r="AQ976" s="8" t="s">
        <v>2164</v>
      </c>
      <c r="AR976" s="8" t="s">
        <v>124</v>
      </c>
      <c r="AS976" s="8" t="s">
        <v>125</v>
      </c>
      <c r="AT976">
        <v>2</v>
      </c>
      <c r="AU976" s="8" t="s">
        <v>126</v>
      </c>
      <c r="AV976" s="8" t="s">
        <v>127</v>
      </c>
      <c r="AW976" s="8" t="s">
        <v>2165</v>
      </c>
      <c r="AX976">
        <v>1</v>
      </c>
      <c r="AY976" s="8" t="s">
        <v>129</v>
      </c>
      <c r="AZ976">
        <v>133110.13</v>
      </c>
      <c r="BA976">
        <v>9722457</v>
      </c>
      <c r="BB976">
        <v>147696.01</v>
      </c>
      <c r="BC976">
        <v>73.040700000000001</v>
      </c>
      <c r="BD976" s="8" t="s">
        <v>130</v>
      </c>
      <c r="BE976" s="8" t="s">
        <v>131</v>
      </c>
      <c r="BF976" s="8" t="s">
        <v>2166</v>
      </c>
      <c r="BG976" s="8" t="s">
        <v>133</v>
      </c>
      <c r="BH976" s="8" t="s">
        <v>134</v>
      </c>
      <c r="BI976" s="8" t="s">
        <v>112</v>
      </c>
      <c r="BJ976" s="8" t="s">
        <v>112</v>
      </c>
      <c r="BK976" s="8" t="s">
        <v>112</v>
      </c>
      <c r="BL976" s="8" t="s">
        <v>588</v>
      </c>
      <c r="BM976" s="8" t="s">
        <v>901</v>
      </c>
      <c r="BN976" s="8" t="s">
        <v>590</v>
      </c>
      <c r="BO976" s="8" t="s">
        <v>591</v>
      </c>
      <c r="BP976">
        <v>1</v>
      </c>
      <c r="BQ976" s="8" t="s">
        <v>2599</v>
      </c>
      <c r="BR976" s="45">
        <f>ISNUMBER(SEARCH($BR$1,Таблица1[[#This Row],[31_1 Описание и характеристика товара]]))*1</f>
        <v>0</v>
      </c>
      <c r="BT976" s="8" t="s">
        <v>2161</v>
      </c>
      <c r="BU976">
        <v>91</v>
      </c>
      <c r="BV976">
        <v>0</v>
      </c>
      <c r="BW976">
        <v>341</v>
      </c>
      <c r="BX976" t="s">
        <v>2147</v>
      </c>
      <c r="BY976">
        <v>0</v>
      </c>
      <c r="CA976" s="8" t="s">
        <v>106</v>
      </c>
      <c r="CB976" s="8" t="s">
        <v>2148</v>
      </c>
      <c r="CC976" s="8" t="s">
        <v>112</v>
      </c>
      <c r="CD976" s="8" t="s">
        <v>112</v>
      </c>
      <c r="CE976" s="8" t="s">
        <v>2163</v>
      </c>
      <c r="CF976">
        <v>17018.900000000001</v>
      </c>
      <c r="CG976" t="s">
        <v>144</v>
      </c>
      <c r="CH976">
        <v>4000000</v>
      </c>
      <c r="CI976">
        <v>16948.28</v>
      </c>
      <c r="CJ976">
        <v>0</v>
      </c>
      <c r="CK976" s="8" t="s">
        <v>112</v>
      </c>
      <c r="CL976" s="8" t="s">
        <v>112</v>
      </c>
      <c r="CM976">
        <v>133110.13</v>
      </c>
      <c r="CN976">
        <v>9722457</v>
      </c>
      <c r="CO976">
        <v>0</v>
      </c>
      <c r="CP976">
        <v>1</v>
      </c>
      <c r="CQ976">
        <v>10143171.5</v>
      </c>
      <c r="CR976">
        <v>147696.01</v>
      </c>
      <c r="CS976" s="8" t="s">
        <v>145</v>
      </c>
      <c r="CT976">
        <v>8.7144999999999992</v>
      </c>
      <c r="CU976">
        <v>1053</v>
      </c>
      <c r="CV976" t="s">
        <v>2149</v>
      </c>
      <c r="CX976" t="s">
        <v>2150</v>
      </c>
      <c r="CY976">
        <v>1213</v>
      </c>
    </row>
    <row r="977" spans="1:103" x14ac:dyDescent="0.25">
      <c r="A977" s="8" t="s">
        <v>106</v>
      </c>
      <c r="B977" s="38">
        <v>45199</v>
      </c>
      <c r="C977" s="43">
        <f>IF(YEAR(Таблица1[[#This Row],[Дата]])=2023,MONTH(Таблица1[[#This Row],[Дата]]),0)</f>
        <v>9</v>
      </c>
      <c r="D977" s="8" t="s">
        <v>2663</v>
      </c>
      <c r="E977" s="8" t="s">
        <v>583</v>
      </c>
      <c r="F977" s="8" t="s">
        <v>2664</v>
      </c>
      <c r="G977" t="s">
        <v>110</v>
      </c>
      <c r="H977" s="8" t="s">
        <v>111</v>
      </c>
      <c r="I977" s="8" t="s">
        <v>112</v>
      </c>
      <c r="J977" s="8" t="s">
        <v>112</v>
      </c>
      <c r="K977" s="8" t="s">
        <v>112</v>
      </c>
      <c r="L977" s="8" t="s">
        <v>2665</v>
      </c>
      <c r="M977" s="8" t="s">
        <v>2666</v>
      </c>
      <c r="N977" s="8" t="s">
        <v>112</v>
      </c>
      <c r="O977" s="8" t="s">
        <v>112</v>
      </c>
      <c r="P977">
        <v>1</v>
      </c>
      <c r="Q977">
        <v>0</v>
      </c>
      <c r="R977">
        <v>1</v>
      </c>
      <c r="S977">
        <v>72</v>
      </c>
      <c r="T977" s="8" t="s">
        <v>2667</v>
      </c>
      <c r="U977" s="8" t="s">
        <v>2668</v>
      </c>
      <c r="V977" s="8" t="s">
        <v>2669</v>
      </c>
      <c r="W977" s="8" t="s">
        <v>2670</v>
      </c>
      <c r="X977" s="8" t="s">
        <v>2552</v>
      </c>
      <c r="Y977" s="8" t="s">
        <v>2671</v>
      </c>
      <c r="Z977" s="8" t="s">
        <v>2667</v>
      </c>
      <c r="AA977" s="8" t="s">
        <v>2668</v>
      </c>
      <c r="AB977" s="8" t="s">
        <v>2669</v>
      </c>
      <c r="AC977" s="8" t="s">
        <v>2670</v>
      </c>
      <c r="AD977" s="8" t="s">
        <v>2552</v>
      </c>
      <c r="AE977" s="8" t="s">
        <v>2671</v>
      </c>
      <c r="AF977" s="8" t="s">
        <v>2672</v>
      </c>
      <c r="AG977" s="8" t="s">
        <v>2673</v>
      </c>
      <c r="AH977">
        <v>14238595.08</v>
      </c>
      <c r="AI977" s="8" t="s">
        <v>2667</v>
      </c>
      <c r="AJ977" s="8" t="s">
        <v>2668</v>
      </c>
      <c r="AK977" s="8" t="s">
        <v>2669</v>
      </c>
      <c r="AL977" s="8" t="s">
        <v>2670</v>
      </c>
      <c r="AM977" s="8" t="s">
        <v>2552</v>
      </c>
      <c r="AN977" s="8" t="s">
        <v>2671</v>
      </c>
      <c r="AO977" s="8" t="s">
        <v>2672</v>
      </c>
      <c r="AP977" s="8" t="s">
        <v>2673</v>
      </c>
      <c r="AQ977" s="8" t="s">
        <v>2673</v>
      </c>
      <c r="AR977" s="8" t="s">
        <v>124</v>
      </c>
      <c r="AS977" s="8" t="s">
        <v>125</v>
      </c>
      <c r="AT977">
        <v>2</v>
      </c>
      <c r="AU977" s="8" t="s">
        <v>126</v>
      </c>
      <c r="AV977" s="8" t="s">
        <v>2674</v>
      </c>
      <c r="AW977" s="8" t="s">
        <v>2675</v>
      </c>
      <c r="AX977">
        <v>1</v>
      </c>
      <c r="AY977" s="8" t="s">
        <v>2188</v>
      </c>
      <c r="AZ977">
        <v>207330</v>
      </c>
      <c r="BA977">
        <v>14238595</v>
      </c>
      <c r="BB977">
        <v>207330</v>
      </c>
      <c r="BC977">
        <v>68.676000000000002</v>
      </c>
      <c r="BD977" s="8" t="s">
        <v>130</v>
      </c>
      <c r="BE977" s="8" t="s">
        <v>131</v>
      </c>
      <c r="BF977" s="8" t="s">
        <v>2676</v>
      </c>
      <c r="BG977" s="8" t="s">
        <v>133</v>
      </c>
      <c r="BH977" s="8" t="s">
        <v>134</v>
      </c>
      <c r="BI977" s="8" t="s">
        <v>112</v>
      </c>
      <c r="BJ977" s="8" t="s">
        <v>112</v>
      </c>
      <c r="BK977" s="8" t="s">
        <v>112</v>
      </c>
      <c r="BL977" s="8" t="s">
        <v>2587</v>
      </c>
      <c r="BM977" s="8" t="s">
        <v>2677</v>
      </c>
      <c r="BN977" s="8" t="s">
        <v>2678</v>
      </c>
      <c r="BO977" s="8" t="s">
        <v>2679</v>
      </c>
      <c r="BP977">
        <v>1</v>
      </c>
      <c r="BQ977" s="8" t="s">
        <v>2680</v>
      </c>
      <c r="BR977" s="45">
        <f>ISNUMBER(SEARCH($BR$1,Таблица1[[#This Row],[31_1 Описание и характеристика товара]]))*1</f>
        <v>0</v>
      </c>
      <c r="BT977" s="8" t="s">
        <v>2681</v>
      </c>
      <c r="BU977">
        <v>72</v>
      </c>
      <c r="BV977">
        <v>0</v>
      </c>
      <c r="BW977">
        <v>432</v>
      </c>
      <c r="BX977" t="s">
        <v>2147</v>
      </c>
      <c r="BY977">
        <v>0</v>
      </c>
      <c r="CA977" s="8" t="s">
        <v>106</v>
      </c>
      <c r="CB977" s="8" t="s">
        <v>2148</v>
      </c>
      <c r="CC977" s="8" t="s">
        <v>112</v>
      </c>
      <c r="CD977" s="8" t="s">
        <v>112</v>
      </c>
      <c r="CE977" s="8" t="s">
        <v>2672</v>
      </c>
      <c r="CF977">
        <v>17016</v>
      </c>
      <c r="CG977" t="s">
        <v>2682</v>
      </c>
      <c r="CH977">
        <v>4000000</v>
      </c>
      <c r="CI977">
        <v>14820</v>
      </c>
      <c r="CJ977">
        <v>0</v>
      </c>
      <c r="CK977" s="8" t="s">
        <v>112</v>
      </c>
      <c r="CL977" s="8" t="s">
        <v>112</v>
      </c>
      <c r="CM977">
        <v>207330</v>
      </c>
      <c r="CN977">
        <v>14238595</v>
      </c>
      <c r="CO977">
        <v>0</v>
      </c>
      <c r="CP977">
        <v>1</v>
      </c>
      <c r="CQ977">
        <v>14238595.08</v>
      </c>
      <c r="CR977">
        <v>207330</v>
      </c>
      <c r="CS977" s="8" t="s">
        <v>145</v>
      </c>
      <c r="CT977">
        <v>13.9899</v>
      </c>
      <c r="CU977">
        <v>1085</v>
      </c>
      <c r="CV977" t="s">
        <v>2683</v>
      </c>
      <c r="CX977" t="s">
        <v>2684</v>
      </c>
      <c r="CY977">
        <v>1442</v>
      </c>
    </row>
    <row r="978" spans="1:103" x14ac:dyDescent="0.25">
      <c r="A978" s="8" t="s">
        <v>106</v>
      </c>
      <c r="B978" s="38">
        <v>45200</v>
      </c>
      <c r="C978" s="43">
        <f>IF(YEAR(Таблица1[[#This Row],[Дата]])=2023,MONTH(Таблица1[[#This Row],[Дата]]),0)</f>
        <v>10</v>
      </c>
      <c r="D978" s="8" t="s">
        <v>2818</v>
      </c>
      <c r="E978" s="8" t="s">
        <v>583</v>
      </c>
      <c r="F978" s="8" t="s">
        <v>2819</v>
      </c>
      <c r="G978" t="s">
        <v>110</v>
      </c>
      <c r="H978" s="8" t="s">
        <v>111</v>
      </c>
      <c r="I978" s="8" t="s">
        <v>112</v>
      </c>
      <c r="J978" s="8" t="s">
        <v>112</v>
      </c>
      <c r="K978" s="8" t="s">
        <v>112</v>
      </c>
      <c r="L978" s="8" t="s">
        <v>2349</v>
      </c>
      <c r="M978" s="8" t="s">
        <v>2350</v>
      </c>
      <c r="N978" s="8" t="s">
        <v>112</v>
      </c>
      <c r="O978" s="8" t="s">
        <v>112</v>
      </c>
      <c r="P978">
        <v>1</v>
      </c>
      <c r="Q978">
        <v>0</v>
      </c>
      <c r="R978">
        <v>1</v>
      </c>
      <c r="S978">
        <v>30</v>
      </c>
      <c r="T978" s="8" t="s">
        <v>2351</v>
      </c>
      <c r="U978" s="8" t="s">
        <v>2352</v>
      </c>
      <c r="V978" s="8" t="s">
        <v>2353</v>
      </c>
      <c r="W978" s="8" t="s">
        <v>2354</v>
      </c>
      <c r="X978" s="8" t="s">
        <v>119</v>
      </c>
      <c r="Y978" s="8" t="s">
        <v>2140</v>
      </c>
      <c r="Z978" s="8" t="s">
        <v>2351</v>
      </c>
      <c r="AA978" s="8" t="s">
        <v>2352</v>
      </c>
      <c r="AB978" s="8" t="s">
        <v>2353</v>
      </c>
      <c r="AC978" s="8" t="s">
        <v>2354</v>
      </c>
      <c r="AD978" s="8" t="s">
        <v>119</v>
      </c>
      <c r="AE978" s="8" t="s">
        <v>2140</v>
      </c>
      <c r="AF978" s="8" t="s">
        <v>2355</v>
      </c>
      <c r="AG978" s="8" t="s">
        <v>2356</v>
      </c>
      <c r="AH978">
        <v>10130116.779999901</v>
      </c>
      <c r="AI978" s="8" t="s">
        <v>2351</v>
      </c>
      <c r="AJ978" s="8" t="s">
        <v>2352</v>
      </c>
      <c r="AK978" s="8" t="s">
        <v>2353</v>
      </c>
      <c r="AL978" s="8" t="s">
        <v>2354</v>
      </c>
      <c r="AM978" s="8" t="s">
        <v>119</v>
      </c>
      <c r="AN978" s="8" t="s">
        <v>2140</v>
      </c>
      <c r="AO978" s="8" t="s">
        <v>2355</v>
      </c>
      <c r="AP978" s="8" t="s">
        <v>2356</v>
      </c>
      <c r="AQ978" s="8" t="s">
        <v>2356</v>
      </c>
      <c r="AR978" s="8" t="s">
        <v>124</v>
      </c>
      <c r="AS978" s="8" t="s">
        <v>125</v>
      </c>
      <c r="AT978">
        <v>2</v>
      </c>
      <c r="AU978" s="8" t="s">
        <v>126</v>
      </c>
      <c r="AV978" s="8" t="s">
        <v>127</v>
      </c>
      <c r="AW978" s="8" t="s">
        <v>2357</v>
      </c>
      <c r="AX978">
        <v>1</v>
      </c>
      <c r="AY978" s="8" t="s">
        <v>129</v>
      </c>
      <c r="AZ978">
        <v>130320</v>
      </c>
      <c r="BA978">
        <v>9988324</v>
      </c>
      <c r="BB978">
        <v>140441.32</v>
      </c>
      <c r="BC978">
        <v>76.644599999999897</v>
      </c>
      <c r="BD978" s="8" t="s">
        <v>130</v>
      </c>
      <c r="BE978" s="8" t="s">
        <v>131</v>
      </c>
      <c r="BF978" s="8" t="s">
        <v>2358</v>
      </c>
      <c r="BG978" s="8" t="s">
        <v>133</v>
      </c>
      <c r="BH978" s="8" t="s">
        <v>134</v>
      </c>
      <c r="BI978" s="8" t="s">
        <v>112</v>
      </c>
      <c r="BJ978" s="8" t="s">
        <v>2359</v>
      </c>
      <c r="BK978" s="8" t="s">
        <v>2360</v>
      </c>
      <c r="BL978" s="8" t="s">
        <v>2361</v>
      </c>
      <c r="BM978" s="8" t="s">
        <v>2362</v>
      </c>
      <c r="BN978" s="8" t="s">
        <v>2363</v>
      </c>
      <c r="BO978" s="8" t="s">
        <v>2364</v>
      </c>
      <c r="BP978">
        <v>1</v>
      </c>
      <c r="BQ978" s="8" t="s">
        <v>2365</v>
      </c>
      <c r="BR978" s="45">
        <f>ISNUMBER(SEARCH($BR$1,Таблица1[[#This Row],[31_1 Описание и характеристика товара]]))*1</f>
        <v>0</v>
      </c>
      <c r="BT978" s="8" t="s">
        <v>2349</v>
      </c>
      <c r="BU978">
        <v>30</v>
      </c>
      <c r="BV978">
        <v>0</v>
      </c>
      <c r="BW978">
        <v>452</v>
      </c>
      <c r="BX978" t="s">
        <v>2147</v>
      </c>
      <c r="BY978">
        <v>0</v>
      </c>
      <c r="CA978" s="8" t="s">
        <v>106</v>
      </c>
      <c r="CB978" s="8" t="s">
        <v>2148</v>
      </c>
      <c r="CC978" s="8" t="s">
        <v>112</v>
      </c>
      <c r="CD978" s="8" t="s">
        <v>112</v>
      </c>
      <c r="CE978" s="8" t="s">
        <v>2355</v>
      </c>
      <c r="CF978">
        <v>15619</v>
      </c>
      <c r="CG978" t="s">
        <v>144</v>
      </c>
      <c r="CH978">
        <v>4000000</v>
      </c>
      <c r="CI978">
        <v>13943</v>
      </c>
      <c r="CJ978">
        <v>0</v>
      </c>
      <c r="CK978" s="8" t="s">
        <v>112</v>
      </c>
      <c r="CL978" s="8" t="s">
        <v>112</v>
      </c>
      <c r="CM978">
        <v>130320</v>
      </c>
      <c r="CN978">
        <v>9988324</v>
      </c>
      <c r="CO978">
        <v>0</v>
      </c>
      <c r="CP978">
        <v>1</v>
      </c>
      <c r="CQ978">
        <v>10130116.779999901</v>
      </c>
      <c r="CR978">
        <v>140441.32</v>
      </c>
      <c r="CS978" s="8" t="s">
        <v>145</v>
      </c>
      <c r="CT978">
        <v>10.0725</v>
      </c>
      <c r="CU978">
        <v>1175</v>
      </c>
      <c r="CV978">
        <v>220714</v>
      </c>
      <c r="CX978" t="s">
        <v>2366</v>
      </c>
      <c r="CY978">
        <v>0</v>
      </c>
    </row>
    <row r="979" spans="1:103" x14ac:dyDescent="0.25">
      <c r="A979" s="8" t="s">
        <v>106</v>
      </c>
      <c r="B979" s="38">
        <v>45020</v>
      </c>
      <c r="C979" s="43">
        <f>IF(YEAR(Таблица1[[#This Row],[Дата]])=2023,MONTH(Таблица1[[#This Row],[Дата]]),0)</f>
        <v>4</v>
      </c>
      <c r="D979" s="8" t="s">
        <v>2791</v>
      </c>
      <c r="E979" s="8" t="s">
        <v>583</v>
      </c>
      <c r="F979" s="8" t="s">
        <v>2792</v>
      </c>
      <c r="G979" t="s">
        <v>110</v>
      </c>
      <c r="H979" s="8" t="s">
        <v>111</v>
      </c>
      <c r="I979" s="8" t="s">
        <v>112</v>
      </c>
      <c r="J979" s="8" t="s">
        <v>112</v>
      </c>
      <c r="K979" s="8" t="s">
        <v>112</v>
      </c>
      <c r="L979" s="8" t="s">
        <v>2793</v>
      </c>
      <c r="M979" s="8" t="s">
        <v>2794</v>
      </c>
      <c r="N979" s="8" t="s">
        <v>112</v>
      </c>
      <c r="O979" s="8" t="s">
        <v>112</v>
      </c>
      <c r="P979">
        <v>4</v>
      </c>
      <c r="Q979">
        <v>0</v>
      </c>
      <c r="R979">
        <v>9</v>
      </c>
      <c r="S979">
        <v>30</v>
      </c>
      <c r="T979" s="8" t="s">
        <v>2795</v>
      </c>
      <c r="U979" s="8" t="s">
        <v>2796</v>
      </c>
      <c r="V979" s="8" t="s">
        <v>2797</v>
      </c>
      <c r="W979" s="8" t="s">
        <v>2798</v>
      </c>
      <c r="X979" s="8" t="s">
        <v>119</v>
      </c>
      <c r="Y979" s="8" t="s">
        <v>2799</v>
      </c>
      <c r="Z979" s="8" t="s">
        <v>2795</v>
      </c>
      <c r="AA979" s="8" t="s">
        <v>2796</v>
      </c>
      <c r="AB979" s="8" t="s">
        <v>2797</v>
      </c>
      <c r="AC979" s="8" t="s">
        <v>2798</v>
      </c>
      <c r="AD979" s="8" t="s">
        <v>119</v>
      </c>
      <c r="AE979" s="8" t="s">
        <v>2799</v>
      </c>
      <c r="AF979" s="8" t="s">
        <v>2800</v>
      </c>
      <c r="AG979" s="8" t="s">
        <v>2801</v>
      </c>
      <c r="AH979">
        <v>25184743.399999902</v>
      </c>
      <c r="AI979" s="8" t="s">
        <v>2795</v>
      </c>
      <c r="AJ979" s="8" t="s">
        <v>2796</v>
      </c>
      <c r="AK979" s="8" t="s">
        <v>2797</v>
      </c>
      <c r="AL979" s="8" t="s">
        <v>2798</v>
      </c>
      <c r="AM979" s="8" t="s">
        <v>119</v>
      </c>
      <c r="AN979" s="8" t="s">
        <v>2799</v>
      </c>
      <c r="AO979" s="8" t="s">
        <v>2800</v>
      </c>
      <c r="AP979" s="8" t="s">
        <v>2801</v>
      </c>
      <c r="AQ979" s="8" t="s">
        <v>2397</v>
      </c>
      <c r="AR979" s="8" t="s">
        <v>124</v>
      </c>
      <c r="AS979" s="8" t="s">
        <v>125</v>
      </c>
      <c r="AT979">
        <v>2</v>
      </c>
      <c r="AU979" s="8" t="s">
        <v>126</v>
      </c>
      <c r="AV979" s="8" t="s">
        <v>155</v>
      </c>
      <c r="AW979" s="8" t="s">
        <v>2802</v>
      </c>
      <c r="AX979">
        <v>1</v>
      </c>
      <c r="AY979" s="8" t="s">
        <v>129</v>
      </c>
      <c r="AZ979">
        <v>321791.23</v>
      </c>
      <c r="BA979">
        <v>24663560</v>
      </c>
      <c r="BB979">
        <v>349154.78</v>
      </c>
      <c r="BC979">
        <v>76.644599999999897</v>
      </c>
      <c r="BD979" s="8" t="s">
        <v>130</v>
      </c>
      <c r="BE979" s="8" t="s">
        <v>131</v>
      </c>
      <c r="BF979" s="8" t="s">
        <v>2803</v>
      </c>
      <c r="BG979" s="8" t="s">
        <v>133</v>
      </c>
      <c r="BH979" s="8" t="s">
        <v>167</v>
      </c>
      <c r="BI979" s="8" t="s">
        <v>2804</v>
      </c>
      <c r="BJ979" s="8" t="s">
        <v>112</v>
      </c>
      <c r="BK979" s="8" t="s">
        <v>112</v>
      </c>
      <c r="BL979" s="8" t="s">
        <v>2645</v>
      </c>
      <c r="BM979" s="8" t="s">
        <v>2805</v>
      </c>
      <c r="BN979" s="8" t="s">
        <v>2647</v>
      </c>
      <c r="BO979" s="8" t="s">
        <v>2648</v>
      </c>
      <c r="BP979">
        <v>3</v>
      </c>
      <c r="BQ979" s="8" t="s">
        <v>2806</v>
      </c>
      <c r="BR979" s="45">
        <f>ISNUMBER(SEARCH($BR$1,Таблица1[[#This Row],[31_1 Описание и характеристика товара]]))*1</f>
        <v>0</v>
      </c>
      <c r="BT979" s="8" t="s">
        <v>2807</v>
      </c>
      <c r="BU979">
        <v>2</v>
      </c>
      <c r="BV979">
        <v>0</v>
      </c>
      <c r="BW979">
        <v>33</v>
      </c>
      <c r="BX979" t="s">
        <v>2147</v>
      </c>
      <c r="BY979">
        <v>0</v>
      </c>
      <c r="CA979" s="8" t="s">
        <v>2410</v>
      </c>
      <c r="CB979" s="8" t="s">
        <v>2148</v>
      </c>
      <c r="CC979" s="8" t="s">
        <v>112</v>
      </c>
      <c r="CD979" s="8" t="s">
        <v>112</v>
      </c>
      <c r="CE979" s="8" t="s">
        <v>2396</v>
      </c>
      <c r="CF979">
        <v>1090.8</v>
      </c>
      <c r="CG979" t="s">
        <v>144</v>
      </c>
      <c r="CH979">
        <v>4000000</v>
      </c>
      <c r="CI979">
        <v>1010</v>
      </c>
      <c r="CJ979">
        <v>0</v>
      </c>
      <c r="CK979" s="8" t="s">
        <v>112</v>
      </c>
      <c r="CL979" s="8" t="s">
        <v>112</v>
      </c>
      <c r="CM979">
        <v>26905.13</v>
      </c>
      <c r="CN979">
        <v>2062133</v>
      </c>
      <c r="CO979">
        <v>0</v>
      </c>
      <c r="CP979">
        <v>1</v>
      </c>
      <c r="CQ979">
        <v>2128517.1200000001</v>
      </c>
      <c r="CR979">
        <v>29509.21</v>
      </c>
      <c r="CS979" s="8" t="s">
        <v>145</v>
      </c>
      <c r="CT979">
        <v>29.216999999999999</v>
      </c>
      <c r="CU979">
        <v>1150</v>
      </c>
      <c r="CV979" t="s">
        <v>2808</v>
      </c>
      <c r="CX979" t="s">
        <v>2809</v>
      </c>
      <c r="CY979">
        <v>1285</v>
      </c>
    </row>
    <row r="980" spans="1:103" x14ac:dyDescent="0.25">
      <c r="A980" s="8" t="s">
        <v>106</v>
      </c>
      <c r="B980" s="38">
        <v>45105</v>
      </c>
      <c r="C980" s="43">
        <f>IF(YEAR(Таблица1[[#This Row],[Дата]])=2023,MONTH(Таблица1[[#This Row],[Дата]]),0)</f>
        <v>6</v>
      </c>
      <c r="D980" s="8" t="s">
        <v>2902</v>
      </c>
      <c r="E980" s="8" t="s">
        <v>583</v>
      </c>
      <c r="F980" s="8" t="s">
        <v>2903</v>
      </c>
      <c r="G980" t="s">
        <v>110</v>
      </c>
      <c r="H980" s="8" t="s">
        <v>111</v>
      </c>
      <c r="I980" s="8" t="s">
        <v>112</v>
      </c>
      <c r="J980" s="8" t="s">
        <v>112</v>
      </c>
      <c r="K980" s="8" t="s">
        <v>112</v>
      </c>
      <c r="L980" s="8" t="s">
        <v>2665</v>
      </c>
      <c r="M980" s="8" t="s">
        <v>2666</v>
      </c>
      <c r="N980" s="8" t="s">
        <v>112</v>
      </c>
      <c r="O980" s="8" t="s">
        <v>112</v>
      </c>
      <c r="P980">
        <v>1</v>
      </c>
      <c r="Q980">
        <v>0</v>
      </c>
      <c r="R980">
        <v>1</v>
      </c>
      <c r="S980">
        <v>67</v>
      </c>
      <c r="T980" s="8" t="s">
        <v>2667</v>
      </c>
      <c r="U980" s="8" t="s">
        <v>2668</v>
      </c>
      <c r="V980" s="8" t="s">
        <v>2669</v>
      </c>
      <c r="W980" s="8" t="s">
        <v>2670</v>
      </c>
      <c r="X980" s="8" t="s">
        <v>2552</v>
      </c>
      <c r="Y980" s="8" t="s">
        <v>2671</v>
      </c>
      <c r="Z980" s="8" t="s">
        <v>2667</v>
      </c>
      <c r="AA980" s="8" t="s">
        <v>2668</v>
      </c>
      <c r="AB980" s="8" t="s">
        <v>2669</v>
      </c>
      <c r="AC980" s="8" t="s">
        <v>2670</v>
      </c>
      <c r="AD980" s="8" t="s">
        <v>2552</v>
      </c>
      <c r="AE980" s="8" t="s">
        <v>2671</v>
      </c>
      <c r="AF980" s="8" t="s">
        <v>2672</v>
      </c>
      <c r="AG980" s="8" t="s">
        <v>2673</v>
      </c>
      <c r="AH980">
        <v>13276444.199999901</v>
      </c>
      <c r="AI980" s="8" t="s">
        <v>2667</v>
      </c>
      <c r="AJ980" s="8" t="s">
        <v>2668</v>
      </c>
      <c r="AK980" s="8" t="s">
        <v>2669</v>
      </c>
      <c r="AL980" s="8" t="s">
        <v>2670</v>
      </c>
      <c r="AM980" s="8" t="s">
        <v>2552</v>
      </c>
      <c r="AN980" s="8" t="s">
        <v>2671</v>
      </c>
      <c r="AO980" s="8" t="s">
        <v>2672</v>
      </c>
      <c r="AP980" s="8" t="s">
        <v>2673</v>
      </c>
      <c r="AQ980" s="8" t="s">
        <v>2673</v>
      </c>
      <c r="AR980" s="8" t="s">
        <v>124</v>
      </c>
      <c r="AS980" s="8" t="s">
        <v>125</v>
      </c>
      <c r="AT980">
        <v>2</v>
      </c>
      <c r="AU980" s="8" t="s">
        <v>126</v>
      </c>
      <c r="AV980" s="8" t="s">
        <v>2904</v>
      </c>
      <c r="AW980" s="8" t="s">
        <v>2675</v>
      </c>
      <c r="AX980">
        <v>1</v>
      </c>
      <c r="AY980" s="8" t="s">
        <v>2188</v>
      </c>
      <c r="AZ980">
        <v>188250</v>
      </c>
      <c r="BA980">
        <v>13276444</v>
      </c>
      <c r="BB980">
        <v>188250</v>
      </c>
      <c r="BC980">
        <v>70.525599999999898</v>
      </c>
      <c r="BD980" s="8" t="s">
        <v>130</v>
      </c>
      <c r="BE980" s="8" t="s">
        <v>131</v>
      </c>
      <c r="BF980" s="8" t="s">
        <v>2676</v>
      </c>
      <c r="BG980" s="8" t="s">
        <v>133</v>
      </c>
      <c r="BH980" s="8" t="s">
        <v>134</v>
      </c>
      <c r="BI980" s="8" t="s">
        <v>112</v>
      </c>
      <c r="BJ980" s="8" t="s">
        <v>112</v>
      </c>
      <c r="BK980" s="8" t="s">
        <v>112</v>
      </c>
      <c r="BL980" s="8" t="s">
        <v>2587</v>
      </c>
      <c r="BM980" s="8" t="s">
        <v>2677</v>
      </c>
      <c r="BN980" s="8" t="s">
        <v>2678</v>
      </c>
      <c r="BO980" s="8" t="s">
        <v>2679</v>
      </c>
      <c r="BP980">
        <v>1</v>
      </c>
      <c r="BQ980" s="8" t="s">
        <v>2680</v>
      </c>
      <c r="BR980" s="45">
        <f>ISNUMBER(SEARCH($BR$1,Таблица1[[#This Row],[31_1 Описание и характеристика товара]]))*1</f>
        <v>0</v>
      </c>
      <c r="BT980" s="8" t="s">
        <v>2681</v>
      </c>
      <c r="BU980">
        <v>67</v>
      </c>
      <c r="BV980">
        <v>0</v>
      </c>
      <c r="BW980">
        <v>402</v>
      </c>
      <c r="BX980" t="s">
        <v>2147</v>
      </c>
      <c r="BY980">
        <v>0</v>
      </c>
      <c r="CA980" s="8" t="s">
        <v>106</v>
      </c>
      <c r="CB980" s="8" t="s">
        <v>2148</v>
      </c>
      <c r="CC980" s="8" t="s">
        <v>112</v>
      </c>
      <c r="CD980" s="8" t="s">
        <v>112</v>
      </c>
      <c r="CE980" s="8" t="s">
        <v>2672</v>
      </c>
      <c r="CF980">
        <v>15360.5</v>
      </c>
      <c r="CG980" t="s">
        <v>2682</v>
      </c>
      <c r="CH980">
        <v>4000000</v>
      </c>
      <c r="CI980">
        <v>13317</v>
      </c>
      <c r="CJ980">
        <v>0</v>
      </c>
      <c r="CK980" s="8" t="s">
        <v>112</v>
      </c>
      <c r="CL980" s="8" t="s">
        <v>112</v>
      </c>
      <c r="CM980">
        <v>188250</v>
      </c>
      <c r="CN980">
        <v>13276444</v>
      </c>
      <c r="CO980">
        <v>0</v>
      </c>
      <c r="CP980">
        <v>1</v>
      </c>
      <c r="CQ980">
        <v>13276444.199999901</v>
      </c>
      <c r="CR980">
        <v>188250</v>
      </c>
      <c r="CS980" s="8" t="s">
        <v>145</v>
      </c>
      <c r="CT980">
        <v>14.136100000000001</v>
      </c>
      <c r="CU980">
        <v>1085</v>
      </c>
      <c r="CV980" t="s">
        <v>2683</v>
      </c>
      <c r="CX980" t="s">
        <v>2684</v>
      </c>
      <c r="CY980">
        <v>1629</v>
      </c>
    </row>
    <row r="981" spans="1:103" x14ac:dyDescent="0.25">
      <c r="A981" s="8" t="s">
        <v>106</v>
      </c>
      <c r="B981" s="38">
        <v>45197</v>
      </c>
      <c r="C981" s="43">
        <f>IF(YEAR(Таблица1[[#This Row],[Дата]])=2023,MONTH(Таблица1[[#This Row],[Дата]]),0)</f>
        <v>9</v>
      </c>
      <c r="D981" s="8" t="s">
        <v>2914</v>
      </c>
      <c r="E981" s="8" t="s">
        <v>583</v>
      </c>
      <c r="F981" s="8" t="s">
        <v>2915</v>
      </c>
      <c r="G981" t="s">
        <v>110</v>
      </c>
      <c r="H981" s="8" t="s">
        <v>111</v>
      </c>
      <c r="I981" s="8" t="s">
        <v>112</v>
      </c>
      <c r="J981" s="8" t="s">
        <v>112</v>
      </c>
      <c r="K981" s="8" t="s">
        <v>112</v>
      </c>
      <c r="L981" s="8" t="s">
        <v>2916</v>
      </c>
      <c r="M981" s="8" t="s">
        <v>2917</v>
      </c>
      <c r="N981" s="8" t="s">
        <v>112</v>
      </c>
      <c r="O981" s="8" t="s">
        <v>112</v>
      </c>
      <c r="P981">
        <v>2</v>
      </c>
      <c r="Q981">
        <v>0</v>
      </c>
      <c r="R981">
        <v>3</v>
      </c>
      <c r="S981">
        <v>26</v>
      </c>
      <c r="T981" s="8" t="s">
        <v>2918</v>
      </c>
      <c r="U981" s="8" t="s">
        <v>2919</v>
      </c>
      <c r="V981" s="8" t="s">
        <v>2920</v>
      </c>
      <c r="W981" s="8" t="s">
        <v>2921</v>
      </c>
      <c r="X981" s="8" t="s">
        <v>2552</v>
      </c>
      <c r="Y981" s="8" t="s">
        <v>2922</v>
      </c>
      <c r="Z981" s="8" t="s">
        <v>2918</v>
      </c>
      <c r="AA981" s="8" t="s">
        <v>2919</v>
      </c>
      <c r="AB981" s="8" t="s">
        <v>2920</v>
      </c>
      <c r="AC981" s="8" t="s">
        <v>2921</v>
      </c>
      <c r="AD981" s="8" t="s">
        <v>2552</v>
      </c>
      <c r="AE981" s="8" t="s">
        <v>2922</v>
      </c>
      <c r="AF981" s="8" t="s">
        <v>2752</v>
      </c>
      <c r="AG981" s="8" t="s">
        <v>2744</v>
      </c>
      <c r="AH981">
        <v>3768718.72</v>
      </c>
      <c r="AI981" s="8" t="s">
        <v>2918</v>
      </c>
      <c r="AJ981" s="8" t="s">
        <v>2919</v>
      </c>
      <c r="AK981" s="8" t="s">
        <v>2920</v>
      </c>
      <c r="AL981" s="8" t="s">
        <v>2921</v>
      </c>
      <c r="AM981" s="8" t="s">
        <v>2552</v>
      </c>
      <c r="AN981" s="8" t="s">
        <v>2922</v>
      </c>
      <c r="AO981" s="8" t="s">
        <v>2752</v>
      </c>
      <c r="AP981" s="8" t="s">
        <v>2744</v>
      </c>
      <c r="AQ981" s="8" t="s">
        <v>2744</v>
      </c>
      <c r="AR981" s="8" t="s">
        <v>124</v>
      </c>
      <c r="AS981" s="8" t="s">
        <v>125</v>
      </c>
      <c r="AT981">
        <v>2</v>
      </c>
      <c r="AU981" s="8" t="s">
        <v>126</v>
      </c>
      <c r="AV981" s="8" t="s">
        <v>155</v>
      </c>
      <c r="AW981" s="8" t="s">
        <v>2923</v>
      </c>
      <c r="AX981">
        <v>1</v>
      </c>
      <c r="AY981" s="8" t="s">
        <v>129</v>
      </c>
      <c r="AZ981">
        <v>49088.42</v>
      </c>
      <c r="BA981">
        <v>3686118</v>
      </c>
      <c r="BB981">
        <v>53437.599999999897</v>
      </c>
      <c r="BC981">
        <v>75.091399999999894</v>
      </c>
      <c r="BD981" s="8" t="s">
        <v>130</v>
      </c>
      <c r="BE981" s="8" t="s">
        <v>112</v>
      </c>
      <c r="BF981" s="8" t="s">
        <v>112</v>
      </c>
      <c r="BG981" s="8" t="s">
        <v>133</v>
      </c>
      <c r="BH981" s="8" t="s">
        <v>134</v>
      </c>
      <c r="BI981" s="8" t="s">
        <v>112</v>
      </c>
      <c r="BJ981" s="8" t="s">
        <v>112</v>
      </c>
      <c r="BK981" s="8" t="s">
        <v>2924</v>
      </c>
      <c r="BL981" s="8" t="s">
        <v>2587</v>
      </c>
      <c r="BM981" s="8" t="s">
        <v>2747</v>
      </c>
      <c r="BN981" s="8" t="s">
        <v>2925</v>
      </c>
      <c r="BO981" s="8" t="s">
        <v>2749</v>
      </c>
      <c r="BP981">
        <v>1</v>
      </c>
      <c r="BQ981" s="8" t="s">
        <v>2926</v>
      </c>
      <c r="BR981" s="45">
        <f>ISNUMBER(SEARCH($BR$1,Таблица1[[#This Row],[31_1 Описание и характеристика товара]]))*1</f>
        <v>0</v>
      </c>
      <c r="BT981" s="8" t="s">
        <v>2916</v>
      </c>
      <c r="BU981">
        <v>20</v>
      </c>
      <c r="BV981">
        <v>0</v>
      </c>
      <c r="BW981">
        <v>32</v>
      </c>
      <c r="BX981" t="s">
        <v>2147</v>
      </c>
      <c r="BY981">
        <v>0</v>
      </c>
      <c r="CA981" s="8" t="s">
        <v>106</v>
      </c>
      <c r="CB981" s="8" t="s">
        <v>2467</v>
      </c>
      <c r="CC981" s="8" t="s">
        <v>112</v>
      </c>
      <c r="CD981" s="8" t="s">
        <v>112</v>
      </c>
      <c r="CE981" s="8" t="s">
        <v>2752</v>
      </c>
      <c r="CF981">
        <v>4737</v>
      </c>
      <c r="CG981" t="s">
        <v>144</v>
      </c>
      <c r="CH981">
        <v>4000000</v>
      </c>
      <c r="CI981">
        <v>4257</v>
      </c>
      <c r="CJ981">
        <v>0</v>
      </c>
      <c r="CK981" s="8" t="s">
        <v>112</v>
      </c>
      <c r="CL981" s="8" t="s">
        <v>112</v>
      </c>
      <c r="CM981">
        <v>29804.16</v>
      </c>
      <c r="CN981">
        <v>2238036</v>
      </c>
      <c r="CO981">
        <v>0</v>
      </c>
      <c r="CP981">
        <v>1</v>
      </c>
      <c r="CQ981">
        <v>2302264.77999999</v>
      </c>
      <c r="CR981">
        <v>32644.38</v>
      </c>
      <c r="CS981" s="8" t="s">
        <v>145</v>
      </c>
      <c r="CT981">
        <v>7.6684000000000001</v>
      </c>
      <c r="CX981" t="s">
        <v>2927</v>
      </c>
      <c r="CY981">
        <v>1293</v>
      </c>
    </row>
    <row r="982" spans="1:103" x14ac:dyDescent="0.25">
      <c r="A982" s="8" t="s">
        <v>106</v>
      </c>
      <c r="B982" s="38">
        <v>45091</v>
      </c>
      <c r="C982" s="43">
        <f>IF(YEAR(Таблица1[[#This Row],[Дата]])=2023,MONTH(Таблица1[[#This Row],[Дата]]),0)</f>
        <v>6</v>
      </c>
      <c r="D982" s="8" t="s">
        <v>2914</v>
      </c>
      <c r="E982" s="8" t="s">
        <v>583</v>
      </c>
      <c r="F982" s="8" t="s">
        <v>2915</v>
      </c>
      <c r="G982" t="s">
        <v>110</v>
      </c>
      <c r="H982" s="8" t="s">
        <v>111</v>
      </c>
      <c r="I982" s="8" t="s">
        <v>112</v>
      </c>
      <c r="J982" s="8" t="s">
        <v>112</v>
      </c>
      <c r="K982" s="8" t="s">
        <v>112</v>
      </c>
      <c r="L982" s="8" t="s">
        <v>2916</v>
      </c>
      <c r="M982" s="8" t="s">
        <v>2917</v>
      </c>
      <c r="N982" s="8" t="s">
        <v>112</v>
      </c>
      <c r="O982" s="8" t="s">
        <v>112</v>
      </c>
      <c r="P982">
        <v>2</v>
      </c>
      <c r="Q982">
        <v>0</v>
      </c>
      <c r="R982">
        <v>3</v>
      </c>
      <c r="S982">
        <v>26</v>
      </c>
      <c r="T982" s="8" t="s">
        <v>2918</v>
      </c>
      <c r="U982" s="8" t="s">
        <v>2919</v>
      </c>
      <c r="V982" s="8" t="s">
        <v>2920</v>
      </c>
      <c r="W982" s="8" t="s">
        <v>2921</v>
      </c>
      <c r="X982" s="8" t="s">
        <v>2552</v>
      </c>
      <c r="Y982" s="8" t="s">
        <v>2922</v>
      </c>
      <c r="Z982" s="8" t="s">
        <v>2918</v>
      </c>
      <c r="AA982" s="8" t="s">
        <v>2919</v>
      </c>
      <c r="AB982" s="8" t="s">
        <v>2920</v>
      </c>
      <c r="AC982" s="8" t="s">
        <v>2921</v>
      </c>
      <c r="AD982" s="8" t="s">
        <v>2552</v>
      </c>
      <c r="AE982" s="8" t="s">
        <v>2922</v>
      </c>
      <c r="AF982" s="8" t="s">
        <v>2752</v>
      </c>
      <c r="AG982" s="8" t="s">
        <v>2744</v>
      </c>
      <c r="AH982">
        <v>3768718.72</v>
      </c>
      <c r="AI982" s="8" t="s">
        <v>2918</v>
      </c>
      <c r="AJ982" s="8" t="s">
        <v>2919</v>
      </c>
      <c r="AK982" s="8" t="s">
        <v>2920</v>
      </c>
      <c r="AL982" s="8" t="s">
        <v>2921</v>
      </c>
      <c r="AM982" s="8" t="s">
        <v>2552</v>
      </c>
      <c r="AN982" s="8" t="s">
        <v>2922</v>
      </c>
      <c r="AO982" s="8" t="s">
        <v>2752</v>
      </c>
      <c r="AP982" s="8" t="s">
        <v>2744</v>
      </c>
      <c r="AQ982" s="8" t="s">
        <v>2744</v>
      </c>
      <c r="AR982" s="8" t="s">
        <v>124</v>
      </c>
      <c r="AS982" s="8" t="s">
        <v>125</v>
      </c>
      <c r="AT982">
        <v>2</v>
      </c>
      <c r="AU982" s="8" t="s">
        <v>126</v>
      </c>
      <c r="AV982" s="8" t="s">
        <v>155</v>
      </c>
      <c r="AW982" s="8" t="s">
        <v>2923</v>
      </c>
      <c r="AX982">
        <v>1</v>
      </c>
      <c r="AY982" s="8" t="s">
        <v>129</v>
      </c>
      <c r="AZ982">
        <v>49088.42</v>
      </c>
      <c r="BA982">
        <v>3686118</v>
      </c>
      <c r="BB982">
        <v>53437.599999999897</v>
      </c>
      <c r="BC982">
        <v>75.091399999999894</v>
      </c>
      <c r="BD982" s="8" t="s">
        <v>130</v>
      </c>
      <c r="BE982" s="8" t="s">
        <v>112</v>
      </c>
      <c r="BF982" s="8" t="s">
        <v>112</v>
      </c>
      <c r="BG982" s="8" t="s">
        <v>133</v>
      </c>
      <c r="BH982" s="8" t="s">
        <v>134</v>
      </c>
      <c r="BI982" s="8" t="s">
        <v>112</v>
      </c>
      <c r="BJ982" s="8" t="s">
        <v>112</v>
      </c>
      <c r="BK982" s="8" t="s">
        <v>2924</v>
      </c>
      <c r="BL982" s="8" t="s">
        <v>2587</v>
      </c>
      <c r="BM982" s="8" t="s">
        <v>2747</v>
      </c>
      <c r="BN982" s="8" t="s">
        <v>2925</v>
      </c>
      <c r="BO982" s="8" t="s">
        <v>2749</v>
      </c>
      <c r="BP982">
        <v>2</v>
      </c>
      <c r="BQ982" s="8" t="s">
        <v>2928</v>
      </c>
      <c r="BR982" s="45">
        <f>ISNUMBER(SEARCH($BR$1,Таблица1[[#This Row],[31_1 Описание и характеристика товара]]))*1</f>
        <v>0</v>
      </c>
      <c r="BT982" s="8" t="s">
        <v>2916</v>
      </c>
      <c r="BU982">
        <v>2</v>
      </c>
      <c r="BV982">
        <v>0</v>
      </c>
      <c r="BW982">
        <v>12</v>
      </c>
      <c r="BX982" t="s">
        <v>2147</v>
      </c>
      <c r="BY982">
        <v>0</v>
      </c>
      <c r="CA982" s="8" t="s">
        <v>2515</v>
      </c>
      <c r="CB982" s="8" t="s">
        <v>2148</v>
      </c>
      <c r="CC982" s="8" t="s">
        <v>112</v>
      </c>
      <c r="CD982" s="8" t="s">
        <v>112</v>
      </c>
      <c r="CE982" s="8" t="s">
        <v>2752</v>
      </c>
      <c r="CF982">
        <v>480</v>
      </c>
      <c r="CG982" t="s">
        <v>144</v>
      </c>
      <c r="CH982">
        <v>4000000</v>
      </c>
      <c r="CI982">
        <v>450</v>
      </c>
      <c r="CJ982">
        <v>0</v>
      </c>
      <c r="CK982" s="8" t="s">
        <v>112</v>
      </c>
      <c r="CL982" s="8" t="s">
        <v>112</v>
      </c>
      <c r="CM982">
        <v>6340.56</v>
      </c>
      <c r="CN982">
        <v>476122</v>
      </c>
      <c r="CO982">
        <v>0</v>
      </c>
      <c r="CP982">
        <v>1</v>
      </c>
      <c r="CQ982">
        <v>482629.7</v>
      </c>
      <c r="CR982">
        <v>6843.33</v>
      </c>
      <c r="CS982" s="8" t="s">
        <v>145</v>
      </c>
      <c r="CT982">
        <v>15.2074</v>
      </c>
      <c r="CX982" t="s">
        <v>2927</v>
      </c>
      <c r="CY982">
        <v>1293</v>
      </c>
    </row>
    <row r="983" spans="1:103" x14ac:dyDescent="0.25">
      <c r="A983" s="8" t="s">
        <v>106</v>
      </c>
      <c r="B983" s="38">
        <v>45210</v>
      </c>
      <c r="C983" s="43">
        <f>IF(YEAR(Таблица1[[#This Row],[Дата]])=2023,MONTH(Таблица1[[#This Row],[Дата]]),0)</f>
        <v>10</v>
      </c>
      <c r="D983" s="8" t="s">
        <v>2896</v>
      </c>
      <c r="E983" s="8" t="s">
        <v>583</v>
      </c>
      <c r="F983" s="8" t="s">
        <v>2897</v>
      </c>
      <c r="G983" t="s">
        <v>110</v>
      </c>
      <c r="H983" s="8" t="s">
        <v>111</v>
      </c>
      <c r="I983" s="8" t="s">
        <v>112</v>
      </c>
      <c r="J983" s="8" t="s">
        <v>112</v>
      </c>
      <c r="K983" s="8" t="s">
        <v>112</v>
      </c>
      <c r="L983" s="8" t="s">
        <v>2637</v>
      </c>
      <c r="M983" s="8" t="s">
        <v>2638</v>
      </c>
      <c r="N983" s="8" t="s">
        <v>112</v>
      </c>
      <c r="O983" s="8" t="s">
        <v>112</v>
      </c>
      <c r="P983">
        <v>7</v>
      </c>
      <c r="Q983">
        <v>0</v>
      </c>
      <c r="R983">
        <v>19</v>
      </c>
      <c r="S983">
        <v>29</v>
      </c>
      <c r="T983" s="8" t="s">
        <v>2639</v>
      </c>
      <c r="U983" s="8" t="s">
        <v>2640</v>
      </c>
      <c r="V983" s="8" t="s">
        <v>2641</v>
      </c>
      <c r="W983" s="8" t="s">
        <v>2642</v>
      </c>
      <c r="X983" s="8" t="s">
        <v>119</v>
      </c>
      <c r="Y983" s="8" t="s">
        <v>2395</v>
      </c>
      <c r="Z983" s="8" t="s">
        <v>2639</v>
      </c>
      <c r="AA983" s="8" t="s">
        <v>2640</v>
      </c>
      <c r="AB983" s="8" t="s">
        <v>2641</v>
      </c>
      <c r="AC983" s="8" t="s">
        <v>2642</v>
      </c>
      <c r="AD983" s="8" t="s">
        <v>119</v>
      </c>
      <c r="AE983" s="8" t="s">
        <v>2395</v>
      </c>
      <c r="AF983" s="8" t="s">
        <v>2396</v>
      </c>
      <c r="AG983" s="8" t="s">
        <v>2397</v>
      </c>
      <c r="AH983">
        <v>8592695.9100000001</v>
      </c>
      <c r="AI983" s="8" t="s">
        <v>2639</v>
      </c>
      <c r="AJ983" s="8" t="s">
        <v>2640</v>
      </c>
      <c r="AK983" s="8" t="s">
        <v>2641</v>
      </c>
      <c r="AL983" s="8" t="s">
        <v>2642</v>
      </c>
      <c r="AM983" s="8" t="s">
        <v>119</v>
      </c>
      <c r="AN983" s="8" t="s">
        <v>2395</v>
      </c>
      <c r="AO983" s="8" t="s">
        <v>2396</v>
      </c>
      <c r="AP983" s="8" t="s">
        <v>2397</v>
      </c>
      <c r="AQ983" s="8" t="s">
        <v>2397</v>
      </c>
      <c r="AR983" s="8" t="s">
        <v>124</v>
      </c>
      <c r="AS983" s="8" t="s">
        <v>125</v>
      </c>
      <c r="AT983">
        <v>2</v>
      </c>
      <c r="AU983" s="8" t="s">
        <v>126</v>
      </c>
      <c r="AV983" s="8" t="s">
        <v>2318</v>
      </c>
      <c r="AW983" s="8" t="s">
        <v>2401</v>
      </c>
      <c r="AX983">
        <v>1</v>
      </c>
      <c r="AY983" s="8" t="s">
        <v>2643</v>
      </c>
      <c r="AZ983">
        <v>8592695.9100000001</v>
      </c>
      <c r="BA983">
        <v>8592696</v>
      </c>
      <c r="BB983">
        <v>121837.98</v>
      </c>
      <c r="BC983">
        <v>0</v>
      </c>
      <c r="BD983" s="8" t="s">
        <v>130</v>
      </c>
      <c r="BE983" s="8" t="s">
        <v>112</v>
      </c>
      <c r="BF983" s="8" t="s">
        <v>2644</v>
      </c>
      <c r="BG983" s="8" t="s">
        <v>133</v>
      </c>
      <c r="BH983" s="8" t="s">
        <v>134</v>
      </c>
      <c r="BI983" s="8" t="s">
        <v>112</v>
      </c>
      <c r="BJ983" s="8" t="s">
        <v>112</v>
      </c>
      <c r="BK983" s="8" t="s">
        <v>112</v>
      </c>
      <c r="BL983" s="8" t="s">
        <v>2645</v>
      </c>
      <c r="BM983" s="8" t="s">
        <v>2646</v>
      </c>
      <c r="BN983" s="8" t="s">
        <v>2647</v>
      </c>
      <c r="BO983" s="8" t="s">
        <v>2648</v>
      </c>
      <c r="BP983">
        <v>4</v>
      </c>
      <c r="BQ983" s="8" t="s">
        <v>2898</v>
      </c>
      <c r="BR983" s="45">
        <f>ISNUMBER(SEARCH($BR$1,Таблица1[[#This Row],[31_1 Описание и характеристика товара]]))*1</f>
        <v>0</v>
      </c>
      <c r="BT983" s="8" t="s">
        <v>2637</v>
      </c>
      <c r="BU983">
        <v>28</v>
      </c>
      <c r="BV983">
        <v>0</v>
      </c>
      <c r="BW983">
        <v>47</v>
      </c>
      <c r="BX983" t="s">
        <v>2147</v>
      </c>
      <c r="BY983">
        <v>0</v>
      </c>
      <c r="CA983" s="8" t="s">
        <v>2899</v>
      </c>
      <c r="CB983" s="8" t="s">
        <v>2148</v>
      </c>
      <c r="CC983" s="8" t="s">
        <v>112</v>
      </c>
      <c r="CD983" s="8" t="s">
        <v>112</v>
      </c>
      <c r="CE983" s="8" t="s">
        <v>2396</v>
      </c>
      <c r="CF983">
        <v>6650.473</v>
      </c>
      <c r="CG983" t="s">
        <v>144</v>
      </c>
      <c r="CH983">
        <v>4000000</v>
      </c>
      <c r="CI983">
        <v>6170.473</v>
      </c>
      <c r="CJ983">
        <v>0</v>
      </c>
      <c r="CK983" s="8" t="s">
        <v>112</v>
      </c>
      <c r="CL983" s="8" t="s">
        <v>112</v>
      </c>
      <c r="CM983">
        <v>8100871.6600000001</v>
      </c>
      <c r="CN983">
        <v>8100872</v>
      </c>
      <c r="CO983">
        <v>0</v>
      </c>
      <c r="CP983">
        <v>1</v>
      </c>
      <c r="CQ983">
        <v>8100871.6600000001</v>
      </c>
      <c r="CR983">
        <v>114864.27</v>
      </c>
      <c r="CS983" s="8" t="s">
        <v>145</v>
      </c>
      <c r="CT983">
        <v>18.615100000000002</v>
      </c>
      <c r="CU983">
        <v>966</v>
      </c>
      <c r="CV983" t="s">
        <v>2651</v>
      </c>
      <c r="CX983" t="s">
        <v>2652</v>
      </c>
      <c r="CY983">
        <v>1434</v>
      </c>
    </row>
    <row r="984" spans="1:103" x14ac:dyDescent="0.25">
      <c r="A984" s="8" t="s">
        <v>106</v>
      </c>
      <c r="B984" s="38">
        <v>44994</v>
      </c>
      <c r="C984" s="43">
        <f>IF(YEAR(Таблица1[[#This Row],[Дата]])=2023,MONTH(Таблица1[[#This Row],[Дата]]),0)</f>
        <v>3</v>
      </c>
      <c r="D984" s="8" t="s">
        <v>2936</v>
      </c>
      <c r="E984" s="8" t="s">
        <v>583</v>
      </c>
      <c r="F984" s="8" t="s">
        <v>2937</v>
      </c>
      <c r="G984" t="s">
        <v>110</v>
      </c>
      <c r="H984" s="8" t="s">
        <v>111</v>
      </c>
      <c r="I984" s="8" t="s">
        <v>112</v>
      </c>
      <c r="J984" s="8" t="s">
        <v>112</v>
      </c>
      <c r="K984" s="8" t="s">
        <v>112</v>
      </c>
      <c r="L984" s="8" t="s">
        <v>2578</v>
      </c>
      <c r="M984" s="8" t="s">
        <v>2579</v>
      </c>
      <c r="N984" s="8" t="s">
        <v>112</v>
      </c>
      <c r="O984" s="8" t="s">
        <v>112</v>
      </c>
      <c r="P984">
        <v>2</v>
      </c>
      <c r="Q984">
        <v>0</v>
      </c>
      <c r="R984">
        <v>2</v>
      </c>
      <c r="S984">
        <v>10</v>
      </c>
      <c r="T984" s="8" t="s">
        <v>2580</v>
      </c>
      <c r="U984" s="8" t="s">
        <v>2581</v>
      </c>
      <c r="V984" s="8" t="s">
        <v>2582</v>
      </c>
      <c r="W984" s="8" t="s">
        <v>2583</v>
      </c>
      <c r="X984" s="8" t="s">
        <v>2552</v>
      </c>
      <c r="Y984" s="8" t="s">
        <v>2584</v>
      </c>
      <c r="Z984" s="8" t="s">
        <v>2580</v>
      </c>
      <c r="AA984" s="8" t="s">
        <v>2581</v>
      </c>
      <c r="AB984" s="8" t="s">
        <v>2582</v>
      </c>
      <c r="AC984" s="8" t="s">
        <v>2583</v>
      </c>
      <c r="AD984" s="8" t="s">
        <v>2552</v>
      </c>
      <c r="AE984" s="8" t="s">
        <v>2584</v>
      </c>
      <c r="AF984" s="8" t="s">
        <v>2163</v>
      </c>
      <c r="AG984" s="8" t="s">
        <v>2164</v>
      </c>
      <c r="AH984">
        <v>2854276.65</v>
      </c>
      <c r="AI984" s="8" t="s">
        <v>2580</v>
      </c>
      <c r="AJ984" s="8" t="s">
        <v>2581</v>
      </c>
      <c r="AK984" s="8" t="s">
        <v>2582</v>
      </c>
      <c r="AL984" s="8" t="s">
        <v>2583</v>
      </c>
      <c r="AM984" s="8" t="s">
        <v>2552</v>
      </c>
      <c r="AN984" s="8" t="s">
        <v>2584</v>
      </c>
      <c r="AO984" s="8" t="s">
        <v>2163</v>
      </c>
      <c r="AP984" s="8" t="s">
        <v>2164</v>
      </c>
      <c r="AQ984" s="8" t="s">
        <v>2164</v>
      </c>
      <c r="AR984" s="8" t="s">
        <v>124</v>
      </c>
      <c r="AS984" s="8" t="s">
        <v>125</v>
      </c>
      <c r="AT984">
        <v>2</v>
      </c>
      <c r="AU984" s="8" t="s">
        <v>126</v>
      </c>
      <c r="AV984" s="8" t="s">
        <v>155</v>
      </c>
      <c r="AW984" s="8" t="s">
        <v>2609</v>
      </c>
      <c r="AX984">
        <v>1</v>
      </c>
      <c r="AY984" s="8" t="s">
        <v>129</v>
      </c>
      <c r="AZ984">
        <v>33019</v>
      </c>
      <c r="BA984">
        <v>2421577</v>
      </c>
      <c r="BB984">
        <v>41364.11</v>
      </c>
      <c r="BC984">
        <v>73.338899999999896</v>
      </c>
      <c r="BD984" s="8" t="s">
        <v>130</v>
      </c>
      <c r="BE984" s="8" t="s">
        <v>131</v>
      </c>
      <c r="BF984" s="8" t="s">
        <v>2586</v>
      </c>
      <c r="BG984" s="8" t="s">
        <v>133</v>
      </c>
      <c r="BH984" s="8" t="s">
        <v>134</v>
      </c>
      <c r="BI984" s="8" t="s">
        <v>112</v>
      </c>
      <c r="BJ984" s="8" t="s">
        <v>112</v>
      </c>
      <c r="BK984" s="8" t="s">
        <v>112</v>
      </c>
      <c r="BL984" s="8" t="s">
        <v>2587</v>
      </c>
      <c r="BM984" s="8" t="s">
        <v>2588</v>
      </c>
      <c r="BN984" s="8" t="s">
        <v>2589</v>
      </c>
      <c r="BO984" s="8" t="s">
        <v>2590</v>
      </c>
      <c r="BP984">
        <v>2</v>
      </c>
      <c r="BQ984" s="8" t="s">
        <v>2591</v>
      </c>
      <c r="BR984" s="45">
        <f>ISNUMBER(SEARCH($BR$1,Таблица1[[#This Row],[31_1 Описание и характеристика товара]]))*1</f>
        <v>0</v>
      </c>
      <c r="BT984" s="8" t="s">
        <v>2578</v>
      </c>
      <c r="BU984">
        <v>8</v>
      </c>
      <c r="BV984">
        <v>0</v>
      </c>
      <c r="BW984">
        <v>5</v>
      </c>
      <c r="BX984" t="s">
        <v>2147</v>
      </c>
      <c r="BY984">
        <v>0</v>
      </c>
      <c r="CA984" s="8" t="s">
        <v>596</v>
      </c>
      <c r="CB984" s="8" t="s">
        <v>2148</v>
      </c>
      <c r="CC984" s="8" t="s">
        <v>112</v>
      </c>
      <c r="CD984" s="8" t="s">
        <v>112</v>
      </c>
      <c r="CE984" s="8" t="s">
        <v>2163</v>
      </c>
      <c r="CF984">
        <v>13445</v>
      </c>
      <c r="CG984" t="s">
        <v>144</v>
      </c>
      <c r="CH984">
        <v>4000000</v>
      </c>
      <c r="CI984">
        <v>13400</v>
      </c>
      <c r="CJ984">
        <v>0</v>
      </c>
      <c r="CK984" s="8" t="s">
        <v>112</v>
      </c>
      <c r="CL984" s="8" t="s">
        <v>112</v>
      </c>
      <c r="CM984">
        <v>27019</v>
      </c>
      <c r="CN984">
        <v>1981544</v>
      </c>
      <c r="CO984">
        <v>0</v>
      </c>
      <c r="CP984">
        <v>1</v>
      </c>
      <c r="CQ984">
        <v>2397832.94</v>
      </c>
      <c r="CR984">
        <v>34749.339999999902</v>
      </c>
      <c r="CS984" s="8" t="s">
        <v>145</v>
      </c>
      <c r="CT984">
        <v>2.5931999999999999</v>
      </c>
      <c r="CU984">
        <v>1239</v>
      </c>
      <c r="CV984" t="s">
        <v>2592</v>
      </c>
      <c r="CX984" t="s">
        <v>2593</v>
      </c>
      <c r="CY984">
        <v>0</v>
      </c>
    </row>
    <row r="985" spans="1:103" x14ac:dyDescent="0.25">
      <c r="A985" s="8" t="s">
        <v>106</v>
      </c>
      <c r="B985" s="38">
        <v>45031</v>
      </c>
      <c r="C985" s="43">
        <f>IF(YEAR(Таблица1[[#This Row],[Дата]])=2023,MONTH(Таблица1[[#This Row],[Дата]]),0)</f>
        <v>4</v>
      </c>
      <c r="D985" s="8" t="s">
        <v>2994</v>
      </c>
      <c r="E985" s="8" t="s">
        <v>583</v>
      </c>
      <c r="F985" s="8" t="s">
        <v>2995</v>
      </c>
      <c r="G985" t="s">
        <v>110</v>
      </c>
      <c r="H985" s="8" t="s">
        <v>111</v>
      </c>
      <c r="I985" s="8" t="s">
        <v>112</v>
      </c>
      <c r="J985" s="8" t="s">
        <v>112</v>
      </c>
      <c r="K985" s="8" t="s">
        <v>112</v>
      </c>
      <c r="L985" s="8" t="s">
        <v>2578</v>
      </c>
      <c r="M985" s="8" t="s">
        <v>2579</v>
      </c>
      <c r="N985" s="8" t="s">
        <v>112</v>
      </c>
      <c r="O985" s="8" t="s">
        <v>112</v>
      </c>
      <c r="P985">
        <v>3</v>
      </c>
      <c r="Q985">
        <v>0</v>
      </c>
      <c r="R985">
        <v>5</v>
      </c>
      <c r="S985">
        <v>13</v>
      </c>
      <c r="T985" s="8" t="s">
        <v>2580</v>
      </c>
      <c r="U985" s="8" t="s">
        <v>2581</v>
      </c>
      <c r="V985" s="8" t="s">
        <v>2582</v>
      </c>
      <c r="W985" s="8" t="s">
        <v>2583</v>
      </c>
      <c r="X985" s="8" t="s">
        <v>2552</v>
      </c>
      <c r="Y985" s="8" t="s">
        <v>2584</v>
      </c>
      <c r="Z985" s="8" t="s">
        <v>2580</v>
      </c>
      <c r="AA985" s="8" t="s">
        <v>2581</v>
      </c>
      <c r="AB985" s="8" t="s">
        <v>2582</v>
      </c>
      <c r="AC985" s="8" t="s">
        <v>2583</v>
      </c>
      <c r="AD985" s="8" t="s">
        <v>2552</v>
      </c>
      <c r="AE985" s="8" t="s">
        <v>2584</v>
      </c>
      <c r="AF985" s="8" t="s">
        <v>2163</v>
      </c>
      <c r="AG985" s="8" t="s">
        <v>2164</v>
      </c>
      <c r="AH985">
        <v>11200426.810000001</v>
      </c>
      <c r="AI985" s="8" t="s">
        <v>2580</v>
      </c>
      <c r="AJ985" s="8" t="s">
        <v>2581</v>
      </c>
      <c r="AK985" s="8" t="s">
        <v>2582</v>
      </c>
      <c r="AL985" s="8" t="s">
        <v>2583</v>
      </c>
      <c r="AM985" s="8" t="s">
        <v>2552</v>
      </c>
      <c r="AN985" s="8" t="s">
        <v>2584</v>
      </c>
      <c r="AO985" s="8" t="s">
        <v>2163</v>
      </c>
      <c r="AP985" s="8" t="s">
        <v>2164</v>
      </c>
      <c r="AQ985" s="8" t="s">
        <v>2164</v>
      </c>
      <c r="AR985" s="8" t="s">
        <v>124</v>
      </c>
      <c r="AS985" s="8" t="s">
        <v>125</v>
      </c>
      <c r="AT985">
        <v>2</v>
      </c>
      <c r="AU985" s="8" t="s">
        <v>126</v>
      </c>
      <c r="AV985" s="8" t="s">
        <v>112</v>
      </c>
      <c r="AW985" s="8" t="s">
        <v>2585</v>
      </c>
      <c r="AX985">
        <v>1</v>
      </c>
      <c r="AY985" s="8" t="s">
        <v>129</v>
      </c>
      <c r="AZ985">
        <v>146821.5</v>
      </c>
      <c r="BA985">
        <v>10767727</v>
      </c>
      <c r="BB985">
        <v>162316.32</v>
      </c>
      <c r="BC985">
        <v>73.338899999999896</v>
      </c>
      <c r="BD985" s="8" t="s">
        <v>130</v>
      </c>
      <c r="BE985" s="8" t="s">
        <v>112</v>
      </c>
      <c r="BF985" s="8" t="s">
        <v>2586</v>
      </c>
      <c r="BG985" s="8" t="s">
        <v>133</v>
      </c>
      <c r="BH985" s="8" t="s">
        <v>134</v>
      </c>
      <c r="BI985" s="8" t="s">
        <v>112</v>
      </c>
      <c r="BJ985" s="8" t="s">
        <v>112</v>
      </c>
      <c r="BK985" s="8" t="s">
        <v>112</v>
      </c>
      <c r="BL985" s="8" t="s">
        <v>2587</v>
      </c>
      <c r="BM985" s="8" t="s">
        <v>2588</v>
      </c>
      <c r="BN985" s="8" t="s">
        <v>2589</v>
      </c>
      <c r="BO985" s="8" t="s">
        <v>2590</v>
      </c>
      <c r="BP985">
        <v>1</v>
      </c>
      <c r="BQ985" s="8" t="s">
        <v>2591</v>
      </c>
      <c r="BR985" s="45">
        <f>ISNUMBER(SEARCH($BR$1,Таблица1[[#This Row],[31_1 Описание и характеристика товара]]))*1</f>
        <v>0</v>
      </c>
      <c r="BT985" s="8" t="s">
        <v>2578</v>
      </c>
      <c r="BU985">
        <v>12</v>
      </c>
      <c r="BV985">
        <v>0</v>
      </c>
      <c r="BW985">
        <v>12</v>
      </c>
      <c r="BX985" t="s">
        <v>2147</v>
      </c>
      <c r="BY985">
        <v>0</v>
      </c>
      <c r="CA985" s="8" t="s">
        <v>106</v>
      </c>
      <c r="CB985" s="8" t="s">
        <v>2148</v>
      </c>
      <c r="CC985" s="8" t="s">
        <v>112</v>
      </c>
      <c r="CD985" s="8" t="s">
        <v>112</v>
      </c>
      <c r="CE985" s="8" t="s">
        <v>2163</v>
      </c>
      <c r="CF985">
        <v>11648</v>
      </c>
      <c r="CG985" t="s">
        <v>144</v>
      </c>
      <c r="CH985">
        <v>4000000</v>
      </c>
      <c r="CI985">
        <v>10686</v>
      </c>
      <c r="CJ985">
        <v>0</v>
      </c>
      <c r="CK985" s="8" t="s">
        <v>112</v>
      </c>
      <c r="CL985" s="8" t="s">
        <v>112</v>
      </c>
      <c r="CM985">
        <v>145635</v>
      </c>
      <c r="CN985">
        <v>10680711</v>
      </c>
      <c r="CO985">
        <v>0</v>
      </c>
      <c r="CP985">
        <v>1</v>
      </c>
      <c r="CQ985">
        <v>11113245.199999901</v>
      </c>
      <c r="CR985">
        <v>161052.89000000001</v>
      </c>
      <c r="CS985" s="8" t="s">
        <v>145</v>
      </c>
      <c r="CT985">
        <v>15.071400000000001</v>
      </c>
      <c r="CU985">
        <v>1239</v>
      </c>
      <c r="CV985" t="s">
        <v>2592</v>
      </c>
      <c r="CX985" t="s">
        <v>2593</v>
      </c>
      <c r="CY985">
        <v>0</v>
      </c>
    </row>
    <row r="986" spans="1:103" x14ac:dyDescent="0.25">
      <c r="A986" t="s">
        <v>106</v>
      </c>
      <c r="B986" s="38">
        <v>44977</v>
      </c>
      <c r="C986" s="43">
        <f>IF(YEAR(Таблица1[[#This Row],[Дата]])=2023,MONTH(Таблица1[[#This Row],[Дата]]),0)</f>
        <v>2</v>
      </c>
      <c r="D986" t="s">
        <v>970</v>
      </c>
      <c r="E986" t="s">
        <v>583</v>
      </c>
      <c r="F986" t="s">
        <v>971</v>
      </c>
      <c r="G986" t="s">
        <v>110</v>
      </c>
      <c r="H986" t="s">
        <v>111</v>
      </c>
      <c r="I986" t="s">
        <v>112</v>
      </c>
      <c r="J986" t="s">
        <v>112</v>
      </c>
      <c r="K986" t="s">
        <v>112</v>
      </c>
      <c r="L986" t="s">
        <v>113</v>
      </c>
      <c r="M986" t="s">
        <v>633</v>
      </c>
      <c r="N986" t="s">
        <v>112</v>
      </c>
      <c r="O986" t="s">
        <v>112</v>
      </c>
      <c r="P986">
        <v>2</v>
      </c>
      <c r="Q986">
        <v>0</v>
      </c>
      <c r="R986">
        <v>2</v>
      </c>
      <c r="S986">
        <v>33</v>
      </c>
      <c r="T986" t="s">
        <v>115</v>
      </c>
      <c r="U986" t="s">
        <v>116</v>
      </c>
      <c r="V986" t="s">
        <v>117</v>
      </c>
      <c r="W986" t="s">
        <v>586</v>
      </c>
      <c r="X986" t="s">
        <v>119</v>
      </c>
      <c r="Y986" t="s">
        <v>120</v>
      </c>
      <c r="Z986" t="s">
        <v>115</v>
      </c>
      <c r="AA986" t="s">
        <v>116</v>
      </c>
      <c r="AB986" t="s">
        <v>117</v>
      </c>
      <c r="AC986" t="s">
        <v>586</v>
      </c>
      <c r="AD986" t="s">
        <v>119</v>
      </c>
      <c r="AE986" t="s">
        <v>120</v>
      </c>
      <c r="AF986" t="s">
        <v>121</v>
      </c>
      <c r="AG986" t="s">
        <v>122</v>
      </c>
      <c r="AH986">
        <v>4460481.0199999996</v>
      </c>
      <c r="AI986" t="s">
        <v>115</v>
      </c>
      <c r="AJ986" t="s">
        <v>116</v>
      </c>
      <c r="AK986" t="s">
        <v>117</v>
      </c>
      <c r="AL986" t="s">
        <v>586</v>
      </c>
      <c r="AM986" t="s">
        <v>119</v>
      </c>
      <c r="AN986" t="s">
        <v>120</v>
      </c>
      <c r="AO986" t="s">
        <v>121</v>
      </c>
      <c r="AP986" t="s">
        <v>122</v>
      </c>
      <c r="AQ986" t="s">
        <v>123</v>
      </c>
      <c r="AR986" t="s">
        <v>124</v>
      </c>
      <c r="AS986" t="s">
        <v>125</v>
      </c>
      <c r="AT986">
        <v>2</v>
      </c>
      <c r="AU986" t="s">
        <v>126</v>
      </c>
      <c r="AV986" t="s">
        <v>127</v>
      </c>
      <c r="AW986" t="s">
        <v>801</v>
      </c>
      <c r="AX986">
        <v>1</v>
      </c>
      <c r="AY986" t="s">
        <v>129</v>
      </c>
      <c r="AZ986">
        <v>51771.4</v>
      </c>
      <c r="BA986">
        <v>4264597</v>
      </c>
      <c r="BB986">
        <v>57746.69</v>
      </c>
      <c r="BC986">
        <v>82.373599999999996</v>
      </c>
      <c r="BD986" t="s">
        <v>130</v>
      </c>
      <c r="BE986" t="s">
        <v>112</v>
      </c>
      <c r="BF986" t="s">
        <v>132</v>
      </c>
      <c r="BG986" t="s">
        <v>133</v>
      </c>
      <c r="BH986" t="s">
        <v>167</v>
      </c>
      <c r="BI986" t="s">
        <v>900</v>
      </c>
      <c r="BJ986" t="s">
        <v>112</v>
      </c>
      <c r="BK986" t="s">
        <v>112</v>
      </c>
      <c r="BL986" t="s">
        <v>588</v>
      </c>
      <c r="BM986" t="s">
        <v>589</v>
      </c>
      <c r="BN986" t="s">
        <v>590</v>
      </c>
      <c r="BO986" t="s">
        <v>591</v>
      </c>
      <c r="BP986">
        <v>1</v>
      </c>
      <c r="BQ986" t="s">
        <v>972</v>
      </c>
      <c r="BR986" s="45">
        <f>ISNUMBER(SEARCH($BR$1,Таблица1[[#This Row],[31_1 Описание и характеристика товара]]))*1</f>
        <v>1</v>
      </c>
      <c r="BT986" t="s">
        <v>141</v>
      </c>
      <c r="BU986">
        <v>33</v>
      </c>
      <c r="BV986">
        <v>0</v>
      </c>
      <c r="BW986">
        <v>0</v>
      </c>
      <c r="BY986">
        <v>0</v>
      </c>
      <c r="CA986" t="s">
        <v>106</v>
      </c>
      <c r="CB986" t="s">
        <v>142</v>
      </c>
      <c r="CC986" t="s">
        <v>112</v>
      </c>
      <c r="CD986" t="s">
        <v>112</v>
      </c>
      <c r="CE986" t="s">
        <v>143</v>
      </c>
      <c r="CF986">
        <v>4728.16</v>
      </c>
      <c r="CG986" t="s">
        <v>144</v>
      </c>
      <c r="CH986">
        <v>4000000</v>
      </c>
      <c r="CI986">
        <v>4412.3999999999996</v>
      </c>
      <c r="CJ986">
        <v>0</v>
      </c>
      <c r="CK986" t="s">
        <v>112</v>
      </c>
      <c r="CL986" t="s">
        <v>112</v>
      </c>
      <c r="CM986">
        <v>16699.78</v>
      </c>
      <c r="CN986">
        <v>1375621</v>
      </c>
      <c r="CO986">
        <v>0</v>
      </c>
      <c r="CP986">
        <v>1</v>
      </c>
      <c r="CQ986">
        <v>1438610.44</v>
      </c>
      <c r="CR986">
        <v>18624.669999999998</v>
      </c>
      <c r="CS986" t="s">
        <v>145</v>
      </c>
      <c r="CT986">
        <v>18624.740399999999</v>
      </c>
      <c r="CU986">
        <v>4.2210000000000001</v>
      </c>
      <c r="CV986">
        <v>952</v>
      </c>
      <c r="CW986" t="s">
        <v>593</v>
      </c>
      <c r="CX986" t="s">
        <v>635</v>
      </c>
      <c r="CY986">
        <v>0</v>
      </c>
    </row>
    <row r="987" spans="1:103" x14ac:dyDescent="0.25">
      <c r="A987" t="s">
        <v>106</v>
      </c>
      <c r="B987" s="38">
        <v>45085</v>
      </c>
      <c r="C987" s="43">
        <f>IF(YEAR(Таблица1[[#This Row],[Дата]])=2023,MONTH(Таблица1[[#This Row],[Дата]]),0)</f>
        <v>6</v>
      </c>
      <c r="D987" t="s">
        <v>970</v>
      </c>
      <c r="E987" t="s">
        <v>583</v>
      </c>
      <c r="F987" t="s">
        <v>971</v>
      </c>
      <c r="G987" t="s">
        <v>110</v>
      </c>
      <c r="H987" t="s">
        <v>111</v>
      </c>
      <c r="I987" t="s">
        <v>112</v>
      </c>
      <c r="J987" t="s">
        <v>112</v>
      </c>
      <c r="K987" t="s">
        <v>112</v>
      </c>
      <c r="L987" t="s">
        <v>113</v>
      </c>
      <c r="M987" t="s">
        <v>633</v>
      </c>
      <c r="N987" t="s">
        <v>112</v>
      </c>
      <c r="O987" t="s">
        <v>112</v>
      </c>
      <c r="P987">
        <v>2</v>
      </c>
      <c r="Q987">
        <v>0</v>
      </c>
      <c r="R987">
        <v>2</v>
      </c>
      <c r="S987">
        <v>33</v>
      </c>
      <c r="T987" t="s">
        <v>115</v>
      </c>
      <c r="U987" t="s">
        <v>116</v>
      </c>
      <c r="V987" t="s">
        <v>117</v>
      </c>
      <c r="W987" t="s">
        <v>586</v>
      </c>
      <c r="X987" t="s">
        <v>119</v>
      </c>
      <c r="Y987" t="s">
        <v>120</v>
      </c>
      <c r="Z987" t="s">
        <v>115</v>
      </c>
      <c r="AA987" t="s">
        <v>116</v>
      </c>
      <c r="AB987" t="s">
        <v>117</v>
      </c>
      <c r="AC987" t="s">
        <v>586</v>
      </c>
      <c r="AD987" t="s">
        <v>119</v>
      </c>
      <c r="AE987" t="s">
        <v>120</v>
      </c>
      <c r="AF987" t="s">
        <v>121</v>
      </c>
      <c r="AG987" t="s">
        <v>122</v>
      </c>
      <c r="AH987">
        <v>4460481.0199999996</v>
      </c>
      <c r="AI987" t="s">
        <v>115</v>
      </c>
      <c r="AJ987" t="s">
        <v>116</v>
      </c>
      <c r="AK987" t="s">
        <v>117</v>
      </c>
      <c r="AL987" t="s">
        <v>586</v>
      </c>
      <c r="AM987" t="s">
        <v>119</v>
      </c>
      <c r="AN987" t="s">
        <v>120</v>
      </c>
      <c r="AO987" t="s">
        <v>121</v>
      </c>
      <c r="AP987" t="s">
        <v>122</v>
      </c>
      <c r="AQ987" t="s">
        <v>123</v>
      </c>
      <c r="AR987" t="s">
        <v>124</v>
      </c>
      <c r="AS987" t="s">
        <v>125</v>
      </c>
      <c r="AT987">
        <v>2</v>
      </c>
      <c r="AU987" t="s">
        <v>126</v>
      </c>
      <c r="AV987" t="s">
        <v>127</v>
      </c>
      <c r="AW987" t="s">
        <v>801</v>
      </c>
      <c r="AX987">
        <v>1</v>
      </c>
      <c r="AY987" t="s">
        <v>129</v>
      </c>
      <c r="AZ987">
        <v>51771.4</v>
      </c>
      <c r="BA987">
        <v>4264597</v>
      </c>
      <c r="BB987">
        <v>57746.69</v>
      </c>
      <c r="BC987">
        <v>82.373599999999996</v>
      </c>
      <c r="BD987" t="s">
        <v>130</v>
      </c>
      <c r="BE987" t="s">
        <v>112</v>
      </c>
      <c r="BF987" t="s">
        <v>132</v>
      </c>
      <c r="BG987" t="s">
        <v>133</v>
      </c>
      <c r="BH987" t="s">
        <v>167</v>
      </c>
      <c r="BI987" t="s">
        <v>900</v>
      </c>
      <c r="BJ987" t="s">
        <v>112</v>
      </c>
      <c r="BK987" t="s">
        <v>112</v>
      </c>
      <c r="BL987" t="s">
        <v>588</v>
      </c>
      <c r="BM987" t="s">
        <v>589</v>
      </c>
      <c r="BN987" t="s">
        <v>590</v>
      </c>
      <c r="BO987" t="s">
        <v>591</v>
      </c>
      <c r="BP987">
        <v>2</v>
      </c>
      <c r="BQ987" t="s">
        <v>973</v>
      </c>
      <c r="BR987" s="45">
        <f>ISNUMBER(SEARCH($BR$1,Таблица1[[#This Row],[31_1 Описание и характеристика товара]]))*1</f>
        <v>1</v>
      </c>
      <c r="BT987" t="s">
        <v>141</v>
      </c>
      <c r="BU987">
        <v>33</v>
      </c>
      <c r="BV987">
        <v>0</v>
      </c>
      <c r="BW987">
        <v>0</v>
      </c>
      <c r="BY987">
        <v>0</v>
      </c>
      <c r="CA987" t="s">
        <v>596</v>
      </c>
      <c r="CB987" t="s">
        <v>597</v>
      </c>
      <c r="CC987" t="s">
        <v>112</v>
      </c>
      <c r="CD987" t="s">
        <v>112</v>
      </c>
      <c r="CE987" t="s">
        <v>143</v>
      </c>
      <c r="CF987">
        <v>9975.52</v>
      </c>
      <c r="CG987" t="s">
        <v>144</v>
      </c>
      <c r="CH987">
        <v>4000000</v>
      </c>
      <c r="CI987">
        <v>9340.4</v>
      </c>
      <c r="CJ987">
        <v>0</v>
      </c>
      <c r="CK987" t="s">
        <v>112</v>
      </c>
      <c r="CL987" t="s">
        <v>112</v>
      </c>
      <c r="CM987">
        <v>35071.620000000003</v>
      </c>
      <c r="CN987">
        <v>2888976</v>
      </c>
      <c r="CO987">
        <v>0</v>
      </c>
      <c r="CP987">
        <v>1</v>
      </c>
      <c r="CQ987">
        <v>3021870.58</v>
      </c>
      <c r="CR987">
        <v>39122.019999999997</v>
      </c>
      <c r="CS987" t="s">
        <v>145</v>
      </c>
      <c r="CT987">
        <v>39122.265400000004</v>
      </c>
      <c r="CU987">
        <v>4.1885000000000003</v>
      </c>
      <c r="CV987">
        <v>952</v>
      </c>
      <c r="CW987" t="s">
        <v>593</v>
      </c>
      <c r="CX987" t="s">
        <v>635</v>
      </c>
      <c r="CY987">
        <v>0</v>
      </c>
    </row>
    <row r="988" spans="1:103" x14ac:dyDescent="0.25">
      <c r="A988" t="s">
        <v>106</v>
      </c>
      <c r="B988" s="38">
        <v>45009</v>
      </c>
      <c r="C988" s="43">
        <f>IF(YEAR(Таблица1[[#This Row],[Дата]])=2023,MONTH(Таблица1[[#This Row],[Дата]]),0)</f>
        <v>3</v>
      </c>
      <c r="D988" t="s">
        <v>967</v>
      </c>
      <c r="E988" t="s">
        <v>583</v>
      </c>
      <c r="F988" t="s">
        <v>968</v>
      </c>
      <c r="G988" t="s">
        <v>110</v>
      </c>
      <c r="H988" t="s">
        <v>111</v>
      </c>
      <c r="I988" t="s">
        <v>112</v>
      </c>
      <c r="J988" t="s">
        <v>112</v>
      </c>
      <c r="K988" t="s">
        <v>112</v>
      </c>
      <c r="L988" t="s">
        <v>113</v>
      </c>
      <c r="M988" t="s">
        <v>585</v>
      </c>
      <c r="N988" t="s">
        <v>112</v>
      </c>
      <c r="O988" t="s">
        <v>112</v>
      </c>
      <c r="P988">
        <v>2</v>
      </c>
      <c r="Q988">
        <v>0</v>
      </c>
      <c r="R988">
        <v>2</v>
      </c>
      <c r="S988">
        <v>33</v>
      </c>
      <c r="T988" t="s">
        <v>115</v>
      </c>
      <c r="U988" t="s">
        <v>116</v>
      </c>
      <c r="V988" t="s">
        <v>117</v>
      </c>
      <c r="W988" t="s">
        <v>586</v>
      </c>
      <c r="X988" t="s">
        <v>119</v>
      </c>
      <c r="Y988" t="s">
        <v>120</v>
      </c>
      <c r="Z988" t="s">
        <v>115</v>
      </c>
      <c r="AA988" t="s">
        <v>116</v>
      </c>
      <c r="AB988" t="s">
        <v>117</v>
      </c>
      <c r="AC988" t="s">
        <v>586</v>
      </c>
      <c r="AD988" t="s">
        <v>119</v>
      </c>
      <c r="AE988" t="s">
        <v>120</v>
      </c>
      <c r="AF988" t="s">
        <v>121</v>
      </c>
      <c r="AG988" t="s">
        <v>122</v>
      </c>
      <c r="AH988">
        <v>4440213.7</v>
      </c>
      <c r="AI988" t="s">
        <v>115</v>
      </c>
      <c r="AJ988" t="s">
        <v>116</v>
      </c>
      <c r="AK988" t="s">
        <v>117</v>
      </c>
      <c r="AL988" t="s">
        <v>586</v>
      </c>
      <c r="AM988" t="s">
        <v>119</v>
      </c>
      <c r="AN988" t="s">
        <v>120</v>
      </c>
      <c r="AO988" t="s">
        <v>121</v>
      </c>
      <c r="AP988" t="s">
        <v>122</v>
      </c>
      <c r="AQ988" t="s">
        <v>123</v>
      </c>
      <c r="AR988" t="s">
        <v>124</v>
      </c>
      <c r="AS988" t="s">
        <v>125</v>
      </c>
      <c r="AT988">
        <v>2</v>
      </c>
      <c r="AU988" t="s">
        <v>126</v>
      </c>
      <c r="AV988" t="s">
        <v>127</v>
      </c>
      <c r="AW988" t="s">
        <v>128</v>
      </c>
      <c r="AX988">
        <v>1</v>
      </c>
      <c r="AY988" t="s">
        <v>129</v>
      </c>
      <c r="AZ988">
        <v>52127.56</v>
      </c>
      <c r="BA988">
        <v>4246493</v>
      </c>
      <c r="BB988">
        <v>57962.91</v>
      </c>
      <c r="BC988">
        <v>81.463499999999996</v>
      </c>
      <c r="BD988" t="s">
        <v>130</v>
      </c>
      <c r="BE988" t="s">
        <v>131</v>
      </c>
      <c r="BF988" t="s">
        <v>132</v>
      </c>
      <c r="BG988" t="s">
        <v>133</v>
      </c>
      <c r="BH988" t="s">
        <v>167</v>
      </c>
      <c r="BI988" t="s">
        <v>900</v>
      </c>
      <c r="BJ988" t="s">
        <v>112</v>
      </c>
      <c r="BK988" t="s">
        <v>112</v>
      </c>
      <c r="BL988" t="s">
        <v>588</v>
      </c>
      <c r="BM988" t="s">
        <v>589</v>
      </c>
      <c r="BN988" t="s">
        <v>590</v>
      </c>
      <c r="BO988" t="s">
        <v>591</v>
      </c>
      <c r="BP988">
        <v>2</v>
      </c>
      <c r="BQ988" t="s">
        <v>969</v>
      </c>
      <c r="BR988" s="45">
        <f>ISNUMBER(SEARCH($BR$1,Таблица1[[#This Row],[31_1 Описание и характеристика товара]]))*1</f>
        <v>1</v>
      </c>
      <c r="BT988" t="s">
        <v>141</v>
      </c>
      <c r="BU988">
        <v>16</v>
      </c>
      <c r="BV988">
        <v>0</v>
      </c>
      <c r="BW988">
        <v>0</v>
      </c>
      <c r="BY988">
        <v>0</v>
      </c>
      <c r="CA988" t="s">
        <v>596</v>
      </c>
      <c r="CB988" t="s">
        <v>142</v>
      </c>
      <c r="CC988" t="s">
        <v>112</v>
      </c>
      <c r="CD988" t="s">
        <v>112</v>
      </c>
      <c r="CE988" t="s">
        <v>143</v>
      </c>
      <c r="CF988">
        <v>4740.32</v>
      </c>
      <c r="CG988" t="s">
        <v>144</v>
      </c>
      <c r="CH988">
        <v>4000000</v>
      </c>
      <c r="CI988">
        <v>4412.3999999999996</v>
      </c>
      <c r="CJ988">
        <v>0</v>
      </c>
      <c r="CK988" t="s">
        <v>112</v>
      </c>
      <c r="CL988" t="s">
        <v>112</v>
      </c>
      <c r="CM988">
        <v>17055.939999999999</v>
      </c>
      <c r="CN988">
        <v>1389437</v>
      </c>
      <c r="CO988">
        <v>0</v>
      </c>
      <c r="CP988">
        <v>1</v>
      </c>
      <c r="CQ988">
        <v>1451838.43</v>
      </c>
      <c r="CR988">
        <v>18952.419999999998</v>
      </c>
      <c r="CS988" t="s">
        <v>145</v>
      </c>
      <c r="CT988">
        <v>18952.581719999998</v>
      </c>
      <c r="CU988">
        <v>4.2953000000000001</v>
      </c>
      <c r="CV988">
        <v>952</v>
      </c>
      <c r="CW988" t="s">
        <v>593</v>
      </c>
      <c r="CX988" t="s">
        <v>594</v>
      </c>
      <c r="CY988">
        <v>0</v>
      </c>
    </row>
    <row r="989" spans="1:103" x14ac:dyDescent="0.25">
      <c r="A989" t="s">
        <v>106</v>
      </c>
      <c r="B989" s="38">
        <v>45213</v>
      </c>
      <c r="C989" s="43">
        <f>IF(YEAR(Таблица1[[#This Row],[Дата]])=2023,MONTH(Таблица1[[#This Row],[Дата]]),0)</f>
        <v>10</v>
      </c>
      <c r="D989" t="s">
        <v>967</v>
      </c>
      <c r="E989" t="s">
        <v>583</v>
      </c>
      <c r="F989" t="s">
        <v>968</v>
      </c>
      <c r="G989" t="s">
        <v>110</v>
      </c>
      <c r="H989" t="s">
        <v>111</v>
      </c>
      <c r="I989" t="s">
        <v>112</v>
      </c>
      <c r="J989" t="s">
        <v>112</v>
      </c>
      <c r="K989" t="s">
        <v>112</v>
      </c>
      <c r="L989" t="s">
        <v>113</v>
      </c>
      <c r="M989" t="s">
        <v>585</v>
      </c>
      <c r="N989" t="s">
        <v>112</v>
      </c>
      <c r="O989" t="s">
        <v>112</v>
      </c>
      <c r="P989">
        <v>2</v>
      </c>
      <c r="Q989">
        <v>0</v>
      </c>
      <c r="R989">
        <v>2</v>
      </c>
      <c r="S989">
        <v>33</v>
      </c>
      <c r="T989" t="s">
        <v>115</v>
      </c>
      <c r="U989" t="s">
        <v>116</v>
      </c>
      <c r="V989" t="s">
        <v>117</v>
      </c>
      <c r="W989" t="s">
        <v>586</v>
      </c>
      <c r="X989" t="s">
        <v>119</v>
      </c>
      <c r="Y989" t="s">
        <v>120</v>
      </c>
      <c r="Z989" t="s">
        <v>115</v>
      </c>
      <c r="AA989" t="s">
        <v>116</v>
      </c>
      <c r="AB989" t="s">
        <v>117</v>
      </c>
      <c r="AC989" t="s">
        <v>586</v>
      </c>
      <c r="AD989" t="s">
        <v>119</v>
      </c>
      <c r="AE989" t="s">
        <v>120</v>
      </c>
      <c r="AF989" t="s">
        <v>121</v>
      </c>
      <c r="AG989" t="s">
        <v>122</v>
      </c>
      <c r="AH989">
        <v>4440213.7</v>
      </c>
      <c r="AI989" t="s">
        <v>115</v>
      </c>
      <c r="AJ989" t="s">
        <v>116</v>
      </c>
      <c r="AK989" t="s">
        <v>117</v>
      </c>
      <c r="AL989" t="s">
        <v>586</v>
      </c>
      <c r="AM989" t="s">
        <v>119</v>
      </c>
      <c r="AN989" t="s">
        <v>120</v>
      </c>
      <c r="AO989" t="s">
        <v>121</v>
      </c>
      <c r="AP989" t="s">
        <v>122</v>
      </c>
      <c r="AQ989" t="s">
        <v>123</v>
      </c>
      <c r="AR989" t="s">
        <v>124</v>
      </c>
      <c r="AS989" t="s">
        <v>125</v>
      </c>
      <c r="AT989">
        <v>2</v>
      </c>
      <c r="AU989" t="s">
        <v>126</v>
      </c>
      <c r="AV989" t="s">
        <v>127</v>
      </c>
      <c r="AW989" t="s">
        <v>128</v>
      </c>
      <c r="AX989">
        <v>1</v>
      </c>
      <c r="AY989" t="s">
        <v>129</v>
      </c>
      <c r="AZ989">
        <v>52127.56</v>
      </c>
      <c r="BA989">
        <v>4246493</v>
      </c>
      <c r="BB989">
        <v>57962.91</v>
      </c>
      <c r="BC989">
        <v>81.463499999999996</v>
      </c>
      <c r="BD989" t="s">
        <v>130</v>
      </c>
      <c r="BE989" t="s">
        <v>131</v>
      </c>
      <c r="BF989" t="s">
        <v>132</v>
      </c>
      <c r="BG989" t="s">
        <v>133</v>
      </c>
      <c r="BH989" t="s">
        <v>167</v>
      </c>
      <c r="BI989" t="s">
        <v>900</v>
      </c>
      <c r="BJ989" t="s">
        <v>112</v>
      </c>
      <c r="BK989" t="s">
        <v>112</v>
      </c>
      <c r="BL989" t="s">
        <v>588</v>
      </c>
      <c r="BM989" t="s">
        <v>589</v>
      </c>
      <c r="BN989" t="s">
        <v>590</v>
      </c>
      <c r="BO989" t="s">
        <v>591</v>
      </c>
      <c r="BP989">
        <v>1</v>
      </c>
      <c r="BQ989" t="s">
        <v>904</v>
      </c>
      <c r="BR989" s="45">
        <f>ISNUMBER(SEARCH($BR$1,Таблица1[[#This Row],[31_1 Описание и характеристика товара]]))*1</f>
        <v>1</v>
      </c>
      <c r="BT989" t="s">
        <v>141</v>
      </c>
      <c r="BU989">
        <v>17</v>
      </c>
      <c r="BV989">
        <v>0</v>
      </c>
      <c r="BW989">
        <v>0</v>
      </c>
      <c r="BY989">
        <v>0</v>
      </c>
      <c r="CA989" t="s">
        <v>106</v>
      </c>
      <c r="CB989" t="s">
        <v>597</v>
      </c>
      <c r="CC989" t="s">
        <v>112</v>
      </c>
      <c r="CD989" t="s">
        <v>112</v>
      </c>
      <c r="CE989" t="s">
        <v>143</v>
      </c>
      <c r="CF989">
        <v>9975.52</v>
      </c>
      <c r="CG989" t="s">
        <v>144</v>
      </c>
      <c r="CH989">
        <v>4000000</v>
      </c>
      <c r="CI989">
        <v>9340.4</v>
      </c>
      <c r="CJ989">
        <v>0</v>
      </c>
      <c r="CK989" t="s">
        <v>112</v>
      </c>
      <c r="CL989" t="s">
        <v>112</v>
      </c>
      <c r="CM989">
        <v>35071.620000000003</v>
      </c>
      <c r="CN989">
        <v>2857057</v>
      </c>
      <c r="CO989">
        <v>0</v>
      </c>
      <c r="CP989">
        <v>1</v>
      </c>
      <c r="CQ989">
        <v>2988375.27</v>
      </c>
      <c r="CR989">
        <v>39010.49</v>
      </c>
      <c r="CS989" t="s">
        <v>145</v>
      </c>
      <c r="CT989">
        <v>39010.1806</v>
      </c>
      <c r="CU989">
        <v>4.1764999999999999</v>
      </c>
      <c r="CV989">
        <v>952</v>
      </c>
      <c r="CW989" t="s">
        <v>593</v>
      </c>
      <c r="CX989" t="s">
        <v>594</v>
      </c>
      <c r="CY989">
        <v>0</v>
      </c>
    </row>
    <row r="990" spans="1:103" x14ac:dyDescent="0.25">
      <c r="A990" t="s">
        <v>106</v>
      </c>
      <c r="B990" s="38">
        <v>45189</v>
      </c>
      <c r="C990" s="43">
        <f>IF(YEAR(Таблица1[[#This Row],[Дата]])=2023,MONTH(Таблица1[[#This Row],[Дата]]),0)</f>
        <v>9</v>
      </c>
      <c r="D990" t="s">
        <v>958</v>
      </c>
      <c r="E990" t="s">
        <v>583</v>
      </c>
      <c r="F990" t="s">
        <v>959</v>
      </c>
      <c r="G990" t="s">
        <v>110</v>
      </c>
      <c r="H990" t="s">
        <v>111</v>
      </c>
      <c r="I990" t="s">
        <v>112</v>
      </c>
      <c r="J990" t="s">
        <v>112</v>
      </c>
      <c r="K990" t="s">
        <v>112</v>
      </c>
      <c r="L990" t="s">
        <v>113</v>
      </c>
      <c r="M990" t="s">
        <v>585</v>
      </c>
      <c r="N990" t="s">
        <v>112</v>
      </c>
      <c r="O990" t="s">
        <v>112</v>
      </c>
      <c r="P990">
        <v>2</v>
      </c>
      <c r="Q990">
        <v>0</v>
      </c>
      <c r="R990">
        <v>2</v>
      </c>
      <c r="S990">
        <v>33</v>
      </c>
      <c r="T990" t="s">
        <v>115</v>
      </c>
      <c r="U990" t="s">
        <v>116</v>
      </c>
      <c r="V990" t="s">
        <v>117</v>
      </c>
      <c r="W990" t="s">
        <v>586</v>
      </c>
      <c r="X990" t="s">
        <v>119</v>
      </c>
      <c r="Y990" t="s">
        <v>120</v>
      </c>
      <c r="Z990" t="s">
        <v>115</v>
      </c>
      <c r="AA990" t="s">
        <v>116</v>
      </c>
      <c r="AB990" t="s">
        <v>117</v>
      </c>
      <c r="AC990" t="s">
        <v>586</v>
      </c>
      <c r="AD990" t="s">
        <v>119</v>
      </c>
      <c r="AE990" t="s">
        <v>120</v>
      </c>
      <c r="AF990" t="s">
        <v>121</v>
      </c>
      <c r="AG990" t="s">
        <v>122</v>
      </c>
      <c r="AH990">
        <v>4540142.51</v>
      </c>
      <c r="AI990" t="s">
        <v>115</v>
      </c>
      <c r="AJ990" t="s">
        <v>116</v>
      </c>
      <c r="AK990" t="s">
        <v>117</v>
      </c>
      <c r="AL990" t="s">
        <v>586</v>
      </c>
      <c r="AM990" t="s">
        <v>119</v>
      </c>
      <c r="AN990" t="s">
        <v>120</v>
      </c>
      <c r="AO990" t="s">
        <v>121</v>
      </c>
      <c r="AP990" t="s">
        <v>122</v>
      </c>
      <c r="AQ990" t="s">
        <v>123</v>
      </c>
      <c r="AR990" t="s">
        <v>124</v>
      </c>
      <c r="AS990" t="s">
        <v>125</v>
      </c>
      <c r="AT990">
        <v>2</v>
      </c>
      <c r="AU990" t="s">
        <v>126</v>
      </c>
      <c r="AV990" t="s">
        <v>127</v>
      </c>
      <c r="AW990" t="s">
        <v>128</v>
      </c>
      <c r="AX990">
        <v>1</v>
      </c>
      <c r="AY990" t="s">
        <v>129</v>
      </c>
      <c r="AZ990">
        <v>53354.23</v>
      </c>
      <c r="BA990">
        <v>4346422</v>
      </c>
      <c r="BB990">
        <v>59267.39</v>
      </c>
      <c r="BC990">
        <v>81.463499999999996</v>
      </c>
      <c r="BD990" t="s">
        <v>130</v>
      </c>
      <c r="BE990" t="s">
        <v>131</v>
      </c>
      <c r="BF990" t="s">
        <v>132</v>
      </c>
      <c r="BG990" t="s">
        <v>133</v>
      </c>
      <c r="BH990" t="s">
        <v>167</v>
      </c>
      <c r="BI990" t="s">
        <v>900</v>
      </c>
      <c r="BJ990" t="s">
        <v>112</v>
      </c>
      <c r="BK990" t="s">
        <v>112</v>
      </c>
      <c r="BL990" t="s">
        <v>588</v>
      </c>
      <c r="BM990" t="s">
        <v>589</v>
      </c>
      <c r="BN990" t="s">
        <v>590</v>
      </c>
      <c r="BO990" t="s">
        <v>591</v>
      </c>
      <c r="BP990">
        <v>2</v>
      </c>
      <c r="BQ990" t="s">
        <v>903</v>
      </c>
      <c r="BR990" s="45">
        <f>ISNUMBER(SEARCH($BR$1,Таблица1[[#This Row],[31_1 Описание и характеристика товара]]))*1</f>
        <v>1</v>
      </c>
      <c r="BT990" t="s">
        <v>141</v>
      </c>
      <c r="BU990">
        <v>15</v>
      </c>
      <c r="BV990">
        <v>0</v>
      </c>
      <c r="BW990">
        <v>0</v>
      </c>
      <c r="BY990">
        <v>0</v>
      </c>
      <c r="CA990" t="s">
        <v>596</v>
      </c>
      <c r="CB990" t="s">
        <v>142</v>
      </c>
      <c r="CC990" t="s">
        <v>112</v>
      </c>
      <c r="CD990" t="s">
        <v>112</v>
      </c>
      <c r="CE990" t="s">
        <v>143</v>
      </c>
      <c r="CF990">
        <v>4502.32</v>
      </c>
      <c r="CG990" t="s">
        <v>144</v>
      </c>
      <c r="CH990">
        <v>4000000</v>
      </c>
      <c r="CI990">
        <v>4198.2</v>
      </c>
      <c r="CJ990">
        <v>0</v>
      </c>
      <c r="CK990" t="s">
        <v>112</v>
      </c>
      <c r="CL990" t="s">
        <v>112</v>
      </c>
      <c r="CM990">
        <v>15833.81</v>
      </c>
      <c r="CN990">
        <v>1289878</v>
      </c>
      <c r="CO990">
        <v>0</v>
      </c>
      <c r="CP990">
        <v>1</v>
      </c>
      <c r="CQ990">
        <v>1347919.51</v>
      </c>
      <c r="CR990">
        <v>17595.849999999999</v>
      </c>
      <c r="CS990" t="s">
        <v>145</v>
      </c>
      <c r="CT990">
        <v>17595.915659999999</v>
      </c>
      <c r="CU990">
        <v>4.1913</v>
      </c>
      <c r="CV990">
        <v>952</v>
      </c>
      <c r="CW990" t="s">
        <v>593</v>
      </c>
      <c r="CX990" t="s">
        <v>594</v>
      </c>
      <c r="CY990">
        <v>0</v>
      </c>
    </row>
    <row r="991" spans="1:103" x14ac:dyDescent="0.25">
      <c r="A991" t="s">
        <v>106</v>
      </c>
      <c r="B991" s="38">
        <v>44945</v>
      </c>
      <c r="C991" s="43">
        <f>IF(YEAR(Таблица1[[#This Row],[Дата]])=2023,MONTH(Таблица1[[#This Row],[Дата]]),0)</f>
        <v>1</v>
      </c>
      <c r="D991" t="s">
        <v>958</v>
      </c>
      <c r="E991" t="s">
        <v>583</v>
      </c>
      <c r="F991" t="s">
        <v>959</v>
      </c>
      <c r="G991" t="s">
        <v>110</v>
      </c>
      <c r="H991" t="s">
        <v>111</v>
      </c>
      <c r="I991" t="s">
        <v>112</v>
      </c>
      <c r="J991" t="s">
        <v>112</v>
      </c>
      <c r="K991" t="s">
        <v>112</v>
      </c>
      <c r="L991" t="s">
        <v>113</v>
      </c>
      <c r="M991" t="s">
        <v>585</v>
      </c>
      <c r="N991" t="s">
        <v>112</v>
      </c>
      <c r="O991" t="s">
        <v>112</v>
      </c>
      <c r="P991">
        <v>2</v>
      </c>
      <c r="Q991">
        <v>0</v>
      </c>
      <c r="R991">
        <v>2</v>
      </c>
      <c r="S991">
        <v>33</v>
      </c>
      <c r="T991" t="s">
        <v>115</v>
      </c>
      <c r="U991" t="s">
        <v>116</v>
      </c>
      <c r="V991" t="s">
        <v>117</v>
      </c>
      <c r="W991" t="s">
        <v>586</v>
      </c>
      <c r="X991" t="s">
        <v>119</v>
      </c>
      <c r="Y991" t="s">
        <v>120</v>
      </c>
      <c r="Z991" t="s">
        <v>115</v>
      </c>
      <c r="AA991" t="s">
        <v>116</v>
      </c>
      <c r="AB991" t="s">
        <v>117</v>
      </c>
      <c r="AC991" t="s">
        <v>586</v>
      </c>
      <c r="AD991" t="s">
        <v>119</v>
      </c>
      <c r="AE991" t="s">
        <v>120</v>
      </c>
      <c r="AF991" t="s">
        <v>121</v>
      </c>
      <c r="AG991" t="s">
        <v>122</v>
      </c>
      <c r="AH991">
        <v>4540142.51</v>
      </c>
      <c r="AI991" t="s">
        <v>115</v>
      </c>
      <c r="AJ991" t="s">
        <v>116</v>
      </c>
      <c r="AK991" t="s">
        <v>117</v>
      </c>
      <c r="AL991" t="s">
        <v>586</v>
      </c>
      <c r="AM991" t="s">
        <v>119</v>
      </c>
      <c r="AN991" t="s">
        <v>120</v>
      </c>
      <c r="AO991" t="s">
        <v>121</v>
      </c>
      <c r="AP991" t="s">
        <v>122</v>
      </c>
      <c r="AQ991" t="s">
        <v>123</v>
      </c>
      <c r="AR991" t="s">
        <v>124</v>
      </c>
      <c r="AS991" t="s">
        <v>125</v>
      </c>
      <c r="AT991">
        <v>2</v>
      </c>
      <c r="AU991" t="s">
        <v>126</v>
      </c>
      <c r="AV991" t="s">
        <v>127</v>
      </c>
      <c r="AW991" t="s">
        <v>128</v>
      </c>
      <c r="AX991">
        <v>1</v>
      </c>
      <c r="AY991" t="s">
        <v>129</v>
      </c>
      <c r="AZ991">
        <v>53354.23</v>
      </c>
      <c r="BA991">
        <v>4346422</v>
      </c>
      <c r="BB991">
        <v>59267.39</v>
      </c>
      <c r="BC991">
        <v>81.463499999999996</v>
      </c>
      <c r="BD991" t="s">
        <v>130</v>
      </c>
      <c r="BE991" t="s">
        <v>131</v>
      </c>
      <c r="BF991" t="s">
        <v>132</v>
      </c>
      <c r="BG991" t="s">
        <v>133</v>
      </c>
      <c r="BH991" t="s">
        <v>167</v>
      </c>
      <c r="BI991" t="s">
        <v>900</v>
      </c>
      <c r="BJ991" t="s">
        <v>112</v>
      </c>
      <c r="BK991" t="s">
        <v>112</v>
      </c>
      <c r="BL991" t="s">
        <v>588</v>
      </c>
      <c r="BM991" t="s">
        <v>589</v>
      </c>
      <c r="BN991" t="s">
        <v>590</v>
      </c>
      <c r="BO991" t="s">
        <v>591</v>
      </c>
      <c r="BP991">
        <v>1</v>
      </c>
      <c r="BQ991" t="s">
        <v>960</v>
      </c>
      <c r="BR991" s="45">
        <f>ISNUMBER(SEARCH($BR$1,Таблица1[[#This Row],[31_1 Описание и характеристика товара]]))*1</f>
        <v>1</v>
      </c>
      <c r="BT991" t="s">
        <v>141</v>
      </c>
      <c r="BU991">
        <v>18</v>
      </c>
      <c r="BV991">
        <v>0</v>
      </c>
      <c r="BW991">
        <v>0</v>
      </c>
      <c r="BY991">
        <v>0</v>
      </c>
      <c r="CA991" t="s">
        <v>106</v>
      </c>
      <c r="CB991" t="s">
        <v>597</v>
      </c>
      <c r="CC991" t="s">
        <v>112</v>
      </c>
      <c r="CD991" t="s">
        <v>112</v>
      </c>
      <c r="CE991" t="s">
        <v>143</v>
      </c>
      <c r="CF991">
        <v>10524.64</v>
      </c>
      <c r="CG991" t="s">
        <v>144</v>
      </c>
      <c r="CH991">
        <v>4000000</v>
      </c>
      <c r="CI991">
        <v>9836.4</v>
      </c>
      <c r="CJ991">
        <v>0</v>
      </c>
      <c r="CK991" t="s">
        <v>112</v>
      </c>
      <c r="CL991" t="s">
        <v>112</v>
      </c>
      <c r="CM991">
        <v>37520.42</v>
      </c>
      <c r="CN991">
        <v>3056545</v>
      </c>
      <c r="CO991">
        <v>0</v>
      </c>
      <c r="CP991">
        <v>1</v>
      </c>
      <c r="CQ991">
        <v>3192223</v>
      </c>
      <c r="CR991">
        <v>41671.54</v>
      </c>
      <c r="CS991" t="s">
        <v>145</v>
      </c>
      <c r="CT991">
        <v>41671.908600000002</v>
      </c>
      <c r="CU991">
        <v>4.2365000000000004</v>
      </c>
      <c r="CV991">
        <v>952</v>
      </c>
      <c r="CW991" t="s">
        <v>593</v>
      </c>
      <c r="CX991" t="s">
        <v>594</v>
      </c>
      <c r="CY991">
        <v>0</v>
      </c>
    </row>
    <row r="992" spans="1:103" x14ac:dyDescent="0.25">
      <c r="A992" t="s">
        <v>106</v>
      </c>
      <c r="B992" s="38">
        <v>45106</v>
      </c>
      <c r="C992" s="43">
        <f>IF(YEAR(Таблица1[[#This Row],[Дата]])=2023,MONTH(Таблица1[[#This Row],[Дата]]),0)</f>
        <v>6</v>
      </c>
      <c r="D992" t="s">
        <v>631</v>
      </c>
      <c r="E992" t="s">
        <v>583</v>
      </c>
      <c r="F992" t="s">
        <v>632</v>
      </c>
      <c r="G992" t="s">
        <v>110</v>
      </c>
      <c r="H992" t="s">
        <v>111</v>
      </c>
      <c r="I992" t="s">
        <v>112</v>
      </c>
      <c r="J992" t="s">
        <v>112</v>
      </c>
      <c r="K992" t="s">
        <v>112</v>
      </c>
      <c r="L992" t="s">
        <v>113</v>
      </c>
      <c r="M992" t="s">
        <v>633</v>
      </c>
      <c r="N992" t="s">
        <v>112</v>
      </c>
      <c r="O992" t="s">
        <v>112</v>
      </c>
      <c r="P992">
        <v>2</v>
      </c>
      <c r="Q992">
        <v>0</v>
      </c>
      <c r="R992">
        <v>2</v>
      </c>
      <c r="S992">
        <v>33</v>
      </c>
      <c r="T992" t="s">
        <v>115</v>
      </c>
      <c r="U992" t="s">
        <v>116</v>
      </c>
      <c r="V992" t="s">
        <v>117</v>
      </c>
      <c r="W992" t="s">
        <v>586</v>
      </c>
      <c r="X992" t="s">
        <v>119</v>
      </c>
      <c r="Y992" t="s">
        <v>120</v>
      </c>
      <c r="Z992" t="s">
        <v>115</v>
      </c>
      <c r="AA992" t="s">
        <v>116</v>
      </c>
      <c r="AB992" t="s">
        <v>117</v>
      </c>
      <c r="AC992" t="s">
        <v>586</v>
      </c>
      <c r="AD992" t="s">
        <v>119</v>
      </c>
      <c r="AE992" t="s">
        <v>120</v>
      </c>
      <c r="AF992" t="s">
        <v>121</v>
      </c>
      <c r="AG992" t="s">
        <v>122</v>
      </c>
      <c r="AH992">
        <v>4163425.69</v>
      </c>
      <c r="AI992" t="s">
        <v>115</v>
      </c>
      <c r="AJ992" t="s">
        <v>116</v>
      </c>
      <c r="AK992" t="s">
        <v>117</v>
      </c>
      <c r="AL992" t="s">
        <v>586</v>
      </c>
      <c r="AM992" t="s">
        <v>119</v>
      </c>
      <c r="AN992" t="s">
        <v>120</v>
      </c>
      <c r="AO992" t="s">
        <v>121</v>
      </c>
      <c r="AP992" t="s">
        <v>122</v>
      </c>
      <c r="AQ992" t="s">
        <v>123</v>
      </c>
      <c r="AR992" t="s">
        <v>124</v>
      </c>
      <c r="AS992" t="s">
        <v>125</v>
      </c>
      <c r="AT992">
        <v>2</v>
      </c>
      <c r="AU992" t="s">
        <v>126</v>
      </c>
      <c r="AV992" t="s">
        <v>127</v>
      </c>
      <c r="AW992" t="s">
        <v>128</v>
      </c>
      <c r="AX992">
        <v>1</v>
      </c>
      <c r="AY992" t="s">
        <v>129</v>
      </c>
      <c r="AZ992">
        <v>49948.51</v>
      </c>
      <c r="BA992">
        <v>3976421</v>
      </c>
      <c r="BB992">
        <v>55691.45</v>
      </c>
      <c r="BC992">
        <v>79.610399999999998</v>
      </c>
      <c r="BD992" t="s">
        <v>130</v>
      </c>
      <c r="BE992" t="s">
        <v>131</v>
      </c>
      <c r="BF992" t="s">
        <v>132</v>
      </c>
      <c r="BG992" t="s">
        <v>133</v>
      </c>
      <c r="BH992" t="s">
        <v>167</v>
      </c>
      <c r="BI992" t="s">
        <v>587</v>
      </c>
      <c r="BJ992" t="s">
        <v>112</v>
      </c>
      <c r="BK992" t="s">
        <v>112</v>
      </c>
      <c r="BL992" t="s">
        <v>588</v>
      </c>
      <c r="BM992" t="s">
        <v>589</v>
      </c>
      <c r="BN992" t="s">
        <v>590</v>
      </c>
      <c r="BO992" t="s">
        <v>591</v>
      </c>
      <c r="BP992">
        <v>1</v>
      </c>
      <c r="BQ992" t="s">
        <v>634</v>
      </c>
      <c r="BR992" s="45">
        <f>ISNUMBER(SEARCH($BR$1,Таблица1[[#This Row],[31_1 Описание и характеристика товара]]))*1</f>
        <v>1</v>
      </c>
      <c r="BT992" t="s">
        <v>141</v>
      </c>
      <c r="BU992">
        <v>33</v>
      </c>
      <c r="BV992">
        <v>0</v>
      </c>
      <c r="BW992">
        <v>0</v>
      </c>
      <c r="BY992">
        <v>0</v>
      </c>
      <c r="CA992" t="s">
        <v>106</v>
      </c>
      <c r="CB992" t="s">
        <v>142</v>
      </c>
      <c r="CC992" t="s">
        <v>112</v>
      </c>
      <c r="CD992" t="s">
        <v>112</v>
      </c>
      <c r="CE992" t="s">
        <v>143</v>
      </c>
      <c r="CF992">
        <v>6742.88</v>
      </c>
      <c r="CG992" t="s">
        <v>144</v>
      </c>
      <c r="CH992">
        <v>4000000</v>
      </c>
      <c r="CI992">
        <v>6406</v>
      </c>
      <c r="CJ992">
        <v>0</v>
      </c>
      <c r="CK992" t="s">
        <v>112</v>
      </c>
      <c r="CL992" t="s">
        <v>112</v>
      </c>
      <c r="CM992">
        <v>22660.94</v>
      </c>
      <c r="CN992">
        <v>1804046</v>
      </c>
      <c r="CO992">
        <v>0</v>
      </c>
      <c r="CP992">
        <v>1</v>
      </c>
      <c r="CQ992">
        <v>1888365.06</v>
      </c>
      <c r="CR992">
        <v>25259.439999999999</v>
      </c>
      <c r="CS992" t="s">
        <v>145</v>
      </c>
      <c r="CT992">
        <v>25259.498599999999</v>
      </c>
      <c r="CU992">
        <v>3.9430999999999998</v>
      </c>
      <c r="CV992">
        <v>952</v>
      </c>
      <c r="CW992" t="s">
        <v>593</v>
      </c>
      <c r="CX992" t="s">
        <v>635</v>
      </c>
      <c r="CY992">
        <v>0</v>
      </c>
    </row>
    <row r="993" spans="1:103" x14ac:dyDescent="0.25">
      <c r="A993" t="s">
        <v>106</v>
      </c>
      <c r="B993" s="38">
        <v>44938</v>
      </c>
      <c r="C993" s="43">
        <f>IF(YEAR(Таблица1[[#This Row],[Дата]])=2023,MONTH(Таблица1[[#This Row],[Дата]]),0)</f>
        <v>1</v>
      </c>
      <c r="D993" t="s">
        <v>631</v>
      </c>
      <c r="E993" t="s">
        <v>583</v>
      </c>
      <c r="F993" t="s">
        <v>632</v>
      </c>
      <c r="G993" t="s">
        <v>110</v>
      </c>
      <c r="H993" t="s">
        <v>111</v>
      </c>
      <c r="I993" t="s">
        <v>112</v>
      </c>
      <c r="J993" t="s">
        <v>112</v>
      </c>
      <c r="K993" t="s">
        <v>112</v>
      </c>
      <c r="L993" t="s">
        <v>113</v>
      </c>
      <c r="M993" t="s">
        <v>633</v>
      </c>
      <c r="N993" t="s">
        <v>112</v>
      </c>
      <c r="O993" t="s">
        <v>112</v>
      </c>
      <c r="P993">
        <v>2</v>
      </c>
      <c r="Q993">
        <v>0</v>
      </c>
      <c r="R993">
        <v>2</v>
      </c>
      <c r="S993">
        <v>33</v>
      </c>
      <c r="T993" t="s">
        <v>115</v>
      </c>
      <c r="U993" t="s">
        <v>116</v>
      </c>
      <c r="V993" t="s">
        <v>117</v>
      </c>
      <c r="W993" t="s">
        <v>586</v>
      </c>
      <c r="X993" t="s">
        <v>119</v>
      </c>
      <c r="Y993" t="s">
        <v>120</v>
      </c>
      <c r="Z993" t="s">
        <v>115</v>
      </c>
      <c r="AA993" t="s">
        <v>116</v>
      </c>
      <c r="AB993" t="s">
        <v>117</v>
      </c>
      <c r="AC993" t="s">
        <v>586</v>
      </c>
      <c r="AD993" t="s">
        <v>119</v>
      </c>
      <c r="AE993" t="s">
        <v>120</v>
      </c>
      <c r="AF993" t="s">
        <v>121</v>
      </c>
      <c r="AG993" t="s">
        <v>122</v>
      </c>
      <c r="AH993">
        <v>4163425.69</v>
      </c>
      <c r="AI993" t="s">
        <v>115</v>
      </c>
      <c r="AJ993" t="s">
        <v>116</v>
      </c>
      <c r="AK993" t="s">
        <v>117</v>
      </c>
      <c r="AL993" t="s">
        <v>586</v>
      </c>
      <c r="AM993" t="s">
        <v>119</v>
      </c>
      <c r="AN993" t="s">
        <v>120</v>
      </c>
      <c r="AO993" t="s">
        <v>121</v>
      </c>
      <c r="AP993" t="s">
        <v>122</v>
      </c>
      <c r="AQ993" t="s">
        <v>123</v>
      </c>
      <c r="AR993" t="s">
        <v>124</v>
      </c>
      <c r="AS993" t="s">
        <v>125</v>
      </c>
      <c r="AT993">
        <v>2</v>
      </c>
      <c r="AU993" t="s">
        <v>126</v>
      </c>
      <c r="AV993" t="s">
        <v>127</v>
      </c>
      <c r="AW993" t="s">
        <v>128</v>
      </c>
      <c r="AX993">
        <v>1</v>
      </c>
      <c r="AY993" t="s">
        <v>129</v>
      </c>
      <c r="AZ993">
        <v>49948.51</v>
      </c>
      <c r="BA993">
        <v>3976421</v>
      </c>
      <c r="BB993">
        <v>55691.45</v>
      </c>
      <c r="BC993">
        <v>79.610399999999998</v>
      </c>
      <c r="BD993" t="s">
        <v>130</v>
      </c>
      <c r="BE993" t="s">
        <v>131</v>
      </c>
      <c r="BF993" t="s">
        <v>132</v>
      </c>
      <c r="BG993" t="s">
        <v>133</v>
      </c>
      <c r="BH993" t="s">
        <v>167</v>
      </c>
      <c r="BI993" t="s">
        <v>587</v>
      </c>
      <c r="BJ993" t="s">
        <v>112</v>
      </c>
      <c r="BK993" t="s">
        <v>112</v>
      </c>
      <c r="BL993" t="s">
        <v>588</v>
      </c>
      <c r="BM993" t="s">
        <v>589</v>
      </c>
      <c r="BN993" t="s">
        <v>590</v>
      </c>
      <c r="BO993" t="s">
        <v>591</v>
      </c>
      <c r="BP993">
        <v>2</v>
      </c>
      <c r="BQ993" t="s">
        <v>636</v>
      </c>
      <c r="BR993" s="45">
        <f>ISNUMBER(SEARCH($BR$1,Таблица1[[#This Row],[31_1 Описание и характеристика товара]]))*1</f>
        <v>1</v>
      </c>
      <c r="BT993" t="s">
        <v>141</v>
      </c>
      <c r="BU993">
        <v>33</v>
      </c>
      <c r="BV993">
        <v>0</v>
      </c>
      <c r="BW993">
        <v>0</v>
      </c>
      <c r="BY993">
        <v>0</v>
      </c>
      <c r="CA993" t="s">
        <v>596</v>
      </c>
      <c r="CB993" t="s">
        <v>597</v>
      </c>
      <c r="CC993" t="s">
        <v>112</v>
      </c>
      <c r="CD993" t="s">
        <v>112</v>
      </c>
      <c r="CE993" t="s">
        <v>143</v>
      </c>
      <c r="CF993">
        <v>8211.76</v>
      </c>
      <c r="CG993" t="s">
        <v>144</v>
      </c>
      <c r="CH993">
        <v>4000000</v>
      </c>
      <c r="CI993">
        <v>7759.8</v>
      </c>
      <c r="CJ993">
        <v>0</v>
      </c>
      <c r="CK993" t="s">
        <v>112</v>
      </c>
      <c r="CL993" t="s">
        <v>112</v>
      </c>
      <c r="CM993">
        <v>27287.57</v>
      </c>
      <c r="CN993">
        <v>2172374</v>
      </c>
      <c r="CO993">
        <v>0</v>
      </c>
      <c r="CP993">
        <v>1</v>
      </c>
      <c r="CQ993">
        <v>2275060.63</v>
      </c>
      <c r="CR993">
        <v>30432.01</v>
      </c>
      <c r="CS993" t="s">
        <v>145</v>
      </c>
      <c r="CT993">
        <v>30432.383640000004</v>
      </c>
      <c r="CU993">
        <v>3.9218000000000002</v>
      </c>
      <c r="CV993">
        <v>952</v>
      </c>
      <c r="CW993" t="s">
        <v>593</v>
      </c>
      <c r="CX993" t="s">
        <v>635</v>
      </c>
      <c r="CY993">
        <v>0</v>
      </c>
    </row>
    <row r="994" spans="1:103" x14ac:dyDescent="0.25">
      <c r="A994" s="8" t="s">
        <v>106</v>
      </c>
      <c r="B994" s="38">
        <v>44962</v>
      </c>
      <c r="C994" s="43">
        <f>IF(YEAR(Таблица1[[#This Row],[Дата]])=2023,MONTH(Таблица1[[#This Row],[Дата]]),0)</f>
        <v>2</v>
      </c>
      <c r="D994" s="8" t="s">
        <v>3167</v>
      </c>
      <c r="E994" s="8" t="s">
        <v>583</v>
      </c>
      <c r="F994" s="8" t="s">
        <v>3168</v>
      </c>
      <c r="G994" t="s">
        <v>110</v>
      </c>
      <c r="H994" s="8" t="s">
        <v>111</v>
      </c>
      <c r="I994" s="8" t="s">
        <v>112</v>
      </c>
      <c r="J994" s="8" t="s">
        <v>112</v>
      </c>
      <c r="K994" s="8" t="s">
        <v>112</v>
      </c>
      <c r="L994" s="8" t="s">
        <v>2738</v>
      </c>
      <c r="M994" s="8" t="s">
        <v>2739</v>
      </c>
      <c r="N994" s="8" t="s">
        <v>112</v>
      </c>
      <c r="O994" s="8" t="s">
        <v>112</v>
      </c>
      <c r="P994">
        <v>2</v>
      </c>
      <c r="Q994">
        <v>0</v>
      </c>
      <c r="R994">
        <v>3</v>
      </c>
      <c r="S994">
        <v>177</v>
      </c>
      <c r="T994" s="8" t="s">
        <v>2740</v>
      </c>
      <c r="U994" s="8" t="s">
        <v>2741</v>
      </c>
      <c r="V994" s="8" t="s">
        <v>2742</v>
      </c>
      <c r="W994" s="8" t="s">
        <v>2743</v>
      </c>
      <c r="X994" s="8" t="s">
        <v>2552</v>
      </c>
      <c r="Y994" s="8" t="s">
        <v>2671</v>
      </c>
      <c r="Z994" s="8" t="s">
        <v>2740</v>
      </c>
      <c r="AA994" s="8" t="s">
        <v>2741</v>
      </c>
      <c r="AB994" s="8" t="s">
        <v>2742</v>
      </c>
      <c r="AC994" s="8" t="s">
        <v>2743</v>
      </c>
      <c r="AD994" s="8" t="s">
        <v>2552</v>
      </c>
      <c r="AE994" s="8" t="s">
        <v>2671</v>
      </c>
      <c r="AF994" s="8" t="s">
        <v>2398</v>
      </c>
      <c r="AG994" s="8" t="s">
        <v>2399</v>
      </c>
      <c r="AH994">
        <v>14144565.8699999</v>
      </c>
      <c r="AI994" s="8" t="s">
        <v>2740</v>
      </c>
      <c r="AJ994" s="8" t="s">
        <v>2741</v>
      </c>
      <c r="AK994" s="8" t="s">
        <v>2742</v>
      </c>
      <c r="AL994" s="8" t="s">
        <v>2743</v>
      </c>
      <c r="AM994" s="8" t="s">
        <v>2552</v>
      </c>
      <c r="AN994" s="8" t="s">
        <v>2671</v>
      </c>
      <c r="AO994" s="8" t="s">
        <v>2398</v>
      </c>
      <c r="AP994" s="8" t="s">
        <v>2399</v>
      </c>
      <c r="AQ994" s="8" t="s">
        <v>2744</v>
      </c>
      <c r="AR994" s="8" t="s">
        <v>124</v>
      </c>
      <c r="AS994" s="8" t="s">
        <v>125</v>
      </c>
      <c r="AT994">
        <v>2</v>
      </c>
      <c r="AU994" s="8" t="s">
        <v>126</v>
      </c>
      <c r="AV994" s="8" t="s">
        <v>155</v>
      </c>
      <c r="AW994" s="8" t="s">
        <v>2745</v>
      </c>
      <c r="AX994">
        <v>1</v>
      </c>
      <c r="AY994" s="8" t="s">
        <v>129</v>
      </c>
      <c r="AZ994">
        <v>204900</v>
      </c>
      <c r="BA994">
        <v>14092981</v>
      </c>
      <c r="BB994">
        <v>218929.69</v>
      </c>
      <c r="BC994">
        <v>68.779799999999895</v>
      </c>
      <c r="BD994" s="8" t="s">
        <v>130</v>
      </c>
      <c r="BE994" s="8" t="s">
        <v>112</v>
      </c>
      <c r="BF994" s="8" t="s">
        <v>2746</v>
      </c>
      <c r="BG994" s="8" t="s">
        <v>133</v>
      </c>
      <c r="BH994" s="8" t="s">
        <v>134</v>
      </c>
      <c r="BI994" s="8" t="s">
        <v>112</v>
      </c>
      <c r="BJ994" s="8" t="s">
        <v>112</v>
      </c>
      <c r="BK994" s="8" t="s">
        <v>112</v>
      </c>
      <c r="BL994" s="8" t="s">
        <v>2587</v>
      </c>
      <c r="BM994" s="8" t="s">
        <v>2747</v>
      </c>
      <c r="BN994" s="8" t="s">
        <v>2748</v>
      </c>
      <c r="BO994" s="8" t="s">
        <v>2749</v>
      </c>
      <c r="BP994">
        <v>2</v>
      </c>
      <c r="BQ994" s="8" t="s">
        <v>3169</v>
      </c>
      <c r="BR994" s="45">
        <f>ISNUMBER(SEARCH($BR$1,Таблица1[[#This Row],[31_1 Описание и характеристика товара]]))*1</f>
        <v>0</v>
      </c>
      <c r="BT994" s="8" t="s">
        <v>2751</v>
      </c>
      <c r="BU994">
        <v>173</v>
      </c>
      <c r="BV994">
        <v>0</v>
      </c>
      <c r="BW994">
        <v>173</v>
      </c>
      <c r="BX994" t="s">
        <v>2147</v>
      </c>
      <c r="BY994">
        <v>0</v>
      </c>
      <c r="CA994" s="8" t="s">
        <v>596</v>
      </c>
      <c r="CB994" s="8" t="s">
        <v>2148</v>
      </c>
      <c r="CC994" s="8" t="s">
        <v>112</v>
      </c>
      <c r="CD994" s="8" t="s">
        <v>112</v>
      </c>
      <c r="CE994" s="8" t="s">
        <v>2752</v>
      </c>
      <c r="CF994">
        <v>10282</v>
      </c>
      <c r="CG994" t="s">
        <v>144</v>
      </c>
      <c r="CH994">
        <v>4000000</v>
      </c>
      <c r="CI994">
        <v>9308</v>
      </c>
      <c r="CJ994">
        <v>0</v>
      </c>
      <c r="CK994" s="8" t="s">
        <v>112</v>
      </c>
      <c r="CL994" s="8" t="s">
        <v>112</v>
      </c>
      <c r="CM994">
        <v>163891</v>
      </c>
      <c r="CN994">
        <v>11272390</v>
      </c>
      <c r="CO994">
        <v>0</v>
      </c>
      <c r="CP994">
        <v>1</v>
      </c>
      <c r="CQ994">
        <v>11318507.060000001</v>
      </c>
      <c r="CR994">
        <v>175187.93</v>
      </c>
      <c r="CS994" s="8" t="s">
        <v>145</v>
      </c>
      <c r="CT994">
        <v>18.821200000000001</v>
      </c>
      <c r="CX994" t="s">
        <v>2753</v>
      </c>
      <c r="CY994">
        <v>0</v>
      </c>
    </row>
    <row r="995" spans="1:103" x14ac:dyDescent="0.25">
      <c r="A995" s="8" t="s">
        <v>106</v>
      </c>
      <c r="B995" s="38">
        <v>45038</v>
      </c>
      <c r="C995" s="43">
        <f>IF(YEAR(Таблица1[[#This Row],[Дата]])=2023,MONTH(Таблица1[[#This Row],[Дата]]),0)</f>
        <v>4</v>
      </c>
      <c r="D995" s="8" t="s">
        <v>3167</v>
      </c>
      <c r="E995" s="8" t="s">
        <v>583</v>
      </c>
      <c r="F995" s="8" t="s">
        <v>3168</v>
      </c>
      <c r="G995" t="s">
        <v>110</v>
      </c>
      <c r="H995" s="8" t="s">
        <v>111</v>
      </c>
      <c r="I995" s="8" t="s">
        <v>112</v>
      </c>
      <c r="J995" s="8" t="s">
        <v>112</v>
      </c>
      <c r="K995" s="8" t="s">
        <v>112</v>
      </c>
      <c r="L995" s="8" t="s">
        <v>2738</v>
      </c>
      <c r="M995" s="8" t="s">
        <v>2739</v>
      </c>
      <c r="N995" s="8" t="s">
        <v>112</v>
      </c>
      <c r="O995" s="8" t="s">
        <v>112</v>
      </c>
      <c r="P995">
        <v>2</v>
      </c>
      <c r="Q995">
        <v>0</v>
      </c>
      <c r="R995">
        <v>3</v>
      </c>
      <c r="S995">
        <v>177</v>
      </c>
      <c r="T995" s="8" t="s">
        <v>2740</v>
      </c>
      <c r="U995" s="8" t="s">
        <v>2741</v>
      </c>
      <c r="V995" s="8" t="s">
        <v>2742</v>
      </c>
      <c r="W995" s="8" t="s">
        <v>2743</v>
      </c>
      <c r="X995" s="8" t="s">
        <v>2552</v>
      </c>
      <c r="Y995" s="8" t="s">
        <v>2671</v>
      </c>
      <c r="Z995" s="8" t="s">
        <v>2740</v>
      </c>
      <c r="AA995" s="8" t="s">
        <v>2741</v>
      </c>
      <c r="AB995" s="8" t="s">
        <v>2742</v>
      </c>
      <c r="AC995" s="8" t="s">
        <v>2743</v>
      </c>
      <c r="AD995" s="8" t="s">
        <v>2552</v>
      </c>
      <c r="AE995" s="8" t="s">
        <v>2671</v>
      </c>
      <c r="AF995" s="8" t="s">
        <v>2398</v>
      </c>
      <c r="AG995" s="8" t="s">
        <v>2399</v>
      </c>
      <c r="AH995">
        <v>14144565.8699999</v>
      </c>
      <c r="AI995" s="8" t="s">
        <v>2740</v>
      </c>
      <c r="AJ995" s="8" t="s">
        <v>2741</v>
      </c>
      <c r="AK995" s="8" t="s">
        <v>2742</v>
      </c>
      <c r="AL995" s="8" t="s">
        <v>2743</v>
      </c>
      <c r="AM995" s="8" t="s">
        <v>2552</v>
      </c>
      <c r="AN995" s="8" t="s">
        <v>2671</v>
      </c>
      <c r="AO995" s="8" t="s">
        <v>2398</v>
      </c>
      <c r="AP995" s="8" t="s">
        <v>2399</v>
      </c>
      <c r="AQ995" s="8" t="s">
        <v>2744</v>
      </c>
      <c r="AR995" s="8" t="s">
        <v>124</v>
      </c>
      <c r="AS995" s="8" t="s">
        <v>125</v>
      </c>
      <c r="AT995">
        <v>2</v>
      </c>
      <c r="AU995" s="8" t="s">
        <v>126</v>
      </c>
      <c r="AV995" s="8" t="s">
        <v>155</v>
      </c>
      <c r="AW995" s="8" t="s">
        <v>2745</v>
      </c>
      <c r="AX995">
        <v>1</v>
      </c>
      <c r="AY995" s="8" t="s">
        <v>129</v>
      </c>
      <c r="AZ995">
        <v>204900</v>
      </c>
      <c r="BA995">
        <v>14092981</v>
      </c>
      <c r="BB995">
        <v>218929.69</v>
      </c>
      <c r="BC995">
        <v>68.779799999999895</v>
      </c>
      <c r="BD995" s="8" t="s">
        <v>130</v>
      </c>
      <c r="BE995" s="8" t="s">
        <v>112</v>
      </c>
      <c r="BF995" s="8" t="s">
        <v>2746</v>
      </c>
      <c r="BG995" s="8" t="s">
        <v>133</v>
      </c>
      <c r="BH995" s="8" t="s">
        <v>134</v>
      </c>
      <c r="BI995" s="8" t="s">
        <v>112</v>
      </c>
      <c r="BJ995" s="8" t="s">
        <v>112</v>
      </c>
      <c r="BK995" s="8" t="s">
        <v>112</v>
      </c>
      <c r="BL995" s="8" t="s">
        <v>2587</v>
      </c>
      <c r="BM995" s="8" t="s">
        <v>2747</v>
      </c>
      <c r="BN995" s="8" t="s">
        <v>2748</v>
      </c>
      <c r="BO995" s="8" t="s">
        <v>2749</v>
      </c>
      <c r="BP995">
        <v>1</v>
      </c>
      <c r="BQ995" s="8" t="s">
        <v>3169</v>
      </c>
      <c r="BR995" s="45">
        <f>ISNUMBER(SEARCH($BR$1,Таблица1[[#This Row],[31_1 Описание и характеристика товара]]))*1</f>
        <v>0</v>
      </c>
      <c r="BT995" s="8" t="s">
        <v>2751</v>
      </c>
      <c r="BU995">
        <v>2</v>
      </c>
      <c r="BV995">
        <v>0</v>
      </c>
      <c r="BW995">
        <v>2</v>
      </c>
      <c r="BX995" t="s">
        <v>2147</v>
      </c>
      <c r="BY995">
        <v>0</v>
      </c>
      <c r="CA995" s="8" t="s">
        <v>106</v>
      </c>
      <c r="CB995" s="8" t="s">
        <v>2467</v>
      </c>
      <c r="CC995" s="8" t="s">
        <v>112</v>
      </c>
      <c r="CD995" s="8" t="s">
        <v>112</v>
      </c>
      <c r="CE995" s="8" t="s">
        <v>2752</v>
      </c>
      <c r="CF995">
        <v>314</v>
      </c>
      <c r="CG995" t="s">
        <v>144</v>
      </c>
      <c r="CH995">
        <v>4000000</v>
      </c>
      <c r="CI995">
        <v>276</v>
      </c>
      <c r="CJ995">
        <v>0</v>
      </c>
      <c r="CK995" s="8" t="s">
        <v>112</v>
      </c>
      <c r="CL995" s="8" t="s">
        <v>112</v>
      </c>
      <c r="CM995">
        <v>1073</v>
      </c>
      <c r="CN995">
        <v>73801</v>
      </c>
      <c r="CO995">
        <v>0</v>
      </c>
      <c r="CP995">
        <v>1</v>
      </c>
      <c r="CQ995">
        <v>75208.649999999907</v>
      </c>
      <c r="CR995">
        <v>1164.08</v>
      </c>
      <c r="CS995" s="8" t="s">
        <v>145</v>
      </c>
      <c r="CT995">
        <v>4.2176999999999998</v>
      </c>
      <c r="CX995" t="s">
        <v>2753</v>
      </c>
      <c r="CY995">
        <v>0</v>
      </c>
    </row>
    <row r="996" spans="1:103" x14ac:dyDescent="0.25">
      <c r="A996" s="8" t="s">
        <v>106</v>
      </c>
      <c r="B996" s="38">
        <v>45019</v>
      </c>
      <c r="C996" s="43">
        <f>IF(YEAR(Таблица1[[#This Row],[Дата]])=2023,MONTH(Таблица1[[#This Row],[Дата]]),0)</f>
        <v>4</v>
      </c>
      <c r="D996" s="8" t="s">
        <v>3143</v>
      </c>
      <c r="E996" s="8" t="s">
        <v>583</v>
      </c>
      <c r="F996" s="8" t="s">
        <v>3144</v>
      </c>
      <c r="G996" t="s">
        <v>110</v>
      </c>
      <c r="H996" s="8" t="s">
        <v>111</v>
      </c>
      <c r="I996" s="8" t="s">
        <v>112</v>
      </c>
      <c r="J996" s="8" t="s">
        <v>112</v>
      </c>
      <c r="K996" s="8" t="s">
        <v>112</v>
      </c>
      <c r="L996" s="8" t="s">
        <v>2637</v>
      </c>
      <c r="M996" s="8" t="s">
        <v>2638</v>
      </c>
      <c r="N996" s="8" t="s">
        <v>112</v>
      </c>
      <c r="O996" s="8" t="s">
        <v>112</v>
      </c>
      <c r="P996">
        <v>7</v>
      </c>
      <c r="Q996">
        <v>0</v>
      </c>
      <c r="R996">
        <v>17</v>
      </c>
      <c r="S996">
        <v>52</v>
      </c>
      <c r="T996" s="8" t="s">
        <v>2639</v>
      </c>
      <c r="U996" s="8" t="s">
        <v>2640</v>
      </c>
      <c r="V996" s="8" t="s">
        <v>2641</v>
      </c>
      <c r="W996" s="8" t="s">
        <v>2642</v>
      </c>
      <c r="X996" s="8" t="s">
        <v>119</v>
      </c>
      <c r="Y996" s="8" t="s">
        <v>2395</v>
      </c>
      <c r="Z996" s="8" t="s">
        <v>2639</v>
      </c>
      <c r="AA996" s="8" t="s">
        <v>2640</v>
      </c>
      <c r="AB996" s="8" t="s">
        <v>2641</v>
      </c>
      <c r="AC996" s="8" t="s">
        <v>2642</v>
      </c>
      <c r="AD996" s="8" t="s">
        <v>119</v>
      </c>
      <c r="AE996" s="8" t="s">
        <v>2395</v>
      </c>
      <c r="AF996" s="8" t="s">
        <v>2396</v>
      </c>
      <c r="AG996" s="8" t="s">
        <v>2397</v>
      </c>
      <c r="AH996">
        <v>10001975.49</v>
      </c>
      <c r="AI996" s="8" t="s">
        <v>2639</v>
      </c>
      <c r="AJ996" s="8" t="s">
        <v>2640</v>
      </c>
      <c r="AK996" s="8" t="s">
        <v>2641</v>
      </c>
      <c r="AL996" s="8" t="s">
        <v>2642</v>
      </c>
      <c r="AM996" s="8" t="s">
        <v>119</v>
      </c>
      <c r="AN996" s="8" t="s">
        <v>2395</v>
      </c>
      <c r="AO996" s="8" t="s">
        <v>2396</v>
      </c>
      <c r="AP996" s="8" t="s">
        <v>2397</v>
      </c>
      <c r="AQ996" s="8" t="s">
        <v>2397</v>
      </c>
      <c r="AR996" s="8" t="s">
        <v>124</v>
      </c>
      <c r="AS996" s="8" t="s">
        <v>125</v>
      </c>
      <c r="AT996">
        <v>2</v>
      </c>
      <c r="AU996" s="8" t="s">
        <v>126</v>
      </c>
      <c r="AV996" s="8" t="s">
        <v>2318</v>
      </c>
      <c r="AW996" s="8" t="s">
        <v>2401</v>
      </c>
      <c r="AX996">
        <v>1</v>
      </c>
      <c r="AY996" s="8" t="s">
        <v>2643</v>
      </c>
      <c r="AZ996">
        <v>10001975.49</v>
      </c>
      <c r="BA996">
        <v>10001975</v>
      </c>
      <c r="BB996">
        <v>154810.66</v>
      </c>
      <c r="BC996">
        <v>0</v>
      </c>
      <c r="BD996" s="8" t="s">
        <v>130</v>
      </c>
      <c r="BE996" s="8" t="s">
        <v>112</v>
      </c>
      <c r="BF996" s="8" t="s">
        <v>2644</v>
      </c>
      <c r="BG996" s="8" t="s">
        <v>133</v>
      </c>
      <c r="BH996" s="8" t="s">
        <v>134</v>
      </c>
      <c r="BI996" s="8" t="s">
        <v>112</v>
      </c>
      <c r="BJ996" s="8" t="s">
        <v>112</v>
      </c>
      <c r="BK996" s="8" t="s">
        <v>112</v>
      </c>
      <c r="BL996" s="8" t="s">
        <v>2645</v>
      </c>
      <c r="BM996" s="8" t="s">
        <v>2646</v>
      </c>
      <c r="BN996" s="8" t="s">
        <v>2647</v>
      </c>
      <c r="BO996" s="8" t="s">
        <v>2648</v>
      </c>
      <c r="BP996">
        <v>3</v>
      </c>
      <c r="BQ996" s="8" t="s">
        <v>3145</v>
      </c>
      <c r="BR996" s="45">
        <f>ISNUMBER(SEARCH($BR$1,Таблица1[[#This Row],[31_1 Описание и характеристика товара]]))*1</f>
        <v>0</v>
      </c>
      <c r="BT996" s="8" t="s">
        <v>2637</v>
      </c>
      <c r="BU996">
        <v>50</v>
      </c>
      <c r="BV996">
        <v>0</v>
      </c>
      <c r="BW996">
        <v>101</v>
      </c>
      <c r="BX996" t="s">
        <v>2147</v>
      </c>
      <c r="BY996">
        <v>0</v>
      </c>
      <c r="CA996" s="8" t="s">
        <v>2650</v>
      </c>
      <c r="CB996" s="8" t="s">
        <v>2148</v>
      </c>
      <c r="CC996" s="8" t="s">
        <v>112</v>
      </c>
      <c r="CD996" s="8" t="s">
        <v>112</v>
      </c>
      <c r="CE996" s="8" t="s">
        <v>2396</v>
      </c>
      <c r="CF996">
        <v>7242.2830000000004</v>
      </c>
      <c r="CG996" t="s">
        <v>144</v>
      </c>
      <c r="CH996">
        <v>4000000</v>
      </c>
      <c r="CI996">
        <v>6462.2830000000004</v>
      </c>
      <c r="CJ996">
        <v>0</v>
      </c>
      <c r="CK996" s="8" t="s">
        <v>112</v>
      </c>
      <c r="CL996" s="8" t="s">
        <v>112</v>
      </c>
      <c r="CM996">
        <v>9512259.1099999901</v>
      </c>
      <c r="CN996">
        <v>9512259</v>
      </c>
      <c r="CO996">
        <v>0</v>
      </c>
      <c r="CP996">
        <v>1</v>
      </c>
      <c r="CQ996">
        <v>9512259.1099999901</v>
      </c>
      <c r="CR996">
        <v>147230.82</v>
      </c>
      <c r="CS996" s="8" t="s">
        <v>145</v>
      </c>
      <c r="CT996">
        <v>22.783100000000001</v>
      </c>
      <c r="CU996">
        <v>966</v>
      </c>
      <c r="CV996" t="s">
        <v>2651</v>
      </c>
      <c r="CX996" t="s">
        <v>2652</v>
      </c>
      <c r="CY996">
        <v>1287</v>
      </c>
    </row>
    <row r="997" spans="1:103" x14ac:dyDescent="0.25">
      <c r="A997" s="8" t="s">
        <v>106</v>
      </c>
      <c r="B997" s="38">
        <v>44932</v>
      </c>
      <c r="C997" s="43">
        <f>IF(YEAR(Таблица1[[#This Row],[Дата]])=2023,MONTH(Таблица1[[#This Row],[Дата]]),0)</f>
        <v>1</v>
      </c>
      <c r="D997" s="8" t="s">
        <v>3128</v>
      </c>
      <c r="E997" s="8" t="s">
        <v>583</v>
      </c>
      <c r="F997" s="8" t="s">
        <v>3129</v>
      </c>
      <c r="G997" t="s">
        <v>110</v>
      </c>
      <c r="H997" s="8" t="s">
        <v>111</v>
      </c>
      <c r="I997" s="8" t="s">
        <v>112</v>
      </c>
      <c r="J997" s="8" t="s">
        <v>112</v>
      </c>
      <c r="K997" s="8" t="s">
        <v>112</v>
      </c>
      <c r="L997" s="8" t="s">
        <v>3130</v>
      </c>
      <c r="M997" s="8" t="s">
        <v>3131</v>
      </c>
      <c r="N997" s="8" t="s">
        <v>112</v>
      </c>
      <c r="O997" s="8" t="s">
        <v>112</v>
      </c>
      <c r="P997">
        <v>1</v>
      </c>
      <c r="Q997">
        <v>0</v>
      </c>
      <c r="R997">
        <v>1</v>
      </c>
      <c r="S997">
        <v>26</v>
      </c>
      <c r="T997" s="8" t="s">
        <v>3132</v>
      </c>
      <c r="U997" s="8" t="s">
        <v>3133</v>
      </c>
      <c r="V997" s="8" t="s">
        <v>3134</v>
      </c>
      <c r="W997" s="8" t="s">
        <v>3135</v>
      </c>
      <c r="X997" s="8" t="s">
        <v>119</v>
      </c>
      <c r="Y997" s="8" t="s">
        <v>3136</v>
      </c>
      <c r="Z997" s="8" t="s">
        <v>3132</v>
      </c>
      <c r="AA997" s="8" t="s">
        <v>3133</v>
      </c>
      <c r="AB997" s="8" t="s">
        <v>3134</v>
      </c>
      <c r="AC997" s="8" t="s">
        <v>3135</v>
      </c>
      <c r="AD997" s="8" t="s">
        <v>119</v>
      </c>
      <c r="AE997" s="8" t="s">
        <v>3136</v>
      </c>
      <c r="AF997" s="8" t="s">
        <v>2974</v>
      </c>
      <c r="AG997" s="8" t="s">
        <v>2971</v>
      </c>
      <c r="AH997">
        <v>12580705.800000001</v>
      </c>
      <c r="AI997" s="8" t="s">
        <v>3132</v>
      </c>
      <c r="AJ997" s="8" t="s">
        <v>3133</v>
      </c>
      <c r="AK997" s="8" t="s">
        <v>3134</v>
      </c>
      <c r="AL997" s="8" t="s">
        <v>3135</v>
      </c>
      <c r="AM997" s="8" t="s">
        <v>119</v>
      </c>
      <c r="AN997" s="8" t="s">
        <v>3136</v>
      </c>
      <c r="AO997" s="8" t="s">
        <v>2974</v>
      </c>
      <c r="AP997" s="8" t="s">
        <v>2971</v>
      </c>
      <c r="AQ997" s="8" t="s">
        <v>2971</v>
      </c>
      <c r="AR997" s="8" t="s">
        <v>124</v>
      </c>
      <c r="AS997" s="8" t="s">
        <v>125</v>
      </c>
      <c r="AT997">
        <v>2</v>
      </c>
      <c r="AU997" s="8" t="s">
        <v>126</v>
      </c>
      <c r="AV997" s="8" t="s">
        <v>2318</v>
      </c>
      <c r="AW997" s="8" t="s">
        <v>3137</v>
      </c>
      <c r="AX997">
        <v>1</v>
      </c>
      <c r="AY997" s="8" t="s">
        <v>129</v>
      </c>
      <c r="AZ997">
        <v>182912.8</v>
      </c>
      <c r="BA997">
        <v>12580706</v>
      </c>
      <c r="BB997">
        <v>194724.26</v>
      </c>
      <c r="BC997">
        <v>68.779799999999895</v>
      </c>
      <c r="BD997" s="8" t="s">
        <v>130</v>
      </c>
      <c r="BE997" s="8" t="s">
        <v>112</v>
      </c>
      <c r="BF997" s="8" t="s">
        <v>3138</v>
      </c>
      <c r="BG997" s="8" t="s">
        <v>133</v>
      </c>
      <c r="BH997" s="8" t="s">
        <v>134</v>
      </c>
      <c r="BI997" s="8" t="s">
        <v>112</v>
      </c>
      <c r="BJ997" s="8" t="s">
        <v>3139</v>
      </c>
      <c r="BK997" s="8" t="s">
        <v>112</v>
      </c>
      <c r="BL997" s="8" t="s">
        <v>2587</v>
      </c>
      <c r="BM997" s="8" t="s">
        <v>2588</v>
      </c>
      <c r="BN997" s="8" t="s">
        <v>2589</v>
      </c>
      <c r="BO997" s="8" t="s">
        <v>2590</v>
      </c>
      <c r="BP997">
        <v>1</v>
      </c>
      <c r="BQ997" s="8" t="s">
        <v>3140</v>
      </c>
      <c r="BR997" s="45">
        <f>ISNUMBER(SEARCH($BR$1,Таблица1[[#This Row],[31_1 Описание и характеристика товара]]))*1</f>
        <v>0</v>
      </c>
      <c r="BT997" s="8" t="s">
        <v>3130</v>
      </c>
      <c r="BU997">
        <v>26</v>
      </c>
      <c r="BV997">
        <v>0</v>
      </c>
      <c r="BW997">
        <v>104</v>
      </c>
      <c r="BX997" t="s">
        <v>2147</v>
      </c>
      <c r="BY997">
        <v>0</v>
      </c>
      <c r="CA997" s="8" t="s">
        <v>106</v>
      </c>
      <c r="CB997" s="8" t="s">
        <v>2148</v>
      </c>
      <c r="CC997" s="8" t="s">
        <v>112</v>
      </c>
      <c r="CD997" s="8" t="s">
        <v>112</v>
      </c>
      <c r="CE997" s="8" t="s">
        <v>2974</v>
      </c>
      <c r="CF997">
        <v>8221.2000000000007</v>
      </c>
      <c r="CG997" t="s">
        <v>144</v>
      </c>
      <c r="CH997">
        <v>4000000</v>
      </c>
      <c r="CI997">
        <v>7572.8</v>
      </c>
      <c r="CJ997">
        <v>0</v>
      </c>
      <c r="CK997" s="8" t="s">
        <v>112</v>
      </c>
      <c r="CL997" s="8" t="s">
        <v>112</v>
      </c>
      <c r="CM997">
        <v>182912.8</v>
      </c>
      <c r="CN997">
        <v>12580706</v>
      </c>
      <c r="CO997">
        <v>0</v>
      </c>
      <c r="CP997">
        <v>1</v>
      </c>
      <c r="CQ997">
        <v>12580705.800000001</v>
      </c>
      <c r="CR997">
        <v>194724.26</v>
      </c>
      <c r="CS997" s="8" t="s">
        <v>145</v>
      </c>
      <c r="CT997">
        <v>25.7136</v>
      </c>
      <c r="CU997">
        <v>35</v>
      </c>
      <c r="CV997" t="s">
        <v>3141</v>
      </c>
      <c r="CX997" t="s">
        <v>3142</v>
      </c>
      <c r="CY997">
        <v>1178</v>
      </c>
    </row>
    <row r="998" spans="1:103" x14ac:dyDescent="0.25">
      <c r="A998" s="8" t="s">
        <v>106</v>
      </c>
      <c r="B998" s="38">
        <v>45185</v>
      </c>
      <c r="C998" s="43">
        <f>IF(YEAR(Таблица1[[#This Row],[Дата]])=2023,MONTH(Таблица1[[#This Row],[Дата]]),0)</f>
        <v>9</v>
      </c>
      <c r="D998" s="8" t="s">
        <v>3193</v>
      </c>
      <c r="E998" s="8" t="s">
        <v>583</v>
      </c>
      <c r="F998" s="8" t="s">
        <v>3194</v>
      </c>
      <c r="G998" t="s">
        <v>110</v>
      </c>
      <c r="H998" s="8" t="s">
        <v>111</v>
      </c>
      <c r="I998" s="8" t="s">
        <v>112</v>
      </c>
      <c r="J998" s="8" t="s">
        <v>112</v>
      </c>
      <c r="K998" s="8" t="s">
        <v>112</v>
      </c>
      <c r="L998" s="8" t="s">
        <v>2161</v>
      </c>
      <c r="M998" s="8" t="s">
        <v>2162</v>
      </c>
      <c r="N998" s="8" t="s">
        <v>112</v>
      </c>
      <c r="O998" s="8" t="s">
        <v>112</v>
      </c>
      <c r="P998">
        <v>2</v>
      </c>
      <c r="Q998">
        <v>0</v>
      </c>
      <c r="R998">
        <v>2</v>
      </c>
      <c r="S998">
        <v>197</v>
      </c>
      <c r="T998" s="8" t="s">
        <v>2136</v>
      </c>
      <c r="U998" s="8" t="s">
        <v>2137</v>
      </c>
      <c r="V998" s="8" t="s">
        <v>2141</v>
      </c>
      <c r="W998" s="8" t="s">
        <v>2139</v>
      </c>
      <c r="X998" s="8" t="s">
        <v>119</v>
      </c>
      <c r="Y998" s="8" t="s">
        <v>2140</v>
      </c>
      <c r="Z998" s="8" t="s">
        <v>2136</v>
      </c>
      <c r="AA998" s="8" t="s">
        <v>2137</v>
      </c>
      <c r="AB998" s="8" t="s">
        <v>2141</v>
      </c>
      <c r="AC998" s="8" t="s">
        <v>2139</v>
      </c>
      <c r="AD998" s="8" t="s">
        <v>119</v>
      </c>
      <c r="AE998" s="8" t="s">
        <v>2140</v>
      </c>
      <c r="AF998" s="8" t="s">
        <v>2163</v>
      </c>
      <c r="AG998" s="8" t="s">
        <v>2164</v>
      </c>
      <c r="AH998">
        <v>9257349.0899999905</v>
      </c>
      <c r="AI998" s="8" t="s">
        <v>2136</v>
      </c>
      <c r="AJ998" s="8" t="s">
        <v>2137</v>
      </c>
      <c r="AK998" s="8" t="s">
        <v>2141</v>
      </c>
      <c r="AL998" s="8" t="s">
        <v>2139</v>
      </c>
      <c r="AM998" s="8" t="s">
        <v>119</v>
      </c>
      <c r="AN998" s="8" t="s">
        <v>2140</v>
      </c>
      <c r="AO998" s="8" t="s">
        <v>2163</v>
      </c>
      <c r="AP998" s="8" t="s">
        <v>2164</v>
      </c>
      <c r="AQ998" s="8" t="s">
        <v>2164</v>
      </c>
      <c r="AR998" s="8" t="s">
        <v>124</v>
      </c>
      <c r="AS998" s="8" t="s">
        <v>125</v>
      </c>
      <c r="AT998">
        <v>2</v>
      </c>
      <c r="AU998" s="8" t="s">
        <v>126</v>
      </c>
      <c r="AV998" s="8" t="s">
        <v>127</v>
      </c>
      <c r="AW998" s="8" t="s">
        <v>2165</v>
      </c>
      <c r="AX998">
        <v>1</v>
      </c>
      <c r="AY998" s="8" t="s">
        <v>129</v>
      </c>
      <c r="AZ998">
        <v>128834.01</v>
      </c>
      <c r="BA998">
        <v>8861177</v>
      </c>
      <c r="BB998">
        <v>143285.32</v>
      </c>
      <c r="BC998">
        <v>68.779799999999895</v>
      </c>
      <c r="BD998" s="8" t="s">
        <v>130</v>
      </c>
      <c r="BE998" s="8" t="s">
        <v>131</v>
      </c>
      <c r="BF998" s="8" t="s">
        <v>2166</v>
      </c>
      <c r="BG998" s="8" t="s">
        <v>133</v>
      </c>
      <c r="BH998" s="8" t="s">
        <v>134</v>
      </c>
      <c r="BI998" s="8" t="s">
        <v>112</v>
      </c>
      <c r="BJ998" s="8" t="s">
        <v>112</v>
      </c>
      <c r="BK998" s="8" t="s">
        <v>112</v>
      </c>
      <c r="BL998" s="8" t="s">
        <v>588</v>
      </c>
      <c r="BM998" s="8" t="s">
        <v>901</v>
      </c>
      <c r="BN998" s="8" t="s">
        <v>590</v>
      </c>
      <c r="BO998" s="8" t="s">
        <v>591</v>
      </c>
      <c r="BP998">
        <v>1</v>
      </c>
      <c r="BQ998" s="8" t="s">
        <v>3195</v>
      </c>
      <c r="BR998" s="45">
        <f>ISNUMBER(SEARCH($BR$1,Таблица1[[#This Row],[31_1 Описание и характеристика товара]]))*1</f>
        <v>0</v>
      </c>
      <c r="BT998" s="8" t="s">
        <v>2161</v>
      </c>
      <c r="BU998">
        <v>89</v>
      </c>
      <c r="BV998">
        <v>0</v>
      </c>
      <c r="BW998">
        <v>339</v>
      </c>
      <c r="BX998" t="s">
        <v>2147</v>
      </c>
      <c r="BY998">
        <v>0</v>
      </c>
      <c r="CA998" s="8" t="s">
        <v>106</v>
      </c>
      <c r="CB998" s="8" t="s">
        <v>2148</v>
      </c>
      <c r="CC998" s="8" t="s">
        <v>112</v>
      </c>
      <c r="CD998" s="8" t="s">
        <v>112</v>
      </c>
      <c r="CE998" s="8" t="s">
        <v>2163</v>
      </c>
      <c r="CF998">
        <v>16124</v>
      </c>
      <c r="CG998" t="s">
        <v>144</v>
      </c>
      <c r="CH998">
        <v>4000000</v>
      </c>
      <c r="CI998">
        <v>15990</v>
      </c>
      <c r="CJ998">
        <v>0</v>
      </c>
      <c r="CK998" s="8" t="s">
        <v>112</v>
      </c>
      <c r="CL998" s="8" t="s">
        <v>112</v>
      </c>
      <c r="CM998">
        <v>124940.61</v>
      </c>
      <c r="CN998">
        <v>8593390</v>
      </c>
      <c r="CO998">
        <v>0</v>
      </c>
      <c r="CP998">
        <v>1</v>
      </c>
      <c r="CQ998">
        <v>8980994.6099999901</v>
      </c>
      <c r="CR998">
        <v>139007.9</v>
      </c>
      <c r="CS998" s="8" t="s">
        <v>145</v>
      </c>
      <c r="CT998">
        <v>8.6934000000000005</v>
      </c>
      <c r="CU998">
        <v>1053</v>
      </c>
      <c r="CV998" t="s">
        <v>2149</v>
      </c>
      <c r="CX998" t="s">
        <v>2150</v>
      </c>
      <c r="CY998">
        <v>0</v>
      </c>
    </row>
    <row r="999" spans="1:103" x14ac:dyDescent="0.25">
      <c r="A999" s="8" t="s">
        <v>106</v>
      </c>
      <c r="B999" s="38">
        <v>45261</v>
      </c>
      <c r="C999" s="43">
        <f>IF(YEAR(Таблица1[[#This Row],[Дата]])=2023,MONTH(Таблица1[[#This Row],[Дата]]),0)</f>
        <v>12</v>
      </c>
      <c r="D999" s="8" t="s">
        <v>3222</v>
      </c>
      <c r="E999" s="8" t="s">
        <v>583</v>
      </c>
      <c r="F999" s="8" t="s">
        <v>3223</v>
      </c>
      <c r="G999" t="s">
        <v>110</v>
      </c>
      <c r="H999" s="8" t="s">
        <v>111</v>
      </c>
      <c r="I999" s="8" t="s">
        <v>112</v>
      </c>
      <c r="J999" s="8" t="s">
        <v>112</v>
      </c>
      <c r="K999" s="8" t="s">
        <v>112</v>
      </c>
      <c r="L999" s="8" t="s">
        <v>2161</v>
      </c>
      <c r="M999" s="8" t="s">
        <v>2162</v>
      </c>
      <c r="N999" s="8" t="s">
        <v>112</v>
      </c>
      <c r="O999" s="8" t="s">
        <v>112</v>
      </c>
      <c r="P999">
        <v>2</v>
      </c>
      <c r="Q999">
        <v>0</v>
      </c>
      <c r="R999">
        <v>2</v>
      </c>
      <c r="S999">
        <v>97</v>
      </c>
      <c r="T999" s="8" t="s">
        <v>2136</v>
      </c>
      <c r="U999" s="8" t="s">
        <v>2137</v>
      </c>
      <c r="V999" s="8" t="s">
        <v>2141</v>
      </c>
      <c r="W999" s="8" t="s">
        <v>2139</v>
      </c>
      <c r="X999" s="8" t="s">
        <v>119</v>
      </c>
      <c r="Y999" s="8" t="s">
        <v>2140</v>
      </c>
      <c r="Z999" s="8" t="s">
        <v>2136</v>
      </c>
      <c r="AA999" s="8" t="s">
        <v>2137</v>
      </c>
      <c r="AB999" s="8" t="s">
        <v>2141</v>
      </c>
      <c r="AC999" s="8" t="s">
        <v>2139</v>
      </c>
      <c r="AD999" s="8" t="s">
        <v>119</v>
      </c>
      <c r="AE999" s="8" t="s">
        <v>2140</v>
      </c>
      <c r="AF999" s="8" t="s">
        <v>2163</v>
      </c>
      <c r="AG999" s="8" t="s">
        <v>2164</v>
      </c>
      <c r="AH999">
        <v>10407247.609999901</v>
      </c>
      <c r="AI999" s="8" t="s">
        <v>2136</v>
      </c>
      <c r="AJ999" s="8" t="s">
        <v>2137</v>
      </c>
      <c r="AK999" s="8" t="s">
        <v>2141</v>
      </c>
      <c r="AL999" s="8" t="s">
        <v>2139</v>
      </c>
      <c r="AM999" s="8" t="s">
        <v>119</v>
      </c>
      <c r="AN999" s="8" t="s">
        <v>2140</v>
      </c>
      <c r="AO999" s="8" t="s">
        <v>2163</v>
      </c>
      <c r="AP999" s="8" t="s">
        <v>2164</v>
      </c>
      <c r="AQ999" s="8" t="s">
        <v>2164</v>
      </c>
      <c r="AR999" s="8" t="s">
        <v>124</v>
      </c>
      <c r="AS999" s="8" t="s">
        <v>125</v>
      </c>
      <c r="AT999">
        <v>2</v>
      </c>
      <c r="AU999" s="8" t="s">
        <v>126</v>
      </c>
      <c r="AV999" s="8" t="s">
        <v>127</v>
      </c>
      <c r="AW999" s="8" t="s">
        <v>2165</v>
      </c>
      <c r="AX999">
        <v>1</v>
      </c>
      <c r="AY999" s="8" t="s">
        <v>129</v>
      </c>
      <c r="AZ999">
        <v>145822.56</v>
      </c>
      <c r="BA999">
        <v>10029647</v>
      </c>
      <c r="BB999">
        <v>161083.45000000001</v>
      </c>
      <c r="BC999">
        <v>68.779799999999895</v>
      </c>
      <c r="BD999" s="8" t="s">
        <v>130</v>
      </c>
      <c r="BE999" s="8" t="s">
        <v>131</v>
      </c>
      <c r="BF999" s="8" t="s">
        <v>2166</v>
      </c>
      <c r="BG999" s="8" t="s">
        <v>133</v>
      </c>
      <c r="BH999" s="8" t="s">
        <v>134</v>
      </c>
      <c r="BI999" s="8" t="s">
        <v>112</v>
      </c>
      <c r="BJ999" s="8" t="s">
        <v>112</v>
      </c>
      <c r="BK999" s="8" t="s">
        <v>112</v>
      </c>
      <c r="BL999" s="8" t="s">
        <v>588</v>
      </c>
      <c r="BM999" s="8" t="s">
        <v>901</v>
      </c>
      <c r="BN999" s="8" t="s">
        <v>590</v>
      </c>
      <c r="BO999" s="8" t="s">
        <v>591</v>
      </c>
      <c r="BP999">
        <v>1</v>
      </c>
      <c r="BQ999" s="8" t="s">
        <v>3224</v>
      </c>
      <c r="BR999" s="45">
        <f>ISNUMBER(SEARCH($BR$1,Таблица1[[#This Row],[31_1 Описание и характеристика товара]]))*1</f>
        <v>0</v>
      </c>
      <c r="BT999" s="8" t="s">
        <v>2161</v>
      </c>
      <c r="BU999">
        <v>69</v>
      </c>
      <c r="BV999">
        <v>0</v>
      </c>
      <c r="BW999">
        <v>309</v>
      </c>
      <c r="BX999" t="s">
        <v>2147</v>
      </c>
      <c r="BY999">
        <v>0</v>
      </c>
      <c r="CA999" s="8" t="s">
        <v>106</v>
      </c>
      <c r="CB999" s="8" t="s">
        <v>2148</v>
      </c>
      <c r="CC999" s="8" t="s">
        <v>112</v>
      </c>
      <c r="CD999" s="8" t="s">
        <v>112</v>
      </c>
      <c r="CE999" s="8" t="s">
        <v>2163</v>
      </c>
      <c r="CF999">
        <v>14367</v>
      </c>
      <c r="CG999" t="s">
        <v>144</v>
      </c>
      <c r="CH999">
        <v>4000000</v>
      </c>
      <c r="CI999">
        <v>14232.18</v>
      </c>
      <c r="CJ999">
        <v>0</v>
      </c>
      <c r="CK999" s="8" t="s">
        <v>112</v>
      </c>
      <c r="CL999" s="8" t="s">
        <v>112</v>
      </c>
      <c r="CM999">
        <v>144411.359999999</v>
      </c>
      <c r="CN999">
        <v>9932584</v>
      </c>
      <c r="CO999">
        <v>0</v>
      </c>
      <c r="CP999">
        <v>1</v>
      </c>
      <c r="CQ999">
        <v>10306974.92</v>
      </c>
      <c r="CR999">
        <v>159531.43</v>
      </c>
      <c r="CS999" s="8" t="s">
        <v>145</v>
      </c>
      <c r="CT999">
        <v>11.209199999999999</v>
      </c>
      <c r="CU999">
        <v>1053</v>
      </c>
      <c r="CV999" t="s">
        <v>2149</v>
      </c>
      <c r="CX999" t="s">
        <v>2150</v>
      </c>
      <c r="CY999">
        <v>0</v>
      </c>
    </row>
    <row r="1000" spans="1:103" x14ac:dyDescent="0.25">
      <c r="A1000" t="s">
        <v>106</v>
      </c>
      <c r="B1000" s="38">
        <v>45066</v>
      </c>
      <c r="C1000" s="43">
        <f>IF(YEAR(Таблица1[[#This Row],[Дата]])=2023,MONTH(Таблица1[[#This Row],[Дата]]),0)</f>
        <v>5</v>
      </c>
      <c r="D1000" t="s">
        <v>610</v>
      </c>
      <c r="E1000" t="s">
        <v>583</v>
      </c>
      <c r="F1000" t="s">
        <v>611</v>
      </c>
      <c r="G1000" t="s">
        <v>110</v>
      </c>
      <c r="H1000" t="s">
        <v>111</v>
      </c>
      <c r="I1000" t="s">
        <v>112</v>
      </c>
      <c r="J1000" t="s">
        <v>112</v>
      </c>
      <c r="K1000" t="s">
        <v>112</v>
      </c>
      <c r="L1000" t="s">
        <v>113</v>
      </c>
      <c r="M1000" t="s">
        <v>585</v>
      </c>
      <c r="N1000" t="s">
        <v>112</v>
      </c>
      <c r="O1000" t="s">
        <v>112</v>
      </c>
      <c r="P1000">
        <v>2</v>
      </c>
      <c r="Q1000">
        <v>0</v>
      </c>
      <c r="R1000">
        <v>2</v>
      </c>
      <c r="S1000">
        <v>33</v>
      </c>
      <c r="T1000" t="s">
        <v>115</v>
      </c>
      <c r="U1000" t="s">
        <v>116</v>
      </c>
      <c r="V1000" t="s">
        <v>117</v>
      </c>
      <c r="W1000" t="s">
        <v>586</v>
      </c>
      <c r="X1000" t="s">
        <v>119</v>
      </c>
      <c r="Y1000" t="s">
        <v>120</v>
      </c>
      <c r="Z1000" t="s">
        <v>115</v>
      </c>
      <c r="AA1000" t="s">
        <v>116</v>
      </c>
      <c r="AB1000" t="s">
        <v>117</v>
      </c>
      <c r="AC1000" t="s">
        <v>586</v>
      </c>
      <c r="AD1000" t="s">
        <v>119</v>
      </c>
      <c r="AE1000" t="s">
        <v>120</v>
      </c>
      <c r="AF1000" t="s">
        <v>121</v>
      </c>
      <c r="AG1000" t="s">
        <v>122</v>
      </c>
      <c r="AH1000">
        <v>4518435.47</v>
      </c>
      <c r="AI1000" t="s">
        <v>115</v>
      </c>
      <c r="AJ1000" t="s">
        <v>116</v>
      </c>
      <c r="AK1000" t="s">
        <v>117</v>
      </c>
      <c r="AL1000" t="s">
        <v>586</v>
      </c>
      <c r="AM1000" t="s">
        <v>119</v>
      </c>
      <c r="AN1000" t="s">
        <v>120</v>
      </c>
      <c r="AO1000" t="s">
        <v>121</v>
      </c>
      <c r="AP1000" t="s">
        <v>122</v>
      </c>
      <c r="AQ1000" t="s">
        <v>123</v>
      </c>
      <c r="AR1000" t="s">
        <v>124</v>
      </c>
      <c r="AS1000" t="s">
        <v>125</v>
      </c>
      <c r="AT1000">
        <v>2</v>
      </c>
      <c r="AU1000" t="s">
        <v>126</v>
      </c>
      <c r="AV1000" t="s">
        <v>127</v>
      </c>
      <c r="AW1000" t="s">
        <v>128</v>
      </c>
      <c r="AX1000">
        <v>1</v>
      </c>
      <c r="AY1000" t="s">
        <v>129</v>
      </c>
      <c r="AZ1000">
        <v>54339.11</v>
      </c>
      <c r="BA1000">
        <v>4345846</v>
      </c>
      <c r="BB1000">
        <v>60436.14</v>
      </c>
      <c r="BC1000">
        <v>79.976399999999998</v>
      </c>
      <c r="BD1000" t="s">
        <v>130</v>
      </c>
      <c r="BE1000" t="s">
        <v>131</v>
      </c>
      <c r="BF1000" t="s">
        <v>132</v>
      </c>
      <c r="BG1000" t="s">
        <v>133</v>
      </c>
      <c r="BH1000" t="s">
        <v>167</v>
      </c>
      <c r="BI1000" t="s">
        <v>587</v>
      </c>
      <c r="BJ1000" t="s">
        <v>112</v>
      </c>
      <c r="BK1000" t="s">
        <v>112</v>
      </c>
      <c r="BL1000" t="s">
        <v>588</v>
      </c>
      <c r="BM1000" t="s">
        <v>589</v>
      </c>
      <c r="BN1000" t="s">
        <v>590</v>
      </c>
      <c r="BO1000" t="s">
        <v>591</v>
      </c>
      <c r="BP1000">
        <v>2</v>
      </c>
      <c r="BQ1000" t="s">
        <v>612</v>
      </c>
      <c r="BR1000" s="45">
        <f>ISNUMBER(SEARCH($BR$1,Таблица1[[#This Row],[31_1 Описание и характеристика товара]]))*1</f>
        <v>1</v>
      </c>
      <c r="BT1000" t="s">
        <v>141</v>
      </c>
      <c r="BU1000">
        <v>33</v>
      </c>
      <c r="BV1000">
        <v>0</v>
      </c>
      <c r="BW1000">
        <v>0</v>
      </c>
      <c r="BY1000">
        <v>0</v>
      </c>
      <c r="CA1000" t="s">
        <v>596</v>
      </c>
      <c r="CB1000" t="s">
        <v>597</v>
      </c>
      <c r="CC1000" t="s">
        <v>112</v>
      </c>
      <c r="CD1000" t="s">
        <v>112</v>
      </c>
      <c r="CE1000" t="s">
        <v>143</v>
      </c>
      <c r="CF1000">
        <v>8920.64</v>
      </c>
      <c r="CG1000" t="s">
        <v>144</v>
      </c>
      <c r="CH1000">
        <v>4000000</v>
      </c>
      <c r="CI1000">
        <v>8464</v>
      </c>
      <c r="CJ1000">
        <v>0</v>
      </c>
      <c r="CK1000" t="s">
        <v>112</v>
      </c>
      <c r="CL1000" t="s">
        <v>112</v>
      </c>
      <c r="CM1000">
        <v>30521.279999999999</v>
      </c>
      <c r="CN1000">
        <v>2440982</v>
      </c>
      <c r="CO1000">
        <v>0</v>
      </c>
      <c r="CP1000">
        <v>1</v>
      </c>
      <c r="CQ1000">
        <v>2540836.63</v>
      </c>
      <c r="CR1000">
        <v>33984.85</v>
      </c>
      <c r="CS1000" t="s">
        <v>145</v>
      </c>
      <c r="CT1000">
        <v>33984.652800000003</v>
      </c>
      <c r="CU1000">
        <v>4.0152000000000001</v>
      </c>
      <c r="CV1000">
        <v>952</v>
      </c>
      <c r="CW1000" t="s">
        <v>593</v>
      </c>
      <c r="CX1000" t="s">
        <v>613</v>
      </c>
      <c r="CY1000">
        <v>1060</v>
      </c>
    </row>
    <row r="1001" spans="1:103" x14ac:dyDescent="0.25">
      <c r="A1001" t="s">
        <v>106</v>
      </c>
      <c r="B1001" s="38">
        <v>45175</v>
      </c>
      <c r="C1001" s="43">
        <f>IF(YEAR(Таблица1[[#This Row],[Дата]])=2023,MONTH(Таблица1[[#This Row],[Дата]]),0)</f>
        <v>9</v>
      </c>
      <c r="D1001" t="s">
        <v>610</v>
      </c>
      <c r="E1001" t="s">
        <v>583</v>
      </c>
      <c r="F1001" t="s">
        <v>611</v>
      </c>
      <c r="G1001" t="s">
        <v>110</v>
      </c>
      <c r="H1001" t="s">
        <v>111</v>
      </c>
      <c r="I1001" t="s">
        <v>112</v>
      </c>
      <c r="J1001" t="s">
        <v>112</v>
      </c>
      <c r="K1001" t="s">
        <v>112</v>
      </c>
      <c r="L1001" t="s">
        <v>113</v>
      </c>
      <c r="M1001" t="s">
        <v>585</v>
      </c>
      <c r="N1001" t="s">
        <v>112</v>
      </c>
      <c r="O1001" t="s">
        <v>112</v>
      </c>
      <c r="P1001">
        <v>2</v>
      </c>
      <c r="Q1001">
        <v>0</v>
      </c>
      <c r="R1001">
        <v>2</v>
      </c>
      <c r="S1001">
        <v>33</v>
      </c>
      <c r="T1001" t="s">
        <v>115</v>
      </c>
      <c r="U1001" t="s">
        <v>116</v>
      </c>
      <c r="V1001" t="s">
        <v>117</v>
      </c>
      <c r="W1001" t="s">
        <v>586</v>
      </c>
      <c r="X1001" t="s">
        <v>119</v>
      </c>
      <c r="Y1001" t="s">
        <v>120</v>
      </c>
      <c r="Z1001" t="s">
        <v>115</v>
      </c>
      <c r="AA1001" t="s">
        <v>116</v>
      </c>
      <c r="AB1001" t="s">
        <v>117</v>
      </c>
      <c r="AC1001" t="s">
        <v>586</v>
      </c>
      <c r="AD1001" t="s">
        <v>119</v>
      </c>
      <c r="AE1001" t="s">
        <v>120</v>
      </c>
      <c r="AF1001" t="s">
        <v>121</v>
      </c>
      <c r="AG1001" t="s">
        <v>122</v>
      </c>
      <c r="AH1001">
        <v>4518435.47</v>
      </c>
      <c r="AI1001" t="s">
        <v>115</v>
      </c>
      <c r="AJ1001" t="s">
        <v>116</v>
      </c>
      <c r="AK1001" t="s">
        <v>117</v>
      </c>
      <c r="AL1001" t="s">
        <v>586</v>
      </c>
      <c r="AM1001" t="s">
        <v>119</v>
      </c>
      <c r="AN1001" t="s">
        <v>120</v>
      </c>
      <c r="AO1001" t="s">
        <v>121</v>
      </c>
      <c r="AP1001" t="s">
        <v>122</v>
      </c>
      <c r="AQ1001" t="s">
        <v>123</v>
      </c>
      <c r="AR1001" t="s">
        <v>124</v>
      </c>
      <c r="AS1001" t="s">
        <v>125</v>
      </c>
      <c r="AT1001">
        <v>2</v>
      </c>
      <c r="AU1001" t="s">
        <v>126</v>
      </c>
      <c r="AV1001" t="s">
        <v>127</v>
      </c>
      <c r="AW1001" t="s">
        <v>128</v>
      </c>
      <c r="AX1001">
        <v>1</v>
      </c>
      <c r="AY1001" t="s">
        <v>129</v>
      </c>
      <c r="AZ1001">
        <v>54339.11</v>
      </c>
      <c r="BA1001">
        <v>4345846</v>
      </c>
      <c r="BB1001">
        <v>60436.14</v>
      </c>
      <c r="BC1001">
        <v>79.976399999999998</v>
      </c>
      <c r="BD1001" t="s">
        <v>130</v>
      </c>
      <c r="BE1001" t="s">
        <v>131</v>
      </c>
      <c r="BF1001" t="s">
        <v>132</v>
      </c>
      <c r="BG1001" t="s">
        <v>133</v>
      </c>
      <c r="BH1001" t="s">
        <v>167</v>
      </c>
      <c r="BI1001" t="s">
        <v>587</v>
      </c>
      <c r="BJ1001" t="s">
        <v>112</v>
      </c>
      <c r="BK1001" t="s">
        <v>112</v>
      </c>
      <c r="BL1001" t="s">
        <v>588</v>
      </c>
      <c r="BM1001" t="s">
        <v>589</v>
      </c>
      <c r="BN1001" t="s">
        <v>590</v>
      </c>
      <c r="BO1001" t="s">
        <v>591</v>
      </c>
      <c r="BP1001">
        <v>1</v>
      </c>
      <c r="BQ1001" t="s">
        <v>621</v>
      </c>
      <c r="BR1001" s="45">
        <f>ISNUMBER(SEARCH($BR$1,Таблица1[[#This Row],[31_1 Описание и характеристика товара]]))*1</f>
        <v>1</v>
      </c>
      <c r="BT1001" t="s">
        <v>141</v>
      </c>
      <c r="BU1001">
        <v>33</v>
      </c>
      <c r="BV1001">
        <v>0</v>
      </c>
      <c r="BW1001">
        <v>0</v>
      </c>
      <c r="BY1001">
        <v>0</v>
      </c>
      <c r="CA1001" t="s">
        <v>106</v>
      </c>
      <c r="CB1001" t="s">
        <v>142</v>
      </c>
      <c r="CC1001" t="s">
        <v>112</v>
      </c>
      <c r="CD1001" t="s">
        <v>112</v>
      </c>
      <c r="CE1001" t="s">
        <v>143</v>
      </c>
      <c r="CF1001">
        <v>6497.84</v>
      </c>
      <c r="CG1001" t="s">
        <v>144</v>
      </c>
      <c r="CH1001">
        <v>4000000</v>
      </c>
      <c r="CI1001">
        <v>6121.4</v>
      </c>
      <c r="CJ1001">
        <v>0</v>
      </c>
      <c r="CK1001" t="s">
        <v>112</v>
      </c>
      <c r="CL1001" t="s">
        <v>112</v>
      </c>
      <c r="CM1001">
        <v>23817.83</v>
      </c>
      <c r="CN1001">
        <v>1904864</v>
      </c>
      <c r="CO1001">
        <v>0</v>
      </c>
      <c r="CP1001">
        <v>1</v>
      </c>
      <c r="CQ1001">
        <v>1977598.84</v>
      </c>
      <c r="CR1001">
        <v>26451.29</v>
      </c>
      <c r="CS1001" t="s">
        <v>145</v>
      </c>
      <c r="CT1001">
        <v>26451.181540000001</v>
      </c>
      <c r="CU1001">
        <v>4.3211000000000004</v>
      </c>
      <c r="CV1001">
        <v>952</v>
      </c>
      <c r="CW1001" t="s">
        <v>593</v>
      </c>
      <c r="CX1001" t="s">
        <v>613</v>
      </c>
      <c r="CY1001">
        <v>1060</v>
      </c>
    </row>
    <row r="1002" spans="1:103" x14ac:dyDescent="0.25">
      <c r="A1002" s="8" t="s">
        <v>106</v>
      </c>
      <c r="B1002" s="38">
        <v>44954</v>
      </c>
      <c r="C1002" s="43">
        <f>IF(YEAR(Таблица1[[#This Row],[Дата]])=2023,MONTH(Таблица1[[#This Row],[Дата]]),0)</f>
        <v>1</v>
      </c>
      <c r="D1002" s="8" t="s">
        <v>2173</v>
      </c>
      <c r="E1002" s="8" t="s">
        <v>583</v>
      </c>
      <c r="F1002" s="8" t="s">
        <v>2174</v>
      </c>
      <c r="G1002" t="s">
        <v>110</v>
      </c>
      <c r="H1002" s="8" t="s">
        <v>111</v>
      </c>
      <c r="I1002" s="8" t="s">
        <v>112</v>
      </c>
      <c r="J1002" s="8" t="s">
        <v>112</v>
      </c>
      <c r="K1002" s="8" t="s">
        <v>112</v>
      </c>
      <c r="L1002" s="8" t="s">
        <v>2161</v>
      </c>
      <c r="M1002" s="8" t="s">
        <v>2162</v>
      </c>
      <c r="N1002" s="8" t="s">
        <v>112</v>
      </c>
      <c r="O1002" s="8" t="s">
        <v>112</v>
      </c>
      <c r="P1002">
        <v>2</v>
      </c>
      <c r="R1002">
        <v>2</v>
      </c>
      <c r="S1002">
        <v>102</v>
      </c>
      <c r="T1002" s="8" t="s">
        <v>2136</v>
      </c>
      <c r="U1002" s="8" t="s">
        <v>2137</v>
      </c>
      <c r="V1002" s="8" t="s">
        <v>2141</v>
      </c>
      <c r="W1002" s="8" t="s">
        <v>2139</v>
      </c>
      <c r="X1002" s="8" t="s">
        <v>119</v>
      </c>
      <c r="Y1002" s="8" t="s">
        <v>2140</v>
      </c>
      <c r="Z1002" s="8" t="s">
        <v>2136</v>
      </c>
      <c r="AA1002" s="8" t="s">
        <v>2137</v>
      </c>
      <c r="AB1002" s="8" t="s">
        <v>2141</v>
      </c>
      <c r="AC1002" s="8" t="s">
        <v>2139</v>
      </c>
      <c r="AD1002" s="8" t="s">
        <v>119</v>
      </c>
      <c r="AE1002" s="8" t="s">
        <v>2140</v>
      </c>
      <c r="AF1002" s="8" t="s">
        <v>2163</v>
      </c>
      <c r="AG1002" s="8" t="s">
        <v>2164</v>
      </c>
      <c r="AH1002">
        <v>9356109.4100000001</v>
      </c>
      <c r="AI1002" s="8" t="s">
        <v>2136</v>
      </c>
      <c r="AJ1002" s="8" t="s">
        <v>2137</v>
      </c>
      <c r="AK1002" s="8" t="s">
        <v>2141</v>
      </c>
      <c r="AL1002" s="8" t="s">
        <v>2139</v>
      </c>
      <c r="AM1002" s="8" t="s">
        <v>119</v>
      </c>
      <c r="AN1002" s="8" t="s">
        <v>2140</v>
      </c>
      <c r="AO1002" s="8" t="s">
        <v>2163</v>
      </c>
      <c r="AP1002" s="8" t="s">
        <v>2164</v>
      </c>
      <c r="AQ1002" s="8" t="s">
        <v>2164</v>
      </c>
      <c r="AR1002" s="8" t="s">
        <v>124</v>
      </c>
      <c r="AS1002" s="8" t="s">
        <v>125</v>
      </c>
      <c r="AT1002">
        <v>2</v>
      </c>
      <c r="AU1002" s="8" t="s">
        <v>126</v>
      </c>
      <c r="AV1002" s="8" t="s">
        <v>127</v>
      </c>
      <c r="AW1002" s="8" t="s">
        <v>2165</v>
      </c>
      <c r="AX1002">
        <v>1</v>
      </c>
      <c r="AY1002" s="8" t="s">
        <v>129</v>
      </c>
      <c r="AZ1002">
        <v>131591.299999999</v>
      </c>
      <c r="BA1002">
        <v>9007030</v>
      </c>
      <c r="BB1002">
        <v>145503.75</v>
      </c>
      <c r="BC1002">
        <v>68.447000000000003</v>
      </c>
      <c r="BD1002" s="8" t="s">
        <v>130</v>
      </c>
      <c r="BE1002" s="8" t="s">
        <v>131</v>
      </c>
      <c r="BF1002" s="8" t="s">
        <v>2166</v>
      </c>
      <c r="BG1002" s="8" t="s">
        <v>133</v>
      </c>
      <c r="BH1002" s="8" t="s">
        <v>134</v>
      </c>
      <c r="BI1002" s="8" t="s">
        <v>112</v>
      </c>
      <c r="BJ1002" s="8" t="s">
        <v>112</v>
      </c>
      <c r="BK1002" s="8" t="s">
        <v>112</v>
      </c>
      <c r="BL1002" s="8" t="s">
        <v>588</v>
      </c>
      <c r="BM1002" s="8" t="s">
        <v>901</v>
      </c>
      <c r="BN1002" s="8" t="s">
        <v>590</v>
      </c>
      <c r="BO1002" s="8" t="s">
        <v>591</v>
      </c>
      <c r="BP1002">
        <v>1</v>
      </c>
      <c r="BQ1002" s="8" t="s">
        <v>2175</v>
      </c>
      <c r="BR1002" s="45">
        <f>ISNUMBER(SEARCH($BR$1,Таблица1[[#This Row],[31_1 Описание и характеристика товара]]))*1</f>
        <v>0</v>
      </c>
      <c r="BT1002" s="8" t="s">
        <v>2161</v>
      </c>
      <c r="BU1002">
        <v>68</v>
      </c>
      <c r="BW1002">
        <v>273</v>
      </c>
      <c r="BX1002" t="s">
        <v>2147</v>
      </c>
      <c r="CA1002" s="8" t="s">
        <v>106</v>
      </c>
      <c r="CB1002" s="8" t="s">
        <v>2148</v>
      </c>
      <c r="CC1002" s="8" t="s">
        <v>112</v>
      </c>
      <c r="CD1002" s="8" t="s">
        <v>112</v>
      </c>
      <c r="CE1002" s="8" t="s">
        <v>2163</v>
      </c>
      <c r="CF1002">
        <v>12802.7</v>
      </c>
      <c r="CG1002" t="s">
        <v>144</v>
      </c>
      <c r="CH1002">
        <v>4000000</v>
      </c>
      <c r="CI1002">
        <v>12698</v>
      </c>
      <c r="CK1002" s="8" t="s">
        <v>112</v>
      </c>
      <c r="CL1002" s="8" t="s">
        <v>112</v>
      </c>
      <c r="CM1002">
        <v>129877.7</v>
      </c>
      <c r="CN1002">
        <v>8889739</v>
      </c>
      <c r="CO1002">
        <v>0</v>
      </c>
      <c r="CP1002">
        <v>1</v>
      </c>
      <c r="CQ1002">
        <v>9234786.4199999906</v>
      </c>
      <c r="CR1002">
        <v>143616.97</v>
      </c>
      <c r="CS1002" s="8" t="s">
        <v>145</v>
      </c>
      <c r="CT1002">
        <v>11.3102</v>
      </c>
      <c r="CU1002">
        <v>1053</v>
      </c>
      <c r="CV1002" t="s">
        <v>2149</v>
      </c>
      <c r="CX1002" t="s">
        <v>2150</v>
      </c>
      <c r="CY1002">
        <v>0</v>
      </c>
    </row>
    <row r="1003" spans="1:103" x14ac:dyDescent="0.25">
      <c r="A1003" s="8" t="s">
        <v>106</v>
      </c>
      <c r="B1003" s="38">
        <v>45133</v>
      </c>
      <c r="C1003" s="43">
        <f>IF(YEAR(Таблица1[[#This Row],[Дата]])=2023,MONTH(Таблица1[[#This Row],[Дата]]),0)</f>
        <v>7</v>
      </c>
      <c r="D1003" s="8" t="s">
        <v>2715</v>
      </c>
      <c r="E1003" s="8" t="s">
        <v>583</v>
      </c>
      <c r="F1003" s="8" t="s">
        <v>2716</v>
      </c>
      <c r="G1003" t="s">
        <v>110</v>
      </c>
      <c r="H1003" s="8" t="s">
        <v>111</v>
      </c>
      <c r="I1003" s="8" t="s">
        <v>2717</v>
      </c>
      <c r="J1003" s="8" t="s">
        <v>112</v>
      </c>
      <c r="K1003" s="8" t="s">
        <v>112</v>
      </c>
      <c r="L1003" s="8" t="s">
        <v>2718</v>
      </c>
      <c r="M1003" s="8" t="s">
        <v>2719</v>
      </c>
      <c r="N1003" s="8" t="s">
        <v>112</v>
      </c>
      <c r="O1003" s="8" t="s">
        <v>112</v>
      </c>
      <c r="P1003">
        <v>29</v>
      </c>
      <c r="Q1003">
        <v>0</v>
      </c>
      <c r="R1003">
        <v>85</v>
      </c>
      <c r="S1003">
        <v>175</v>
      </c>
      <c r="T1003" s="8" t="s">
        <v>2720</v>
      </c>
      <c r="U1003" s="8" t="s">
        <v>2721</v>
      </c>
      <c r="V1003" s="8" t="s">
        <v>2722</v>
      </c>
      <c r="W1003" s="8" t="s">
        <v>2723</v>
      </c>
      <c r="X1003" s="8" t="s">
        <v>119</v>
      </c>
      <c r="Y1003" s="8" t="s">
        <v>2724</v>
      </c>
      <c r="Z1003" s="8" t="s">
        <v>2720</v>
      </c>
      <c r="AA1003" s="8" t="s">
        <v>2721</v>
      </c>
      <c r="AB1003" s="8" t="s">
        <v>2722</v>
      </c>
      <c r="AC1003" s="8" t="s">
        <v>2723</v>
      </c>
      <c r="AD1003" s="8" t="s">
        <v>119</v>
      </c>
      <c r="AE1003" s="8" t="s">
        <v>2724</v>
      </c>
      <c r="AF1003" s="8" t="s">
        <v>2185</v>
      </c>
      <c r="AG1003" s="8" t="s">
        <v>2186</v>
      </c>
      <c r="AH1003">
        <v>3504788.61</v>
      </c>
      <c r="AI1003" s="8" t="s">
        <v>2720</v>
      </c>
      <c r="AJ1003" s="8" t="s">
        <v>2721</v>
      </c>
      <c r="AK1003" s="8" t="s">
        <v>2722</v>
      </c>
      <c r="AL1003" s="8" t="s">
        <v>2723</v>
      </c>
      <c r="AM1003" s="8" t="s">
        <v>119</v>
      </c>
      <c r="AN1003" s="8" t="s">
        <v>2724</v>
      </c>
      <c r="AO1003" s="8" t="s">
        <v>2725</v>
      </c>
      <c r="AP1003" s="8" t="s">
        <v>2726</v>
      </c>
      <c r="AQ1003" s="8" t="s">
        <v>2143</v>
      </c>
      <c r="AR1003" s="8" t="s">
        <v>124</v>
      </c>
      <c r="AS1003" s="8" t="s">
        <v>125</v>
      </c>
      <c r="AT1003">
        <v>2</v>
      </c>
      <c r="AU1003" s="8" t="s">
        <v>126</v>
      </c>
      <c r="AV1003" s="8" t="s">
        <v>2674</v>
      </c>
      <c r="AW1003" s="8" t="s">
        <v>2401</v>
      </c>
      <c r="AX1003">
        <v>1</v>
      </c>
      <c r="AY1003" s="8" t="s">
        <v>129</v>
      </c>
      <c r="AZ1003">
        <v>51204.38</v>
      </c>
      <c r="BA1003">
        <v>3504786</v>
      </c>
      <c r="BB1003">
        <v>54505.55</v>
      </c>
      <c r="BC1003">
        <v>68.447000000000003</v>
      </c>
      <c r="BD1003" s="8" t="s">
        <v>130</v>
      </c>
      <c r="BE1003" s="8" t="s">
        <v>112</v>
      </c>
      <c r="BF1003" s="8" t="s">
        <v>2727</v>
      </c>
      <c r="BG1003" s="8" t="s">
        <v>133</v>
      </c>
      <c r="BH1003" s="8" t="s">
        <v>134</v>
      </c>
      <c r="BI1003" s="8" t="s">
        <v>112</v>
      </c>
      <c r="BJ1003" s="8" t="s">
        <v>112</v>
      </c>
      <c r="BK1003" s="8" t="s">
        <v>112</v>
      </c>
      <c r="BL1003" s="8" t="s">
        <v>2728</v>
      </c>
      <c r="BM1003" s="8" t="s">
        <v>2729</v>
      </c>
      <c r="BN1003" s="8" t="s">
        <v>2730</v>
      </c>
      <c r="BO1003" s="8" t="s">
        <v>2731</v>
      </c>
      <c r="BP1003">
        <v>15</v>
      </c>
      <c r="BQ1003" s="8" t="s">
        <v>2732</v>
      </c>
      <c r="BR1003" s="45">
        <f>ISNUMBER(SEARCH($BR$1,Таблица1[[#This Row],[31_1 Описание и характеристика товара]]))*1</f>
        <v>0</v>
      </c>
      <c r="BT1003" s="8" t="s">
        <v>2733</v>
      </c>
      <c r="BU1003">
        <v>1</v>
      </c>
      <c r="BV1003">
        <v>0</v>
      </c>
      <c r="BW1003">
        <v>1</v>
      </c>
      <c r="BX1003" t="s">
        <v>2147</v>
      </c>
      <c r="BY1003">
        <v>0</v>
      </c>
      <c r="CA1003" s="8" t="s">
        <v>2734</v>
      </c>
      <c r="CB1003" s="8" t="s">
        <v>2148</v>
      </c>
      <c r="CC1003" s="8" t="s">
        <v>112</v>
      </c>
      <c r="CD1003" s="8" t="s">
        <v>112</v>
      </c>
      <c r="CE1003" s="8" t="s">
        <v>2142</v>
      </c>
      <c r="CF1003">
        <v>70</v>
      </c>
      <c r="CG1003" t="s">
        <v>144</v>
      </c>
      <c r="CH1003">
        <v>4000000</v>
      </c>
      <c r="CI1003">
        <v>63.7</v>
      </c>
      <c r="CJ1003">
        <v>0</v>
      </c>
      <c r="CK1003" s="8" t="s">
        <v>112</v>
      </c>
      <c r="CL1003" s="8" t="s">
        <v>112</v>
      </c>
      <c r="CM1003">
        <v>371.02</v>
      </c>
      <c r="CN1003">
        <v>25395</v>
      </c>
      <c r="CO1003">
        <v>0</v>
      </c>
      <c r="CP1003">
        <v>1</v>
      </c>
      <c r="CQ1003">
        <v>25395.23</v>
      </c>
      <c r="CR1003">
        <v>394.94</v>
      </c>
      <c r="CS1003" s="8" t="s">
        <v>145</v>
      </c>
      <c r="CT1003">
        <v>6.2</v>
      </c>
      <c r="CX1003" t="s">
        <v>2735</v>
      </c>
      <c r="CY1003">
        <v>1163</v>
      </c>
    </row>
    <row r="1004" spans="1:103" x14ac:dyDescent="0.25">
      <c r="A1004" s="8" t="s">
        <v>106</v>
      </c>
      <c r="B1004" s="38">
        <v>45085</v>
      </c>
      <c r="C1004" s="43">
        <f>IF(YEAR(Таблица1[[#This Row],[Дата]])=2023,MONTH(Таблица1[[#This Row],[Дата]]),0)</f>
        <v>6</v>
      </c>
      <c r="D1004" s="8" t="s">
        <v>3242</v>
      </c>
      <c r="E1004" s="8" t="s">
        <v>583</v>
      </c>
      <c r="F1004" s="8" t="s">
        <v>3243</v>
      </c>
      <c r="G1004" t="s">
        <v>110</v>
      </c>
      <c r="H1004" s="8" t="s">
        <v>111</v>
      </c>
      <c r="I1004" s="8" t="s">
        <v>112</v>
      </c>
      <c r="J1004" s="8" t="s">
        <v>112</v>
      </c>
      <c r="K1004" s="8" t="s">
        <v>112</v>
      </c>
      <c r="L1004" s="8" t="s">
        <v>2578</v>
      </c>
      <c r="M1004" s="8" t="s">
        <v>2579</v>
      </c>
      <c r="N1004" s="8" t="s">
        <v>112</v>
      </c>
      <c r="O1004" s="8" t="s">
        <v>112</v>
      </c>
      <c r="P1004">
        <v>1</v>
      </c>
      <c r="Q1004">
        <v>0</v>
      </c>
      <c r="R1004">
        <v>1</v>
      </c>
      <c r="S1004">
        <v>13</v>
      </c>
      <c r="T1004" s="8" t="s">
        <v>2580</v>
      </c>
      <c r="U1004" s="8" t="s">
        <v>2581</v>
      </c>
      <c r="V1004" s="8" t="s">
        <v>2582</v>
      </c>
      <c r="W1004" s="8" t="s">
        <v>2583</v>
      </c>
      <c r="X1004" s="8" t="s">
        <v>2552</v>
      </c>
      <c r="Y1004" s="8" t="s">
        <v>2584</v>
      </c>
      <c r="Z1004" s="8" t="s">
        <v>2580</v>
      </c>
      <c r="AA1004" s="8" t="s">
        <v>2581</v>
      </c>
      <c r="AB1004" s="8" t="s">
        <v>2582</v>
      </c>
      <c r="AC1004" s="8" t="s">
        <v>2583</v>
      </c>
      <c r="AD1004" s="8" t="s">
        <v>2552</v>
      </c>
      <c r="AE1004" s="8" t="s">
        <v>2584</v>
      </c>
      <c r="AF1004" s="8" t="s">
        <v>2163</v>
      </c>
      <c r="AG1004" s="8" t="s">
        <v>2164</v>
      </c>
      <c r="AH1004">
        <v>3053429.35</v>
      </c>
      <c r="AI1004" s="8" t="s">
        <v>2580</v>
      </c>
      <c r="AJ1004" s="8" t="s">
        <v>2581</v>
      </c>
      <c r="AK1004" s="8" t="s">
        <v>2582</v>
      </c>
      <c r="AL1004" s="8" t="s">
        <v>2583</v>
      </c>
      <c r="AM1004" s="8" t="s">
        <v>2552</v>
      </c>
      <c r="AN1004" s="8" t="s">
        <v>2584</v>
      </c>
      <c r="AO1004" s="8" t="s">
        <v>2163</v>
      </c>
      <c r="AP1004" s="8" t="s">
        <v>2164</v>
      </c>
      <c r="AQ1004" s="8" t="s">
        <v>2164</v>
      </c>
      <c r="AR1004" s="8" t="s">
        <v>124</v>
      </c>
      <c r="AS1004" s="8" t="s">
        <v>125</v>
      </c>
      <c r="AT1004">
        <v>2</v>
      </c>
      <c r="AU1004" s="8" t="s">
        <v>126</v>
      </c>
      <c r="AV1004" s="8" t="s">
        <v>155</v>
      </c>
      <c r="AW1004" s="8" t="s">
        <v>2609</v>
      </c>
      <c r="AX1004">
        <v>1</v>
      </c>
      <c r="AY1004" s="8" t="s">
        <v>129</v>
      </c>
      <c r="AZ1004">
        <v>39171</v>
      </c>
      <c r="BA1004">
        <v>2641998</v>
      </c>
      <c r="BB1004">
        <v>48192.51</v>
      </c>
      <c r="BC1004">
        <v>67.447800000000001</v>
      </c>
      <c r="BD1004" s="8" t="s">
        <v>130</v>
      </c>
      <c r="BE1004" s="8" t="s">
        <v>131</v>
      </c>
      <c r="BF1004" s="8" t="s">
        <v>2586</v>
      </c>
      <c r="BG1004" s="8" t="s">
        <v>133</v>
      </c>
      <c r="BH1004" s="8" t="s">
        <v>134</v>
      </c>
      <c r="BI1004" s="8" t="s">
        <v>112</v>
      </c>
      <c r="BJ1004" s="8" t="s">
        <v>112</v>
      </c>
      <c r="BK1004" s="8" t="s">
        <v>112</v>
      </c>
      <c r="BL1004" s="8" t="s">
        <v>2587</v>
      </c>
      <c r="BM1004" s="8" t="s">
        <v>2588</v>
      </c>
      <c r="BN1004" s="8" t="s">
        <v>2589</v>
      </c>
      <c r="BO1004" s="8" t="s">
        <v>2590</v>
      </c>
      <c r="BP1004">
        <v>1</v>
      </c>
      <c r="BQ1004" s="8" t="s">
        <v>2591</v>
      </c>
      <c r="BR1004" s="45">
        <f>ISNUMBER(SEARCH($BR$1,Таблица1[[#This Row],[31_1 Описание и характеристика товара]]))*1</f>
        <v>0</v>
      </c>
      <c r="BT1004" s="8" t="s">
        <v>2578</v>
      </c>
      <c r="BU1004">
        <v>13</v>
      </c>
      <c r="BV1004">
        <v>0</v>
      </c>
      <c r="BW1004">
        <v>10</v>
      </c>
      <c r="BX1004" t="s">
        <v>2147</v>
      </c>
      <c r="BY1004">
        <v>0</v>
      </c>
      <c r="CA1004" s="8" t="s">
        <v>106</v>
      </c>
      <c r="CB1004" s="8" t="s">
        <v>2148</v>
      </c>
      <c r="CC1004" s="8" t="s">
        <v>112</v>
      </c>
      <c r="CD1004" s="8" t="s">
        <v>112</v>
      </c>
      <c r="CE1004" s="8" t="s">
        <v>2163</v>
      </c>
      <c r="CF1004">
        <v>18226.5</v>
      </c>
      <c r="CG1004" t="s">
        <v>144</v>
      </c>
      <c r="CH1004">
        <v>4000000</v>
      </c>
      <c r="CI1004">
        <v>18021.5</v>
      </c>
      <c r="CJ1004">
        <v>0</v>
      </c>
      <c r="CK1004" s="8" t="s">
        <v>112</v>
      </c>
      <c r="CL1004" s="8" t="s">
        <v>112</v>
      </c>
      <c r="CM1004">
        <v>39171</v>
      </c>
      <c r="CN1004">
        <v>2641998</v>
      </c>
      <c r="CO1004">
        <v>0</v>
      </c>
      <c r="CP1004">
        <v>1</v>
      </c>
      <c r="CQ1004">
        <v>3053429.35</v>
      </c>
      <c r="CR1004">
        <v>48192.51</v>
      </c>
      <c r="CS1004" s="8" t="s">
        <v>145</v>
      </c>
      <c r="CT1004">
        <v>2.6741999999999999</v>
      </c>
      <c r="CU1004">
        <v>1239</v>
      </c>
      <c r="CV1004" t="s">
        <v>2592</v>
      </c>
      <c r="CX1004" t="s">
        <v>2593</v>
      </c>
      <c r="CY1004">
        <v>0</v>
      </c>
    </row>
    <row r="1005" spans="1:103" x14ac:dyDescent="0.25">
      <c r="A1005" t="s">
        <v>106</v>
      </c>
      <c r="B1005" s="38">
        <v>44925</v>
      </c>
      <c r="C1005" s="43">
        <f>IF(YEAR(Таблица1[[#This Row],[Дата]])=2023,MONTH(Таблица1[[#This Row],[Дата]]),0)</f>
        <v>0</v>
      </c>
      <c r="D1005" t="s">
        <v>582</v>
      </c>
      <c r="E1005" t="s">
        <v>583</v>
      </c>
      <c r="F1005" t="s">
        <v>584</v>
      </c>
      <c r="G1005" t="s">
        <v>110</v>
      </c>
      <c r="H1005" t="s">
        <v>111</v>
      </c>
      <c r="I1005" t="s">
        <v>112</v>
      </c>
      <c r="J1005" t="s">
        <v>112</v>
      </c>
      <c r="K1005" t="s">
        <v>112</v>
      </c>
      <c r="L1005" t="s">
        <v>113</v>
      </c>
      <c r="M1005" t="s">
        <v>585</v>
      </c>
      <c r="N1005" t="s">
        <v>112</v>
      </c>
      <c r="O1005" t="s">
        <v>112</v>
      </c>
      <c r="P1005">
        <v>2</v>
      </c>
      <c r="Q1005">
        <v>0</v>
      </c>
      <c r="R1005">
        <v>2</v>
      </c>
      <c r="S1005">
        <v>33</v>
      </c>
      <c r="T1005" t="s">
        <v>115</v>
      </c>
      <c r="U1005" t="s">
        <v>116</v>
      </c>
      <c r="V1005" t="s">
        <v>117</v>
      </c>
      <c r="W1005" t="s">
        <v>586</v>
      </c>
      <c r="X1005" t="s">
        <v>119</v>
      </c>
      <c r="Y1005" t="s">
        <v>120</v>
      </c>
      <c r="Z1005" t="s">
        <v>115</v>
      </c>
      <c r="AA1005" t="s">
        <v>116</v>
      </c>
      <c r="AB1005" t="s">
        <v>117</v>
      </c>
      <c r="AC1005" t="s">
        <v>586</v>
      </c>
      <c r="AD1005" t="s">
        <v>119</v>
      </c>
      <c r="AE1005" t="s">
        <v>120</v>
      </c>
      <c r="AF1005" t="s">
        <v>121</v>
      </c>
      <c r="AG1005" t="s">
        <v>122</v>
      </c>
      <c r="AH1005">
        <v>4220416.9400000004</v>
      </c>
      <c r="AI1005" t="s">
        <v>115</v>
      </c>
      <c r="AJ1005" t="s">
        <v>116</v>
      </c>
      <c r="AK1005" t="s">
        <v>117</v>
      </c>
      <c r="AL1005" t="s">
        <v>586</v>
      </c>
      <c r="AM1005" t="s">
        <v>119</v>
      </c>
      <c r="AN1005" t="s">
        <v>120</v>
      </c>
      <c r="AO1005" t="s">
        <v>121</v>
      </c>
      <c r="AP1005" t="s">
        <v>122</v>
      </c>
      <c r="AQ1005" t="s">
        <v>123</v>
      </c>
      <c r="AR1005" t="s">
        <v>124</v>
      </c>
      <c r="AS1005" t="s">
        <v>125</v>
      </c>
      <c r="AT1005">
        <v>2</v>
      </c>
      <c r="AU1005" t="s">
        <v>126</v>
      </c>
      <c r="AV1005" t="s">
        <v>127</v>
      </c>
      <c r="AW1005" t="s">
        <v>128</v>
      </c>
      <c r="AX1005">
        <v>1</v>
      </c>
      <c r="AY1005" t="s">
        <v>129</v>
      </c>
      <c r="AZ1005">
        <v>50696.08</v>
      </c>
      <c r="BA1005">
        <v>4021999</v>
      </c>
      <c r="BB1005">
        <v>57137.279999999999</v>
      </c>
      <c r="BC1005">
        <v>79.335499999999996</v>
      </c>
      <c r="BD1005" t="s">
        <v>130</v>
      </c>
      <c r="BE1005" t="s">
        <v>131</v>
      </c>
      <c r="BF1005" t="s">
        <v>132</v>
      </c>
      <c r="BG1005" t="s">
        <v>133</v>
      </c>
      <c r="BH1005" t="s">
        <v>167</v>
      </c>
      <c r="BI1005" t="s">
        <v>587</v>
      </c>
      <c r="BJ1005" t="s">
        <v>112</v>
      </c>
      <c r="BK1005" t="s">
        <v>112</v>
      </c>
      <c r="BL1005" t="s">
        <v>588</v>
      </c>
      <c r="BM1005" t="s">
        <v>589</v>
      </c>
      <c r="BN1005" t="s">
        <v>590</v>
      </c>
      <c r="BO1005" t="s">
        <v>591</v>
      </c>
      <c r="BP1005">
        <v>1</v>
      </c>
      <c r="BQ1005" t="s">
        <v>592</v>
      </c>
      <c r="BR1005" s="45">
        <f>ISNUMBER(SEARCH($BR$1,Таблица1[[#This Row],[31_1 Описание и характеристика товара]]))*1</f>
        <v>1</v>
      </c>
      <c r="BT1005" t="s">
        <v>141</v>
      </c>
      <c r="BU1005">
        <v>18</v>
      </c>
      <c r="BV1005">
        <v>0</v>
      </c>
      <c r="BW1005">
        <v>0</v>
      </c>
      <c r="BY1005">
        <v>0</v>
      </c>
      <c r="CA1005" t="s">
        <v>106</v>
      </c>
      <c r="CB1005" t="s">
        <v>142</v>
      </c>
      <c r="CC1005" t="s">
        <v>112</v>
      </c>
      <c r="CD1005" t="s">
        <v>112</v>
      </c>
      <c r="CE1005" t="s">
        <v>143</v>
      </c>
      <c r="CF1005">
        <v>6726.4</v>
      </c>
      <c r="CG1005" t="s">
        <v>144</v>
      </c>
      <c r="CH1005">
        <v>4000000</v>
      </c>
      <c r="CI1005">
        <v>6380.4</v>
      </c>
      <c r="CJ1005">
        <v>0</v>
      </c>
      <c r="CK1005" t="s">
        <v>112</v>
      </c>
      <c r="CL1005" t="s">
        <v>112</v>
      </c>
      <c r="CM1005">
        <v>23101.24</v>
      </c>
      <c r="CN1005">
        <v>1832748</v>
      </c>
      <c r="CO1005">
        <v>0</v>
      </c>
      <c r="CP1005">
        <v>1</v>
      </c>
      <c r="CQ1005">
        <v>1924082.63</v>
      </c>
      <c r="CR1005">
        <v>26048.81</v>
      </c>
      <c r="CS1005" t="s">
        <v>145</v>
      </c>
      <c r="CT1005">
        <v>26048.621039999998</v>
      </c>
      <c r="CU1005">
        <v>4.0826000000000002</v>
      </c>
      <c r="CV1005">
        <v>952</v>
      </c>
      <c r="CW1005" t="s">
        <v>593</v>
      </c>
      <c r="CX1005" t="s">
        <v>594</v>
      </c>
      <c r="CY1005">
        <v>1139</v>
      </c>
    </row>
    <row r="1006" spans="1:103" x14ac:dyDescent="0.25">
      <c r="A1006" t="s">
        <v>106</v>
      </c>
      <c r="B1006" s="38">
        <v>44808</v>
      </c>
      <c r="C1006" s="43">
        <f>IF(YEAR(Таблица1[[#This Row],[Дата]])=2023,MONTH(Таблица1[[#This Row],[Дата]]),0)</f>
        <v>0</v>
      </c>
      <c r="D1006" t="s">
        <v>582</v>
      </c>
      <c r="E1006" t="s">
        <v>583</v>
      </c>
      <c r="F1006" t="s">
        <v>584</v>
      </c>
      <c r="G1006" t="s">
        <v>110</v>
      </c>
      <c r="H1006" t="s">
        <v>111</v>
      </c>
      <c r="I1006" t="s">
        <v>112</v>
      </c>
      <c r="J1006" t="s">
        <v>112</v>
      </c>
      <c r="K1006" t="s">
        <v>112</v>
      </c>
      <c r="L1006" t="s">
        <v>113</v>
      </c>
      <c r="M1006" t="s">
        <v>585</v>
      </c>
      <c r="N1006" t="s">
        <v>112</v>
      </c>
      <c r="O1006" t="s">
        <v>112</v>
      </c>
      <c r="P1006">
        <v>2</v>
      </c>
      <c r="Q1006">
        <v>0</v>
      </c>
      <c r="R1006">
        <v>2</v>
      </c>
      <c r="S1006">
        <v>33</v>
      </c>
      <c r="T1006" t="s">
        <v>115</v>
      </c>
      <c r="U1006" t="s">
        <v>116</v>
      </c>
      <c r="V1006" t="s">
        <v>117</v>
      </c>
      <c r="W1006" t="s">
        <v>586</v>
      </c>
      <c r="X1006" t="s">
        <v>119</v>
      </c>
      <c r="Y1006" t="s">
        <v>120</v>
      </c>
      <c r="Z1006" t="s">
        <v>115</v>
      </c>
      <c r="AA1006" t="s">
        <v>116</v>
      </c>
      <c r="AB1006" t="s">
        <v>117</v>
      </c>
      <c r="AC1006" t="s">
        <v>586</v>
      </c>
      <c r="AD1006" t="s">
        <v>119</v>
      </c>
      <c r="AE1006" t="s">
        <v>120</v>
      </c>
      <c r="AF1006" t="s">
        <v>121</v>
      </c>
      <c r="AG1006" t="s">
        <v>122</v>
      </c>
      <c r="AH1006">
        <v>4220416.9400000004</v>
      </c>
      <c r="AI1006" t="s">
        <v>115</v>
      </c>
      <c r="AJ1006" t="s">
        <v>116</v>
      </c>
      <c r="AK1006" t="s">
        <v>117</v>
      </c>
      <c r="AL1006" t="s">
        <v>586</v>
      </c>
      <c r="AM1006" t="s">
        <v>119</v>
      </c>
      <c r="AN1006" t="s">
        <v>120</v>
      </c>
      <c r="AO1006" t="s">
        <v>121</v>
      </c>
      <c r="AP1006" t="s">
        <v>122</v>
      </c>
      <c r="AQ1006" t="s">
        <v>123</v>
      </c>
      <c r="AR1006" t="s">
        <v>124</v>
      </c>
      <c r="AS1006" t="s">
        <v>125</v>
      </c>
      <c r="AT1006">
        <v>2</v>
      </c>
      <c r="AU1006" t="s">
        <v>126</v>
      </c>
      <c r="AV1006" t="s">
        <v>127</v>
      </c>
      <c r="AW1006" t="s">
        <v>128</v>
      </c>
      <c r="AX1006">
        <v>1</v>
      </c>
      <c r="AY1006" t="s">
        <v>129</v>
      </c>
      <c r="AZ1006">
        <v>50696.08</v>
      </c>
      <c r="BA1006">
        <v>4021999</v>
      </c>
      <c r="BB1006">
        <v>57137.279999999999</v>
      </c>
      <c r="BC1006">
        <v>79.335499999999996</v>
      </c>
      <c r="BD1006" t="s">
        <v>130</v>
      </c>
      <c r="BE1006" t="s">
        <v>131</v>
      </c>
      <c r="BF1006" t="s">
        <v>132</v>
      </c>
      <c r="BG1006" t="s">
        <v>133</v>
      </c>
      <c r="BH1006" t="s">
        <v>167</v>
      </c>
      <c r="BI1006" t="s">
        <v>587</v>
      </c>
      <c r="BJ1006" t="s">
        <v>112</v>
      </c>
      <c r="BK1006" t="s">
        <v>112</v>
      </c>
      <c r="BL1006" t="s">
        <v>588</v>
      </c>
      <c r="BM1006" t="s">
        <v>589</v>
      </c>
      <c r="BN1006" t="s">
        <v>590</v>
      </c>
      <c r="BO1006" t="s">
        <v>591</v>
      </c>
      <c r="BP1006">
        <v>2</v>
      </c>
      <c r="BQ1006" t="s">
        <v>595</v>
      </c>
      <c r="BR1006" s="45">
        <f>ISNUMBER(SEARCH($BR$1,Таблица1[[#This Row],[31_1 Описание и характеристика товара]]))*1</f>
        <v>1</v>
      </c>
      <c r="BT1006" t="s">
        <v>141</v>
      </c>
      <c r="BU1006">
        <v>15</v>
      </c>
      <c r="BV1006">
        <v>0</v>
      </c>
      <c r="BW1006">
        <v>0</v>
      </c>
      <c r="BY1006">
        <v>0</v>
      </c>
      <c r="CA1006" t="s">
        <v>596</v>
      </c>
      <c r="CB1006" t="s">
        <v>597</v>
      </c>
      <c r="CC1006" t="s">
        <v>112</v>
      </c>
      <c r="CD1006" t="s">
        <v>112</v>
      </c>
      <c r="CE1006" t="s">
        <v>143</v>
      </c>
      <c r="CF1006">
        <v>7886.24</v>
      </c>
      <c r="CG1006" t="s">
        <v>144</v>
      </c>
      <c r="CH1006">
        <v>4000000</v>
      </c>
      <c r="CI1006">
        <v>7516.4</v>
      </c>
      <c r="CJ1006">
        <v>0</v>
      </c>
      <c r="CK1006" t="s">
        <v>112</v>
      </c>
      <c r="CL1006" t="s">
        <v>112</v>
      </c>
      <c r="CM1006">
        <v>27594.84</v>
      </c>
      <c r="CN1006">
        <v>2189250</v>
      </c>
      <c r="CO1006">
        <v>0</v>
      </c>
      <c r="CP1006">
        <v>1</v>
      </c>
      <c r="CQ1006">
        <v>2296334.31</v>
      </c>
      <c r="CR1006">
        <v>31088.47</v>
      </c>
      <c r="CS1006" t="s">
        <v>145</v>
      </c>
      <c r="CT1006">
        <v>31088.582039999998</v>
      </c>
      <c r="CU1006">
        <v>4.1360999999999999</v>
      </c>
      <c r="CV1006">
        <v>952</v>
      </c>
      <c r="CW1006" t="s">
        <v>593</v>
      </c>
      <c r="CX1006" t="s">
        <v>594</v>
      </c>
      <c r="CY1006">
        <v>1139</v>
      </c>
    </row>
    <row r="1007" spans="1:103" x14ac:dyDescent="0.25">
      <c r="A1007" t="s">
        <v>106</v>
      </c>
      <c r="B1007" s="38">
        <v>44928</v>
      </c>
      <c r="C1007" s="43">
        <f>IF(YEAR(Таблица1[[#This Row],[Дата]])=2023,MONTH(Таблица1[[#This Row],[Дата]]),0)</f>
        <v>1</v>
      </c>
      <c r="D1007" t="s">
        <v>1041</v>
      </c>
      <c r="E1007" t="s">
        <v>583</v>
      </c>
      <c r="F1007" t="s">
        <v>1042</v>
      </c>
      <c r="G1007" t="s">
        <v>110</v>
      </c>
      <c r="H1007" t="s">
        <v>111</v>
      </c>
      <c r="I1007" t="s">
        <v>112</v>
      </c>
      <c r="J1007" t="s">
        <v>112</v>
      </c>
      <c r="K1007" t="s">
        <v>112</v>
      </c>
      <c r="L1007" t="s">
        <v>113</v>
      </c>
      <c r="M1007" t="s">
        <v>1043</v>
      </c>
      <c r="N1007" t="s">
        <v>112</v>
      </c>
      <c r="O1007" t="s">
        <v>112</v>
      </c>
      <c r="P1007">
        <v>2</v>
      </c>
      <c r="Q1007">
        <v>0</v>
      </c>
      <c r="R1007">
        <v>2</v>
      </c>
      <c r="S1007">
        <v>29</v>
      </c>
      <c r="T1007" t="s">
        <v>115</v>
      </c>
      <c r="U1007" t="s">
        <v>116</v>
      </c>
      <c r="V1007" t="s">
        <v>117</v>
      </c>
      <c r="W1007" t="s">
        <v>586</v>
      </c>
      <c r="X1007" t="s">
        <v>119</v>
      </c>
      <c r="Y1007" t="s">
        <v>120</v>
      </c>
      <c r="Z1007" t="s">
        <v>115</v>
      </c>
      <c r="AA1007" t="s">
        <v>116</v>
      </c>
      <c r="AB1007" t="s">
        <v>117</v>
      </c>
      <c r="AC1007" t="s">
        <v>586</v>
      </c>
      <c r="AD1007" t="s">
        <v>119</v>
      </c>
      <c r="AE1007" t="s">
        <v>120</v>
      </c>
      <c r="AF1007" t="s">
        <v>121</v>
      </c>
      <c r="AG1007" t="s">
        <v>122</v>
      </c>
      <c r="AH1007">
        <v>4183561.02</v>
      </c>
      <c r="AI1007" t="s">
        <v>115</v>
      </c>
      <c r="AJ1007" t="s">
        <v>116</v>
      </c>
      <c r="AK1007" t="s">
        <v>117</v>
      </c>
      <c r="AL1007" t="s">
        <v>586</v>
      </c>
      <c r="AM1007" t="s">
        <v>119</v>
      </c>
      <c r="AN1007" t="s">
        <v>120</v>
      </c>
      <c r="AO1007" t="s">
        <v>121</v>
      </c>
      <c r="AP1007" t="s">
        <v>122</v>
      </c>
      <c r="AQ1007" t="s">
        <v>123</v>
      </c>
      <c r="AR1007" t="s">
        <v>124</v>
      </c>
      <c r="AS1007" t="s">
        <v>125</v>
      </c>
      <c r="AT1007">
        <v>2</v>
      </c>
      <c r="AU1007" t="s">
        <v>126</v>
      </c>
      <c r="AV1007" t="s">
        <v>127</v>
      </c>
      <c r="AW1007" t="s">
        <v>128</v>
      </c>
      <c r="AX1007">
        <v>1</v>
      </c>
      <c r="AY1007" t="s">
        <v>129</v>
      </c>
      <c r="AZ1007">
        <v>44131.39</v>
      </c>
      <c r="BA1007">
        <v>3959782</v>
      </c>
      <c r="BB1007">
        <v>50907.35</v>
      </c>
      <c r="BC1007">
        <v>89.727099999999993</v>
      </c>
      <c r="BD1007" t="s">
        <v>130</v>
      </c>
      <c r="BE1007" t="s">
        <v>131</v>
      </c>
      <c r="BF1007" t="s">
        <v>132</v>
      </c>
      <c r="BG1007" t="s">
        <v>133</v>
      </c>
      <c r="BH1007" t="s">
        <v>134</v>
      </c>
      <c r="BI1007" t="s">
        <v>112</v>
      </c>
      <c r="BJ1007" t="s">
        <v>900</v>
      </c>
      <c r="BK1007" t="s">
        <v>112</v>
      </c>
      <c r="BL1007" t="s">
        <v>588</v>
      </c>
      <c r="BM1007" t="s">
        <v>901</v>
      </c>
      <c r="BN1007" t="s">
        <v>902</v>
      </c>
      <c r="BO1007" t="s">
        <v>591</v>
      </c>
      <c r="BP1007">
        <v>1</v>
      </c>
      <c r="BQ1007" t="s">
        <v>903</v>
      </c>
      <c r="BR1007" s="45">
        <f>ISNUMBER(SEARCH($BR$1,Таблица1[[#This Row],[31_1 Описание и характеристика товара]]))*1</f>
        <v>1</v>
      </c>
      <c r="BT1007" t="s">
        <v>141</v>
      </c>
      <c r="BU1007">
        <v>29</v>
      </c>
      <c r="BV1007">
        <v>0</v>
      </c>
      <c r="BW1007">
        <v>0</v>
      </c>
      <c r="BY1007">
        <v>0</v>
      </c>
      <c r="CA1007" t="s">
        <v>106</v>
      </c>
      <c r="CB1007" t="s">
        <v>142</v>
      </c>
      <c r="CC1007" t="s">
        <v>112</v>
      </c>
      <c r="CD1007" t="s">
        <v>112</v>
      </c>
      <c r="CE1007" t="s">
        <v>143</v>
      </c>
      <c r="CF1007">
        <v>7891.6</v>
      </c>
      <c r="CG1007" t="s">
        <v>144</v>
      </c>
      <c r="CH1007">
        <v>4000000</v>
      </c>
      <c r="CI1007">
        <v>7362.6</v>
      </c>
      <c r="CJ1007">
        <v>0</v>
      </c>
      <c r="CK1007" t="s">
        <v>112</v>
      </c>
      <c r="CL1007" t="s">
        <v>112</v>
      </c>
      <c r="CM1007">
        <v>27168.19</v>
      </c>
      <c r="CN1007">
        <v>2437723</v>
      </c>
      <c r="CO1007">
        <v>0</v>
      </c>
      <c r="CP1007">
        <v>1</v>
      </c>
      <c r="CQ1007">
        <v>2571635.21</v>
      </c>
      <c r="CR1007">
        <v>31292.75</v>
      </c>
      <c r="CS1007" t="s">
        <v>145</v>
      </c>
      <c r="CT1007">
        <v>31292.522520000006</v>
      </c>
      <c r="CU1007">
        <v>4.2502000000000004</v>
      </c>
      <c r="CV1007">
        <v>952</v>
      </c>
      <c r="CW1007" t="s">
        <v>593</v>
      </c>
      <c r="CX1007" t="s">
        <v>792</v>
      </c>
      <c r="CY1007">
        <v>1103</v>
      </c>
    </row>
    <row r="1008" spans="1:103" x14ac:dyDescent="0.25">
      <c r="A1008" t="s">
        <v>106</v>
      </c>
      <c r="B1008" s="38">
        <v>45150</v>
      </c>
      <c r="C1008" s="43">
        <f>IF(YEAR(Таблица1[[#This Row],[Дата]])=2023,MONTH(Таблица1[[#This Row],[Дата]]),0)</f>
        <v>8</v>
      </c>
      <c r="D1008" t="s">
        <v>1041</v>
      </c>
      <c r="E1008" t="s">
        <v>583</v>
      </c>
      <c r="F1008" t="s">
        <v>1042</v>
      </c>
      <c r="G1008" t="s">
        <v>110</v>
      </c>
      <c r="H1008" t="s">
        <v>111</v>
      </c>
      <c r="I1008" t="s">
        <v>112</v>
      </c>
      <c r="J1008" t="s">
        <v>112</v>
      </c>
      <c r="K1008" t="s">
        <v>112</v>
      </c>
      <c r="L1008" t="s">
        <v>113</v>
      </c>
      <c r="M1008" t="s">
        <v>1043</v>
      </c>
      <c r="N1008" t="s">
        <v>112</v>
      </c>
      <c r="O1008" t="s">
        <v>112</v>
      </c>
      <c r="P1008">
        <v>2</v>
      </c>
      <c r="Q1008">
        <v>0</v>
      </c>
      <c r="R1008">
        <v>2</v>
      </c>
      <c r="S1008">
        <v>29</v>
      </c>
      <c r="T1008" t="s">
        <v>115</v>
      </c>
      <c r="U1008" t="s">
        <v>116</v>
      </c>
      <c r="V1008" t="s">
        <v>117</v>
      </c>
      <c r="W1008" t="s">
        <v>586</v>
      </c>
      <c r="X1008" t="s">
        <v>119</v>
      </c>
      <c r="Y1008" t="s">
        <v>120</v>
      </c>
      <c r="Z1008" t="s">
        <v>115</v>
      </c>
      <c r="AA1008" t="s">
        <v>116</v>
      </c>
      <c r="AB1008" t="s">
        <v>117</v>
      </c>
      <c r="AC1008" t="s">
        <v>586</v>
      </c>
      <c r="AD1008" t="s">
        <v>119</v>
      </c>
      <c r="AE1008" t="s">
        <v>120</v>
      </c>
      <c r="AF1008" t="s">
        <v>121</v>
      </c>
      <c r="AG1008" t="s">
        <v>122</v>
      </c>
      <c r="AH1008">
        <v>4183561.02</v>
      </c>
      <c r="AI1008" t="s">
        <v>115</v>
      </c>
      <c r="AJ1008" t="s">
        <v>116</v>
      </c>
      <c r="AK1008" t="s">
        <v>117</v>
      </c>
      <c r="AL1008" t="s">
        <v>586</v>
      </c>
      <c r="AM1008" t="s">
        <v>119</v>
      </c>
      <c r="AN1008" t="s">
        <v>120</v>
      </c>
      <c r="AO1008" t="s">
        <v>121</v>
      </c>
      <c r="AP1008" t="s">
        <v>122</v>
      </c>
      <c r="AQ1008" t="s">
        <v>123</v>
      </c>
      <c r="AR1008" t="s">
        <v>124</v>
      </c>
      <c r="AS1008" t="s">
        <v>125</v>
      </c>
      <c r="AT1008">
        <v>2</v>
      </c>
      <c r="AU1008" t="s">
        <v>126</v>
      </c>
      <c r="AV1008" t="s">
        <v>127</v>
      </c>
      <c r="AW1008" t="s">
        <v>128</v>
      </c>
      <c r="AX1008">
        <v>1</v>
      </c>
      <c r="AY1008" t="s">
        <v>129</v>
      </c>
      <c r="AZ1008">
        <v>44131.39</v>
      </c>
      <c r="BA1008">
        <v>3959782</v>
      </c>
      <c r="BB1008">
        <v>50907.35</v>
      </c>
      <c r="BC1008">
        <v>89.727099999999993</v>
      </c>
      <c r="BD1008" t="s">
        <v>130</v>
      </c>
      <c r="BE1008" t="s">
        <v>131</v>
      </c>
      <c r="BF1008" t="s">
        <v>132</v>
      </c>
      <c r="BG1008" t="s">
        <v>133</v>
      </c>
      <c r="BH1008" t="s">
        <v>134</v>
      </c>
      <c r="BI1008" t="s">
        <v>112</v>
      </c>
      <c r="BJ1008" t="s">
        <v>900</v>
      </c>
      <c r="BK1008" t="s">
        <v>112</v>
      </c>
      <c r="BL1008" t="s">
        <v>588</v>
      </c>
      <c r="BM1008" t="s">
        <v>901</v>
      </c>
      <c r="BN1008" t="s">
        <v>902</v>
      </c>
      <c r="BO1008" t="s">
        <v>591</v>
      </c>
      <c r="BP1008">
        <v>2</v>
      </c>
      <c r="BQ1008" t="s">
        <v>904</v>
      </c>
      <c r="BR1008" s="45">
        <f>ISNUMBER(SEARCH($BR$1,Таблица1[[#This Row],[31_1 Описание и характеристика товара]]))*1</f>
        <v>1</v>
      </c>
      <c r="BT1008" t="s">
        <v>141</v>
      </c>
      <c r="BU1008">
        <v>29</v>
      </c>
      <c r="BV1008">
        <v>0</v>
      </c>
      <c r="BW1008">
        <v>0</v>
      </c>
      <c r="BY1008">
        <v>0</v>
      </c>
      <c r="CA1008" t="s">
        <v>596</v>
      </c>
      <c r="CB1008" t="s">
        <v>597</v>
      </c>
      <c r="CC1008" t="s">
        <v>112</v>
      </c>
      <c r="CD1008" t="s">
        <v>112</v>
      </c>
      <c r="CE1008" t="s">
        <v>143</v>
      </c>
      <c r="CF1008">
        <v>5296</v>
      </c>
      <c r="CG1008" t="s">
        <v>144</v>
      </c>
      <c r="CH1008">
        <v>4000000</v>
      </c>
      <c r="CI1008">
        <v>4966.3999999999996</v>
      </c>
      <c r="CJ1008">
        <v>0</v>
      </c>
      <c r="CK1008" t="s">
        <v>112</v>
      </c>
      <c r="CL1008" t="s">
        <v>112</v>
      </c>
      <c r="CM1008">
        <v>16963.2</v>
      </c>
      <c r="CN1008">
        <v>1522059</v>
      </c>
      <c r="CO1008">
        <v>0</v>
      </c>
      <c r="CP1008">
        <v>1</v>
      </c>
      <c r="CQ1008">
        <v>1611925.81</v>
      </c>
      <c r="CR1008">
        <v>19614.599999999999</v>
      </c>
      <c r="CS1008" t="s">
        <v>145</v>
      </c>
      <c r="CT1008">
        <v>19614.7968</v>
      </c>
      <c r="CU1008">
        <v>3.9495</v>
      </c>
      <c r="CV1008">
        <v>952</v>
      </c>
      <c r="CW1008" t="s">
        <v>593</v>
      </c>
      <c r="CX1008" t="s">
        <v>792</v>
      </c>
      <c r="CY1008">
        <v>1103</v>
      </c>
    </row>
    <row r="1009" spans="1:103" x14ac:dyDescent="0.25">
      <c r="A1009" t="s">
        <v>106</v>
      </c>
      <c r="B1009" s="38">
        <v>44975</v>
      </c>
      <c r="C1009" s="43">
        <f>IF(YEAR(Таблица1[[#This Row],[Дата]])=2023,MONTH(Таблица1[[#This Row],[Дата]]),0)</f>
        <v>2</v>
      </c>
      <c r="D1009" t="s">
        <v>818</v>
      </c>
      <c r="E1009" t="s">
        <v>583</v>
      </c>
      <c r="F1009" t="s">
        <v>819</v>
      </c>
      <c r="G1009" t="s">
        <v>110</v>
      </c>
      <c r="H1009" t="s">
        <v>111</v>
      </c>
      <c r="I1009" t="s">
        <v>112</v>
      </c>
      <c r="J1009" t="s">
        <v>112</v>
      </c>
      <c r="K1009" t="s">
        <v>112</v>
      </c>
      <c r="L1009" t="s">
        <v>113</v>
      </c>
      <c r="M1009" t="s">
        <v>820</v>
      </c>
      <c r="N1009" t="s">
        <v>112</v>
      </c>
      <c r="O1009" t="s">
        <v>112</v>
      </c>
      <c r="P1009">
        <v>2</v>
      </c>
      <c r="Q1009">
        <v>0</v>
      </c>
      <c r="R1009">
        <v>2</v>
      </c>
      <c r="S1009">
        <v>33</v>
      </c>
      <c r="T1009" t="s">
        <v>115</v>
      </c>
      <c r="U1009" t="s">
        <v>116</v>
      </c>
      <c r="V1009" t="s">
        <v>117</v>
      </c>
      <c r="W1009" t="s">
        <v>586</v>
      </c>
      <c r="X1009" t="s">
        <v>119</v>
      </c>
      <c r="Y1009" t="s">
        <v>120</v>
      </c>
      <c r="Z1009" t="s">
        <v>115</v>
      </c>
      <c r="AA1009" t="s">
        <v>116</v>
      </c>
      <c r="AB1009" t="s">
        <v>117</v>
      </c>
      <c r="AC1009" t="s">
        <v>586</v>
      </c>
      <c r="AD1009" t="s">
        <v>119</v>
      </c>
      <c r="AE1009" t="s">
        <v>120</v>
      </c>
      <c r="AF1009" t="s">
        <v>121</v>
      </c>
      <c r="AG1009" t="s">
        <v>122</v>
      </c>
      <c r="AH1009">
        <v>4147169.85</v>
      </c>
      <c r="AI1009" t="s">
        <v>115</v>
      </c>
      <c r="AJ1009" t="s">
        <v>116</v>
      </c>
      <c r="AK1009" t="s">
        <v>117</v>
      </c>
      <c r="AL1009" t="s">
        <v>586</v>
      </c>
      <c r="AM1009" t="s">
        <v>119</v>
      </c>
      <c r="AN1009" t="s">
        <v>120</v>
      </c>
      <c r="AO1009" t="s">
        <v>121</v>
      </c>
      <c r="AP1009" t="s">
        <v>122</v>
      </c>
      <c r="AQ1009" t="s">
        <v>123</v>
      </c>
      <c r="AR1009" t="s">
        <v>124</v>
      </c>
      <c r="AS1009" t="s">
        <v>125</v>
      </c>
      <c r="AT1009">
        <v>2</v>
      </c>
      <c r="AU1009" t="s">
        <v>126</v>
      </c>
      <c r="AV1009" t="s">
        <v>127</v>
      </c>
      <c r="AW1009" t="s">
        <v>128</v>
      </c>
      <c r="AX1009">
        <v>1</v>
      </c>
      <c r="AY1009" t="s">
        <v>129</v>
      </c>
      <c r="AZ1009">
        <v>49431.25</v>
      </c>
      <c r="BA1009">
        <v>3956818</v>
      </c>
      <c r="BB1009">
        <v>54959.1</v>
      </c>
      <c r="BC1009">
        <v>80.046899999999994</v>
      </c>
      <c r="BD1009" t="s">
        <v>130</v>
      </c>
      <c r="BE1009" t="s">
        <v>131</v>
      </c>
      <c r="BF1009" t="s">
        <v>132</v>
      </c>
      <c r="BG1009" t="s">
        <v>133</v>
      </c>
      <c r="BH1009" t="s">
        <v>134</v>
      </c>
      <c r="BI1009" t="s">
        <v>112</v>
      </c>
      <c r="BJ1009" t="s">
        <v>587</v>
      </c>
      <c r="BK1009" t="s">
        <v>112</v>
      </c>
      <c r="BL1009" t="s">
        <v>588</v>
      </c>
      <c r="BM1009" t="s">
        <v>589</v>
      </c>
      <c r="BN1009" t="s">
        <v>590</v>
      </c>
      <c r="BO1009" t="s">
        <v>591</v>
      </c>
      <c r="BP1009">
        <v>1</v>
      </c>
      <c r="BQ1009" t="s">
        <v>821</v>
      </c>
      <c r="BR1009" s="45">
        <f>ISNUMBER(SEARCH($BR$1,Таблица1[[#This Row],[31_1 Описание и характеристика товара]]))*1</f>
        <v>1</v>
      </c>
      <c r="BT1009" t="s">
        <v>141</v>
      </c>
      <c r="BU1009">
        <v>33</v>
      </c>
      <c r="BV1009">
        <v>0</v>
      </c>
      <c r="BW1009">
        <v>0</v>
      </c>
      <c r="BY1009">
        <v>0</v>
      </c>
      <c r="CA1009" t="s">
        <v>106</v>
      </c>
      <c r="CB1009" t="s">
        <v>597</v>
      </c>
      <c r="CC1009" t="s">
        <v>112</v>
      </c>
      <c r="CD1009" t="s">
        <v>112</v>
      </c>
      <c r="CE1009" t="s">
        <v>143</v>
      </c>
      <c r="CF1009">
        <v>10376.16</v>
      </c>
      <c r="CG1009" t="s">
        <v>144</v>
      </c>
      <c r="CH1009">
        <v>4000000</v>
      </c>
      <c r="CI1009">
        <v>9868.4</v>
      </c>
      <c r="CJ1009">
        <v>0</v>
      </c>
      <c r="CK1009" t="s">
        <v>112</v>
      </c>
      <c r="CL1009" t="s">
        <v>112</v>
      </c>
      <c r="CM1009">
        <v>34466.699999999997</v>
      </c>
      <c r="CN1009">
        <v>2758952</v>
      </c>
      <c r="CO1009">
        <v>0</v>
      </c>
      <c r="CP1009">
        <v>1</v>
      </c>
      <c r="CQ1009">
        <v>2890447.13</v>
      </c>
      <c r="CR1009">
        <v>38304.769999999997</v>
      </c>
      <c r="CS1009" t="s">
        <v>145</v>
      </c>
      <c r="CT1009">
        <v>38305.18144</v>
      </c>
      <c r="CU1009">
        <v>3.8816000000000002</v>
      </c>
      <c r="CV1009">
        <v>952</v>
      </c>
      <c r="CW1009" t="s">
        <v>593</v>
      </c>
      <c r="CX1009" t="s">
        <v>792</v>
      </c>
      <c r="CY1009">
        <v>0</v>
      </c>
    </row>
    <row r="1010" spans="1:103" x14ac:dyDescent="0.25">
      <c r="A1010" t="s">
        <v>106</v>
      </c>
      <c r="B1010" s="38">
        <v>45142</v>
      </c>
      <c r="C1010" s="43">
        <f>IF(YEAR(Таблица1[[#This Row],[Дата]])=2023,MONTH(Таблица1[[#This Row],[Дата]]),0)</f>
        <v>8</v>
      </c>
      <c r="D1010" t="s">
        <v>818</v>
      </c>
      <c r="E1010" t="s">
        <v>583</v>
      </c>
      <c r="F1010" t="s">
        <v>819</v>
      </c>
      <c r="G1010" t="s">
        <v>110</v>
      </c>
      <c r="H1010" t="s">
        <v>111</v>
      </c>
      <c r="I1010" t="s">
        <v>112</v>
      </c>
      <c r="J1010" t="s">
        <v>112</v>
      </c>
      <c r="K1010" t="s">
        <v>112</v>
      </c>
      <c r="L1010" t="s">
        <v>113</v>
      </c>
      <c r="M1010" t="s">
        <v>820</v>
      </c>
      <c r="N1010" t="s">
        <v>112</v>
      </c>
      <c r="O1010" t="s">
        <v>112</v>
      </c>
      <c r="P1010">
        <v>2</v>
      </c>
      <c r="Q1010">
        <v>0</v>
      </c>
      <c r="R1010">
        <v>2</v>
      </c>
      <c r="S1010">
        <v>33</v>
      </c>
      <c r="T1010" t="s">
        <v>115</v>
      </c>
      <c r="U1010" t="s">
        <v>116</v>
      </c>
      <c r="V1010" t="s">
        <v>117</v>
      </c>
      <c r="W1010" t="s">
        <v>586</v>
      </c>
      <c r="X1010" t="s">
        <v>119</v>
      </c>
      <c r="Y1010" t="s">
        <v>120</v>
      </c>
      <c r="Z1010" t="s">
        <v>115</v>
      </c>
      <c r="AA1010" t="s">
        <v>116</v>
      </c>
      <c r="AB1010" t="s">
        <v>117</v>
      </c>
      <c r="AC1010" t="s">
        <v>586</v>
      </c>
      <c r="AD1010" t="s">
        <v>119</v>
      </c>
      <c r="AE1010" t="s">
        <v>120</v>
      </c>
      <c r="AF1010" t="s">
        <v>121</v>
      </c>
      <c r="AG1010" t="s">
        <v>122</v>
      </c>
      <c r="AH1010">
        <v>4147169.85</v>
      </c>
      <c r="AI1010" t="s">
        <v>115</v>
      </c>
      <c r="AJ1010" t="s">
        <v>116</v>
      </c>
      <c r="AK1010" t="s">
        <v>117</v>
      </c>
      <c r="AL1010" t="s">
        <v>586</v>
      </c>
      <c r="AM1010" t="s">
        <v>119</v>
      </c>
      <c r="AN1010" t="s">
        <v>120</v>
      </c>
      <c r="AO1010" t="s">
        <v>121</v>
      </c>
      <c r="AP1010" t="s">
        <v>122</v>
      </c>
      <c r="AQ1010" t="s">
        <v>123</v>
      </c>
      <c r="AR1010" t="s">
        <v>124</v>
      </c>
      <c r="AS1010" t="s">
        <v>125</v>
      </c>
      <c r="AT1010">
        <v>2</v>
      </c>
      <c r="AU1010" t="s">
        <v>126</v>
      </c>
      <c r="AV1010" t="s">
        <v>127</v>
      </c>
      <c r="AW1010" t="s">
        <v>128</v>
      </c>
      <c r="AX1010">
        <v>1</v>
      </c>
      <c r="AY1010" t="s">
        <v>129</v>
      </c>
      <c r="AZ1010">
        <v>49431.25</v>
      </c>
      <c r="BA1010">
        <v>3956818</v>
      </c>
      <c r="BB1010">
        <v>54959.1</v>
      </c>
      <c r="BC1010">
        <v>80.046899999999994</v>
      </c>
      <c r="BD1010" t="s">
        <v>130</v>
      </c>
      <c r="BE1010" t="s">
        <v>131</v>
      </c>
      <c r="BF1010" t="s">
        <v>132</v>
      </c>
      <c r="BG1010" t="s">
        <v>133</v>
      </c>
      <c r="BH1010" t="s">
        <v>134</v>
      </c>
      <c r="BI1010" t="s">
        <v>112</v>
      </c>
      <c r="BJ1010" t="s">
        <v>587</v>
      </c>
      <c r="BK1010" t="s">
        <v>112</v>
      </c>
      <c r="BL1010" t="s">
        <v>588</v>
      </c>
      <c r="BM1010" t="s">
        <v>589</v>
      </c>
      <c r="BN1010" t="s">
        <v>590</v>
      </c>
      <c r="BO1010" t="s">
        <v>591</v>
      </c>
      <c r="BP1010">
        <v>2</v>
      </c>
      <c r="BQ1010" t="s">
        <v>822</v>
      </c>
      <c r="BR1010" s="45">
        <f>ISNUMBER(SEARCH($BR$1,Таблица1[[#This Row],[31_1 Описание и характеристика товара]]))*1</f>
        <v>1</v>
      </c>
      <c r="BT1010" t="s">
        <v>141</v>
      </c>
      <c r="BU1010">
        <v>33</v>
      </c>
      <c r="BV1010">
        <v>0</v>
      </c>
      <c r="BW1010">
        <v>0</v>
      </c>
      <c r="BY1010">
        <v>0</v>
      </c>
      <c r="CA1010" t="s">
        <v>596</v>
      </c>
      <c r="CB1010" t="s">
        <v>142</v>
      </c>
      <c r="CC1010" t="s">
        <v>112</v>
      </c>
      <c r="CD1010" t="s">
        <v>112</v>
      </c>
      <c r="CE1010" t="s">
        <v>143</v>
      </c>
      <c r="CF1010">
        <v>4644.3999999999996</v>
      </c>
      <c r="CG1010" t="s">
        <v>144</v>
      </c>
      <c r="CH1010">
        <v>4000000</v>
      </c>
      <c r="CI1010">
        <v>4476.6000000000004</v>
      </c>
      <c r="CJ1010">
        <v>0</v>
      </c>
      <c r="CK1010" t="s">
        <v>112</v>
      </c>
      <c r="CL1010" t="s">
        <v>112</v>
      </c>
      <c r="CM1010">
        <v>14964.55</v>
      </c>
      <c r="CN1010">
        <v>1197866</v>
      </c>
      <c r="CO1010">
        <v>0</v>
      </c>
      <c r="CP1010">
        <v>1</v>
      </c>
      <c r="CQ1010">
        <v>1256722.72</v>
      </c>
      <c r="CR1010">
        <v>16654.330000000002</v>
      </c>
      <c r="CS1010" t="s">
        <v>145</v>
      </c>
      <c r="CT1010">
        <v>16654.294980000002</v>
      </c>
      <c r="CU1010">
        <v>3.7202999999999999</v>
      </c>
      <c r="CV1010">
        <v>952</v>
      </c>
      <c r="CW1010" t="s">
        <v>593</v>
      </c>
      <c r="CX1010" t="s">
        <v>792</v>
      </c>
      <c r="CY1010">
        <v>0</v>
      </c>
    </row>
    <row r="1011" spans="1:103" x14ac:dyDescent="0.25">
      <c r="A1011" t="s">
        <v>106</v>
      </c>
      <c r="B1011" s="38">
        <v>44950</v>
      </c>
      <c r="C1011" s="43">
        <f>IF(YEAR(Таблица1[[#This Row],[Дата]])=2023,MONTH(Таблица1[[#This Row],[Дата]]),0)</f>
        <v>1</v>
      </c>
      <c r="D1011" t="s">
        <v>1000</v>
      </c>
      <c r="E1011" t="s">
        <v>583</v>
      </c>
      <c r="F1011" t="s">
        <v>1001</v>
      </c>
      <c r="G1011" t="s">
        <v>110</v>
      </c>
      <c r="H1011" t="s">
        <v>111</v>
      </c>
      <c r="I1011" t="s">
        <v>112</v>
      </c>
      <c r="J1011" t="s">
        <v>112</v>
      </c>
      <c r="K1011" t="s">
        <v>112</v>
      </c>
      <c r="L1011" t="s">
        <v>113</v>
      </c>
      <c r="M1011" t="s">
        <v>585</v>
      </c>
      <c r="N1011" t="s">
        <v>112</v>
      </c>
      <c r="O1011" t="s">
        <v>112</v>
      </c>
      <c r="P1011">
        <v>2</v>
      </c>
      <c r="Q1011">
        <v>0</v>
      </c>
      <c r="R1011">
        <v>2</v>
      </c>
      <c r="S1011">
        <v>33</v>
      </c>
      <c r="T1011" t="s">
        <v>115</v>
      </c>
      <c r="U1011" t="s">
        <v>116</v>
      </c>
      <c r="V1011" t="s">
        <v>117</v>
      </c>
      <c r="W1011" t="s">
        <v>586</v>
      </c>
      <c r="X1011" t="s">
        <v>119</v>
      </c>
      <c r="Y1011" t="s">
        <v>120</v>
      </c>
      <c r="Z1011" t="s">
        <v>115</v>
      </c>
      <c r="AA1011" t="s">
        <v>116</v>
      </c>
      <c r="AB1011" t="s">
        <v>117</v>
      </c>
      <c r="AC1011" t="s">
        <v>586</v>
      </c>
      <c r="AD1011" t="s">
        <v>119</v>
      </c>
      <c r="AE1011" t="s">
        <v>120</v>
      </c>
      <c r="AF1011" t="s">
        <v>121</v>
      </c>
      <c r="AG1011" t="s">
        <v>122</v>
      </c>
      <c r="AH1011">
        <v>4659468.62</v>
      </c>
      <c r="AI1011" t="s">
        <v>115</v>
      </c>
      <c r="AJ1011" t="s">
        <v>116</v>
      </c>
      <c r="AK1011" t="s">
        <v>117</v>
      </c>
      <c r="AL1011" t="s">
        <v>586</v>
      </c>
      <c r="AM1011" t="s">
        <v>119</v>
      </c>
      <c r="AN1011" t="s">
        <v>120</v>
      </c>
      <c r="AO1011" t="s">
        <v>121</v>
      </c>
      <c r="AP1011" t="s">
        <v>122</v>
      </c>
      <c r="AQ1011" t="s">
        <v>123</v>
      </c>
      <c r="AR1011" t="s">
        <v>124</v>
      </c>
      <c r="AS1011" t="s">
        <v>125</v>
      </c>
      <c r="AT1011">
        <v>2</v>
      </c>
      <c r="AU1011" t="s">
        <v>126</v>
      </c>
      <c r="AV1011" t="s">
        <v>127</v>
      </c>
      <c r="AW1011" t="s">
        <v>128</v>
      </c>
      <c r="AX1011">
        <v>1</v>
      </c>
      <c r="AY1011" t="s">
        <v>129</v>
      </c>
      <c r="AZ1011">
        <v>52512.42</v>
      </c>
      <c r="BA1011">
        <v>4443522</v>
      </c>
      <c r="BB1011">
        <v>59774.33</v>
      </c>
      <c r="BC1011">
        <v>84.618499999999997</v>
      </c>
      <c r="BD1011" t="s">
        <v>130</v>
      </c>
      <c r="BE1011" t="s">
        <v>131</v>
      </c>
      <c r="BF1011" t="s">
        <v>132</v>
      </c>
      <c r="BG1011" t="s">
        <v>133</v>
      </c>
      <c r="BH1011" t="s">
        <v>134</v>
      </c>
      <c r="BI1011" t="s">
        <v>112</v>
      </c>
      <c r="BJ1011" t="s">
        <v>900</v>
      </c>
      <c r="BK1011" t="s">
        <v>112</v>
      </c>
      <c r="BL1011" t="s">
        <v>588</v>
      </c>
      <c r="BM1011" t="s">
        <v>901</v>
      </c>
      <c r="BN1011" t="s">
        <v>902</v>
      </c>
      <c r="BO1011" t="s">
        <v>591</v>
      </c>
      <c r="BP1011">
        <v>1</v>
      </c>
      <c r="BQ1011" t="s">
        <v>903</v>
      </c>
      <c r="BR1011" s="45">
        <f>ISNUMBER(SEARCH($BR$1,Таблица1[[#This Row],[31_1 Описание и характеристика товара]]))*1</f>
        <v>1</v>
      </c>
      <c r="BT1011" t="s">
        <v>141</v>
      </c>
      <c r="BU1011">
        <v>33</v>
      </c>
      <c r="BV1011">
        <v>0</v>
      </c>
      <c r="BW1011">
        <v>0</v>
      </c>
      <c r="BY1011">
        <v>0</v>
      </c>
      <c r="CA1011" t="s">
        <v>106</v>
      </c>
      <c r="CB1011" t="s">
        <v>142</v>
      </c>
      <c r="CC1011" t="s">
        <v>112</v>
      </c>
      <c r="CD1011" t="s">
        <v>112</v>
      </c>
      <c r="CE1011" t="s">
        <v>143</v>
      </c>
      <c r="CF1011">
        <v>11613.28</v>
      </c>
      <c r="CG1011" t="s">
        <v>144</v>
      </c>
      <c r="CH1011">
        <v>4000000</v>
      </c>
      <c r="CI1011">
        <v>10847.6</v>
      </c>
      <c r="CJ1011">
        <v>0</v>
      </c>
      <c r="CK1011" t="s">
        <v>112</v>
      </c>
      <c r="CL1011" t="s">
        <v>112</v>
      </c>
      <c r="CM1011">
        <v>40389.54</v>
      </c>
      <c r="CN1011">
        <v>3417702</v>
      </c>
      <c r="CO1011">
        <v>0</v>
      </c>
      <c r="CP1011">
        <v>1</v>
      </c>
      <c r="CQ1011">
        <v>3580284.04</v>
      </c>
      <c r="CR1011">
        <v>45929.93</v>
      </c>
      <c r="CS1011" t="s">
        <v>145</v>
      </c>
      <c r="CT1011">
        <v>45929.82316</v>
      </c>
      <c r="CU1011">
        <v>4.2340999999999998</v>
      </c>
      <c r="CV1011">
        <v>952</v>
      </c>
      <c r="CW1011" t="s">
        <v>593</v>
      </c>
      <c r="CX1011" t="s">
        <v>792</v>
      </c>
      <c r="CY1011">
        <v>0</v>
      </c>
    </row>
    <row r="1012" spans="1:103" x14ac:dyDescent="0.25">
      <c r="A1012" t="s">
        <v>106</v>
      </c>
      <c r="B1012" s="38">
        <v>44969</v>
      </c>
      <c r="C1012" s="43">
        <f>IF(YEAR(Таблица1[[#This Row],[Дата]])=2023,MONTH(Таблица1[[#This Row],[Дата]]),0)</f>
        <v>2</v>
      </c>
      <c r="D1012" t="s">
        <v>1000</v>
      </c>
      <c r="E1012" t="s">
        <v>583</v>
      </c>
      <c r="F1012" t="s">
        <v>1001</v>
      </c>
      <c r="G1012" t="s">
        <v>110</v>
      </c>
      <c r="H1012" t="s">
        <v>111</v>
      </c>
      <c r="I1012" t="s">
        <v>112</v>
      </c>
      <c r="J1012" t="s">
        <v>112</v>
      </c>
      <c r="K1012" t="s">
        <v>112</v>
      </c>
      <c r="L1012" t="s">
        <v>113</v>
      </c>
      <c r="M1012" t="s">
        <v>585</v>
      </c>
      <c r="N1012" t="s">
        <v>112</v>
      </c>
      <c r="O1012" t="s">
        <v>112</v>
      </c>
      <c r="P1012">
        <v>2</v>
      </c>
      <c r="Q1012">
        <v>0</v>
      </c>
      <c r="R1012">
        <v>2</v>
      </c>
      <c r="S1012">
        <v>33</v>
      </c>
      <c r="T1012" t="s">
        <v>115</v>
      </c>
      <c r="U1012" t="s">
        <v>116</v>
      </c>
      <c r="V1012" t="s">
        <v>117</v>
      </c>
      <c r="W1012" t="s">
        <v>586</v>
      </c>
      <c r="X1012" t="s">
        <v>119</v>
      </c>
      <c r="Y1012" t="s">
        <v>120</v>
      </c>
      <c r="Z1012" t="s">
        <v>115</v>
      </c>
      <c r="AA1012" t="s">
        <v>116</v>
      </c>
      <c r="AB1012" t="s">
        <v>117</v>
      </c>
      <c r="AC1012" t="s">
        <v>586</v>
      </c>
      <c r="AD1012" t="s">
        <v>119</v>
      </c>
      <c r="AE1012" t="s">
        <v>120</v>
      </c>
      <c r="AF1012" t="s">
        <v>121</v>
      </c>
      <c r="AG1012" t="s">
        <v>122</v>
      </c>
      <c r="AH1012">
        <v>4659468.62</v>
      </c>
      <c r="AI1012" t="s">
        <v>115</v>
      </c>
      <c r="AJ1012" t="s">
        <v>116</v>
      </c>
      <c r="AK1012" t="s">
        <v>117</v>
      </c>
      <c r="AL1012" t="s">
        <v>586</v>
      </c>
      <c r="AM1012" t="s">
        <v>119</v>
      </c>
      <c r="AN1012" t="s">
        <v>120</v>
      </c>
      <c r="AO1012" t="s">
        <v>121</v>
      </c>
      <c r="AP1012" t="s">
        <v>122</v>
      </c>
      <c r="AQ1012" t="s">
        <v>123</v>
      </c>
      <c r="AR1012" t="s">
        <v>124</v>
      </c>
      <c r="AS1012" t="s">
        <v>125</v>
      </c>
      <c r="AT1012">
        <v>2</v>
      </c>
      <c r="AU1012" t="s">
        <v>126</v>
      </c>
      <c r="AV1012" t="s">
        <v>127</v>
      </c>
      <c r="AW1012" t="s">
        <v>128</v>
      </c>
      <c r="AX1012">
        <v>1</v>
      </c>
      <c r="AY1012" t="s">
        <v>129</v>
      </c>
      <c r="AZ1012">
        <v>52512.42</v>
      </c>
      <c r="BA1012">
        <v>4443522</v>
      </c>
      <c r="BB1012">
        <v>59774.33</v>
      </c>
      <c r="BC1012">
        <v>84.618499999999997</v>
      </c>
      <c r="BD1012" t="s">
        <v>130</v>
      </c>
      <c r="BE1012" t="s">
        <v>131</v>
      </c>
      <c r="BF1012" t="s">
        <v>132</v>
      </c>
      <c r="BG1012" t="s">
        <v>133</v>
      </c>
      <c r="BH1012" t="s">
        <v>134</v>
      </c>
      <c r="BI1012" t="s">
        <v>112</v>
      </c>
      <c r="BJ1012" t="s">
        <v>900</v>
      </c>
      <c r="BK1012" t="s">
        <v>112</v>
      </c>
      <c r="BL1012" t="s">
        <v>588</v>
      </c>
      <c r="BM1012" t="s">
        <v>901</v>
      </c>
      <c r="BN1012" t="s">
        <v>902</v>
      </c>
      <c r="BO1012" t="s">
        <v>591</v>
      </c>
      <c r="BP1012">
        <v>2</v>
      </c>
      <c r="BQ1012" t="s">
        <v>904</v>
      </c>
      <c r="BR1012" s="45">
        <f>ISNUMBER(SEARCH($BR$1,Таблица1[[#This Row],[31_1 Описание и характеристика товара]]))*1</f>
        <v>1</v>
      </c>
      <c r="BT1012" t="s">
        <v>141</v>
      </c>
      <c r="BU1012">
        <v>33</v>
      </c>
      <c r="BV1012">
        <v>0</v>
      </c>
      <c r="BW1012">
        <v>0</v>
      </c>
      <c r="BY1012">
        <v>0</v>
      </c>
      <c r="CA1012" t="s">
        <v>596</v>
      </c>
      <c r="CB1012" t="s">
        <v>597</v>
      </c>
      <c r="CC1012" t="s">
        <v>112</v>
      </c>
      <c r="CD1012" t="s">
        <v>112</v>
      </c>
      <c r="CE1012" t="s">
        <v>143</v>
      </c>
      <c r="CF1012">
        <v>3811.84</v>
      </c>
      <c r="CG1012" t="s">
        <v>144</v>
      </c>
      <c r="CH1012">
        <v>4000000</v>
      </c>
      <c r="CI1012">
        <v>3584</v>
      </c>
      <c r="CJ1012">
        <v>0</v>
      </c>
      <c r="CK1012" t="s">
        <v>112</v>
      </c>
      <c r="CL1012" t="s">
        <v>112</v>
      </c>
      <c r="CM1012">
        <v>12122.88</v>
      </c>
      <c r="CN1012">
        <v>1025820</v>
      </c>
      <c r="CO1012">
        <v>0</v>
      </c>
      <c r="CP1012">
        <v>1</v>
      </c>
      <c r="CQ1012">
        <v>1079184.58</v>
      </c>
      <c r="CR1012">
        <v>13844.4</v>
      </c>
      <c r="CS1012" t="s">
        <v>145</v>
      </c>
      <c r="CT1012">
        <v>13844.2752</v>
      </c>
      <c r="CU1012">
        <v>3.8628</v>
      </c>
      <c r="CV1012">
        <v>952</v>
      </c>
      <c r="CW1012" t="s">
        <v>593</v>
      </c>
      <c r="CX1012" t="s">
        <v>792</v>
      </c>
      <c r="CY1012">
        <v>0</v>
      </c>
    </row>
    <row r="1013" spans="1:103" x14ac:dyDescent="0.25">
      <c r="A1013" t="s">
        <v>106</v>
      </c>
      <c r="B1013" s="38">
        <v>45144</v>
      </c>
      <c r="C1013" s="43">
        <f>IF(YEAR(Таблица1[[#This Row],[Дата]])=2023,MONTH(Таблица1[[#This Row],[Дата]]),0)</f>
        <v>8</v>
      </c>
      <c r="D1013" t="s">
        <v>799</v>
      </c>
      <c r="E1013" t="s">
        <v>583</v>
      </c>
      <c r="F1013" t="s">
        <v>800</v>
      </c>
      <c r="G1013" t="s">
        <v>110</v>
      </c>
      <c r="H1013" t="s">
        <v>111</v>
      </c>
      <c r="I1013" t="s">
        <v>112</v>
      </c>
      <c r="J1013" t="s">
        <v>112</v>
      </c>
      <c r="K1013" t="s">
        <v>112</v>
      </c>
      <c r="L1013" t="s">
        <v>113</v>
      </c>
      <c r="M1013" t="s">
        <v>633</v>
      </c>
      <c r="N1013" t="s">
        <v>112</v>
      </c>
      <c r="O1013" t="s">
        <v>112</v>
      </c>
      <c r="P1013">
        <v>2</v>
      </c>
      <c r="Q1013">
        <v>0</v>
      </c>
      <c r="R1013">
        <v>2</v>
      </c>
      <c r="S1013">
        <v>33</v>
      </c>
      <c r="T1013" t="s">
        <v>115</v>
      </c>
      <c r="U1013" t="s">
        <v>116</v>
      </c>
      <c r="V1013" t="s">
        <v>117</v>
      </c>
      <c r="W1013" t="s">
        <v>586</v>
      </c>
      <c r="X1013" t="s">
        <v>119</v>
      </c>
      <c r="Y1013" t="s">
        <v>120</v>
      </c>
      <c r="Z1013" t="s">
        <v>115</v>
      </c>
      <c r="AA1013" t="s">
        <v>116</v>
      </c>
      <c r="AB1013" t="s">
        <v>117</v>
      </c>
      <c r="AC1013" t="s">
        <v>586</v>
      </c>
      <c r="AD1013" t="s">
        <v>119</v>
      </c>
      <c r="AE1013" t="s">
        <v>120</v>
      </c>
      <c r="AF1013" t="s">
        <v>121</v>
      </c>
      <c r="AG1013" t="s">
        <v>122</v>
      </c>
      <c r="AH1013">
        <v>4072948.73</v>
      </c>
      <c r="AI1013" t="s">
        <v>115</v>
      </c>
      <c r="AJ1013" t="s">
        <v>116</v>
      </c>
      <c r="AK1013" t="s">
        <v>117</v>
      </c>
      <c r="AL1013" t="s">
        <v>586</v>
      </c>
      <c r="AM1013" t="s">
        <v>119</v>
      </c>
      <c r="AN1013" t="s">
        <v>120</v>
      </c>
      <c r="AO1013" t="s">
        <v>121</v>
      </c>
      <c r="AP1013" t="s">
        <v>122</v>
      </c>
      <c r="AQ1013" t="s">
        <v>123</v>
      </c>
      <c r="AR1013" t="s">
        <v>124</v>
      </c>
      <c r="AS1013" t="s">
        <v>125</v>
      </c>
      <c r="AT1013">
        <v>2</v>
      </c>
      <c r="AU1013" t="s">
        <v>126</v>
      </c>
      <c r="AV1013" t="s">
        <v>127</v>
      </c>
      <c r="AW1013" t="s">
        <v>801</v>
      </c>
      <c r="AX1013">
        <v>1</v>
      </c>
      <c r="AY1013" t="s">
        <v>129</v>
      </c>
      <c r="AZ1013">
        <v>48336.42</v>
      </c>
      <c r="BA1013">
        <v>3876083</v>
      </c>
      <c r="BB1013">
        <v>53965.71</v>
      </c>
      <c r="BC1013">
        <v>80.189700000000002</v>
      </c>
      <c r="BD1013" t="s">
        <v>130</v>
      </c>
      <c r="BE1013" t="s">
        <v>112</v>
      </c>
      <c r="BF1013" t="s">
        <v>132</v>
      </c>
      <c r="BG1013" t="s">
        <v>133</v>
      </c>
      <c r="BH1013" t="s">
        <v>167</v>
      </c>
      <c r="BI1013" t="s">
        <v>587</v>
      </c>
      <c r="BJ1013" t="s">
        <v>112</v>
      </c>
      <c r="BK1013" t="s">
        <v>112</v>
      </c>
      <c r="BL1013" t="s">
        <v>588</v>
      </c>
      <c r="BM1013" t="s">
        <v>589</v>
      </c>
      <c r="BN1013" t="s">
        <v>590</v>
      </c>
      <c r="BO1013" t="s">
        <v>591</v>
      </c>
      <c r="BP1013">
        <v>2</v>
      </c>
      <c r="BQ1013" t="s">
        <v>802</v>
      </c>
      <c r="BR1013" s="45">
        <f>ISNUMBER(SEARCH($BR$1,Таблица1[[#This Row],[31_1 Описание и характеристика товара]]))*1</f>
        <v>1</v>
      </c>
      <c r="BT1013" t="s">
        <v>141</v>
      </c>
      <c r="BU1013">
        <v>33</v>
      </c>
      <c r="BV1013">
        <v>0</v>
      </c>
      <c r="BW1013">
        <v>0</v>
      </c>
      <c r="BY1013">
        <v>0</v>
      </c>
      <c r="CA1013" t="s">
        <v>596</v>
      </c>
      <c r="CB1013" t="s">
        <v>142</v>
      </c>
      <c r="CC1013" t="s">
        <v>112</v>
      </c>
      <c r="CD1013" t="s">
        <v>112</v>
      </c>
      <c r="CE1013" t="s">
        <v>143</v>
      </c>
      <c r="CF1013">
        <v>5095.6000000000004</v>
      </c>
      <c r="CG1013" t="s">
        <v>144</v>
      </c>
      <c r="CH1013">
        <v>4000000</v>
      </c>
      <c r="CI1013">
        <v>4911.8</v>
      </c>
      <c r="CJ1013">
        <v>0</v>
      </c>
      <c r="CK1013" t="s">
        <v>112</v>
      </c>
      <c r="CL1013" t="s">
        <v>112</v>
      </c>
      <c r="CM1013">
        <v>16389.189999999999</v>
      </c>
      <c r="CN1013">
        <v>1314244</v>
      </c>
      <c r="CO1013">
        <v>0</v>
      </c>
      <c r="CP1013">
        <v>1</v>
      </c>
      <c r="CQ1013">
        <v>1382134.43</v>
      </c>
      <c r="CR1013">
        <v>18312.990000000002</v>
      </c>
      <c r="CS1013" t="s">
        <v>145</v>
      </c>
      <c r="CT1013">
        <v>18313.155120000003</v>
      </c>
      <c r="CU1013">
        <v>3.7284000000000002</v>
      </c>
      <c r="CV1013">
        <v>952</v>
      </c>
      <c r="CW1013" t="s">
        <v>593</v>
      </c>
      <c r="CX1013" t="s">
        <v>635</v>
      </c>
      <c r="CY1013">
        <v>0</v>
      </c>
    </row>
    <row r="1014" spans="1:103" x14ac:dyDescent="0.25">
      <c r="A1014" t="s">
        <v>106</v>
      </c>
      <c r="B1014" s="38">
        <v>45192</v>
      </c>
      <c r="C1014" s="43">
        <f>IF(YEAR(Таблица1[[#This Row],[Дата]])=2023,MONTH(Таблица1[[#This Row],[Дата]]),0)</f>
        <v>9</v>
      </c>
      <c r="D1014" t="s">
        <v>799</v>
      </c>
      <c r="E1014" t="s">
        <v>583</v>
      </c>
      <c r="F1014" t="s">
        <v>800</v>
      </c>
      <c r="G1014" t="s">
        <v>110</v>
      </c>
      <c r="H1014" t="s">
        <v>111</v>
      </c>
      <c r="I1014" t="s">
        <v>112</v>
      </c>
      <c r="J1014" t="s">
        <v>112</v>
      </c>
      <c r="K1014" t="s">
        <v>112</v>
      </c>
      <c r="L1014" t="s">
        <v>113</v>
      </c>
      <c r="M1014" t="s">
        <v>633</v>
      </c>
      <c r="N1014" t="s">
        <v>112</v>
      </c>
      <c r="O1014" t="s">
        <v>112</v>
      </c>
      <c r="P1014">
        <v>2</v>
      </c>
      <c r="Q1014">
        <v>0</v>
      </c>
      <c r="R1014">
        <v>2</v>
      </c>
      <c r="S1014">
        <v>33</v>
      </c>
      <c r="T1014" t="s">
        <v>115</v>
      </c>
      <c r="U1014" t="s">
        <v>116</v>
      </c>
      <c r="V1014" t="s">
        <v>117</v>
      </c>
      <c r="W1014" t="s">
        <v>586</v>
      </c>
      <c r="X1014" t="s">
        <v>119</v>
      </c>
      <c r="Y1014" t="s">
        <v>120</v>
      </c>
      <c r="Z1014" t="s">
        <v>115</v>
      </c>
      <c r="AA1014" t="s">
        <v>116</v>
      </c>
      <c r="AB1014" t="s">
        <v>117</v>
      </c>
      <c r="AC1014" t="s">
        <v>586</v>
      </c>
      <c r="AD1014" t="s">
        <v>119</v>
      </c>
      <c r="AE1014" t="s">
        <v>120</v>
      </c>
      <c r="AF1014" t="s">
        <v>121</v>
      </c>
      <c r="AG1014" t="s">
        <v>122</v>
      </c>
      <c r="AH1014">
        <v>4072948.73</v>
      </c>
      <c r="AI1014" t="s">
        <v>115</v>
      </c>
      <c r="AJ1014" t="s">
        <v>116</v>
      </c>
      <c r="AK1014" t="s">
        <v>117</v>
      </c>
      <c r="AL1014" t="s">
        <v>586</v>
      </c>
      <c r="AM1014" t="s">
        <v>119</v>
      </c>
      <c r="AN1014" t="s">
        <v>120</v>
      </c>
      <c r="AO1014" t="s">
        <v>121</v>
      </c>
      <c r="AP1014" t="s">
        <v>122</v>
      </c>
      <c r="AQ1014" t="s">
        <v>123</v>
      </c>
      <c r="AR1014" t="s">
        <v>124</v>
      </c>
      <c r="AS1014" t="s">
        <v>125</v>
      </c>
      <c r="AT1014">
        <v>2</v>
      </c>
      <c r="AU1014" t="s">
        <v>126</v>
      </c>
      <c r="AV1014" t="s">
        <v>127</v>
      </c>
      <c r="AW1014" t="s">
        <v>801</v>
      </c>
      <c r="AX1014">
        <v>1</v>
      </c>
      <c r="AY1014" t="s">
        <v>129</v>
      </c>
      <c r="AZ1014">
        <v>48336.42</v>
      </c>
      <c r="BA1014">
        <v>3876083</v>
      </c>
      <c r="BB1014">
        <v>53965.71</v>
      </c>
      <c r="BC1014">
        <v>80.189700000000002</v>
      </c>
      <c r="BD1014" t="s">
        <v>130</v>
      </c>
      <c r="BE1014" t="s">
        <v>112</v>
      </c>
      <c r="BF1014" t="s">
        <v>132</v>
      </c>
      <c r="BG1014" t="s">
        <v>133</v>
      </c>
      <c r="BH1014" t="s">
        <v>167</v>
      </c>
      <c r="BI1014" t="s">
        <v>587</v>
      </c>
      <c r="BJ1014" t="s">
        <v>112</v>
      </c>
      <c r="BK1014" t="s">
        <v>112</v>
      </c>
      <c r="BL1014" t="s">
        <v>588</v>
      </c>
      <c r="BM1014" t="s">
        <v>589</v>
      </c>
      <c r="BN1014" t="s">
        <v>590</v>
      </c>
      <c r="BO1014" t="s">
        <v>591</v>
      </c>
      <c r="BP1014">
        <v>1</v>
      </c>
      <c r="BQ1014" t="s">
        <v>805</v>
      </c>
      <c r="BR1014" s="45">
        <f>ISNUMBER(SEARCH($BR$1,Таблица1[[#This Row],[31_1 Описание и характеристика товара]]))*1</f>
        <v>1</v>
      </c>
      <c r="BT1014" t="s">
        <v>141</v>
      </c>
      <c r="BU1014">
        <v>33</v>
      </c>
      <c r="BV1014">
        <v>0</v>
      </c>
      <c r="BW1014">
        <v>0</v>
      </c>
      <c r="BY1014">
        <v>0</v>
      </c>
      <c r="CA1014" t="s">
        <v>106</v>
      </c>
      <c r="CB1014" t="s">
        <v>597</v>
      </c>
      <c r="CC1014" t="s">
        <v>112</v>
      </c>
      <c r="CD1014" t="s">
        <v>112</v>
      </c>
      <c r="CE1014" t="s">
        <v>143</v>
      </c>
      <c r="CF1014">
        <v>9680.4</v>
      </c>
      <c r="CG1014" t="s">
        <v>144</v>
      </c>
      <c r="CH1014">
        <v>4000000</v>
      </c>
      <c r="CI1014">
        <v>9218.6</v>
      </c>
      <c r="CJ1014">
        <v>0</v>
      </c>
      <c r="CK1014" t="s">
        <v>112</v>
      </c>
      <c r="CL1014" t="s">
        <v>112</v>
      </c>
      <c r="CM1014">
        <v>31947.23</v>
      </c>
      <c r="CN1014">
        <v>2561839</v>
      </c>
      <c r="CO1014">
        <v>0</v>
      </c>
      <c r="CP1014">
        <v>1</v>
      </c>
      <c r="CQ1014">
        <v>2690814.3</v>
      </c>
      <c r="CR1014">
        <v>35652.720000000001</v>
      </c>
      <c r="CS1014" t="s">
        <v>145</v>
      </c>
      <c r="CT1014">
        <v>35652.9355</v>
      </c>
      <c r="CU1014">
        <v>3.8675000000000002</v>
      </c>
      <c r="CV1014">
        <v>952</v>
      </c>
      <c r="CW1014" t="s">
        <v>593</v>
      </c>
      <c r="CX1014" t="s">
        <v>635</v>
      </c>
      <c r="CY1014">
        <v>0</v>
      </c>
    </row>
    <row r="1015" spans="1:103" x14ac:dyDescent="0.25">
      <c r="A1015" t="s">
        <v>106</v>
      </c>
      <c r="B1015" s="38">
        <v>45241</v>
      </c>
      <c r="C1015" s="43">
        <f>IF(YEAR(Таблица1[[#This Row],[Дата]])=2023,MONTH(Таблица1[[#This Row],[Дата]]),0)</f>
        <v>11</v>
      </c>
      <c r="D1015" t="s">
        <v>790</v>
      </c>
      <c r="E1015" t="s">
        <v>583</v>
      </c>
      <c r="F1015" t="s">
        <v>791</v>
      </c>
      <c r="G1015" t="s">
        <v>110</v>
      </c>
      <c r="H1015" t="s">
        <v>111</v>
      </c>
      <c r="I1015" t="s">
        <v>112</v>
      </c>
      <c r="J1015" t="s">
        <v>112</v>
      </c>
      <c r="K1015" t="s">
        <v>112</v>
      </c>
      <c r="L1015" t="s">
        <v>113</v>
      </c>
      <c r="M1015" t="s">
        <v>633</v>
      </c>
      <c r="N1015" t="s">
        <v>112</v>
      </c>
      <c r="O1015" t="s">
        <v>112</v>
      </c>
      <c r="P1015">
        <v>2</v>
      </c>
      <c r="Q1015">
        <v>0</v>
      </c>
      <c r="R1015">
        <v>2</v>
      </c>
      <c r="S1015">
        <v>33</v>
      </c>
      <c r="T1015" t="s">
        <v>115</v>
      </c>
      <c r="U1015" t="s">
        <v>116</v>
      </c>
      <c r="V1015" t="s">
        <v>117</v>
      </c>
      <c r="W1015" t="s">
        <v>586</v>
      </c>
      <c r="X1015" t="s">
        <v>119</v>
      </c>
      <c r="Y1015" t="s">
        <v>120</v>
      </c>
      <c r="Z1015" t="s">
        <v>115</v>
      </c>
      <c r="AA1015" t="s">
        <v>116</v>
      </c>
      <c r="AB1015" t="s">
        <v>117</v>
      </c>
      <c r="AC1015" t="s">
        <v>586</v>
      </c>
      <c r="AD1015" t="s">
        <v>119</v>
      </c>
      <c r="AE1015" t="s">
        <v>120</v>
      </c>
      <c r="AF1015" t="s">
        <v>121</v>
      </c>
      <c r="AG1015" t="s">
        <v>122</v>
      </c>
      <c r="AH1015">
        <v>4233704.5599999996</v>
      </c>
      <c r="AI1015" t="s">
        <v>115</v>
      </c>
      <c r="AJ1015" t="s">
        <v>116</v>
      </c>
      <c r="AK1015" t="s">
        <v>117</v>
      </c>
      <c r="AL1015" t="s">
        <v>586</v>
      </c>
      <c r="AM1015" t="s">
        <v>119</v>
      </c>
      <c r="AN1015" t="s">
        <v>120</v>
      </c>
      <c r="AO1015" t="s">
        <v>121</v>
      </c>
      <c r="AP1015" t="s">
        <v>122</v>
      </c>
      <c r="AQ1015" t="s">
        <v>123</v>
      </c>
      <c r="AR1015" t="s">
        <v>124</v>
      </c>
      <c r="AS1015" t="s">
        <v>125</v>
      </c>
      <c r="AT1015">
        <v>2</v>
      </c>
      <c r="AU1015" t="s">
        <v>126</v>
      </c>
      <c r="AV1015" t="s">
        <v>127</v>
      </c>
      <c r="AW1015" t="s">
        <v>128</v>
      </c>
      <c r="AX1015">
        <v>1</v>
      </c>
      <c r="AY1015" t="s">
        <v>129</v>
      </c>
      <c r="AZ1015">
        <v>50476.71</v>
      </c>
      <c r="BA1015">
        <v>4043225</v>
      </c>
      <c r="BB1015">
        <v>56260.89</v>
      </c>
      <c r="BC1015">
        <v>80.100800000000007</v>
      </c>
      <c r="BD1015" t="s">
        <v>130</v>
      </c>
      <c r="BE1015" t="s">
        <v>131</v>
      </c>
      <c r="BF1015" t="s">
        <v>132</v>
      </c>
      <c r="BG1015" t="s">
        <v>133</v>
      </c>
      <c r="BH1015" t="s">
        <v>134</v>
      </c>
      <c r="BI1015" t="s">
        <v>112</v>
      </c>
      <c r="BJ1015" t="s">
        <v>587</v>
      </c>
      <c r="BK1015" t="s">
        <v>112</v>
      </c>
      <c r="BL1015" t="s">
        <v>588</v>
      </c>
      <c r="BM1015" t="s">
        <v>589</v>
      </c>
      <c r="BN1015" t="s">
        <v>590</v>
      </c>
      <c r="BO1015" t="s">
        <v>591</v>
      </c>
      <c r="BP1015">
        <v>2</v>
      </c>
      <c r="BQ1015" t="s">
        <v>793</v>
      </c>
      <c r="BR1015" s="45">
        <f>ISNUMBER(SEARCH($BR$1,Таблица1[[#This Row],[31_1 Описание и характеристика товара]]))*1</f>
        <v>1</v>
      </c>
      <c r="BT1015" t="s">
        <v>141</v>
      </c>
      <c r="BU1015">
        <v>33</v>
      </c>
      <c r="BV1015">
        <v>0</v>
      </c>
      <c r="BW1015">
        <v>0</v>
      </c>
      <c r="BY1015">
        <v>0</v>
      </c>
      <c r="CA1015" t="s">
        <v>596</v>
      </c>
      <c r="CB1015" t="s">
        <v>142</v>
      </c>
      <c r="CC1015" t="s">
        <v>112</v>
      </c>
      <c r="CD1015" t="s">
        <v>112</v>
      </c>
      <c r="CE1015" t="s">
        <v>143</v>
      </c>
      <c r="CF1015">
        <v>5134</v>
      </c>
      <c r="CG1015" t="s">
        <v>144</v>
      </c>
      <c r="CH1015">
        <v>4000000</v>
      </c>
      <c r="CI1015">
        <v>4956.6000000000004</v>
      </c>
      <c r="CJ1015">
        <v>0</v>
      </c>
      <c r="CK1015" t="s">
        <v>112</v>
      </c>
      <c r="CL1015" t="s">
        <v>112</v>
      </c>
      <c r="CM1015">
        <v>16386.79</v>
      </c>
      <c r="CN1015">
        <v>1312595</v>
      </c>
      <c r="CO1015">
        <v>0</v>
      </c>
      <c r="CP1015">
        <v>1</v>
      </c>
      <c r="CQ1015">
        <v>1375321.13</v>
      </c>
      <c r="CR1015">
        <v>18276.38</v>
      </c>
      <c r="CS1015" t="s">
        <v>145</v>
      </c>
      <c r="CT1015">
        <v>18276.47118</v>
      </c>
      <c r="CU1015">
        <v>3.6873</v>
      </c>
      <c r="CV1015">
        <v>952</v>
      </c>
      <c r="CW1015" t="s">
        <v>593</v>
      </c>
      <c r="CX1015" t="s">
        <v>792</v>
      </c>
      <c r="CY1015">
        <v>0</v>
      </c>
    </row>
    <row r="1016" spans="1:103" x14ac:dyDescent="0.25">
      <c r="A1016" t="s">
        <v>106</v>
      </c>
      <c r="B1016" s="38">
        <v>45164</v>
      </c>
      <c r="C1016" s="43">
        <f>IF(YEAR(Таблица1[[#This Row],[Дата]])=2023,MONTH(Таблица1[[#This Row],[Дата]]),0)</f>
        <v>8</v>
      </c>
      <c r="D1016" t="s">
        <v>790</v>
      </c>
      <c r="E1016" t="s">
        <v>583</v>
      </c>
      <c r="F1016" t="s">
        <v>791</v>
      </c>
      <c r="G1016" t="s">
        <v>110</v>
      </c>
      <c r="H1016" t="s">
        <v>111</v>
      </c>
      <c r="I1016" t="s">
        <v>112</v>
      </c>
      <c r="J1016" t="s">
        <v>112</v>
      </c>
      <c r="K1016" t="s">
        <v>112</v>
      </c>
      <c r="L1016" t="s">
        <v>113</v>
      </c>
      <c r="M1016" t="s">
        <v>633</v>
      </c>
      <c r="N1016" t="s">
        <v>112</v>
      </c>
      <c r="O1016" t="s">
        <v>112</v>
      </c>
      <c r="P1016">
        <v>2</v>
      </c>
      <c r="Q1016">
        <v>0</v>
      </c>
      <c r="R1016">
        <v>2</v>
      </c>
      <c r="S1016">
        <v>33</v>
      </c>
      <c r="T1016" t="s">
        <v>115</v>
      </c>
      <c r="U1016" t="s">
        <v>116</v>
      </c>
      <c r="V1016" t="s">
        <v>117</v>
      </c>
      <c r="W1016" t="s">
        <v>586</v>
      </c>
      <c r="X1016" t="s">
        <v>119</v>
      </c>
      <c r="Y1016" t="s">
        <v>120</v>
      </c>
      <c r="Z1016" t="s">
        <v>115</v>
      </c>
      <c r="AA1016" t="s">
        <v>116</v>
      </c>
      <c r="AB1016" t="s">
        <v>117</v>
      </c>
      <c r="AC1016" t="s">
        <v>586</v>
      </c>
      <c r="AD1016" t="s">
        <v>119</v>
      </c>
      <c r="AE1016" t="s">
        <v>120</v>
      </c>
      <c r="AF1016" t="s">
        <v>121</v>
      </c>
      <c r="AG1016" t="s">
        <v>122</v>
      </c>
      <c r="AH1016">
        <v>4233704.5599999996</v>
      </c>
      <c r="AI1016" t="s">
        <v>115</v>
      </c>
      <c r="AJ1016" t="s">
        <v>116</v>
      </c>
      <c r="AK1016" t="s">
        <v>117</v>
      </c>
      <c r="AL1016" t="s">
        <v>586</v>
      </c>
      <c r="AM1016" t="s">
        <v>119</v>
      </c>
      <c r="AN1016" t="s">
        <v>120</v>
      </c>
      <c r="AO1016" t="s">
        <v>121</v>
      </c>
      <c r="AP1016" t="s">
        <v>122</v>
      </c>
      <c r="AQ1016" t="s">
        <v>123</v>
      </c>
      <c r="AR1016" t="s">
        <v>124</v>
      </c>
      <c r="AS1016" t="s">
        <v>125</v>
      </c>
      <c r="AT1016">
        <v>2</v>
      </c>
      <c r="AU1016" t="s">
        <v>126</v>
      </c>
      <c r="AV1016" t="s">
        <v>127</v>
      </c>
      <c r="AW1016" t="s">
        <v>128</v>
      </c>
      <c r="AX1016">
        <v>1</v>
      </c>
      <c r="AY1016" t="s">
        <v>129</v>
      </c>
      <c r="AZ1016">
        <v>50476.71</v>
      </c>
      <c r="BA1016">
        <v>4043225</v>
      </c>
      <c r="BB1016">
        <v>56260.89</v>
      </c>
      <c r="BC1016">
        <v>80.100800000000007</v>
      </c>
      <c r="BD1016" t="s">
        <v>130</v>
      </c>
      <c r="BE1016" t="s">
        <v>131</v>
      </c>
      <c r="BF1016" t="s">
        <v>132</v>
      </c>
      <c r="BG1016" t="s">
        <v>133</v>
      </c>
      <c r="BH1016" t="s">
        <v>134</v>
      </c>
      <c r="BI1016" t="s">
        <v>112</v>
      </c>
      <c r="BJ1016" t="s">
        <v>587</v>
      </c>
      <c r="BK1016" t="s">
        <v>112</v>
      </c>
      <c r="BL1016" t="s">
        <v>588</v>
      </c>
      <c r="BM1016" t="s">
        <v>589</v>
      </c>
      <c r="BN1016" t="s">
        <v>590</v>
      </c>
      <c r="BO1016" t="s">
        <v>591</v>
      </c>
      <c r="BP1016">
        <v>1</v>
      </c>
      <c r="BQ1016" t="s">
        <v>595</v>
      </c>
      <c r="BR1016" s="45">
        <f>ISNUMBER(SEARCH($BR$1,Таблица1[[#This Row],[31_1 Описание и характеристика товара]]))*1</f>
        <v>1</v>
      </c>
      <c r="BT1016" t="s">
        <v>141</v>
      </c>
      <c r="BU1016">
        <v>33</v>
      </c>
      <c r="BV1016">
        <v>0</v>
      </c>
      <c r="BW1016">
        <v>0</v>
      </c>
      <c r="BY1016">
        <v>0</v>
      </c>
      <c r="CA1016" t="s">
        <v>106</v>
      </c>
      <c r="CB1016" t="s">
        <v>597</v>
      </c>
      <c r="CC1016" t="s">
        <v>112</v>
      </c>
      <c r="CD1016" t="s">
        <v>112</v>
      </c>
      <c r="CE1016" t="s">
        <v>143</v>
      </c>
      <c r="CF1016">
        <v>10456.32</v>
      </c>
      <c r="CG1016" t="s">
        <v>144</v>
      </c>
      <c r="CH1016">
        <v>4000000</v>
      </c>
      <c r="CI1016">
        <v>9968</v>
      </c>
      <c r="CJ1016">
        <v>0</v>
      </c>
      <c r="CK1016" t="s">
        <v>112</v>
      </c>
      <c r="CL1016" t="s">
        <v>112</v>
      </c>
      <c r="CM1016">
        <v>34089.919999999998</v>
      </c>
      <c r="CN1016">
        <v>2730630</v>
      </c>
      <c r="CO1016">
        <v>0</v>
      </c>
      <c r="CP1016">
        <v>1</v>
      </c>
      <c r="CQ1016">
        <v>2858383.43</v>
      </c>
      <c r="CR1016">
        <v>37984.51</v>
      </c>
      <c r="CS1016" t="s">
        <v>145</v>
      </c>
      <c r="CT1016">
        <v>37984.060799999999</v>
      </c>
      <c r="CU1016">
        <v>3.8106</v>
      </c>
      <c r="CV1016">
        <v>952</v>
      </c>
      <c r="CW1016" t="s">
        <v>593</v>
      </c>
      <c r="CX1016" t="s">
        <v>792</v>
      </c>
      <c r="CY1016">
        <v>0</v>
      </c>
    </row>
    <row r="1017" spans="1:103" x14ac:dyDescent="0.25">
      <c r="A1017" s="8" t="s">
        <v>106</v>
      </c>
      <c r="B1017" s="38">
        <v>45216</v>
      </c>
      <c r="C1017" s="43">
        <f>IF(YEAR(Таблица1[[#This Row],[Дата]])=2023,MONTH(Таблица1[[#This Row],[Дата]]),0)</f>
        <v>10</v>
      </c>
      <c r="D1017" s="8" t="s">
        <v>2345</v>
      </c>
      <c r="E1017" s="8" t="s">
        <v>731</v>
      </c>
      <c r="F1017" s="8" t="s">
        <v>2346</v>
      </c>
      <c r="G1017" t="s">
        <v>110</v>
      </c>
      <c r="H1017" s="8" t="s">
        <v>2284</v>
      </c>
      <c r="I1017" s="8" t="s">
        <v>112</v>
      </c>
      <c r="J1017" s="8" t="s">
        <v>112</v>
      </c>
      <c r="K1017" s="8" t="s">
        <v>112</v>
      </c>
      <c r="L1017" s="8" t="s">
        <v>2285</v>
      </c>
      <c r="M1017" s="8" t="s">
        <v>2286</v>
      </c>
      <c r="N1017" s="8" t="s">
        <v>112</v>
      </c>
      <c r="O1017" s="8" t="s">
        <v>112</v>
      </c>
      <c r="P1017">
        <v>1</v>
      </c>
      <c r="R1017">
        <v>1</v>
      </c>
      <c r="S1017">
        <v>26</v>
      </c>
      <c r="T1017" s="8" t="s">
        <v>2287</v>
      </c>
      <c r="U1017" s="8" t="s">
        <v>2288</v>
      </c>
      <c r="V1017" s="8" t="s">
        <v>2289</v>
      </c>
      <c r="W1017" s="8" t="s">
        <v>2290</v>
      </c>
      <c r="X1017" s="8" t="s">
        <v>742</v>
      </c>
      <c r="Y1017" s="8" t="s">
        <v>743</v>
      </c>
      <c r="Z1017" s="8" t="s">
        <v>2287</v>
      </c>
      <c r="AA1017" s="8" t="s">
        <v>2288</v>
      </c>
      <c r="AB1017" s="8" t="s">
        <v>2289</v>
      </c>
      <c r="AC1017" s="8" t="s">
        <v>2290</v>
      </c>
      <c r="AD1017" s="8" t="s">
        <v>742</v>
      </c>
      <c r="AE1017" s="8" t="s">
        <v>743</v>
      </c>
      <c r="AF1017" s="8" t="s">
        <v>2142</v>
      </c>
      <c r="AG1017" s="8" t="s">
        <v>2143</v>
      </c>
      <c r="AH1017">
        <v>6005419.6799999904</v>
      </c>
      <c r="AI1017" s="8" t="s">
        <v>2287</v>
      </c>
      <c r="AJ1017" s="8" t="s">
        <v>2288</v>
      </c>
      <c r="AK1017" s="8" t="s">
        <v>2289</v>
      </c>
      <c r="AL1017" s="8" t="s">
        <v>2290</v>
      </c>
      <c r="AM1017" s="8" t="s">
        <v>742</v>
      </c>
      <c r="AN1017" s="8" t="s">
        <v>743</v>
      </c>
      <c r="AO1017" s="8" t="s">
        <v>2142</v>
      </c>
      <c r="AP1017" s="8" t="s">
        <v>2143</v>
      </c>
      <c r="AQ1017" s="8" t="s">
        <v>2143</v>
      </c>
      <c r="AR1017" s="8" t="s">
        <v>124</v>
      </c>
      <c r="AS1017" s="8" t="s">
        <v>125</v>
      </c>
      <c r="AT1017">
        <v>1</v>
      </c>
      <c r="AU1017" s="8" t="s">
        <v>106</v>
      </c>
      <c r="AV1017" s="8" t="s">
        <v>2291</v>
      </c>
      <c r="AW1017" s="8" t="s">
        <v>2292</v>
      </c>
      <c r="AX1017">
        <v>1</v>
      </c>
      <c r="AY1017" s="8" t="s">
        <v>2253</v>
      </c>
      <c r="AZ1017">
        <v>592800</v>
      </c>
      <c r="BA1017">
        <v>6005420</v>
      </c>
      <c r="BB1017">
        <v>83434.33</v>
      </c>
      <c r="BC1017">
        <v>10.1305999999999</v>
      </c>
      <c r="BD1017" s="8" t="s">
        <v>130</v>
      </c>
      <c r="BE1017" s="8" t="s">
        <v>112</v>
      </c>
      <c r="BF1017" s="8" t="s">
        <v>2293</v>
      </c>
      <c r="BG1017" s="8" t="s">
        <v>133</v>
      </c>
      <c r="BH1017" s="8" t="s">
        <v>2294</v>
      </c>
      <c r="BI1017" s="8" t="s">
        <v>112</v>
      </c>
      <c r="BJ1017" s="8" t="s">
        <v>2295</v>
      </c>
      <c r="BK1017" s="8" t="s">
        <v>112</v>
      </c>
      <c r="BL1017" s="8" t="s">
        <v>2296</v>
      </c>
      <c r="BM1017" s="8" t="s">
        <v>2297</v>
      </c>
      <c r="BN1017" s="8" t="s">
        <v>2298</v>
      </c>
      <c r="BO1017" s="8" t="s">
        <v>2299</v>
      </c>
      <c r="BP1017">
        <v>1</v>
      </c>
      <c r="BQ1017" s="8" t="s">
        <v>2300</v>
      </c>
      <c r="BR1017" s="45">
        <f>ISNUMBER(SEARCH($BR$1,Таблица1[[#This Row],[31_1 Описание и характеристика товара]]))*1</f>
        <v>0</v>
      </c>
      <c r="BT1017" s="8" t="s">
        <v>2301</v>
      </c>
      <c r="BU1017">
        <v>26</v>
      </c>
      <c r="BV1017">
        <v>1</v>
      </c>
      <c r="BW1017">
        <v>312</v>
      </c>
      <c r="BX1017" t="s">
        <v>2147</v>
      </c>
      <c r="CA1017" s="8" t="s">
        <v>106</v>
      </c>
      <c r="CB1017" s="8" t="s">
        <v>2148</v>
      </c>
      <c r="CC1017" s="8" t="s">
        <v>112</v>
      </c>
      <c r="CD1017" s="8" t="s">
        <v>112</v>
      </c>
      <c r="CE1017" s="8" t="s">
        <v>2142</v>
      </c>
      <c r="CF1017">
        <v>10751</v>
      </c>
      <c r="CG1017" t="s">
        <v>2302</v>
      </c>
      <c r="CH1017">
        <v>7800000</v>
      </c>
      <c r="CI1017">
        <v>9672</v>
      </c>
      <c r="CK1017" s="8" t="s">
        <v>112</v>
      </c>
      <c r="CL1017" s="8" t="s">
        <v>112</v>
      </c>
      <c r="CM1017">
        <v>592800</v>
      </c>
      <c r="CN1017">
        <v>6005420</v>
      </c>
      <c r="CO1017">
        <v>0</v>
      </c>
      <c r="CP1017">
        <v>1</v>
      </c>
      <c r="CQ1017">
        <v>6005419.6799999904</v>
      </c>
      <c r="CR1017">
        <v>83434.33</v>
      </c>
      <c r="CS1017" s="8" t="s">
        <v>145</v>
      </c>
      <c r="CT1017">
        <v>8.6264000000000003</v>
      </c>
      <c r="CX1017" t="s">
        <v>2303</v>
      </c>
      <c r="CY1017">
        <v>158</v>
      </c>
    </row>
    <row r="1018" spans="1:103" x14ac:dyDescent="0.25">
      <c r="A1018" s="8" t="s">
        <v>106</v>
      </c>
      <c r="B1018" s="38">
        <v>45268</v>
      </c>
      <c r="C1018" s="43">
        <f>IF(YEAR(Таблица1[[#This Row],[Дата]])=2023,MONTH(Таблица1[[#This Row],[Дата]]),0)</f>
        <v>12</v>
      </c>
      <c r="D1018" s="8" t="s">
        <v>2282</v>
      </c>
      <c r="E1018" s="8" t="s">
        <v>731</v>
      </c>
      <c r="F1018" s="8" t="s">
        <v>2283</v>
      </c>
      <c r="G1018" t="s">
        <v>110</v>
      </c>
      <c r="H1018" s="8" t="s">
        <v>2284</v>
      </c>
      <c r="I1018" s="8" t="s">
        <v>112</v>
      </c>
      <c r="J1018" s="8" t="s">
        <v>112</v>
      </c>
      <c r="K1018" s="8" t="s">
        <v>112</v>
      </c>
      <c r="L1018" s="8" t="s">
        <v>2285</v>
      </c>
      <c r="M1018" s="8" t="s">
        <v>2286</v>
      </c>
      <c r="N1018" s="8" t="s">
        <v>112</v>
      </c>
      <c r="O1018" s="8" t="s">
        <v>112</v>
      </c>
      <c r="P1018">
        <v>1</v>
      </c>
      <c r="Q1018">
        <v>0</v>
      </c>
      <c r="R1018">
        <v>1</v>
      </c>
      <c r="S1018">
        <v>26</v>
      </c>
      <c r="T1018" s="8" t="s">
        <v>2287</v>
      </c>
      <c r="U1018" s="8" t="s">
        <v>2288</v>
      </c>
      <c r="V1018" s="8" t="s">
        <v>2289</v>
      </c>
      <c r="W1018" s="8" t="s">
        <v>2290</v>
      </c>
      <c r="X1018" s="8" t="s">
        <v>742</v>
      </c>
      <c r="Y1018" s="8" t="s">
        <v>743</v>
      </c>
      <c r="Z1018" s="8" t="s">
        <v>2287</v>
      </c>
      <c r="AA1018" s="8" t="s">
        <v>2288</v>
      </c>
      <c r="AB1018" s="8" t="s">
        <v>2289</v>
      </c>
      <c r="AC1018" s="8" t="s">
        <v>2290</v>
      </c>
      <c r="AD1018" s="8" t="s">
        <v>742</v>
      </c>
      <c r="AE1018" s="8" t="s">
        <v>743</v>
      </c>
      <c r="AF1018" s="8" t="s">
        <v>2142</v>
      </c>
      <c r="AG1018" s="8" t="s">
        <v>2143</v>
      </c>
      <c r="AH1018">
        <v>6005419.6799999904</v>
      </c>
      <c r="AI1018" s="8" t="s">
        <v>2287</v>
      </c>
      <c r="AJ1018" s="8" t="s">
        <v>2288</v>
      </c>
      <c r="AK1018" s="8" t="s">
        <v>2289</v>
      </c>
      <c r="AL1018" s="8" t="s">
        <v>2290</v>
      </c>
      <c r="AM1018" s="8" t="s">
        <v>742</v>
      </c>
      <c r="AN1018" s="8" t="s">
        <v>743</v>
      </c>
      <c r="AO1018" s="8" t="s">
        <v>2142</v>
      </c>
      <c r="AP1018" s="8" t="s">
        <v>2143</v>
      </c>
      <c r="AQ1018" s="8" t="s">
        <v>2143</v>
      </c>
      <c r="AR1018" s="8" t="s">
        <v>124</v>
      </c>
      <c r="AS1018" s="8" t="s">
        <v>125</v>
      </c>
      <c r="AT1018">
        <v>1</v>
      </c>
      <c r="AU1018" s="8" t="s">
        <v>106</v>
      </c>
      <c r="AV1018" s="8" t="s">
        <v>2291</v>
      </c>
      <c r="AW1018" s="8" t="s">
        <v>2292</v>
      </c>
      <c r="AX1018">
        <v>1</v>
      </c>
      <c r="AY1018" s="8" t="s">
        <v>2253</v>
      </c>
      <c r="AZ1018">
        <v>592800</v>
      </c>
      <c r="BA1018">
        <v>6005420</v>
      </c>
      <c r="BB1018">
        <v>83434.33</v>
      </c>
      <c r="BC1018">
        <v>10.1305999999999</v>
      </c>
      <c r="BD1018" s="8" t="s">
        <v>130</v>
      </c>
      <c r="BE1018" s="8" t="s">
        <v>112</v>
      </c>
      <c r="BF1018" s="8" t="s">
        <v>2293</v>
      </c>
      <c r="BG1018" s="8" t="s">
        <v>133</v>
      </c>
      <c r="BH1018" s="8" t="s">
        <v>2294</v>
      </c>
      <c r="BI1018" s="8" t="s">
        <v>112</v>
      </c>
      <c r="BJ1018" s="8" t="s">
        <v>2295</v>
      </c>
      <c r="BK1018" s="8" t="s">
        <v>112</v>
      </c>
      <c r="BL1018" s="8" t="s">
        <v>2296</v>
      </c>
      <c r="BM1018" s="8" t="s">
        <v>2297</v>
      </c>
      <c r="BN1018" s="8" t="s">
        <v>2298</v>
      </c>
      <c r="BO1018" s="8" t="s">
        <v>2299</v>
      </c>
      <c r="BP1018">
        <v>1</v>
      </c>
      <c r="BQ1018" s="8" t="s">
        <v>2300</v>
      </c>
      <c r="BR1018" s="45">
        <f>ISNUMBER(SEARCH($BR$1,Таблица1[[#This Row],[31_1 Описание и характеристика товара]]))*1</f>
        <v>0</v>
      </c>
      <c r="BT1018" s="8" t="s">
        <v>2301</v>
      </c>
      <c r="BU1018">
        <v>26</v>
      </c>
      <c r="BV1018">
        <v>1</v>
      </c>
      <c r="BW1018">
        <v>312</v>
      </c>
      <c r="BX1018" t="s">
        <v>2147</v>
      </c>
      <c r="BY1018">
        <v>0</v>
      </c>
      <c r="CA1018" s="8" t="s">
        <v>106</v>
      </c>
      <c r="CB1018" s="8" t="s">
        <v>2148</v>
      </c>
      <c r="CC1018" s="8" t="s">
        <v>112</v>
      </c>
      <c r="CD1018" s="8" t="s">
        <v>112</v>
      </c>
      <c r="CE1018" s="8" t="s">
        <v>2142</v>
      </c>
      <c r="CF1018">
        <v>10751</v>
      </c>
      <c r="CG1018" t="s">
        <v>2302</v>
      </c>
      <c r="CH1018">
        <v>7800000</v>
      </c>
      <c r="CI1018">
        <v>9672</v>
      </c>
      <c r="CJ1018">
        <v>0</v>
      </c>
      <c r="CK1018" s="8" t="s">
        <v>112</v>
      </c>
      <c r="CL1018" s="8" t="s">
        <v>112</v>
      </c>
      <c r="CM1018">
        <v>592800</v>
      </c>
      <c r="CN1018">
        <v>6005420</v>
      </c>
      <c r="CO1018">
        <v>0</v>
      </c>
      <c r="CP1018">
        <v>1</v>
      </c>
      <c r="CQ1018">
        <v>6005419.6799999904</v>
      </c>
      <c r="CR1018">
        <v>83434.33</v>
      </c>
      <c r="CS1018" s="8" t="s">
        <v>145</v>
      </c>
      <c r="CT1018">
        <v>8.6264000000000003</v>
      </c>
      <c r="CX1018" t="s">
        <v>2303</v>
      </c>
      <c r="CY1018">
        <v>88</v>
      </c>
    </row>
    <row r="1019" spans="1:103" x14ac:dyDescent="0.25">
      <c r="A1019" s="8" t="s">
        <v>106</v>
      </c>
      <c r="B1019" s="38">
        <v>45017</v>
      </c>
      <c r="C1019" s="43">
        <f>IF(YEAR(Таблица1[[#This Row],[Дата]])=2023,MONTH(Таблица1[[#This Row],[Дата]]),0)</f>
        <v>4</v>
      </c>
      <c r="D1019" s="8" t="s">
        <v>2329</v>
      </c>
      <c r="E1019" s="8" t="s">
        <v>731</v>
      </c>
      <c r="F1019" s="8" t="s">
        <v>2330</v>
      </c>
      <c r="G1019" t="s">
        <v>110</v>
      </c>
      <c r="H1019" s="8" t="s">
        <v>2284</v>
      </c>
      <c r="I1019" s="8" t="s">
        <v>112</v>
      </c>
      <c r="J1019" s="8" t="s">
        <v>112</v>
      </c>
      <c r="K1019" s="8" t="s">
        <v>112</v>
      </c>
      <c r="L1019" s="8" t="s">
        <v>2331</v>
      </c>
      <c r="M1019" s="8" t="s">
        <v>2332</v>
      </c>
      <c r="N1019" s="8" t="s">
        <v>112</v>
      </c>
      <c r="O1019" s="8" t="s">
        <v>112</v>
      </c>
      <c r="P1019">
        <v>2</v>
      </c>
      <c r="Q1019">
        <v>0</v>
      </c>
      <c r="R1019">
        <v>4</v>
      </c>
      <c r="S1019">
        <v>4</v>
      </c>
      <c r="T1019" s="8" t="s">
        <v>2333</v>
      </c>
      <c r="U1019" s="8" t="s">
        <v>2334</v>
      </c>
      <c r="V1019" s="8" t="s">
        <v>2335</v>
      </c>
      <c r="W1019" s="8" t="s">
        <v>2336</v>
      </c>
      <c r="X1019" s="8" t="s">
        <v>742</v>
      </c>
      <c r="Y1019" s="8" t="s">
        <v>743</v>
      </c>
      <c r="Z1019" s="8" t="s">
        <v>2333</v>
      </c>
      <c r="AA1019" s="8" t="s">
        <v>2334</v>
      </c>
      <c r="AB1019" s="8" t="s">
        <v>2335</v>
      </c>
      <c r="AC1019" s="8" t="s">
        <v>2336</v>
      </c>
      <c r="AD1019" s="8" t="s">
        <v>742</v>
      </c>
      <c r="AE1019" s="8" t="s">
        <v>743</v>
      </c>
      <c r="AF1019" s="8" t="s">
        <v>2163</v>
      </c>
      <c r="AG1019" s="8" t="s">
        <v>2164</v>
      </c>
      <c r="AH1019">
        <v>1283302.67</v>
      </c>
      <c r="AI1019" s="8" t="s">
        <v>2333</v>
      </c>
      <c r="AJ1019" s="8" t="s">
        <v>2334</v>
      </c>
      <c r="AK1019" s="8" t="s">
        <v>2335</v>
      </c>
      <c r="AL1019" s="8" t="s">
        <v>2336</v>
      </c>
      <c r="AM1019" s="8" t="s">
        <v>742</v>
      </c>
      <c r="AN1019" s="8" t="s">
        <v>743</v>
      </c>
      <c r="AO1019" s="8" t="s">
        <v>2163</v>
      </c>
      <c r="AP1019" s="8" t="s">
        <v>2164</v>
      </c>
      <c r="AQ1019" s="8" t="s">
        <v>2164</v>
      </c>
      <c r="AR1019" s="8" t="s">
        <v>124</v>
      </c>
      <c r="AS1019" s="8" t="s">
        <v>125</v>
      </c>
      <c r="AT1019">
        <v>2</v>
      </c>
      <c r="AU1019" s="8" t="s">
        <v>126</v>
      </c>
      <c r="AV1019" s="8" t="s">
        <v>155</v>
      </c>
      <c r="AW1019" s="8" t="s">
        <v>2337</v>
      </c>
      <c r="AX1019">
        <v>1</v>
      </c>
      <c r="AY1019" s="8" t="s">
        <v>129</v>
      </c>
      <c r="AZ1019">
        <v>15147</v>
      </c>
      <c r="BA1019">
        <v>1152331</v>
      </c>
      <c r="BB1019">
        <v>17829.14</v>
      </c>
      <c r="BC1019">
        <v>76.076499999999896</v>
      </c>
      <c r="BD1019" s="8" t="s">
        <v>130</v>
      </c>
      <c r="BE1019" s="8" t="s">
        <v>112</v>
      </c>
      <c r="BF1019" s="8" t="s">
        <v>2338</v>
      </c>
      <c r="BG1019" s="8" t="s">
        <v>133</v>
      </c>
      <c r="BH1019" s="8" t="s">
        <v>167</v>
      </c>
      <c r="BI1019" s="8" t="s">
        <v>2339</v>
      </c>
      <c r="BJ1019" s="8" t="s">
        <v>112</v>
      </c>
      <c r="BK1019" s="8" t="s">
        <v>112</v>
      </c>
      <c r="BL1019" s="8" t="s">
        <v>749</v>
      </c>
      <c r="BM1019" s="8" t="s">
        <v>2340</v>
      </c>
      <c r="BN1019" s="8" t="s">
        <v>2341</v>
      </c>
      <c r="BO1019" s="8" t="s">
        <v>2299</v>
      </c>
      <c r="BP1019">
        <v>1</v>
      </c>
      <c r="BQ1019" s="8" t="s">
        <v>2342</v>
      </c>
      <c r="BR1019" s="45">
        <f>ISNUMBER(SEARCH($BR$1,Таблица1[[#This Row],[31_1 Описание и характеристика товара]]))*1</f>
        <v>0</v>
      </c>
      <c r="BT1019" s="8" t="s">
        <v>2343</v>
      </c>
      <c r="BU1019">
        <v>4</v>
      </c>
      <c r="BV1019">
        <v>0</v>
      </c>
      <c r="BW1019">
        <v>45</v>
      </c>
      <c r="BX1019" t="s">
        <v>2147</v>
      </c>
      <c r="BY1019">
        <v>0</v>
      </c>
      <c r="CA1019" s="8" t="s">
        <v>106</v>
      </c>
      <c r="CB1019" s="8" t="s">
        <v>2148</v>
      </c>
      <c r="CC1019" s="8" t="s">
        <v>112</v>
      </c>
      <c r="CD1019" s="8" t="s">
        <v>112</v>
      </c>
      <c r="CE1019" s="8" t="s">
        <v>2163</v>
      </c>
      <c r="CF1019">
        <v>1261.2139999999899</v>
      </c>
      <c r="CG1019" t="s">
        <v>2302</v>
      </c>
      <c r="CH1019">
        <v>7800000</v>
      </c>
      <c r="CI1019">
        <v>1244.7</v>
      </c>
      <c r="CJ1019">
        <v>0</v>
      </c>
      <c r="CK1019" s="8" t="s">
        <v>112</v>
      </c>
      <c r="CL1019" s="8" t="s">
        <v>112</v>
      </c>
      <c r="CM1019">
        <v>14850</v>
      </c>
      <c r="CN1019">
        <v>1129736</v>
      </c>
      <c r="CO1019">
        <v>0</v>
      </c>
      <c r="CP1019">
        <v>1</v>
      </c>
      <c r="CQ1019">
        <v>1260255.08</v>
      </c>
      <c r="CR1019">
        <v>17508.9399999999</v>
      </c>
      <c r="CS1019" s="8" t="s">
        <v>145</v>
      </c>
      <c r="CT1019">
        <v>14.066800000000001</v>
      </c>
      <c r="CX1019" t="s">
        <v>2344</v>
      </c>
      <c r="CY1019">
        <v>157</v>
      </c>
    </row>
    <row r="1020" spans="1:103" x14ac:dyDescent="0.25">
      <c r="A1020" t="s">
        <v>106</v>
      </c>
      <c r="B1020" s="38">
        <v>45036</v>
      </c>
      <c r="C1020" s="43">
        <f>IF(YEAR(Таблица1[[#This Row],[Дата]])=2023,MONTH(Таблица1[[#This Row],[Дата]]),0)</f>
        <v>4</v>
      </c>
      <c r="D1020" t="s">
        <v>730</v>
      </c>
      <c r="E1020" t="s">
        <v>731</v>
      </c>
      <c r="F1020" t="s">
        <v>732</v>
      </c>
      <c r="G1020" t="s">
        <v>110</v>
      </c>
      <c r="H1020" t="s">
        <v>733</v>
      </c>
      <c r="I1020" t="s">
        <v>112</v>
      </c>
      <c r="J1020" t="s">
        <v>112</v>
      </c>
      <c r="K1020" t="s">
        <v>112</v>
      </c>
      <c r="L1020" t="s">
        <v>734</v>
      </c>
      <c r="M1020" t="s">
        <v>735</v>
      </c>
      <c r="N1020" t="s">
        <v>112</v>
      </c>
      <c r="O1020" t="s">
        <v>112</v>
      </c>
      <c r="P1020">
        <v>2</v>
      </c>
      <c r="Q1020">
        <v>0</v>
      </c>
      <c r="R1020">
        <v>2</v>
      </c>
      <c r="S1020">
        <v>33</v>
      </c>
      <c r="T1020" t="s">
        <v>112</v>
      </c>
      <c r="U1020" t="s">
        <v>112</v>
      </c>
      <c r="V1020" t="s">
        <v>736</v>
      </c>
      <c r="W1020" t="s">
        <v>737</v>
      </c>
      <c r="X1020" t="s">
        <v>112</v>
      </c>
      <c r="Y1020" t="s">
        <v>112</v>
      </c>
      <c r="Z1020" t="s">
        <v>738</v>
      </c>
      <c r="AA1020" t="s">
        <v>739</v>
      </c>
      <c r="AB1020" t="s">
        <v>740</v>
      </c>
      <c r="AC1020" t="s">
        <v>741</v>
      </c>
      <c r="AD1020" t="s">
        <v>742</v>
      </c>
      <c r="AE1020" t="s">
        <v>743</v>
      </c>
      <c r="AF1020" t="s">
        <v>121</v>
      </c>
      <c r="AG1020" t="s">
        <v>122</v>
      </c>
      <c r="AH1020">
        <v>0</v>
      </c>
      <c r="AI1020" t="s">
        <v>738</v>
      </c>
      <c r="AJ1020" t="s">
        <v>739</v>
      </c>
      <c r="AK1020" t="s">
        <v>740</v>
      </c>
      <c r="AL1020" t="s">
        <v>741</v>
      </c>
      <c r="AM1020" t="s">
        <v>742</v>
      </c>
      <c r="AN1020" t="s">
        <v>743</v>
      </c>
      <c r="AO1020" t="s">
        <v>121</v>
      </c>
      <c r="AP1020" t="s">
        <v>122</v>
      </c>
      <c r="AQ1020" t="s">
        <v>122</v>
      </c>
      <c r="AR1020" t="s">
        <v>124</v>
      </c>
      <c r="AS1020" t="s">
        <v>125</v>
      </c>
      <c r="AT1020">
        <v>2</v>
      </c>
      <c r="AU1020" t="s">
        <v>126</v>
      </c>
      <c r="AV1020" t="s">
        <v>127</v>
      </c>
      <c r="AW1020" t="s">
        <v>744</v>
      </c>
      <c r="AX1020">
        <v>1</v>
      </c>
      <c r="AY1020" t="s">
        <v>129</v>
      </c>
      <c r="AZ1020">
        <v>22054.240000000002</v>
      </c>
      <c r="BA1020">
        <v>1817100</v>
      </c>
      <c r="BB1020">
        <v>27432.67</v>
      </c>
      <c r="BC1020">
        <v>82.392300000000006</v>
      </c>
      <c r="BD1020" t="s">
        <v>745</v>
      </c>
      <c r="BE1020" t="s">
        <v>746</v>
      </c>
      <c r="BF1020" t="s">
        <v>747</v>
      </c>
      <c r="BG1020" t="s">
        <v>133</v>
      </c>
      <c r="BH1020" t="s">
        <v>167</v>
      </c>
      <c r="BI1020" t="s">
        <v>748</v>
      </c>
      <c r="BJ1020" t="s">
        <v>112</v>
      </c>
      <c r="BK1020" t="s">
        <v>112</v>
      </c>
      <c r="BL1020" t="s">
        <v>749</v>
      </c>
      <c r="BM1020" t="s">
        <v>750</v>
      </c>
      <c r="BN1020" t="s">
        <v>751</v>
      </c>
      <c r="BO1020" t="s">
        <v>752</v>
      </c>
      <c r="BP1020">
        <v>1</v>
      </c>
      <c r="BQ1020" t="s">
        <v>466</v>
      </c>
      <c r="BR1020" s="45">
        <f>ISNUMBER(SEARCH($BR$1,Таблица1[[#This Row],[31_1 Описание и характеристика товара]]))*1</f>
        <v>1</v>
      </c>
      <c r="BT1020" t="s">
        <v>734</v>
      </c>
      <c r="BU1020">
        <v>9</v>
      </c>
      <c r="BV1020">
        <v>0</v>
      </c>
      <c r="BW1020">
        <v>0</v>
      </c>
      <c r="BY1020">
        <v>0</v>
      </c>
      <c r="CA1020" t="s">
        <v>106</v>
      </c>
      <c r="CB1020" t="s">
        <v>597</v>
      </c>
      <c r="CC1020" t="s">
        <v>112</v>
      </c>
      <c r="CD1020" t="s">
        <v>112</v>
      </c>
      <c r="CE1020" t="s">
        <v>121</v>
      </c>
      <c r="CF1020">
        <v>4409.1719999999996</v>
      </c>
      <c r="CG1020" t="s">
        <v>753</v>
      </c>
      <c r="CH1020">
        <v>7000000</v>
      </c>
      <c r="CI1020">
        <v>4404.6719999999996</v>
      </c>
      <c r="CJ1020">
        <v>0</v>
      </c>
      <c r="CK1020" t="s">
        <v>112</v>
      </c>
      <c r="CL1020" t="s">
        <v>112</v>
      </c>
      <c r="CM1020">
        <v>5949.21</v>
      </c>
      <c r="CN1020">
        <v>490169</v>
      </c>
      <c r="CQ1020">
        <v>0</v>
      </c>
      <c r="CR1020">
        <v>7241.88</v>
      </c>
      <c r="CS1020" t="s">
        <v>145</v>
      </c>
      <c r="CT1020">
        <v>7241.7212351999988</v>
      </c>
      <c r="CU1020">
        <v>1.6440999999999999</v>
      </c>
      <c r="CV1020">
        <v>1446</v>
      </c>
      <c r="CW1020" t="s">
        <v>754</v>
      </c>
      <c r="CX1020" t="s">
        <v>755</v>
      </c>
      <c r="CY1020">
        <v>368</v>
      </c>
    </row>
    <row r="1021" spans="1:103" x14ac:dyDescent="0.25">
      <c r="A1021" t="s">
        <v>106</v>
      </c>
      <c r="B1021" s="38">
        <v>44965</v>
      </c>
      <c r="C1021" s="43">
        <f>IF(YEAR(Таблица1[[#This Row],[Дата]])=2023,MONTH(Таблица1[[#This Row],[Дата]]),0)</f>
        <v>2</v>
      </c>
      <c r="D1021" t="s">
        <v>730</v>
      </c>
      <c r="E1021" t="s">
        <v>731</v>
      </c>
      <c r="F1021" t="s">
        <v>732</v>
      </c>
      <c r="G1021" t="s">
        <v>110</v>
      </c>
      <c r="H1021" t="s">
        <v>733</v>
      </c>
      <c r="I1021" t="s">
        <v>112</v>
      </c>
      <c r="J1021" t="s">
        <v>112</v>
      </c>
      <c r="K1021" t="s">
        <v>112</v>
      </c>
      <c r="L1021" t="s">
        <v>734</v>
      </c>
      <c r="M1021" t="s">
        <v>735</v>
      </c>
      <c r="N1021" t="s">
        <v>112</v>
      </c>
      <c r="O1021" t="s">
        <v>112</v>
      </c>
      <c r="P1021">
        <v>2</v>
      </c>
      <c r="Q1021">
        <v>0</v>
      </c>
      <c r="R1021">
        <v>2</v>
      </c>
      <c r="S1021">
        <v>33</v>
      </c>
      <c r="T1021" t="s">
        <v>112</v>
      </c>
      <c r="U1021" t="s">
        <v>112</v>
      </c>
      <c r="V1021" t="s">
        <v>736</v>
      </c>
      <c r="W1021" t="s">
        <v>737</v>
      </c>
      <c r="X1021" t="s">
        <v>112</v>
      </c>
      <c r="Y1021" t="s">
        <v>112</v>
      </c>
      <c r="Z1021" t="s">
        <v>738</v>
      </c>
      <c r="AA1021" t="s">
        <v>739</v>
      </c>
      <c r="AB1021" t="s">
        <v>740</v>
      </c>
      <c r="AC1021" t="s">
        <v>741</v>
      </c>
      <c r="AD1021" t="s">
        <v>742</v>
      </c>
      <c r="AE1021" t="s">
        <v>743</v>
      </c>
      <c r="AF1021" t="s">
        <v>121</v>
      </c>
      <c r="AG1021" t="s">
        <v>122</v>
      </c>
      <c r="AH1021">
        <v>0</v>
      </c>
      <c r="AI1021" t="s">
        <v>738</v>
      </c>
      <c r="AJ1021" t="s">
        <v>739</v>
      </c>
      <c r="AK1021" t="s">
        <v>740</v>
      </c>
      <c r="AL1021" t="s">
        <v>741</v>
      </c>
      <c r="AM1021" t="s">
        <v>742</v>
      </c>
      <c r="AN1021" t="s">
        <v>743</v>
      </c>
      <c r="AO1021" t="s">
        <v>121</v>
      </c>
      <c r="AP1021" t="s">
        <v>122</v>
      </c>
      <c r="AQ1021" t="s">
        <v>122</v>
      </c>
      <c r="AR1021" t="s">
        <v>124</v>
      </c>
      <c r="AS1021" t="s">
        <v>125</v>
      </c>
      <c r="AT1021">
        <v>2</v>
      </c>
      <c r="AU1021" t="s">
        <v>126</v>
      </c>
      <c r="AV1021" t="s">
        <v>127</v>
      </c>
      <c r="AW1021" t="s">
        <v>744</v>
      </c>
      <c r="AX1021">
        <v>1</v>
      </c>
      <c r="AY1021" t="s">
        <v>129</v>
      </c>
      <c r="AZ1021">
        <v>22054.240000000002</v>
      </c>
      <c r="BA1021">
        <v>1817100</v>
      </c>
      <c r="BB1021">
        <v>27432.67</v>
      </c>
      <c r="BC1021">
        <v>82.392300000000006</v>
      </c>
      <c r="BD1021" t="s">
        <v>745</v>
      </c>
      <c r="BE1021" t="s">
        <v>746</v>
      </c>
      <c r="BF1021" t="s">
        <v>747</v>
      </c>
      <c r="BG1021" t="s">
        <v>133</v>
      </c>
      <c r="BH1021" t="s">
        <v>167</v>
      </c>
      <c r="BI1021" t="s">
        <v>748</v>
      </c>
      <c r="BJ1021" t="s">
        <v>112</v>
      </c>
      <c r="BK1021" t="s">
        <v>112</v>
      </c>
      <c r="BL1021" t="s">
        <v>749</v>
      </c>
      <c r="BM1021" t="s">
        <v>750</v>
      </c>
      <c r="BN1021" t="s">
        <v>751</v>
      </c>
      <c r="BO1021" t="s">
        <v>752</v>
      </c>
      <c r="BP1021">
        <v>2</v>
      </c>
      <c r="BQ1021" t="s">
        <v>466</v>
      </c>
      <c r="BR1021" s="45">
        <f>ISNUMBER(SEARCH($BR$1,Таблица1[[#This Row],[31_1 Описание и характеристика товара]]))*1</f>
        <v>1</v>
      </c>
      <c r="BT1021" t="s">
        <v>734</v>
      </c>
      <c r="BU1021">
        <v>24</v>
      </c>
      <c r="BV1021">
        <v>0</v>
      </c>
      <c r="BW1021">
        <v>0</v>
      </c>
      <c r="BY1021">
        <v>0</v>
      </c>
      <c r="CA1021" t="s">
        <v>596</v>
      </c>
      <c r="CB1021" t="s">
        <v>758</v>
      </c>
      <c r="CC1021" t="s">
        <v>112</v>
      </c>
      <c r="CD1021" t="s">
        <v>112</v>
      </c>
      <c r="CE1021" t="s">
        <v>121</v>
      </c>
      <c r="CF1021">
        <v>15050.828</v>
      </c>
      <c r="CG1021" t="s">
        <v>753</v>
      </c>
      <c r="CH1021">
        <v>7000000</v>
      </c>
      <c r="CI1021">
        <v>15038.825999999999</v>
      </c>
      <c r="CJ1021">
        <v>0</v>
      </c>
      <c r="CK1021" t="s">
        <v>112</v>
      </c>
      <c r="CL1021" t="s">
        <v>112</v>
      </c>
      <c r="CM1021">
        <v>16105.03</v>
      </c>
      <c r="CN1021">
        <v>1326930</v>
      </c>
      <c r="CQ1021">
        <v>0</v>
      </c>
      <c r="CR1021">
        <v>20190.79</v>
      </c>
      <c r="CS1021" t="s">
        <v>145</v>
      </c>
      <c r="CT1021">
        <v>20191.127787599999</v>
      </c>
      <c r="CU1021">
        <v>1.3426</v>
      </c>
      <c r="CV1021">
        <v>1446</v>
      </c>
      <c r="CW1021" t="s">
        <v>754</v>
      </c>
      <c r="CX1021" t="s">
        <v>755</v>
      </c>
      <c r="CY1021">
        <v>368</v>
      </c>
    </row>
    <row r="1022" spans="1:103" x14ac:dyDescent="0.25">
      <c r="A1022" s="8" t="s">
        <v>106</v>
      </c>
      <c r="B1022" s="38">
        <v>44976</v>
      </c>
      <c r="C1022" s="43">
        <f>IF(YEAR(Таблица1[[#This Row],[Дата]])=2023,MONTH(Таблица1[[#This Row],[Дата]]),0)</f>
        <v>2</v>
      </c>
      <c r="D1022" s="8" t="s">
        <v>2616</v>
      </c>
      <c r="E1022" s="8" t="s">
        <v>731</v>
      </c>
      <c r="F1022" s="8" t="s">
        <v>2617</v>
      </c>
      <c r="G1022" t="s">
        <v>110</v>
      </c>
      <c r="H1022" s="8" t="s">
        <v>2284</v>
      </c>
      <c r="I1022" s="8" t="s">
        <v>112</v>
      </c>
      <c r="J1022" s="8" t="s">
        <v>112</v>
      </c>
      <c r="K1022" s="8" t="s">
        <v>112</v>
      </c>
      <c r="L1022" s="8" t="s">
        <v>2564</v>
      </c>
      <c r="M1022" s="8" t="s">
        <v>2565</v>
      </c>
      <c r="N1022" s="8" t="s">
        <v>112</v>
      </c>
      <c r="O1022" s="8" t="s">
        <v>112</v>
      </c>
      <c r="P1022">
        <v>1</v>
      </c>
      <c r="R1022">
        <v>1</v>
      </c>
      <c r="S1022">
        <v>23</v>
      </c>
      <c r="T1022" s="8" t="s">
        <v>2287</v>
      </c>
      <c r="U1022" s="8" t="s">
        <v>2288</v>
      </c>
      <c r="V1022" s="8" t="s">
        <v>2289</v>
      </c>
      <c r="W1022" s="8" t="s">
        <v>2290</v>
      </c>
      <c r="X1022" s="8" t="s">
        <v>742</v>
      </c>
      <c r="Y1022" s="8" t="s">
        <v>743</v>
      </c>
      <c r="Z1022" s="8" t="s">
        <v>2287</v>
      </c>
      <c r="AA1022" s="8" t="s">
        <v>2288</v>
      </c>
      <c r="AB1022" s="8" t="s">
        <v>2289</v>
      </c>
      <c r="AC1022" s="8" t="s">
        <v>2290</v>
      </c>
      <c r="AD1022" s="8" t="s">
        <v>742</v>
      </c>
      <c r="AE1022" s="8" t="s">
        <v>743</v>
      </c>
      <c r="AF1022" s="8" t="s">
        <v>2569</v>
      </c>
      <c r="AG1022" s="8" t="s">
        <v>2570</v>
      </c>
      <c r="AH1022">
        <v>8256520.7300000004</v>
      </c>
      <c r="AI1022" s="8" t="s">
        <v>2287</v>
      </c>
      <c r="AJ1022" s="8" t="s">
        <v>2288</v>
      </c>
      <c r="AK1022" s="8" t="s">
        <v>2289</v>
      </c>
      <c r="AL1022" s="8" t="s">
        <v>2290</v>
      </c>
      <c r="AM1022" s="8" t="s">
        <v>742</v>
      </c>
      <c r="AN1022" s="8" t="s">
        <v>743</v>
      </c>
      <c r="AO1022" s="8" t="s">
        <v>2569</v>
      </c>
      <c r="AP1022" s="8" t="s">
        <v>2570</v>
      </c>
      <c r="AQ1022" s="8" t="s">
        <v>2570</v>
      </c>
      <c r="AR1022" s="8" t="s">
        <v>124</v>
      </c>
      <c r="AS1022" s="8" t="s">
        <v>125</v>
      </c>
      <c r="AT1022">
        <v>1</v>
      </c>
      <c r="AU1022" s="8" t="s">
        <v>106</v>
      </c>
      <c r="AV1022" s="8" t="s">
        <v>2291</v>
      </c>
      <c r="AW1022" s="8" t="s">
        <v>2292</v>
      </c>
      <c r="AX1022">
        <v>1</v>
      </c>
      <c r="AY1022" s="8" t="s">
        <v>129</v>
      </c>
      <c r="AZ1022">
        <v>113040</v>
      </c>
      <c r="BA1022">
        <v>8256521</v>
      </c>
      <c r="BB1022">
        <v>120224.25</v>
      </c>
      <c r="BC1022">
        <v>73.040700000000001</v>
      </c>
      <c r="BD1022" s="8" t="s">
        <v>130</v>
      </c>
      <c r="BE1022" s="8" t="s">
        <v>145</v>
      </c>
      <c r="BF1022" s="8" t="s">
        <v>2618</v>
      </c>
      <c r="BG1022" s="8" t="s">
        <v>133</v>
      </c>
      <c r="BH1022" s="8" t="s">
        <v>2294</v>
      </c>
      <c r="BI1022" s="8" t="s">
        <v>112</v>
      </c>
      <c r="BJ1022" s="8" t="s">
        <v>2295</v>
      </c>
      <c r="BK1022" s="8" t="s">
        <v>112</v>
      </c>
      <c r="BL1022" s="8" t="s">
        <v>2296</v>
      </c>
      <c r="BM1022" s="8" t="s">
        <v>2297</v>
      </c>
      <c r="BN1022" s="8" t="s">
        <v>2298</v>
      </c>
      <c r="BO1022" s="8" t="s">
        <v>2299</v>
      </c>
      <c r="BP1022">
        <v>1</v>
      </c>
      <c r="BQ1022" s="8" t="s">
        <v>2300</v>
      </c>
      <c r="BR1022" s="45">
        <f>ISNUMBER(SEARCH($BR$1,Таблица1[[#This Row],[31_1 Описание и характеристика товара]]))*1</f>
        <v>0</v>
      </c>
      <c r="BT1022" s="8" t="s">
        <v>2572</v>
      </c>
      <c r="BU1022">
        <v>23</v>
      </c>
      <c r="BV1022">
        <v>1</v>
      </c>
      <c r="BW1022">
        <v>270</v>
      </c>
      <c r="BX1022" t="s">
        <v>2147</v>
      </c>
      <c r="CA1022" s="8" t="s">
        <v>106</v>
      </c>
      <c r="CB1022" s="8" t="s">
        <v>2148</v>
      </c>
      <c r="CC1022" s="8" t="s">
        <v>112</v>
      </c>
      <c r="CD1022" s="8" t="s">
        <v>112</v>
      </c>
      <c r="CE1022" s="8" t="s">
        <v>2569</v>
      </c>
      <c r="CF1022">
        <v>11130</v>
      </c>
      <c r="CG1022" t="s">
        <v>2302</v>
      </c>
      <c r="CH1022">
        <v>7800000</v>
      </c>
      <c r="CI1022">
        <v>10353.9</v>
      </c>
      <c r="CK1022" s="8" t="s">
        <v>112</v>
      </c>
      <c r="CL1022" s="8" t="s">
        <v>112</v>
      </c>
      <c r="CM1022">
        <v>113040</v>
      </c>
      <c r="CN1022">
        <v>8256521</v>
      </c>
      <c r="CO1022">
        <v>0</v>
      </c>
      <c r="CP1022">
        <v>1</v>
      </c>
      <c r="CQ1022">
        <v>8256520.7300000004</v>
      </c>
      <c r="CR1022">
        <v>120224.25</v>
      </c>
      <c r="CS1022" s="8" t="s">
        <v>145</v>
      </c>
      <c r="CT1022">
        <v>11.611499999999999</v>
      </c>
      <c r="CX1022" t="s">
        <v>2303</v>
      </c>
      <c r="CY1022">
        <v>107</v>
      </c>
    </row>
    <row r="1023" spans="1:103" x14ac:dyDescent="0.25">
      <c r="A1023" s="8" t="s">
        <v>106</v>
      </c>
      <c r="B1023" s="38">
        <v>45225</v>
      </c>
      <c r="C1023" s="43">
        <f>IF(YEAR(Таблица1[[#This Row],[Дата]])=2023,MONTH(Таблица1[[#This Row],[Дата]]),0)</f>
        <v>10</v>
      </c>
      <c r="D1023" s="8" t="s">
        <v>2562</v>
      </c>
      <c r="E1023" s="8" t="s">
        <v>731</v>
      </c>
      <c r="F1023" s="8" t="s">
        <v>2563</v>
      </c>
      <c r="G1023" t="s">
        <v>110</v>
      </c>
      <c r="H1023" s="8" t="s">
        <v>2284</v>
      </c>
      <c r="I1023" s="8" t="s">
        <v>112</v>
      </c>
      <c r="J1023" s="8" t="s">
        <v>112</v>
      </c>
      <c r="K1023" s="8" t="s">
        <v>112</v>
      </c>
      <c r="L1023" s="8" t="s">
        <v>2564</v>
      </c>
      <c r="M1023" s="8" t="s">
        <v>2565</v>
      </c>
      <c r="N1023" s="8" t="s">
        <v>112</v>
      </c>
      <c r="O1023" s="8" t="s">
        <v>112</v>
      </c>
      <c r="P1023">
        <v>1</v>
      </c>
      <c r="Q1023">
        <v>0</v>
      </c>
      <c r="R1023">
        <v>1</v>
      </c>
      <c r="S1023">
        <v>23</v>
      </c>
      <c r="T1023" s="8" t="s">
        <v>2566</v>
      </c>
      <c r="U1023" s="8" t="s">
        <v>2567</v>
      </c>
      <c r="V1023" s="8" t="s">
        <v>2568</v>
      </c>
      <c r="W1023" s="8" t="s">
        <v>2290</v>
      </c>
      <c r="X1023" s="8" t="s">
        <v>742</v>
      </c>
      <c r="Y1023" s="8" t="s">
        <v>743</v>
      </c>
      <c r="Z1023" s="8" t="s">
        <v>2566</v>
      </c>
      <c r="AA1023" s="8" t="s">
        <v>2567</v>
      </c>
      <c r="AB1023" s="8" t="s">
        <v>2568</v>
      </c>
      <c r="AC1023" s="8" t="s">
        <v>2290</v>
      </c>
      <c r="AD1023" s="8" t="s">
        <v>742</v>
      </c>
      <c r="AE1023" s="8" t="s">
        <v>743</v>
      </c>
      <c r="AF1023" s="8" t="s">
        <v>2569</v>
      </c>
      <c r="AG1023" s="8" t="s">
        <v>2570</v>
      </c>
      <c r="AH1023">
        <v>8493172.5999999903</v>
      </c>
      <c r="AI1023" s="8" t="s">
        <v>2566</v>
      </c>
      <c r="AJ1023" s="8" t="s">
        <v>2567</v>
      </c>
      <c r="AK1023" s="8" t="s">
        <v>2568</v>
      </c>
      <c r="AL1023" s="8" t="s">
        <v>2290</v>
      </c>
      <c r="AM1023" s="8" t="s">
        <v>742</v>
      </c>
      <c r="AN1023" s="8" t="s">
        <v>743</v>
      </c>
      <c r="AO1023" s="8" t="s">
        <v>2569</v>
      </c>
      <c r="AP1023" s="8" t="s">
        <v>2570</v>
      </c>
      <c r="AQ1023" s="8" t="s">
        <v>2570</v>
      </c>
      <c r="AR1023" s="8" t="s">
        <v>124</v>
      </c>
      <c r="AS1023" s="8" t="s">
        <v>125</v>
      </c>
      <c r="AT1023">
        <v>1</v>
      </c>
      <c r="AU1023" s="8" t="s">
        <v>106</v>
      </c>
      <c r="AV1023" s="8" t="s">
        <v>2291</v>
      </c>
      <c r="AW1023" s="8" t="s">
        <v>2292</v>
      </c>
      <c r="AX1023">
        <v>1</v>
      </c>
      <c r="AY1023" s="8" t="s">
        <v>129</v>
      </c>
      <c r="AZ1023">
        <v>116280</v>
      </c>
      <c r="BA1023">
        <v>8493173</v>
      </c>
      <c r="BB1023">
        <v>123670.17</v>
      </c>
      <c r="BC1023">
        <v>73.040700000000001</v>
      </c>
      <c r="BD1023" s="8" t="s">
        <v>130</v>
      </c>
      <c r="BE1023" s="8" t="s">
        <v>145</v>
      </c>
      <c r="BF1023" s="8" t="s">
        <v>2571</v>
      </c>
      <c r="BG1023" s="8" t="s">
        <v>133</v>
      </c>
      <c r="BH1023" s="8" t="s">
        <v>2294</v>
      </c>
      <c r="BI1023" s="8" t="s">
        <v>112</v>
      </c>
      <c r="BJ1023" s="8" t="s">
        <v>2295</v>
      </c>
      <c r="BK1023" s="8" t="s">
        <v>112</v>
      </c>
      <c r="BL1023" s="8" t="s">
        <v>2296</v>
      </c>
      <c r="BM1023" s="8" t="s">
        <v>2297</v>
      </c>
      <c r="BN1023" s="8" t="s">
        <v>2298</v>
      </c>
      <c r="BO1023" s="8" t="s">
        <v>2299</v>
      </c>
      <c r="BP1023">
        <v>1</v>
      </c>
      <c r="BQ1023" s="8" t="s">
        <v>2300</v>
      </c>
      <c r="BR1023" s="45">
        <f>ISNUMBER(SEARCH($BR$1,Таблица1[[#This Row],[31_1 Описание и характеристика товара]]))*1</f>
        <v>0</v>
      </c>
      <c r="BT1023" s="8" t="s">
        <v>2572</v>
      </c>
      <c r="BU1023">
        <v>23</v>
      </c>
      <c r="BV1023">
        <v>1</v>
      </c>
      <c r="BW1023">
        <v>282</v>
      </c>
      <c r="BX1023" t="s">
        <v>2147</v>
      </c>
      <c r="BY1023">
        <v>0</v>
      </c>
      <c r="CA1023" s="8" t="s">
        <v>106</v>
      </c>
      <c r="CB1023" s="8" t="s">
        <v>2148</v>
      </c>
      <c r="CC1023" s="8" t="s">
        <v>112</v>
      </c>
      <c r="CD1023" s="8" t="s">
        <v>112</v>
      </c>
      <c r="CE1023" s="8" t="s">
        <v>2569</v>
      </c>
      <c r="CF1023">
        <v>11300</v>
      </c>
      <c r="CG1023" t="s">
        <v>2302</v>
      </c>
      <c r="CH1023">
        <v>7800000</v>
      </c>
      <c r="CI1023">
        <v>10605.48</v>
      </c>
      <c r="CJ1023">
        <v>0</v>
      </c>
      <c r="CK1023" s="8" t="s">
        <v>112</v>
      </c>
      <c r="CL1023" s="8" t="s">
        <v>112</v>
      </c>
      <c r="CM1023">
        <v>116280</v>
      </c>
      <c r="CN1023">
        <v>8493173</v>
      </c>
      <c r="CO1023">
        <v>0</v>
      </c>
      <c r="CP1023">
        <v>1</v>
      </c>
      <c r="CQ1023">
        <v>8493172.5999999903</v>
      </c>
      <c r="CR1023">
        <v>123670.17</v>
      </c>
      <c r="CS1023" s="8" t="s">
        <v>145</v>
      </c>
      <c r="CT1023">
        <v>11.661</v>
      </c>
      <c r="CX1023" t="s">
        <v>2303</v>
      </c>
      <c r="CY1023">
        <v>264</v>
      </c>
    </row>
    <row r="1024" spans="1:103" x14ac:dyDescent="0.25">
      <c r="A1024" t="s">
        <v>106</v>
      </c>
      <c r="B1024" s="38">
        <v>45260</v>
      </c>
      <c r="C1024" s="43">
        <f>IF(YEAR(Таблица1[[#This Row],[Дата]])=2023,MONTH(Таблица1[[#This Row],[Дата]]),0)</f>
        <v>11</v>
      </c>
      <c r="D1024" t="s">
        <v>2024</v>
      </c>
      <c r="E1024" t="s">
        <v>731</v>
      </c>
      <c r="F1024" t="s">
        <v>2025</v>
      </c>
      <c r="G1024" t="s">
        <v>110</v>
      </c>
      <c r="H1024" t="s">
        <v>733</v>
      </c>
      <c r="I1024" t="s">
        <v>112</v>
      </c>
      <c r="J1024" t="s">
        <v>112</v>
      </c>
      <c r="K1024" t="s">
        <v>112</v>
      </c>
      <c r="L1024" t="s">
        <v>734</v>
      </c>
      <c r="M1024" t="s">
        <v>2026</v>
      </c>
      <c r="N1024" t="s">
        <v>112</v>
      </c>
      <c r="O1024" t="s">
        <v>112</v>
      </c>
      <c r="P1024">
        <v>2</v>
      </c>
      <c r="R1024">
        <v>2</v>
      </c>
      <c r="S1024">
        <v>31</v>
      </c>
      <c r="T1024" t="s">
        <v>112</v>
      </c>
      <c r="U1024" t="s">
        <v>112</v>
      </c>
      <c r="V1024" t="s">
        <v>736</v>
      </c>
      <c r="W1024" t="s">
        <v>737</v>
      </c>
      <c r="X1024" t="s">
        <v>742</v>
      </c>
      <c r="Y1024" t="s">
        <v>112</v>
      </c>
      <c r="Z1024" t="s">
        <v>112</v>
      </c>
      <c r="AA1024" t="s">
        <v>739</v>
      </c>
      <c r="AB1024" t="s">
        <v>740</v>
      </c>
      <c r="AC1024" t="s">
        <v>741</v>
      </c>
      <c r="AD1024" t="s">
        <v>742</v>
      </c>
      <c r="AE1024" t="s">
        <v>112</v>
      </c>
      <c r="AF1024" t="s">
        <v>121</v>
      </c>
      <c r="AG1024" t="s">
        <v>122</v>
      </c>
      <c r="AH1024">
        <v>0</v>
      </c>
      <c r="AI1024" t="s">
        <v>112</v>
      </c>
      <c r="AJ1024" t="s">
        <v>739</v>
      </c>
      <c r="AK1024" t="s">
        <v>740</v>
      </c>
      <c r="AL1024" t="s">
        <v>741</v>
      </c>
      <c r="AM1024" t="s">
        <v>742</v>
      </c>
      <c r="AN1024" t="s">
        <v>112</v>
      </c>
      <c r="AO1024" t="s">
        <v>121</v>
      </c>
      <c r="AP1024" t="s">
        <v>122</v>
      </c>
      <c r="AQ1024" t="s">
        <v>122</v>
      </c>
      <c r="AR1024" t="s">
        <v>124</v>
      </c>
      <c r="AS1024" t="s">
        <v>125</v>
      </c>
      <c r="AT1024">
        <v>2</v>
      </c>
      <c r="AU1024" t="s">
        <v>126</v>
      </c>
      <c r="AV1024" t="s">
        <v>127</v>
      </c>
      <c r="AW1024" t="s">
        <v>744</v>
      </c>
      <c r="AY1024" t="s">
        <v>129</v>
      </c>
      <c r="AZ1024">
        <v>16322.67</v>
      </c>
      <c r="BC1024">
        <v>99.553399999999996</v>
      </c>
      <c r="BD1024" t="s">
        <v>112</v>
      </c>
      <c r="BE1024" t="s">
        <v>746</v>
      </c>
      <c r="BF1024" t="s">
        <v>747</v>
      </c>
      <c r="BG1024" t="s">
        <v>133</v>
      </c>
      <c r="BH1024" t="s">
        <v>167</v>
      </c>
      <c r="BI1024" t="s">
        <v>112</v>
      </c>
      <c r="BJ1024" t="s">
        <v>112</v>
      </c>
      <c r="BK1024" t="s">
        <v>112</v>
      </c>
      <c r="BL1024" t="s">
        <v>749</v>
      </c>
      <c r="BM1024" t="s">
        <v>750</v>
      </c>
      <c r="BN1024" t="s">
        <v>2027</v>
      </c>
      <c r="BO1024" t="s">
        <v>752</v>
      </c>
      <c r="BQ1024" t="s">
        <v>466</v>
      </c>
      <c r="BR1024" s="45">
        <f>ISNUMBER(SEARCH($BR$1,Таблица1[[#This Row],[31_1 Описание и характеристика товара]]))*1</f>
        <v>1</v>
      </c>
      <c r="BT1024" t="s">
        <v>734</v>
      </c>
      <c r="BU1024">
        <v>12</v>
      </c>
      <c r="BV1024">
        <v>0</v>
      </c>
      <c r="BW1024">
        <v>0</v>
      </c>
      <c r="BY1024">
        <v>0</v>
      </c>
      <c r="CA1024" t="s">
        <v>106</v>
      </c>
      <c r="CB1024" t="s">
        <v>597</v>
      </c>
      <c r="CC1024" t="s">
        <v>112</v>
      </c>
      <c r="CD1024" t="s">
        <v>112</v>
      </c>
      <c r="CE1024" t="s">
        <v>121</v>
      </c>
      <c r="CF1024">
        <v>6321.37</v>
      </c>
      <c r="CG1024" t="s">
        <v>753</v>
      </c>
      <c r="CH1024">
        <v>7000000</v>
      </c>
      <c r="CI1024">
        <v>6284.6279999999997</v>
      </c>
      <c r="CJ1024">
        <v>0</v>
      </c>
      <c r="CK1024" t="s">
        <v>112</v>
      </c>
      <c r="CL1024" t="s">
        <v>112</v>
      </c>
      <c r="CM1024">
        <v>7238.82</v>
      </c>
      <c r="CQ1024">
        <v>0</v>
      </c>
      <c r="CR1024">
        <v>9188.06</v>
      </c>
      <c r="CS1024" t="s">
        <v>145</v>
      </c>
      <c r="CT1024">
        <v>9175.5568800000001</v>
      </c>
      <c r="CU1024">
        <v>1.46</v>
      </c>
      <c r="CV1024">
        <v>1507</v>
      </c>
      <c r="CX1024" t="s">
        <v>2028</v>
      </c>
      <c r="CY1024">
        <v>548</v>
      </c>
    </row>
    <row r="1025" spans="1:103" x14ac:dyDescent="0.25">
      <c r="A1025" t="s">
        <v>106</v>
      </c>
      <c r="B1025" s="38">
        <v>45139</v>
      </c>
      <c r="C1025" s="43">
        <f>IF(YEAR(Таблица1[[#This Row],[Дата]])=2023,MONTH(Таблица1[[#This Row],[Дата]]),0)</f>
        <v>8</v>
      </c>
      <c r="D1025" t="s">
        <v>2024</v>
      </c>
      <c r="E1025" t="s">
        <v>731</v>
      </c>
      <c r="F1025" t="s">
        <v>2025</v>
      </c>
      <c r="G1025" t="s">
        <v>110</v>
      </c>
      <c r="H1025" t="s">
        <v>733</v>
      </c>
      <c r="I1025" t="s">
        <v>112</v>
      </c>
      <c r="J1025" t="s">
        <v>112</v>
      </c>
      <c r="K1025" t="s">
        <v>112</v>
      </c>
      <c r="L1025" t="s">
        <v>734</v>
      </c>
      <c r="M1025" t="s">
        <v>2026</v>
      </c>
      <c r="N1025" t="s">
        <v>112</v>
      </c>
      <c r="O1025" t="s">
        <v>112</v>
      </c>
      <c r="P1025">
        <v>2</v>
      </c>
      <c r="R1025">
        <v>2</v>
      </c>
      <c r="S1025">
        <v>31</v>
      </c>
      <c r="T1025" t="s">
        <v>112</v>
      </c>
      <c r="U1025" t="s">
        <v>112</v>
      </c>
      <c r="V1025" t="s">
        <v>736</v>
      </c>
      <c r="W1025" t="s">
        <v>737</v>
      </c>
      <c r="X1025" t="s">
        <v>742</v>
      </c>
      <c r="Y1025" t="s">
        <v>112</v>
      </c>
      <c r="Z1025" t="s">
        <v>112</v>
      </c>
      <c r="AA1025" t="s">
        <v>739</v>
      </c>
      <c r="AB1025" t="s">
        <v>740</v>
      </c>
      <c r="AC1025" t="s">
        <v>741</v>
      </c>
      <c r="AD1025" t="s">
        <v>742</v>
      </c>
      <c r="AE1025" t="s">
        <v>112</v>
      </c>
      <c r="AF1025" t="s">
        <v>121</v>
      </c>
      <c r="AG1025" t="s">
        <v>122</v>
      </c>
      <c r="AH1025">
        <v>0</v>
      </c>
      <c r="AI1025" t="s">
        <v>112</v>
      </c>
      <c r="AJ1025" t="s">
        <v>739</v>
      </c>
      <c r="AK1025" t="s">
        <v>740</v>
      </c>
      <c r="AL1025" t="s">
        <v>741</v>
      </c>
      <c r="AM1025" t="s">
        <v>742</v>
      </c>
      <c r="AN1025" t="s">
        <v>112</v>
      </c>
      <c r="AO1025" t="s">
        <v>121</v>
      </c>
      <c r="AP1025" t="s">
        <v>122</v>
      </c>
      <c r="AQ1025" t="s">
        <v>122</v>
      </c>
      <c r="AR1025" t="s">
        <v>124</v>
      </c>
      <c r="AS1025" t="s">
        <v>125</v>
      </c>
      <c r="AT1025">
        <v>2</v>
      </c>
      <c r="AU1025" t="s">
        <v>126</v>
      </c>
      <c r="AV1025" t="s">
        <v>127</v>
      </c>
      <c r="AW1025" t="s">
        <v>744</v>
      </c>
      <c r="AY1025" t="s">
        <v>129</v>
      </c>
      <c r="AZ1025">
        <v>16322.67</v>
      </c>
      <c r="BC1025">
        <v>99.553399999999996</v>
      </c>
      <c r="BD1025" t="s">
        <v>112</v>
      </c>
      <c r="BE1025" t="s">
        <v>746</v>
      </c>
      <c r="BF1025" t="s">
        <v>747</v>
      </c>
      <c r="BG1025" t="s">
        <v>133</v>
      </c>
      <c r="BH1025" t="s">
        <v>167</v>
      </c>
      <c r="BI1025" t="s">
        <v>112</v>
      </c>
      <c r="BJ1025" t="s">
        <v>112</v>
      </c>
      <c r="BK1025" t="s">
        <v>112</v>
      </c>
      <c r="BL1025" t="s">
        <v>749</v>
      </c>
      <c r="BM1025" t="s">
        <v>750</v>
      </c>
      <c r="BN1025" t="s">
        <v>2027</v>
      </c>
      <c r="BO1025" t="s">
        <v>752</v>
      </c>
      <c r="BQ1025" t="s">
        <v>466</v>
      </c>
      <c r="BR1025" s="45">
        <f>ISNUMBER(SEARCH($BR$1,Таблица1[[#This Row],[31_1 Описание и характеристика товара]]))*1</f>
        <v>1</v>
      </c>
      <c r="BT1025" t="s">
        <v>734</v>
      </c>
      <c r="BU1025">
        <v>19</v>
      </c>
      <c r="BV1025">
        <v>0</v>
      </c>
      <c r="BW1025">
        <v>0</v>
      </c>
      <c r="BY1025">
        <v>0</v>
      </c>
      <c r="CA1025" t="s">
        <v>596</v>
      </c>
      <c r="CB1025" t="s">
        <v>758</v>
      </c>
      <c r="CC1025" t="s">
        <v>112</v>
      </c>
      <c r="CD1025" t="s">
        <v>112</v>
      </c>
      <c r="CE1025" t="s">
        <v>121</v>
      </c>
      <c r="CF1025">
        <v>13111.63</v>
      </c>
      <c r="CG1025" t="s">
        <v>753</v>
      </c>
      <c r="CH1025">
        <v>7000000</v>
      </c>
      <c r="CI1025">
        <v>13092.63</v>
      </c>
      <c r="CJ1025">
        <v>0</v>
      </c>
      <c r="CK1025" t="s">
        <v>112</v>
      </c>
      <c r="CL1025" t="s">
        <v>112</v>
      </c>
      <c r="CM1025">
        <v>9083.85</v>
      </c>
      <c r="CQ1025">
        <v>0</v>
      </c>
      <c r="CR1025">
        <v>12365.67</v>
      </c>
      <c r="CS1025" t="s">
        <v>145</v>
      </c>
      <c r="CT1025">
        <v>12307.072199999999</v>
      </c>
      <c r="CU1025">
        <v>0.94</v>
      </c>
      <c r="CV1025">
        <v>1507</v>
      </c>
      <c r="CX1025" t="s">
        <v>2028</v>
      </c>
      <c r="CY1025">
        <v>548</v>
      </c>
    </row>
    <row r="1026" spans="1:103" x14ac:dyDescent="0.25">
      <c r="A1026" s="8" t="s">
        <v>106</v>
      </c>
      <c r="B1026" s="38">
        <v>44960</v>
      </c>
      <c r="C1026" s="43">
        <f>IF(YEAR(Таблица1[[#This Row],[Дата]])=2023,MONTH(Таблица1[[#This Row],[Дата]]),0)</f>
        <v>2</v>
      </c>
      <c r="D1026" s="8" t="s">
        <v>2766</v>
      </c>
      <c r="E1026" s="8" t="s">
        <v>731</v>
      </c>
      <c r="F1026" s="8" t="s">
        <v>2767</v>
      </c>
      <c r="G1026" t="s">
        <v>110</v>
      </c>
      <c r="H1026" s="8" t="s">
        <v>2284</v>
      </c>
      <c r="I1026" s="8" t="s">
        <v>112</v>
      </c>
      <c r="J1026" s="8" t="s">
        <v>112</v>
      </c>
      <c r="K1026" s="8" t="s">
        <v>112</v>
      </c>
      <c r="L1026" s="8" t="s">
        <v>2768</v>
      </c>
      <c r="M1026" s="8" t="s">
        <v>2769</v>
      </c>
      <c r="N1026" s="8" t="s">
        <v>112</v>
      </c>
      <c r="O1026" s="8" t="s">
        <v>112</v>
      </c>
      <c r="P1026">
        <v>8</v>
      </c>
      <c r="R1026">
        <v>22</v>
      </c>
      <c r="S1026">
        <v>8</v>
      </c>
      <c r="T1026" s="8" t="s">
        <v>2770</v>
      </c>
      <c r="U1026" s="8" t="s">
        <v>2771</v>
      </c>
      <c r="V1026" s="8" t="s">
        <v>2772</v>
      </c>
      <c r="W1026" s="8" t="s">
        <v>2773</v>
      </c>
      <c r="X1026" s="8" t="s">
        <v>742</v>
      </c>
      <c r="Y1026" s="8" t="s">
        <v>2774</v>
      </c>
      <c r="Z1026" s="8" t="s">
        <v>2770</v>
      </c>
      <c r="AA1026" s="8" t="s">
        <v>2771</v>
      </c>
      <c r="AB1026" s="8" t="s">
        <v>2772</v>
      </c>
      <c r="AC1026" s="8" t="s">
        <v>2773</v>
      </c>
      <c r="AD1026" s="8" t="s">
        <v>742</v>
      </c>
      <c r="AE1026" s="8" t="s">
        <v>2774</v>
      </c>
      <c r="AF1026" s="8" t="s">
        <v>2775</v>
      </c>
      <c r="AG1026" s="8" t="s">
        <v>2776</v>
      </c>
      <c r="AH1026">
        <v>3566977.64</v>
      </c>
      <c r="AI1026" s="8" t="s">
        <v>2770</v>
      </c>
      <c r="AJ1026" s="8" t="s">
        <v>2771</v>
      </c>
      <c r="AK1026" s="8" t="s">
        <v>2772</v>
      </c>
      <c r="AL1026" s="8" t="s">
        <v>2773</v>
      </c>
      <c r="AM1026" s="8" t="s">
        <v>742</v>
      </c>
      <c r="AN1026" s="8" t="s">
        <v>2774</v>
      </c>
      <c r="AO1026" s="8" t="s">
        <v>2777</v>
      </c>
      <c r="AP1026" s="8" t="s">
        <v>2778</v>
      </c>
      <c r="AQ1026" s="8" t="s">
        <v>2164</v>
      </c>
      <c r="AR1026" s="8" t="s">
        <v>124</v>
      </c>
      <c r="AS1026" s="8" t="s">
        <v>125</v>
      </c>
      <c r="AT1026">
        <v>2</v>
      </c>
      <c r="AU1026" s="8" t="s">
        <v>126</v>
      </c>
      <c r="AV1026" s="8" t="s">
        <v>2318</v>
      </c>
      <c r="AW1026" s="8" t="s">
        <v>2292</v>
      </c>
      <c r="AX1026">
        <v>1</v>
      </c>
      <c r="AY1026" s="8" t="s">
        <v>129</v>
      </c>
      <c r="AZ1026">
        <v>48835.48</v>
      </c>
      <c r="BA1026">
        <v>3566978</v>
      </c>
      <c r="BB1026">
        <v>51939.21</v>
      </c>
      <c r="BC1026">
        <v>73.040700000000001</v>
      </c>
      <c r="BD1026" s="8" t="s">
        <v>745</v>
      </c>
      <c r="BE1026" s="8" t="s">
        <v>112</v>
      </c>
      <c r="BF1026" s="8" t="s">
        <v>2779</v>
      </c>
      <c r="BG1026" s="8" t="s">
        <v>133</v>
      </c>
      <c r="BH1026" s="8" t="s">
        <v>167</v>
      </c>
      <c r="BI1026" s="8" t="s">
        <v>2339</v>
      </c>
      <c r="BJ1026" s="8" t="s">
        <v>112</v>
      </c>
      <c r="BK1026" s="8" t="s">
        <v>112</v>
      </c>
      <c r="BL1026" s="8" t="s">
        <v>2780</v>
      </c>
      <c r="BM1026" s="8" t="s">
        <v>2781</v>
      </c>
      <c r="BN1026" s="8" t="s">
        <v>2782</v>
      </c>
      <c r="BO1026" s="8" t="s">
        <v>2299</v>
      </c>
      <c r="BP1026">
        <v>2</v>
      </c>
      <c r="BQ1026" s="8" t="s">
        <v>2783</v>
      </c>
      <c r="BR1026" s="45">
        <f>ISNUMBER(SEARCH($BR$1,Таблица1[[#This Row],[31_1 Описание и характеристика товара]]))*1</f>
        <v>0</v>
      </c>
      <c r="BT1026" s="8" t="s">
        <v>2784</v>
      </c>
      <c r="BU1026">
        <v>2</v>
      </c>
      <c r="BW1026">
        <v>16</v>
      </c>
      <c r="BX1026" t="s">
        <v>2147</v>
      </c>
      <c r="CA1026" s="8" t="s">
        <v>596</v>
      </c>
      <c r="CB1026" s="8" t="s">
        <v>2148</v>
      </c>
      <c r="CC1026" s="8" t="s">
        <v>112</v>
      </c>
      <c r="CD1026" s="8" t="s">
        <v>112</v>
      </c>
      <c r="CE1026" s="8" t="s">
        <v>2163</v>
      </c>
      <c r="CF1026">
        <v>648</v>
      </c>
      <c r="CG1026" t="s">
        <v>2302</v>
      </c>
      <c r="CH1026">
        <v>7800000</v>
      </c>
      <c r="CI1026">
        <v>648</v>
      </c>
      <c r="CK1026" s="8" t="s">
        <v>112</v>
      </c>
      <c r="CL1026" s="8" t="s">
        <v>112</v>
      </c>
      <c r="CM1026">
        <v>9543.43</v>
      </c>
      <c r="CN1026">
        <v>697059</v>
      </c>
      <c r="CO1026">
        <v>0</v>
      </c>
      <c r="CP1026">
        <v>1</v>
      </c>
      <c r="CQ1026">
        <v>697058.81</v>
      </c>
      <c r="CR1026">
        <v>10149.959999999901</v>
      </c>
      <c r="CS1026" s="8" t="s">
        <v>145</v>
      </c>
      <c r="CT1026">
        <v>15.663500000000001</v>
      </c>
      <c r="CX1026" t="s">
        <v>2785</v>
      </c>
      <c r="CY1026">
        <v>722</v>
      </c>
    </row>
    <row r="1027" spans="1:103" x14ac:dyDescent="0.25">
      <c r="A1027" s="8" t="s">
        <v>106</v>
      </c>
      <c r="B1027" s="38">
        <v>45037</v>
      </c>
      <c r="C1027" s="43">
        <f>IF(YEAR(Таблица1[[#This Row],[Дата]])=2023,MONTH(Таблица1[[#This Row],[Дата]]),0)</f>
        <v>4</v>
      </c>
      <c r="D1027" s="8" t="s">
        <v>2766</v>
      </c>
      <c r="E1027" s="8" t="s">
        <v>731</v>
      </c>
      <c r="F1027" s="8" t="s">
        <v>2767</v>
      </c>
      <c r="G1027" t="s">
        <v>110</v>
      </c>
      <c r="H1027" s="8" t="s">
        <v>2284</v>
      </c>
      <c r="I1027" s="8" t="s">
        <v>112</v>
      </c>
      <c r="J1027" s="8" t="s">
        <v>112</v>
      </c>
      <c r="K1027" s="8" t="s">
        <v>112</v>
      </c>
      <c r="L1027" s="8" t="s">
        <v>2768</v>
      </c>
      <c r="M1027" s="8" t="s">
        <v>2769</v>
      </c>
      <c r="N1027" s="8" t="s">
        <v>112</v>
      </c>
      <c r="O1027" s="8" t="s">
        <v>112</v>
      </c>
      <c r="P1027">
        <v>8</v>
      </c>
      <c r="R1027">
        <v>22</v>
      </c>
      <c r="S1027">
        <v>8</v>
      </c>
      <c r="T1027" s="8" t="s">
        <v>2770</v>
      </c>
      <c r="U1027" s="8" t="s">
        <v>2771</v>
      </c>
      <c r="V1027" s="8" t="s">
        <v>2772</v>
      </c>
      <c r="W1027" s="8" t="s">
        <v>2773</v>
      </c>
      <c r="X1027" s="8" t="s">
        <v>742</v>
      </c>
      <c r="Y1027" s="8" t="s">
        <v>2774</v>
      </c>
      <c r="Z1027" s="8" t="s">
        <v>2770</v>
      </c>
      <c r="AA1027" s="8" t="s">
        <v>2771</v>
      </c>
      <c r="AB1027" s="8" t="s">
        <v>2772</v>
      </c>
      <c r="AC1027" s="8" t="s">
        <v>2773</v>
      </c>
      <c r="AD1027" s="8" t="s">
        <v>742</v>
      </c>
      <c r="AE1027" s="8" t="s">
        <v>2774</v>
      </c>
      <c r="AF1027" s="8" t="s">
        <v>2775</v>
      </c>
      <c r="AG1027" s="8" t="s">
        <v>2776</v>
      </c>
      <c r="AH1027">
        <v>3566977.64</v>
      </c>
      <c r="AI1027" s="8" t="s">
        <v>2770</v>
      </c>
      <c r="AJ1027" s="8" t="s">
        <v>2771</v>
      </c>
      <c r="AK1027" s="8" t="s">
        <v>2772</v>
      </c>
      <c r="AL1027" s="8" t="s">
        <v>2773</v>
      </c>
      <c r="AM1027" s="8" t="s">
        <v>742</v>
      </c>
      <c r="AN1027" s="8" t="s">
        <v>2774</v>
      </c>
      <c r="AO1027" s="8" t="s">
        <v>2777</v>
      </c>
      <c r="AP1027" s="8" t="s">
        <v>2778</v>
      </c>
      <c r="AQ1027" s="8" t="s">
        <v>2164</v>
      </c>
      <c r="AR1027" s="8" t="s">
        <v>124</v>
      </c>
      <c r="AS1027" s="8" t="s">
        <v>125</v>
      </c>
      <c r="AT1027">
        <v>2</v>
      </c>
      <c r="AU1027" s="8" t="s">
        <v>126</v>
      </c>
      <c r="AV1027" s="8" t="s">
        <v>2318</v>
      </c>
      <c r="AW1027" s="8" t="s">
        <v>2292</v>
      </c>
      <c r="AX1027">
        <v>1</v>
      </c>
      <c r="AY1027" s="8" t="s">
        <v>129</v>
      </c>
      <c r="AZ1027">
        <v>48835.48</v>
      </c>
      <c r="BA1027">
        <v>3566978</v>
      </c>
      <c r="BB1027">
        <v>51939.21</v>
      </c>
      <c r="BC1027">
        <v>73.040700000000001</v>
      </c>
      <c r="BD1027" s="8" t="s">
        <v>745</v>
      </c>
      <c r="BE1027" s="8" t="s">
        <v>112</v>
      </c>
      <c r="BF1027" s="8" t="s">
        <v>2779</v>
      </c>
      <c r="BG1027" s="8" t="s">
        <v>133</v>
      </c>
      <c r="BH1027" s="8" t="s">
        <v>167</v>
      </c>
      <c r="BI1027" s="8" t="s">
        <v>2339</v>
      </c>
      <c r="BJ1027" s="8" t="s">
        <v>112</v>
      </c>
      <c r="BK1027" s="8" t="s">
        <v>112</v>
      </c>
      <c r="BL1027" s="8" t="s">
        <v>2780</v>
      </c>
      <c r="BM1027" s="8" t="s">
        <v>2781</v>
      </c>
      <c r="BN1027" s="8" t="s">
        <v>2782</v>
      </c>
      <c r="BO1027" s="8" t="s">
        <v>2299</v>
      </c>
      <c r="BP1027">
        <v>1</v>
      </c>
      <c r="BQ1027" s="8" t="s">
        <v>2786</v>
      </c>
      <c r="BR1027" s="45">
        <f>ISNUMBER(SEARCH($BR$1,Таблица1[[#This Row],[31_1 Описание и характеристика товара]]))*1</f>
        <v>0</v>
      </c>
      <c r="BT1027" s="8" t="s">
        <v>2784</v>
      </c>
      <c r="BU1027">
        <v>4</v>
      </c>
      <c r="BW1027">
        <v>18</v>
      </c>
      <c r="BX1027" t="s">
        <v>2147</v>
      </c>
      <c r="CA1027" s="8" t="s">
        <v>106</v>
      </c>
      <c r="CB1027" s="8" t="s">
        <v>2148</v>
      </c>
      <c r="CC1027" s="8" t="s">
        <v>112</v>
      </c>
      <c r="CD1027" s="8" t="s">
        <v>112</v>
      </c>
      <c r="CE1027" s="8" t="s">
        <v>2163</v>
      </c>
      <c r="CF1027">
        <v>941</v>
      </c>
      <c r="CG1027" t="s">
        <v>2302</v>
      </c>
      <c r="CH1027">
        <v>7800000</v>
      </c>
      <c r="CI1027">
        <v>941</v>
      </c>
      <c r="CK1027" s="8" t="s">
        <v>112</v>
      </c>
      <c r="CL1027" s="8" t="s">
        <v>112</v>
      </c>
      <c r="CM1027">
        <v>27921.69</v>
      </c>
      <c r="CN1027">
        <v>2039420</v>
      </c>
      <c r="CO1027">
        <v>0</v>
      </c>
      <c r="CP1027">
        <v>1</v>
      </c>
      <c r="CQ1027">
        <v>2039419.78</v>
      </c>
      <c r="CR1027">
        <v>29696.25</v>
      </c>
      <c r="CS1027" s="8" t="s">
        <v>145</v>
      </c>
      <c r="CT1027">
        <v>31.558199999999999</v>
      </c>
      <c r="CX1027" t="s">
        <v>2785</v>
      </c>
      <c r="CY1027">
        <v>722</v>
      </c>
    </row>
    <row r="1028" spans="1:103" x14ac:dyDescent="0.25">
      <c r="A1028" s="8" t="s">
        <v>126</v>
      </c>
      <c r="B1028" s="38">
        <v>45158</v>
      </c>
      <c r="C1028" s="43">
        <f>IF(YEAR(Таблица1[[#This Row],[Дата]])=2023,MONTH(Таблица1[[#This Row],[Дата]]),0)</f>
        <v>8</v>
      </c>
      <c r="D1028" s="8" t="s">
        <v>2787</v>
      </c>
      <c r="E1028" s="8" t="s">
        <v>731</v>
      </c>
      <c r="F1028" s="8" t="s">
        <v>2788</v>
      </c>
      <c r="G1028" t="s">
        <v>110</v>
      </c>
      <c r="H1028" s="8" t="s">
        <v>111</v>
      </c>
      <c r="I1028" s="8" t="s">
        <v>112</v>
      </c>
      <c r="J1028" s="8" t="s">
        <v>112</v>
      </c>
      <c r="K1028" s="8" t="s">
        <v>112</v>
      </c>
      <c r="L1028" s="8" t="s">
        <v>2768</v>
      </c>
      <c r="M1028" s="8" t="s">
        <v>2789</v>
      </c>
      <c r="N1028" s="8" t="s">
        <v>112</v>
      </c>
      <c r="O1028" s="8" t="s">
        <v>112</v>
      </c>
      <c r="P1028">
        <v>1</v>
      </c>
      <c r="Q1028">
        <v>0</v>
      </c>
      <c r="R1028">
        <v>1</v>
      </c>
      <c r="S1028">
        <v>1</v>
      </c>
      <c r="T1028" s="8" t="s">
        <v>2770</v>
      </c>
      <c r="U1028" s="8" t="s">
        <v>2771</v>
      </c>
      <c r="V1028" s="8" t="s">
        <v>2772</v>
      </c>
      <c r="W1028" s="8" t="s">
        <v>2773</v>
      </c>
      <c r="X1028" s="8" t="s">
        <v>742</v>
      </c>
      <c r="Y1028" s="8" t="s">
        <v>2774</v>
      </c>
      <c r="Z1028" s="8" t="s">
        <v>2770</v>
      </c>
      <c r="AA1028" s="8" t="s">
        <v>2771</v>
      </c>
      <c r="AB1028" s="8" t="s">
        <v>2772</v>
      </c>
      <c r="AC1028" s="8" t="s">
        <v>2773</v>
      </c>
      <c r="AD1028" s="8" t="s">
        <v>742</v>
      </c>
      <c r="AE1028" s="8" t="s">
        <v>2774</v>
      </c>
      <c r="AF1028" s="8" t="s">
        <v>2775</v>
      </c>
      <c r="AG1028" s="8" t="s">
        <v>2776</v>
      </c>
      <c r="AH1028">
        <v>140317.1</v>
      </c>
      <c r="AI1028" s="8" t="s">
        <v>2770</v>
      </c>
      <c r="AJ1028" s="8" t="s">
        <v>2771</v>
      </c>
      <c r="AK1028" s="8" t="s">
        <v>2772</v>
      </c>
      <c r="AL1028" s="8" t="s">
        <v>2773</v>
      </c>
      <c r="AM1028" s="8" t="s">
        <v>742</v>
      </c>
      <c r="AN1028" s="8" t="s">
        <v>2774</v>
      </c>
      <c r="AO1028" s="8" t="s">
        <v>2777</v>
      </c>
      <c r="AP1028" s="8" t="s">
        <v>2778</v>
      </c>
      <c r="AQ1028" s="8" t="s">
        <v>2164</v>
      </c>
      <c r="AR1028" s="8" t="s">
        <v>124</v>
      </c>
      <c r="AS1028" s="8" t="s">
        <v>125</v>
      </c>
      <c r="AT1028">
        <v>2</v>
      </c>
      <c r="AU1028" s="8" t="s">
        <v>126</v>
      </c>
      <c r="AV1028" s="8" t="s">
        <v>2318</v>
      </c>
      <c r="AW1028" s="8" t="s">
        <v>2292</v>
      </c>
      <c r="AX1028">
        <v>1</v>
      </c>
      <c r="AY1028" s="8" t="s">
        <v>129</v>
      </c>
      <c r="AZ1028">
        <v>1830.75</v>
      </c>
      <c r="BA1028">
        <v>140317</v>
      </c>
      <c r="BB1028">
        <v>1945.32</v>
      </c>
      <c r="BC1028">
        <v>76.644599999999897</v>
      </c>
      <c r="BD1028" s="8" t="s">
        <v>745</v>
      </c>
      <c r="BE1028" s="8" t="s">
        <v>112</v>
      </c>
      <c r="BF1028" s="8" t="s">
        <v>2779</v>
      </c>
      <c r="BG1028" s="8" t="s">
        <v>133</v>
      </c>
      <c r="BH1028" s="8" t="s">
        <v>167</v>
      </c>
      <c r="BI1028" s="8" t="s">
        <v>2339</v>
      </c>
      <c r="BJ1028" s="8" t="s">
        <v>112</v>
      </c>
      <c r="BK1028" s="8" t="s">
        <v>112</v>
      </c>
      <c r="BL1028" s="8" t="s">
        <v>2780</v>
      </c>
      <c r="BM1028" s="8" t="s">
        <v>2781</v>
      </c>
      <c r="BN1028" s="8" t="s">
        <v>2782</v>
      </c>
      <c r="BO1028" s="8" t="s">
        <v>2299</v>
      </c>
      <c r="BP1028">
        <v>1</v>
      </c>
      <c r="BQ1028" s="8" t="s">
        <v>2790</v>
      </c>
      <c r="BR1028" s="45">
        <f>ISNUMBER(SEARCH($BR$1,Таблица1[[#This Row],[31_1 Описание и характеристика товара]]))*1</f>
        <v>0</v>
      </c>
      <c r="BT1028" s="8" t="s">
        <v>2784</v>
      </c>
      <c r="BU1028">
        <v>1</v>
      </c>
      <c r="BV1028">
        <v>0</v>
      </c>
      <c r="BW1028">
        <v>1</v>
      </c>
      <c r="BX1028" t="s">
        <v>2147</v>
      </c>
      <c r="BY1028">
        <v>0</v>
      </c>
      <c r="CA1028" s="8" t="s">
        <v>106</v>
      </c>
      <c r="CB1028" s="8" t="s">
        <v>2148</v>
      </c>
      <c r="CC1028" s="8" t="s">
        <v>112</v>
      </c>
      <c r="CD1028" s="8" t="s">
        <v>112</v>
      </c>
      <c r="CE1028" s="8" t="s">
        <v>2163</v>
      </c>
      <c r="CF1028">
        <v>70</v>
      </c>
      <c r="CG1028" t="s">
        <v>144</v>
      </c>
      <c r="CH1028">
        <v>4000064</v>
      </c>
      <c r="CI1028">
        <v>70</v>
      </c>
      <c r="CJ1028">
        <v>0</v>
      </c>
      <c r="CK1028" s="8" t="s">
        <v>112</v>
      </c>
      <c r="CL1028" s="8" t="s">
        <v>112</v>
      </c>
      <c r="CM1028">
        <v>1830.75</v>
      </c>
      <c r="CN1028">
        <v>140317</v>
      </c>
      <c r="CO1028">
        <v>0</v>
      </c>
      <c r="CP1028">
        <v>1</v>
      </c>
      <c r="CQ1028">
        <v>140317.1</v>
      </c>
      <c r="CR1028">
        <v>1945.32</v>
      </c>
      <c r="CS1028" s="8" t="s">
        <v>145</v>
      </c>
      <c r="CT1028">
        <v>27.790299999999998</v>
      </c>
      <c r="CX1028" t="s">
        <v>2785</v>
      </c>
      <c r="CY1028">
        <v>11</v>
      </c>
    </row>
    <row r="1029" spans="1:103" x14ac:dyDescent="0.25">
      <c r="A1029" s="8" t="s">
        <v>106</v>
      </c>
      <c r="B1029" s="38">
        <v>45117</v>
      </c>
      <c r="C1029" s="43">
        <f>IF(YEAR(Таблица1[[#This Row],[Дата]])=2023,MONTH(Таблица1[[#This Row],[Дата]]),0)</f>
        <v>7</v>
      </c>
      <c r="D1029" s="8" t="s">
        <v>2822</v>
      </c>
      <c r="E1029" s="8" t="s">
        <v>731</v>
      </c>
      <c r="F1029" s="8" t="s">
        <v>2823</v>
      </c>
      <c r="G1029" t="s">
        <v>110</v>
      </c>
      <c r="H1029" s="8" t="s">
        <v>2284</v>
      </c>
      <c r="I1029" s="8" t="s">
        <v>112</v>
      </c>
      <c r="J1029" s="8" t="s">
        <v>112</v>
      </c>
      <c r="K1029" s="8" t="s">
        <v>112</v>
      </c>
      <c r="L1029" s="8" t="s">
        <v>2824</v>
      </c>
      <c r="M1029" s="8" t="s">
        <v>2789</v>
      </c>
      <c r="N1029" s="8" t="s">
        <v>112</v>
      </c>
      <c r="O1029" s="8" t="s">
        <v>112</v>
      </c>
      <c r="P1029">
        <v>3</v>
      </c>
      <c r="Q1029">
        <v>0</v>
      </c>
      <c r="R1029">
        <v>6</v>
      </c>
      <c r="S1029">
        <v>7</v>
      </c>
      <c r="T1029" s="8" t="s">
        <v>2770</v>
      </c>
      <c r="U1029" s="8" t="s">
        <v>2771</v>
      </c>
      <c r="V1029" s="8" t="s">
        <v>2772</v>
      </c>
      <c r="W1029" s="8" t="s">
        <v>2773</v>
      </c>
      <c r="X1029" s="8" t="s">
        <v>742</v>
      </c>
      <c r="Y1029" s="8" t="s">
        <v>2774</v>
      </c>
      <c r="Z1029" s="8" t="s">
        <v>2770</v>
      </c>
      <c r="AA1029" s="8" t="s">
        <v>2771</v>
      </c>
      <c r="AB1029" s="8" t="s">
        <v>2772</v>
      </c>
      <c r="AC1029" s="8" t="s">
        <v>2773</v>
      </c>
      <c r="AD1029" s="8" t="s">
        <v>742</v>
      </c>
      <c r="AE1029" s="8" t="s">
        <v>2774</v>
      </c>
      <c r="AF1029" s="8" t="s">
        <v>2775</v>
      </c>
      <c r="AG1029" s="8" t="s">
        <v>2776</v>
      </c>
      <c r="AH1029">
        <v>2592513.54999999</v>
      </c>
      <c r="AI1029" s="8" t="s">
        <v>2770</v>
      </c>
      <c r="AJ1029" s="8" t="s">
        <v>2771</v>
      </c>
      <c r="AK1029" s="8" t="s">
        <v>2772</v>
      </c>
      <c r="AL1029" s="8" t="s">
        <v>2773</v>
      </c>
      <c r="AM1029" s="8" t="s">
        <v>742</v>
      </c>
      <c r="AN1029" s="8" t="s">
        <v>2774</v>
      </c>
      <c r="AO1029" s="8" t="s">
        <v>2777</v>
      </c>
      <c r="AP1029" s="8" t="s">
        <v>2778</v>
      </c>
      <c r="AQ1029" s="8" t="s">
        <v>2164</v>
      </c>
      <c r="AR1029" s="8" t="s">
        <v>124</v>
      </c>
      <c r="AS1029" s="8" t="s">
        <v>125</v>
      </c>
      <c r="AT1029">
        <v>2</v>
      </c>
      <c r="AU1029" s="8" t="s">
        <v>126</v>
      </c>
      <c r="AV1029" s="8" t="s">
        <v>2318</v>
      </c>
      <c r="AW1029" s="8" t="s">
        <v>2292</v>
      </c>
      <c r="AX1029">
        <v>1</v>
      </c>
      <c r="AY1029" s="8" t="s">
        <v>129</v>
      </c>
      <c r="AZ1029">
        <v>33825.129999999903</v>
      </c>
      <c r="BA1029">
        <v>2592514</v>
      </c>
      <c r="BB1029">
        <v>35941.93</v>
      </c>
      <c r="BC1029">
        <v>76.644599999999897</v>
      </c>
      <c r="BD1029" s="8" t="s">
        <v>745</v>
      </c>
      <c r="BE1029" s="8" t="s">
        <v>112</v>
      </c>
      <c r="BF1029" s="8" t="s">
        <v>2779</v>
      </c>
      <c r="BG1029" s="8" t="s">
        <v>133</v>
      </c>
      <c r="BH1029" s="8" t="s">
        <v>167</v>
      </c>
      <c r="BI1029" s="8" t="s">
        <v>2339</v>
      </c>
      <c r="BJ1029" s="8" t="s">
        <v>112</v>
      </c>
      <c r="BK1029" s="8" t="s">
        <v>112</v>
      </c>
      <c r="BL1029" s="8" t="s">
        <v>749</v>
      </c>
      <c r="BM1029" s="8" t="s">
        <v>2781</v>
      </c>
      <c r="BN1029" s="8" t="s">
        <v>2782</v>
      </c>
      <c r="BO1029" s="8" t="s">
        <v>2299</v>
      </c>
      <c r="BP1029">
        <v>2</v>
      </c>
      <c r="BQ1029" s="8" t="s">
        <v>2825</v>
      </c>
      <c r="BR1029" s="45">
        <f>ISNUMBER(SEARCH($BR$1,Таблица1[[#This Row],[31_1 Описание и характеристика товара]]))*1</f>
        <v>0</v>
      </c>
      <c r="BT1029" s="8" t="s">
        <v>2826</v>
      </c>
      <c r="BU1029">
        <v>3</v>
      </c>
      <c r="BV1029">
        <v>0</v>
      </c>
      <c r="BW1029">
        <v>3</v>
      </c>
      <c r="BX1029" t="s">
        <v>2147</v>
      </c>
      <c r="BY1029">
        <v>0</v>
      </c>
      <c r="CA1029" s="8" t="s">
        <v>596</v>
      </c>
      <c r="CB1029" s="8" t="s">
        <v>2467</v>
      </c>
      <c r="CC1029" s="8" t="s">
        <v>112</v>
      </c>
      <c r="CD1029" s="8" t="s">
        <v>112</v>
      </c>
      <c r="CE1029" s="8" t="s">
        <v>2163</v>
      </c>
      <c r="CF1029">
        <v>435</v>
      </c>
      <c r="CG1029" t="s">
        <v>2302</v>
      </c>
      <c r="CH1029">
        <v>7800000</v>
      </c>
      <c r="CI1029">
        <v>405</v>
      </c>
      <c r="CJ1029">
        <v>0</v>
      </c>
      <c r="CK1029" s="8" t="s">
        <v>112</v>
      </c>
      <c r="CL1029" s="8" t="s">
        <v>112</v>
      </c>
      <c r="CM1029">
        <v>3869.8</v>
      </c>
      <c r="CN1029">
        <v>296599</v>
      </c>
      <c r="CO1029">
        <v>0</v>
      </c>
      <c r="CP1029">
        <v>1</v>
      </c>
      <c r="CQ1029">
        <v>296599.27</v>
      </c>
      <c r="CR1029">
        <v>4111.9799999999896</v>
      </c>
      <c r="CS1029" s="8" t="s">
        <v>145</v>
      </c>
      <c r="CT1029">
        <v>10.153</v>
      </c>
      <c r="CX1029" t="s">
        <v>2785</v>
      </c>
      <c r="CY1029">
        <v>367</v>
      </c>
    </row>
    <row r="1030" spans="1:103" x14ac:dyDescent="0.25">
      <c r="A1030" s="8" t="s">
        <v>106</v>
      </c>
      <c r="B1030" s="38">
        <v>45210</v>
      </c>
      <c r="C1030" s="43">
        <f>IF(YEAR(Таблица1[[#This Row],[Дата]])=2023,MONTH(Таблица1[[#This Row],[Дата]]),0)</f>
        <v>10</v>
      </c>
      <c r="D1030" s="8" t="s">
        <v>2929</v>
      </c>
      <c r="E1030" s="8" t="s">
        <v>731</v>
      </c>
      <c r="F1030" s="8" t="s">
        <v>2930</v>
      </c>
      <c r="G1030" t="s">
        <v>110</v>
      </c>
      <c r="H1030" s="8" t="s">
        <v>2284</v>
      </c>
      <c r="I1030" s="8" t="s">
        <v>112</v>
      </c>
      <c r="J1030" s="8" t="s">
        <v>112</v>
      </c>
      <c r="K1030" s="8" t="s">
        <v>112</v>
      </c>
      <c r="L1030" s="8" t="s">
        <v>2285</v>
      </c>
      <c r="M1030" s="8" t="s">
        <v>2286</v>
      </c>
      <c r="N1030" s="8" t="s">
        <v>112</v>
      </c>
      <c r="O1030" s="8" t="s">
        <v>112</v>
      </c>
      <c r="P1030">
        <v>1</v>
      </c>
      <c r="R1030">
        <v>1</v>
      </c>
      <c r="S1030">
        <v>26</v>
      </c>
      <c r="T1030" s="8" t="s">
        <v>2287</v>
      </c>
      <c r="U1030" s="8" t="s">
        <v>2288</v>
      </c>
      <c r="V1030" s="8" t="s">
        <v>2289</v>
      </c>
      <c r="W1030" s="8" t="s">
        <v>2290</v>
      </c>
      <c r="X1030" s="8" t="s">
        <v>742</v>
      </c>
      <c r="Y1030" s="8" t="s">
        <v>743</v>
      </c>
      <c r="Z1030" s="8" t="s">
        <v>2287</v>
      </c>
      <c r="AA1030" s="8" t="s">
        <v>2288</v>
      </c>
      <c r="AB1030" s="8" t="s">
        <v>2289</v>
      </c>
      <c r="AC1030" s="8" t="s">
        <v>2290</v>
      </c>
      <c r="AD1030" s="8" t="s">
        <v>742</v>
      </c>
      <c r="AE1030" s="8" t="s">
        <v>743</v>
      </c>
      <c r="AF1030" s="8" t="s">
        <v>2142</v>
      </c>
      <c r="AG1030" s="8" t="s">
        <v>2143</v>
      </c>
      <c r="AH1030">
        <v>5977558.0800000001</v>
      </c>
      <c r="AI1030" s="8" t="s">
        <v>2287</v>
      </c>
      <c r="AJ1030" s="8" t="s">
        <v>2288</v>
      </c>
      <c r="AK1030" s="8" t="s">
        <v>2289</v>
      </c>
      <c r="AL1030" s="8" t="s">
        <v>2290</v>
      </c>
      <c r="AM1030" s="8" t="s">
        <v>742</v>
      </c>
      <c r="AN1030" s="8" t="s">
        <v>743</v>
      </c>
      <c r="AO1030" s="8" t="s">
        <v>2142</v>
      </c>
      <c r="AP1030" s="8" t="s">
        <v>2143</v>
      </c>
      <c r="AQ1030" s="8" t="s">
        <v>2143</v>
      </c>
      <c r="AR1030" s="8" t="s">
        <v>124</v>
      </c>
      <c r="AS1030" s="8" t="s">
        <v>125</v>
      </c>
      <c r="AT1030">
        <v>1</v>
      </c>
      <c r="AU1030" s="8" t="s">
        <v>106</v>
      </c>
      <c r="AV1030" s="8" t="s">
        <v>2291</v>
      </c>
      <c r="AW1030" s="8" t="s">
        <v>2292</v>
      </c>
      <c r="AX1030">
        <v>1</v>
      </c>
      <c r="AY1030" s="8" t="s">
        <v>2253</v>
      </c>
      <c r="AZ1030">
        <v>592800</v>
      </c>
      <c r="BA1030">
        <v>5977558</v>
      </c>
      <c r="BB1030">
        <v>84757.28</v>
      </c>
      <c r="BC1030">
        <v>10.083600000000001</v>
      </c>
      <c r="BD1030" s="8" t="s">
        <v>130</v>
      </c>
      <c r="BE1030" s="8" t="s">
        <v>112</v>
      </c>
      <c r="BF1030" s="8" t="s">
        <v>2293</v>
      </c>
      <c r="BG1030" s="8" t="s">
        <v>133</v>
      </c>
      <c r="BH1030" s="8" t="s">
        <v>2294</v>
      </c>
      <c r="BI1030" s="8" t="s">
        <v>112</v>
      </c>
      <c r="BJ1030" s="8" t="s">
        <v>2295</v>
      </c>
      <c r="BK1030" s="8" t="s">
        <v>112</v>
      </c>
      <c r="BL1030" s="8" t="s">
        <v>2296</v>
      </c>
      <c r="BM1030" s="8" t="s">
        <v>2297</v>
      </c>
      <c r="BN1030" s="8" t="s">
        <v>2298</v>
      </c>
      <c r="BO1030" s="8" t="s">
        <v>2299</v>
      </c>
      <c r="BP1030">
        <v>1</v>
      </c>
      <c r="BQ1030" s="8" t="s">
        <v>2300</v>
      </c>
      <c r="BR1030" s="45">
        <f>ISNUMBER(SEARCH($BR$1,Таблица1[[#This Row],[31_1 Описание и характеристика товара]]))*1</f>
        <v>0</v>
      </c>
      <c r="BT1030" s="8" t="s">
        <v>2301</v>
      </c>
      <c r="BU1030">
        <v>26</v>
      </c>
      <c r="BV1030">
        <v>1</v>
      </c>
      <c r="BW1030">
        <v>312</v>
      </c>
      <c r="BX1030" t="s">
        <v>2147</v>
      </c>
      <c r="CA1030" s="8" t="s">
        <v>106</v>
      </c>
      <c r="CB1030" s="8" t="s">
        <v>2148</v>
      </c>
      <c r="CC1030" s="8" t="s">
        <v>112</v>
      </c>
      <c r="CD1030" s="8" t="s">
        <v>112</v>
      </c>
      <c r="CE1030" s="8" t="s">
        <v>2142</v>
      </c>
      <c r="CF1030">
        <v>10751</v>
      </c>
      <c r="CG1030" t="s">
        <v>2302</v>
      </c>
      <c r="CH1030">
        <v>7800000</v>
      </c>
      <c r="CI1030">
        <v>9672</v>
      </c>
      <c r="CK1030" s="8" t="s">
        <v>112</v>
      </c>
      <c r="CL1030" s="8" t="s">
        <v>112</v>
      </c>
      <c r="CM1030">
        <v>592800</v>
      </c>
      <c r="CN1030">
        <v>5977558</v>
      </c>
      <c r="CO1030">
        <v>0</v>
      </c>
      <c r="CP1030">
        <v>1</v>
      </c>
      <c r="CQ1030">
        <v>5977558.0800000001</v>
      </c>
      <c r="CR1030">
        <v>84757.28</v>
      </c>
      <c r="CS1030" s="8" t="s">
        <v>145</v>
      </c>
      <c r="CT1030">
        <v>8.7631999999999994</v>
      </c>
      <c r="CX1030" t="s">
        <v>2303</v>
      </c>
      <c r="CY1030">
        <v>260</v>
      </c>
    </row>
    <row r="1031" spans="1:103" x14ac:dyDescent="0.25">
      <c r="A1031" s="8" t="s">
        <v>106</v>
      </c>
      <c r="B1031" s="38">
        <v>45199</v>
      </c>
      <c r="C1031" s="43">
        <f>IF(YEAR(Таблица1[[#This Row],[Дата]])=2023,MONTH(Таблица1[[#This Row],[Дата]]),0)</f>
        <v>9</v>
      </c>
      <c r="D1031" s="8" t="s">
        <v>3196</v>
      </c>
      <c r="E1031" s="8" t="s">
        <v>731</v>
      </c>
      <c r="F1031" s="8" t="s">
        <v>3197</v>
      </c>
      <c r="G1031" t="s">
        <v>110</v>
      </c>
      <c r="H1031" s="8" t="s">
        <v>2284</v>
      </c>
      <c r="I1031" s="8" t="s">
        <v>112</v>
      </c>
      <c r="J1031" s="8" t="s">
        <v>112</v>
      </c>
      <c r="K1031" s="8" t="s">
        <v>112</v>
      </c>
      <c r="L1031" s="8" t="s">
        <v>3198</v>
      </c>
      <c r="M1031" s="8" t="s">
        <v>3199</v>
      </c>
      <c r="N1031" s="8" t="s">
        <v>112</v>
      </c>
      <c r="O1031" s="8" t="s">
        <v>112</v>
      </c>
      <c r="P1031">
        <v>4</v>
      </c>
      <c r="Q1031">
        <v>0</v>
      </c>
      <c r="R1031">
        <v>10</v>
      </c>
      <c r="S1031">
        <v>286</v>
      </c>
      <c r="T1031" s="8" t="s">
        <v>3200</v>
      </c>
      <c r="U1031" s="8" t="s">
        <v>3201</v>
      </c>
      <c r="V1031" s="8" t="s">
        <v>3202</v>
      </c>
      <c r="W1031" s="8" t="s">
        <v>3203</v>
      </c>
      <c r="X1031" s="8" t="s">
        <v>742</v>
      </c>
      <c r="Y1031" s="8" t="s">
        <v>2774</v>
      </c>
      <c r="Z1031" s="8" t="s">
        <v>3200</v>
      </c>
      <c r="AA1031" s="8" t="s">
        <v>3201</v>
      </c>
      <c r="AB1031" s="8" t="s">
        <v>3202</v>
      </c>
      <c r="AC1031" s="8" t="s">
        <v>3203</v>
      </c>
      <c r="AD1031" s="8" t="s">
        <v>742</v>
      </c>
      <c r="AE1031" s="8" t="s">
        <v>2774</v>
      </c>
      <c r="AF1031" s="8" t="s">
        <v>2163</v>
      </c>
      <c r="AG1031" s="8" t="s">
        <v>2164</v>
      </c>
      <c r="AH1031">
        <v>4144251.87</v>
      </c>
      <c r="AI1031" s="8" t="s">
        <v>3200</v>
      </c>
      <c r="AJ1031" s="8" t="s">
        <v>3201</v>
      </c>
      <c r="AK1031" s="8" t="s">
        <v>3202</v>
      </c>
      <c r="AL1031" s="8" t="s">
        <v>3203</v>
      </c>
      <c r="AM1031" s="8" t="s">
        <v>742</v>
      </c>
      <c r="AN1031" s="8" t="s">
        <v>2774</v>
      </c>
      <c r="AO1031" s="8" t="s">
        <v>2777</v>
      </c>
      <c r="AP1031" s="8" t="s">
        <v>2778</v>
      </c>
      <c r="AQ1031" s="8" t="s">
        <v>2164</v>
      </c>
      <c r="AR1031" s="8" t="s">
        <v>124</v>
      </c>
      <c r="AS1031" s="8" t="s">
        <v>125</v>
      </c>
      <c r="AT1031">
        <v>2</v>
      </c>
      <c r="AU1031" s="8" t="s">
        <v>126</v>
      </c>
      <c r="AV1031" s="8" t="s">
        <v>127</v>
      </c>
      <c r="AW1031" s="8" t="s">
        <v>3204</v>
      </c>
      <c r="AX1031">
        <v>2</v>
      </c>
      <c r="AY1031" s="8" t="s">
        <v>129</v>
      </c>
      <c r="AZ1031">
        <v>53553.91</v>
      </c>
      <c r="BA1031">
        <v>3683427</v>
      </c>
      <c r="BB1031">
        <v>64144.76</v>
      </c>
      <c r="BC1031">
        <v>68.779799999999895</v>
      </c>
      <c r="BD1031" s="8" t="s">
        <v>130</v>
      </c>
      <c r="BE1031" s="8" t="s">
        <v>746</v>
      </c>
      <c r="BF1031" s="8" t="s">
        <v>3205</v>
      </c>
      <c r="BG1031" s="8" t="s">
        <v>133</v>
      </c>
      <c r="BH1031" s="8" t="s">
        <v>167</v>
      </c>
      <c r="BI1031" s="8" t="s">
        <v>3206</v>
      </c>
      <c r="BJ1031" s="8" t="s">
        <v>112</v>
      </c>
      <c r="BK1031" s="8" t="s">
        <v>112</v>
      </c>
      <c r="BL1031" s="8" t="s">
        <v>3207</v>
      </c>
      <c r="BM1031" s="8" t="s">
        <v>3208</v>
      </c>
      <c r="BN1031" s="8" t="s">
        <v>3209</v>
      </c>
      <c r="BO1031" s="8" t="s">
        <v>3210</v>
      </c>
      <c r="BP1031">
        <v>1</v>
      </c>
      <c r="BQ1031" s="8" t="s">
        <v>3211</v>
      </c>
      <c r="BR1031" s="45">
        <f>ISNUMBER(SEARCH($BR$1,Таблица1[[#This Row],[31_1 Описание и характеристика товара]]))*1</f>
        <v>0</v>
      </c>
      <c r="BT1031" s="8" t="s">
        <v>2161</v>
      </c>
      <c r="BU1031">
        <v>141</v>
      </c>
      <c r="BV1031">
        <v>0</v>
      </c>
      <c r="BW1031">
        <v>141</v>
      </c>
      <c r="BX1031" t="s">
        <v>2147</v>
      </c>
      <c r="BY1031">
        <v>0</v>
      </c>
      <c r="CA1031" s="8" t="s">
        <v>106</v>
      </c>
      <c r="CB1031" s="8" t="s">
        <v>2148</v>
      </c>
      <c r="CC1031" s="8" t="s">
        <v>112</v>
      </c>
      <c r="CD1031" s="8" t="s">
        <v>112</v>
      </c>
      <c r="CE1031" s="8" t="s">
        <v>2163</v>
      </c>
      <c r="CF1031">
        <v>4414.5</v>
      </c>
      <c r="CG1031" t="s">
        <v>2302</v>
      </c>
      <c r="CH1031">
        <v>7800000</v>
      </c>
      <c r="CI1031">
        <v>4236.5</v>
      </c>
      <c r="CJ1031">
        <v>0</v>
      </c>
      <c r="CK1031" s="8" t="s">
        <v>112</v>
      </c>
      <c r="CL1031" s="8" t="s">
        <v>112</v>
      </c>
      <c r="CM1031">
        <v>43245.66</v>
      </c>
      <c r="CN1031">
        <v>2974428</v>
      </c>
      <c r="CO1031">
        <v>0</v>
      </c>
      <c r="CP1031">
        <v>1</v>
      </c>
      <c r="CQ1031">
        <v>3254081.23</v>
      </c>
      <c r="CR1031">
        <v>50366.69</v>
      </c>
      <c r="CS1031" s="8" t="s">
        <v>145</v>
      </c>
      <c r="CT1031">
        <v>11.8888</v>
      </c>
      <c r="CX1031" t="s">
        <v>3212</v>
      </c>
      <c r="CY1031">
        <v>302</v>
      </c>
    </row>
    <row r="1032" spans="1:103" x14ac:dyDescent="0.25">
      <c r="A1032" s="8" t="s">
        <v>126</v>
      </c>
      <c r="B1032" s="38">
        <v>45060</v>
      </c>
      <c r="C1032" s="43">
        <f>IF(YEAR(Таблица1[[#This Row],[Дата]])=2023,MONTH(Таблица1[[#This Row],[Дата]]),0)</f>
        <v>5</v>
      </c>
      <c r="D1032" s="8" t="s">
        <v>2999</v>
      </c>
      <c r="E1032" s="8" t="s">
        <v>2839</v>
      </c>
      <c r="F1032" s="8" t="s">
        <v>3000</v>
      </c>
      <c r="G1032" t="s">
        <v>110</v>
      </c>
      <c r="H1032" s="8" t="s">
        <v>111</v>
      </c>
      <c r="I1032" s="8" t="s">
        <v>112</v>
      </c>
      <c r="J1032" s="8" t="s">
        <v>112</v>
      </c>
      <c r="K1032" s="8" t="s">
        <v>112</v>
      </c>
      <c r="L1032" s="8" t="s">
        <v>3001</v>
      </c>
      <c r="M1032" s="8" t="s">
        <v>3002</v>
      </c>
      <c r="N1032" s="8" t="s">
        <v>112</v>
      </c>
      <c r="O1032" s="8" t="s">
        <v>112</v>
      </c>
      <c r="P1032">
        <v>2</v>
      </c>
      <c r="Q1032">
        <v>0</v>
      </c>
      <c r="R1032">
        <v>2</v>
      </c>
      <c r="S1032">
        <v>3</v>
      </c>
      <c r="T1032" s="8" t="s">
        <v>3003</v>
      </c>
      <c r="U1032" s="8" t="s">
        <v>3004</v>
      </c>
      <c r="V1032" s="8" t="s">
        <v>3005</v>
      </c>
      <c r="W1032" s="8" t="s">
        <v>3006</v>
      </c>
      <c r="X1032" s="8" t="s">
        <v>119</v>
      </c>
      <c r="Y1032" s="8" t="s">
        <v>3007</v>
      </c>
      <c r="Z1032" s="8" t="s">
        <v>3003</v>
      </c>
      <c r="AA1032" s="8" t="s">
        <v>3004</v>
      </c>
      <c r="AB1032" s="8" t="s">
        <v>3005</v>
      </c>
      <c r="AC1032" s="8" t="s">
        <v>3006</v>
      </c>
      <c r="AD1032" s="8" t="s">
        <v>119</v>
      </c>
      <c r="AE1032" s="8" t="s">
        <v>3007</v>
      </c>
      <c r="AF1032" s="8" t="s">
        <v>2142</v>
      </c>
      <c r="AG1032" s="8" t="s">
        <v>2143</v>
      </c>
      <c r="AH1032">
        <v>159342.43</v>
      </c>
      <c r="AI1032" s="8" t="s">
        <v>3003</v>
      </c>
      <c r="AJ1032" s="8" t="s">
        <v>3004</v>
      </c>
      <c r="AK1032" s="8" t="s">
        <v>3005</v>
      </c>
      <c r="AL1032" s="8" t="s">
        <v>3006</v>
      </c>
      <c r="AM1032" s="8" t="s">
        <v>119</v>
      </c>
      <c r="AN1032" s="8" t="s">
        <v>3007</v>
      </c>
      <c r="AO1032" s="8" t="s">
        <v>2142</v>
      </c>
      <c r="AP1032" s="8" t="s">
        <v>2143</v>
      </c>
      <c r="AQ1032" s="8" t="s">
        <v>2143</v>
      </c>
      <c r="AR1032" s="8" t="s">
        <v>124</v>
      </c>
      <c r="AS1032" s="8" t="s">
        <v>125</v>
      </c>
      <c r="AT1032">
        <v>0</v>
      </c>
      <c r="AU1032" s="8" t="s">
        <v>126</v>
      </c>
      <c r="AV1032" s="8" t="s">
        <v>2251</v>
      </c>
      <c r="AW1032" s="8" t="s">
        <v>3008</v>
      </c>
      <c r="AX1032">
        <v>1</v>
      </c>
      <c r="AY1032" s="8" t="s">
        <v>2188</v>
      </c>
      <c r="AZ1032">
        <v>1642</v>
      </c>
      <c r="BA1032">
        <v>108942</v>
      </c>
      <c r="BB1032">
        <v>2401.64</v>
      </c>
      <c r="BC1032">
        <v>66.347399999999894</v>
      </c>
      <c r="BD1032" s="8" t="s">
        <v>130</v>
      </c>
      <c r="BE1032" s="8" t="s">
        <v>111</v>
      </c>
      <c r="BF1032" s="8" t="s">
        <v>112</v>
      </c>
      <c r="BG1032" s="8" t="s">
        <v>133</v>
      </c>
      <c r="BH1032" s="8" t="s">
        <v>167</v>
      </c>
      <c r="BI1032" s="8" t="s">
        <v>3009</v>
      </c>
      <c r="BJ1032" s="8" t="s">
        <v>112</v>
      </c>
      <c r="BK1032" s="8" t="s">
        <v>112</v>
      </c>
      <c r="BL1032" s="8" t="s">
        <v>2587</v>
      </c>
      <c r="BM1032" s="8" t="s">
        <v>2588</v>
      </c>
      <c r="BN1032" s="8" t="s">
        <v>3010</v>
      </c>
      <c r="BO1032" s="8" t="s">
        <v>2859</v>
      </c>
      <c r="BP1032">
        <v>1</v>
      </c>
      <c r="BQ1032" s="8" t="s">
        <v>3011</v>
      </c>
      <c r="BR1032" s="45">
        <f>ISNUMBER(SEARCH($BR$1,Таблица1[[#This Row],[31_1 Описание и характеристика товара]]))*1</f>
        <v>0</v>
      </c>
      <c r="BT1032" s="8" t="s">
        <v>3012</v>
      </c>
      <c r="BU1032">
        <v>2</v>
      </c>
      <c r="BV1032">
        <v>0</v>
      </c>
      <c r="BW1032">
        <v>1</v>
      </c>
      <c r="BX1032" t="s">
        <v>2147</v>
      </c>
      <c r="BY1032">
        <v>0</v>
      </c>
      <c r="CA1032" s="8" t="s">
        <v>106</v>
      </c>
      <c r="CB1032" s="8" t="s">
        <v>2148</v>
      </c>
      <c r="CC1032" s="8" t="s">
        <v>2232</v>
      </c>
      <c r="CD1032" s="8" t="s">
        <v>112</v>
      </c>
      <c r="CE1032" s="8" t="s">
        <v>2142</v>
      </c>
      <c r="CF1032">
        <v>50</v>
      </c>
      <c r="CG1032" t="s">
        <v>144</v>
      </c>
      <c r="CH1032">
        <v>4000066</v>
      </c>
      <c r="CI1032">
        <v>35</v>
      </c>
      <c r="CJ1032">
        <v>0</v>
      </c>
      <c r="CK1032" s="8" t="s">
        <v>112</v>
      </c>
      <c r="CL1032" s="8" t="s">
        <v>112</v>
      </c>
      <c r="CM1032">
        <v>402</v>
      </c>
      <c r="CN1032">
        <v>26672</v>
      </c>
      <c r="CO1032">
        <v>0</v>
      </c>
      <c r="CP1032">
        <v>1</v>
      </c>
      <c r="CQ1032">
        <v>68671.649999999907</v>
      </c>
      <c r="CR1032">
        <v>1035.03</v>
      </c>
      <c r="CS1032" s="8" t="s">
        <v>145</v>
      </c>
      <c r="CT1032">
        <v>29.572299999999998</v>
      </c>
      <c r="CU1032">
        <v>1372</v>
      </c>
      <c r="CV1032" t="s">
        <v>3013</v>
      </c>
      <c r="CX1032" t="s">
        <v>3014</v>
      </c>
      <c r="CY1032">
        <v>0</v>
      </c>
    </row>
    <row r="1033" spans="1:103" x14ac:dyDescent="0.25">
      <c r="A1033" s="8" t="s">
        <v>126</v>
      </c>
      <c r="B1033" s="38">
        <v>45127</v>
      </c>
      <c r="C1033" s="43">
        <f>IF(YEAR(Таблица1[[#This Row],[Дата]])=2023,MONTH(Таблица1[[#This Row],[Дата]]),0)</f>
        <v>7</v>
      </c>
      <c r="D1033" s="8" t="s">
        <v>2838</v>
      </c>
      <c r="E1033" s="8" t="s">
        <v>2839</v>
      </c>
      <c r="F1033" s="8" t="s">
        <v>2840</v>
      </c>
      <c r="G1033" t="s">
        <v>110</v>
      </c>
      <c r="H1033" s="8" t="s">
        <v>111</v>
      </c>
      <c r="I1033" s="8" t="s">
        <v>112</v>
      </c>
      <c r="J1033" s="8" t="s">
        <v>112</v>
      </c>
      <c r="K1033" s="8" t="s">
        <v>112</v>
      </c>
      <c r="L1033" s="8" t="s">
        <v>2841</v>
      </c>
      <c r="M1033" s="8" t="s">
        <v>2842</v>
      </c>
      <c r="N1033" s="8" t="s">
        <v>112</v>
      </c>
      <c r="O1033" s="8" t="s">
        <v>112</v>
      </c>
      <c r="P1033">
        <v>1</v>
      </c>
      <c r="Q1033">
        <v>0</v>
      </c>
      <c r="R1033">
        <v>1</v>
      </c>
      <c r="S1033">
        <v>3</v>
      </c>
      <c r="T1033" s="8" t="s">
        <v>2843</v>
      </c>
      <c r="U1033" s="8" t="s">
        <v>2844</v>
      </c>
      <c r="V1033" s="8" t="s">
        <v>2845</v>
      </c>
      <c r="W1033" s="8" t="s">
        <v>2846</v>
      </c>
      <c r="X1033" s="8" t="s">
        <v>2847</v>
      </c>
      <c r="Y1033" s="8" t="s">
        <v>2848</v>
      </c>
      <c r="Z1033" s="8" t="s">
        <v>2849</v>
      </c>
      <c r="AA1033" s="8" t="s">
        <v>2850</v>
      </c>
      <c r="AB1033" s="8" t="s">
        <v>2851</v>
      </c>
      <c r="AC1033" s="8" t="s">
        <v>2852</v>
      </c>
      <c r="AD1033" s="8" t="s">
        <v>2847</v>
      </c>
      <c r="AE1033" s="8" t="s">
        <v>2853</v>
      </c>
      <c r="AF1033" s="8" t="s">
        <v>2142</v>
      </c>
      <c r="AG1033" s="8" t="s">
        <v>2143</v>
      </c>
      <c r="AH1033">
        <v>190197.54</v>
      </c>
      <c r="AI1033" s="8" t="s">
        <v>2849</v>
      </c>
      <c r="AJ1033" s="8" t="s">
        <v>2850</v>
      </c>
      <c r="AK1033" s="8" t="s">
        <v>2851</v>
      </c>
      <c r="AL1033" s="8" t="s">
        <v>2852</v>
      </c>
      <c r="AM1033" s="8" t="s">
        <v>2847</v>
      </c>
      <c r="AN1033" s="8" t="s">
        <v>2853</v>
      </c>
      <c r="AO1033" s="8" t="s">
        <v>2142</v>
      </c>
      <c r="AP1033" s="8" t="s">
        <v>2143</v>
      </c>
      <c r="AQ1033" s="8" t="s">
        <v>2143</v>
      </c>
      <c r="AR1033" s="8" t="s">
        <v>124</v>
      </c>
      <c r="AS1033" s="8" t="s">
        <v>125</v>
      </c>
      <c r="AT1033">
        <v>0</v>
      </c>
      <c r="AU1033" s="8" t="s">
        <v>126</v>
      </c>
      <c r="AV1033" s="8" t="s">
        <v>155</v>
      </c>
      <c r="AW1033" s="8" t="s">
        <v>2854</v>
      </c>
      <c r="AX1033">
        <v>1</v>
      </c>
      <c r="AY1033" s="8" t="s">
        <v>2253</v>
      </c>
      <c r="AZ1033">
        <v>0</v>
      </c>
      <c r="BA1033">
        <v>0</v>
      </c>
      <c r="BB1033">
        <v>2943.88</v>
      </c>
      <c r="BC1033">
        <v>92.438199999999895</v>
      </c>
      <c r="BD1033" s="8" t="s">
        <v>2855</v>
      </c>
      <c r="BE1033" s="8" t="s">
        <v>111</v>
      </c>
      <c r="BF1033" s="8" t="s">
        <v>112</v>
      </c>
      <c r="BG1033" s="8" t="s">
        <v>133</v>
      </c>
      <c r="BH1033" s="8" t="s">
        <v>167</v>
      </c>
      <c r="BI1033" s="8" t="s">
        <v>2856</v>
      </c>
      <c r="BJ1033" s="8" t="s">
        <v>112</v>
      </c>
      <c r="BK1033" s="8" t="s">
        <v>112</v>
      </c>
      <c r="BL1033" s="8" t="s">
        <v>2587</v>
      </c>
      <c r="BM1033" s="8" t="s">
        <v>2857</v>
      </c>
      <c r="BN1033" s="8" t="s">
        <v>2858</v>
      </c>
      <c r="BO1033" s="8" t="s">
        <v>2859</v>
      </c>
      <c r="BP1033">
        <v>1</v>
      </c>
      <c r="BQ1033" s="8" t="s">
        <v>2860</v>
      </c>
      <c r="BR1033" s="45">
        <f>ISNUMBER(SEARCH($BR$1,Таблица1[[#This Row],[31_1 Описание и характеристика товара]]))*1</f>
        <v>0</v>
      </c>
      <c r="BT1033" s="8" t="s">
        <v>2861</v>
      </c>
      <c r="BU1033">
        <v>3</v>
      </c>
      <c r="BV1033">
        <v>0</v>
      </c>
      <c r="BW1033">
        <v>3</v>
      </c>
      <c r="BX1033" t="s">
        <v>2147</v>
      </c>
      <c r="BY1033">
        <v>0</v>
      </c>
      <c r="CA1033" s="8" t="s">
        <v>106</v>
      </c>
      <c r="CB1033" s="8" t="s">
        <v>2148</v>
      </c>
      <c r="CC1033" s="8" t="s">
        <v>112</v>
      </c>
      <c r="CD1033" s="8" t="s">
        <v>112</v>
      </c>
      <c r="CE1033" s="8" t="s">
        <v>2142</v>
      </c>
      <c r="CF1033">
        <v>92</v>
      </c>
      <c r="CG1033" t="s">
        <v>144</v>
      </c>
      <c r="CH1033">
        <v>4000061</v>
      </c>
      <c r="CI1033">
        <v>87</v>
      </c>
      <c r="CJ1033">
        <v>0</v>
      </c>
      <c r="CK1033" s="8" t="s">
        <v>112</v>
      </c>
      <c r="CL1033" s="8" t="s">
        <v>112</v>
      </c>
      <c r="CM1033">
        <v>0</v>
      </c>
      <c r="CN1033">
        <v>0</v>
      </c>
      <c r="CO1033">
        <v>0</v>
      </c>
      <c r="CP1033">
        <v>6</v>
      </c>
      <c r="CQ1033">
        <v>190197.54</v>
      </c>
      <c r="CR1033">
        <v>2943.88</v>
      </c>
      <c r="CS1033" s="8" t="s">
        <v>145</v>
      </c>
      <c r="CT1033">
        <v>33.837699999999998</v>
      </c>
      <c r="CX1033" t="s">
        <v>2862</v>
      </c>
      <c r="CY1033">
        <v>1077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3"/>
  <sheetViews>
    <sheetView workbookViewId="0">
      <selection sqref="A1:XFD1048576"/>
    </sheetView>
  </sheetViews>
  <sheetFormatPr defaultRowHeight="13.2" x14ac:dyDescent="0.25"/>
  <cols>
    <col min="1" max="1" width="76" style="9" customWidth="1"/>
    <col min="2" max="2" width="60.81640625" style="9" customWidth="1"/>
    <col min="3" max="14" width="8" style="9" customWidth="1"/>
    <col min="15" max="256" width="8.81640625" style="9"/>
    <col min="257" max="257" width="76" style="9" customWidth="1"/>
    <col min="258" max="258" width="60.81640625" style="9" customWidth="1"/>
    <col min="259" max="270" width="8" style="9" customWidth="1"/>
    <col min="271" max="512" width="8.81640625" style="9"/>
    <col min="513" max="513" width="76" style="9" customWidth="1"/>
    <col min="514" max="514" width="60.81640625" style="9" customWidth="1"/>
    <col min="515" max="526" width="8" style="9" customWidth="1"/>
    <col min="527" max="768" width="8.81640625" style="9"/>
    <col min="769" max="769" width="76" style="9" customWidth="1"/>
    <col min="770" max="770" width="60.81640625" style="9" customWidth="1"/>
    <col min="771" max="782" width="8" style="9" customWidth="1"/>
    <col min="783" max="1024" width="8.81640625" style="9"/>
    <col min="1025" max="1025" width="76" style="9" customWidth="1"/>
    <col min="1026" max="1026" width="60.81640625" style="9" customWidth="1"/>
    <col min="1027" max="1038" width="8" style="9" customWidth="1"/>
    <col min="1039" max="1280" width="8.81640625" style="9"/>
    <col min="1281" max="1281" width="76" style="9" customWidth="1"/>
    <col min="1282" max="1282" width="60.81640625" style="9" customWidth="1"/>
    <col min="1283" max="1294" width="8" style="9" customWidth="1"/>
    <col min="1295" max="1536" width="8.81640625" style="9"/>
    <col min="1537" max="1537" width="76" style="9" customWidth="1"/>
    <col min="1538" max="1538" width="60.81640625" style="9" customWidth="1"/>
    <col min="1539" max="1550" width="8" style="9" customWidth="1"/>
    <col min="1551" max="1792" width="8.81640625" style="9"/>
    <col min="1793" max="1793" width="76" style="9" customWidth="1"/>
    <col min="1794" max="1794" width="60.81640625" style="9" customWidth="1"/>
    <col min="1795" max="1806" width="8" style="9" customWidth="1"/>
    <col min="1807" max="2048" width="8.81640625" style="9"/>
    <col min="2049" max="2049" width="76" style="9" customWidth="1"/>
    <col min="2050" max="2050" width="60.81640625" style="9" customWidth="1"/>
    <col min="2051" max="2062" width="8" style="9" customWidth="1"/>
    <col min="2063" max="2304" width="8.81640625" style="9"/>
    <col min="2305" max="2305" width="76" style="9" customWidth="1"/>
    <col min="2306" max="2306" width="60.81640625" style="9" customWidth="1"/>
    <col min="2307" max="2318" width="8" style="9" customWidth="1"/>
    <col min="2319" max="2560" width="8.81640625" style="9"/>
    <col min="2561" max="2561" width="76" style="9" customWidth="1"/>
    <col min="2562" max="2562" width="60.81640625" style="9" customWidth="1"/>
    <col min="2563" max="2574" width="8" style="9" customWidth="1"/>
    <col min="2575" max="2816" width="8.81640625" style="9"/>
    <col min="2817" max="2817" width="76" style="9" customWidth="1"/>
    <col min="2818" max="2818" width="60.81640625" style="9" customWidth="1"/>
    <col min="2819" max="2830" width="8" style="9" customWidth="1"/>
    <col min="2831" max="3072" width="8.81640625" style="9"/>
    <col min="3073" max="3073" width="76" style="9" customWidth="1"/>
    <col min="3074" max="3074" width="60.81640625" style="9" customWidth="1"/>
    <col min="3075" max="3086" width="8" style="9" customWidth="1"/>
    <col min="3087" max="3328" width="8.81640625" style="9"/>
    <col min="3329" max="3329" width="76" style="9" customWidth="1"/>
    <col min="3330" max="3330" width="60.81640625" style="9" customWidth="1"/>
    <col min="3331" max="3342" width="8" style="9" customWidth="1"/>
    <col min="3343" max="3584" width="8.81640625" style="9"/>
    <col min="3585" max="3585" width="76" style="9" customWidth="1"/>
    <col min="3586" max="3586" width="60.81640625" style="9" customWidth="1"/>
    <col min="3587" max="3598" width="8" style="9" customWidth="1"/>
    <col min="3599" max="3840" width="8.81640625" style="9"/>
    <col min="3841" max="3841" width="76" style="9" customWidth="1"/>
    <col min="3842" max="3842" width="60.81640625" style="9" customWidth="1"/>
    <col min="3843" max="3854" width="8" style="9" customWidth="1"/>
    <col min="3855" max="4096" width="8.81640625" style="9"/>
    <col min="4097" max="4097" width="76" style="9" customWidth="1"/>
    <col min="4098" max="4098" width="60.81640625" style="9" customWidth="1"/>
    <col min="4099" max="4110" width="8" style="9" customWidth="1"/>
    <col min="4111" max="4352" width="8.81640625" style="9"/>
    <col min="4353" max="4353" width="76" style="9" customWidth="1"/>
    <col min="4354" max="4354" width="60.81640625" style="9" customWidth="1"/>
    <col min="4355" max="4366" width="8" style="9" customWidth="1"/>
    <col min="4367" max="4608" width="8.81640625" style="9"/>
    <col min="4609" max="4609" width="76" style="9" customWidth="1"/>
    <col min="4610" max="4610" width="60.81640625" style="9" customWidth="1"/>
    <col min="4611" max="4622" width="8" style="9" customWidth="1"/>
    <col min="4623" max="4864" width="8.81640625" style="9"/>
    <col min="4865" max="4865" width="76" style="9" customWidth="1"/>
    <col min="4866" max="4866" width="60.81640625" style="9" customWidth="1"/>
    <col min="4867" max="4878" width="8" style="9" customWidth="1"/>
    <col min="4879" max="5120" width="8.81640625" style="9"/>
    <col min="5121" max="5121" width="76" style="9" customWidth="1"/>
    <col min="5122" max="5122" width="60.81640625" style="9" customWidth="1"/>
    <col min="5123" max="5134" width="8" style="9" customWidth="1"/>
    <col min="5135" max="5376" width="8.81640625" style="9"/>
    <col min="5377" max="5377" width="76" style="9" customWidth="1"/>
    <col min="5378" max="5378" width="60.81640625" style="9" customWidth="1"/>
    <col min="5379" max="5390" width="8" style="9" customWidth="1"/>
    <col min="5391" max="5632" width="8.81640625" style="9"/>
    <col min="5633" max="5633" width="76" style="9" customWidth="1"/>
    <col min="5634" max="5634" width="60.81640625" style="9" customWidth="1"/>
    <col min="5635" max="5646" width="8" style="9" customWidth="1"/>
    <col min="5647" max="5888" width="8.81640625" style="9"/>
    <col min="5889" max="5889" width="76" style="9" customWidth="1"/>
    <col min="5890" max="5890" width="60.81640625" style="9" customWidth="1"/>
    <col min="5891" max="5902" width="8" style="9" customWidth="1"/>
    <col min="5903" max="6144" width="8.81640625" style="9"/>
    <col min="6145" max="6145" width="76" style="9" customWidth="1"/>
    <col min="6146" max="6146" width="60.81640625" style="9" customWidth="1"/>
    <col min="6147" max="6158" width="8" style="9" customWidth="1"/>
    <col min="6159" max="6400" width="8.81640625" style="9"/>
    <col min="6401" max="6401" width="76" style="9" customWidth="1"/>
    <col min="6402" max="6402" width="60.81640625" style="9" customWidth="1"/>
    <col min="6403" max="6414" width="8" style="9" customWidth="1"/>
    <col min="6415" max="6656" width="8.81640625" style="9"/>
    <col min="6657" max="6657" width="76" style="9" customWidth="1"/>
    <col min="6658" max="6658" width="60.81640625" style="9" customWidth="1"/>
    <col min="6659" max="6670" width="8" style="9" customWidth="1"/>
    <col min="6671" max="6912" width="8.81640625" style="9"/>
    <col min="6913" max="6913" width="76" style="9" customWidth="1"/>
    <col min="6914" max="6914" width="60.81640625" style="9" customWidth="1"/>
    <col min="6915" max="6926" width="8" style="9" customWidth="1"/>
    <col min="6927" max="7168" width="8.81640625" style="9"/>
    <col min="7169" max="7169" width="76" style="9" customWidth="1"/>
    <col min="7170" max="7170" width="60.81640625" style="9" customWidth="1"/>
    <col min="7171" max="7182" width="8" style="9" customWidth="1"/>
    <col min="7183" max="7424" width="8.81640625" style="9"/>
    <col min="7425" max="7425" width="76" style="9" customWidth="1"/>
    <col min="7426" max="7426" width="60.81640625" style="9" customWidth="1"/>
    <col min="7427" max="7438" width="8" style="9" customWidth="1"/>
    <col min="7439" max="7680" width="8.81640625" style="9"/>
    <col min="7681" max="7681" width="76" style="9" customWidth="1"/>
    <col min="7682" max="7682" width="60.81640625" style="9" customWidth="1"/>
    <col min="7683" max="7694" width="8" style="9" customWidth="1"/>
    <col min="7695" max="7936" width="8.81640625" style="9"/>
    <col min="7937" max="7937" width="76" style="9" customWidth="1"/>
    <col min="7938" max="7938" width="60.81640625" style="9" customWidth="1"/>
    <col min="7939" max="7950" width="8" style="9" customWidth="1"/>
    <col min="7951" max="8192" width="8.81640625" style="9"/>
    <col min="8193" max="8193" width="76" style="9" customWidth="1"/>
    <col min="8194" max="8194" width="60.81640625" style="9" customWidth="1"/>
    <col min="8195" max="8206" width="8" style="9" customWidth="1"/>
    <col min="8207" max="8448" width="8.81640625" style="9"/>
    <col min="8449" max="8449" width="76" style="9" customWidth="1"/>
    <col min="8450" max="8450" width="60.81640625" style="9" customWidth="1"/>
    <col min="8451" max="8462" width="8" style="9" customWidth="1"/>
    <col min="8463" max="8704" width="8.81640625" style="9"/>
    <col min="8705" max="8705" width="76" style="9" customWidth="1"/>
    <col min="8706" max="8706" width="60.81640625" style="9" customWidth="1"/>
    <col min="8707" max="8718" width="8" style="9" customWidth="1"/>
    <col min="8719" max="8960" width="8.81640625" style="9"/>
    <col min="8961" max="8961" width="76" style="9" customWidth="1"/>
    <col min="8962" max="8962" width="60.81640625" style="9" customWidth="1"/>
    <col min="8963" max="8974" width="8" style="9" customWidth="1"/>
    <col min="8975" max="9216" width="8.81640625" style="9"/>
    <col min="9217" max="9217" width="76" style="9" customWidth="1"/>
    <col min="9218" max="9218" width="60.81640625" style="9" customWidth="1"/>
    <col min="9219" max="9230" width="8" style="9" customWidth="1"/>
    <col min="9231" max="9472" width="8.81640625" style="9"/>
    <col min="9473" max="9473" width="76" style="9" customWidth="1"/>
    <col min="9474" max="9474" width="60.81640625" style="9" customWidth="1"/>
    <col min="9475" max="9486" width="8" style="9" customWidth="1"/>
    <col min="9487" max="9728" width="8.81640625" style="9"/>
    <col min="9729" max="9729" width="76" style="9" customWidth="1"/>
    <col min="9730" max="9730" width="60.81640625" style="9" customWidth="1"/>
    <col min="9731" max="9742" width="8" style="9" customWidth="1"/>
    <col min="9743" max="9984" width="8.81640625" style="9"/>
    <col min="9985" max="9985" width="76" style="9" customWidth="1"/>
    <col min="9986" max="9986" width="60.81640625" style="9" customWidth="1"/>
    <col min="9987" max="9998" width="8" style="9" customWidth="1"/>
    <col min="9999" max="10240" width="8.81640625" style="9"/>
    <col min="10241" max="10241" width="76" style="9" customWidth="1"/>
    <col min="10242" max="10242" width="60.81640625" style="9" customWidth="1"/>
    <col min="10243" max="10254" width="8" style="9" customWidth="1"/>
    <col min="10255" max="10496" width="8.81640625" style="9"/>
    <col min="10497" max="10497" width="76" style="9" customWidth="1"/>
    <col min="10498" max="10498" width="60.81640625" style="9" customWidth="1"/>
    <col min="10499" max="10510" width="8" style="9" customWidth="1"/>
    <col min="10511" max="10752" width="8.81640625" style="9"/>
    <col min="10753" max="10753" width="76" style="9" customWidth="1"/>
    <col min="10754" max="10754" width="60.81640625" style="9" customWidth="1"/>
    <col min="10755" max="10766" width="8" style="9" customWidth="1"/>
    <col min="10767" max="11008" width="8.81640625" style="9"/>
    <col min="11009" max="11009" width="76" style="9" customWidth="1"/>
    <col min="11010" max="11010" width="60.81640625" style="9" customWidth="1"/>
    <col min="11011" max="11022" width="8" style="9" customWidth="1"/>
    <col min="11023" max="11264" width="8.81640625" style="9"/>
    <col min="11265" max="11265" width="76" style="9" customWidth="1"/>
    <col min="11266" max="11266" width="60.81640625" style="9" customWidth="1"/>
    <col min="11267" max="11278" width="8" style="9" customWidth="1"/>
    <col min="11279" max="11520" width="8.81640625" style="9"/>
    <col min="11521" max="11521" width="76" style="9" customWidth="1"/>
    <col min="11522" max="11522" width="60.81640625" style="9" customWidth="1"/>
    <col min="11523" max="11534" width="8" style="9" customWidth="1"/>
    <col min="11535" max="11776" width="8.81640625" style="9"/>
    <col min="11777" max="11777" width="76" style="9" customWidth="1"/>
    <col min="11778" max="11778" width="60.81640625" style="9" customWidth="1"/>
    <col min="11779" max="11790" width="8" style="9" customWidth="1"/>
    <col min="11791" max="12032" width="8.81640625" style="9"/>
    <col min="12033" max="12033" width="76" style="9" customWidth="1"/>
    <col min="12034" max="12034" width="60.81640625" style="9" customWidth="1"/>
    <col min="12035" max="12046" width="8" style="9" customWidth="1"/>
    <col min="12047" max="12288" width="8.81640625" style="9"/>
    <col min="12289" max="12289" width="76" style="9" customWidth="1"/>
    <col min="12290" max="12290" width="60.81640625" style="9" customWidth="1"/>
    <col min="12291" max="12302" width="8" style="9" customWidth="1"/>
    <col min="12303" max="12544" width="8.81640625" style="9"/>
    <col min="12545" max="12545" width="76" style="9" customWidth="1"/>
    <col min="12546" max="12546" width="60.81640625" style="9" customWidth="1"/>
    <col min="12547" max="12558" width="8" style="9" customWidth="1"/>
    <col min="12559" max="12800" width="8.81640625" style="9"/>
    <col min="12801" max="12801" width="76" style="9" customWidth="1"/>
    <col min="12802" max="12802" width="60.81640625" style="9" customWidth="1"/>
    <col min="12803" max="12814" width="8" style="9" customWidth="1"/>
    <col min="12815" max="13056" width="8.81640625" style="9"/>
    <col min="13057" max="13057" width="76" style="9" customWidth="1"/>
    <col min="13058" max="13058" width="60.81640625" style="9" customWidth="1"/>
    <col min="13059" max="13070" width="8" style="9" customWidth="1"/>
    <col min="13071" max="13312" width="8.81640625" style="9"/>
    <col min="13313" max="13313" width="76" style="9" customWidth="1"/>
    <col min="13314" max="13314" width="60.81640625" style="9" customWidth="1"/>
    <col min="13315" max="13326" width="8" style="9" customWidth="1"/>
    <col min="13327" max="13568" width="8.81640625" style="9"/>
    <col min="13569" max="13569" width="76" style="9" customWidth="1"/>
    <col min="13570" max="13570" width="60.81640625" style="9" customWidth="1"/>
    <col min="13571" max="13582" width="8" style="9" customWidth="1"/>
    <col min="13583" max="13824" width="8.81640625" style="9"/>
    <col min="13825" max="13825" width="76" style="9" customWidth="1"/>
    <col min="13826" max="13826" width="60.81640625" style="9" customWidth="1"/>
    <col min="13827" max="13838" width="8" style="9" customWidth="1"/>
    <col min="13839" max="14080" width="8.81640625" style="9"/>
    <col min="14081" max="14081" width="76" style="9" customWidth="1"/>
    <col min="14082" max="14082" width="60.81640625" style="9" customWidth="1"/>
    <col min="14083" max="14094" width="8" style="9" customWidth="1"/>
    <col min="14095" max="14336" width="8.81640625" style="9"/>
    <col min="14337" max="14337" width="76" style="9" customWidth="1"/>
    <col min="14338" max="14338" width="60.81640625" style="9" customWidth="1"/>
    <col min="14339" max="14350" width="8" style="9" customWidth="1"/>
    <col min="14351" max="14592" width="8.81640625" style="9"/>
    <col min="14593" max="14593" width="76" style="9" customWidth="1"/>
    <col min="14594" max="14594" width="60.81640625" style="9" customWidth="1"/>
    <col min="14595" max="14606" width="8" style="9" customWidth="1"/>
    <col min="14607" max="14848" width="8.81640625" style="9"/>
    <col min="14849" max="14849" width="76" style="9" customWidth="1"/>
    <col min="14850" max="14850" width="60.81640625" style="9" customWidth="1"/>
    <col min="14851" max="14862" width="8" style="9" customWidth="1"/>
    <col min="14863" max="15104" width="8.81640625" style="9"/>
    <col min="15105" max="15105" width="76" style="9" customWidth="1"/>
    <col min="15106" max="15106" width="60.81640625" style="9" customWidth="1"/>
    <col min="15107" max="15118" width="8" style="9" customWidth="1"/>
    <col min="15119" max="15360" width="8.81640625" style="9"/>
    <col min="15361" max="15361" width="76" style="9" customWidth="1"/>
    <col min="15362" max="15362" width="60.81640625" style="9" customWidth="1"/>
    <col min="15363" max="15374" width="8" style="9" customWidth="1"/>
    <col min="15375" max="15616" width="8.81640625" style="9"/>
    <col min="15617" max="15617" width="76" style="9" customWidth="1"/>
    <col min="15618" max="15618" width="60.81640625" style="9" customWidth="1"/>
    <col min="15619" max="15630" width="8" style="9" customWidth="1"/>
    <col min="15631" max="15872" width="8.81640625" style="9"/>
    <col min="15873" max="15873" width="76" style="9" customWidth="1"/>
    <col min="15874" max="15874" width="60.81640625" style="9" customWidth="1"/>
    <col min="15875" max="15886" width="8" style="9" customWidth="1"/>
    <col min="15887" max="16128" width="8.81640625" style="9"/>
    <col min="16129" max="16129" width="76" style="9" customWidth="1"/>
    <col min="16130" max="16130" width="60.81640625" style="9" customWidth="1"/>
    <col min="16131" max="16142" width="8" style="9" customWidth="1"/>
    <col min="16143" max="16384" width="8.81640625" style="9"/>
  </cols>
  <sheetData>
    <row r="1" spans="1:14" ht="12.75" customHeight="1" x14ac:dyDescent="0.25">
      <c r="A1" s="39" t="s">
        <v>3269</v>
      </c>
    </row>
    <row r="2" spans="1:14" ht="12.75" customHeight="1" x14ac:dyDescent="0.25">
      <c r="A2" s="9" t="s">
        <v>112</v>
      </c>
    </row>
    <row r="3" spans="1:14" ht="12.75" customHeight="1" x14ac:dyDescent="0.25">
      <c r="A3" s="12" t="s">
        <v>112</v>
      </c>
      <c r="B3" s="12" t="s">
        <v>112</v>
      </c>
      <c r="C3" s="12" t="s">
        <v>3267</v>
      </c>
      <c r="D3" s="12" t="s">
        <v>112</v>
      </c>
      <c r="E3" s="12" t="s">
        <v>112</v>
      </c>
      <c r="F3" s="12" t="s">
        <v>112</v>
      </c>
      <c r="G3" s="12" t="s">
        <v>112</v>
      </c>
      <c r="H3" s="12" t="s">
        <v>112</v>
      </c>
      <c r="I3" s="12" t="s">
        <v>112</v>
      </c>
      <c r="J3" s="12" t="s">
        <v>112</v>
      </c>
      <c r="K3" s="12" t="s">
        <v>112</v>
      </c>
      <c r="L3" s="12" t="s">
        <v>112</v>
      </c>
      <c r="M3" s="12" t="s">
        <v>112</v>
      </c>
      <c r="N3" s="12" t="s">
        <v>112</v>
      </c>
    </row>
    <row r="4" spans="1:14" ht="12.75" customHeight="1" x14ac:dyDescent="0.25">
      <c r="A4" s="12" t="s">
        <v>112</v>
      </c>
      <c r="B4" s="12" t="s">
        <v>112</v>
      </c>
      <c r="C4" s="12" t="s">
        <v>3266</v>
      </c>
      <c r="D4" s="12" t="s">
        <v>3265</v>
      </c>
      <c r="E4" s="12" t="s">
        <v>3264</v>
      </c>
      <c r="F4" s="12" t="s">
        <v>3263</v>
      </c>
      <c r="G4" s="12" t="s">
        <v>3262</v>
      </c>
      <c r="H4" s="12" t="s">
        <v>3261</v>
      </c>
      <c r="I4" s="12" t="s">
        <v>3260</v>
      </c>
      <c r="J4" s="12" t="s">
        <v>3259</v>
      </c>
      <c r="K4" s="12" t="s">
        <v>3258</v>
      </c>
      <c r="L4" s="12" t="s">
        <v>3257</v>
      </c>
      <c r="M4" s="12" t="s">
        <v>3256</v>
      </c>
      <c r="N4" s="12" t="s">
        <v>3255</v>
      </c>
    </row>
    <row r="5" spans="1:14" ht="12.75" customHeight="1" x14ac:dyDescent="0.25">
      <c r="A5" s="12" t="s">
        <v>3247</v>
      </c>
      <c r="B5" s="12" t="s">
        <v>3291</v>
      </c>
      <c r="C5" s="10">
        <v>306.43</v>
      </c>
      <c r="D5" s="10">
        <v>303.12</v>
      </c>
      <c r="E5" s="10">
        <v>302.95999999999998</v>
      </c>
      <c r="F5" s="10">
        <v>307.39999999999998</v>
      </c>
      <c r="G5" s="10">
        <v>307.10000000000002</v>
      </c>
      <c r="H5" s="10">
        <v>308.38</v>
      </c>
      <c r="I5" s="10">
        <v>314.54000000000002</v>
      </c>
      <c r="J5" s="10">
        <v>331.44</v>
      </c>
      <c r="K5" s="10">
        <v>335.96</v>
      </c>
      <c r="L5" s="10">
        <v>342.28</v>
      </c>
      <c r="M5" s="10">
        <v>344.82</v>
      </c>
      <c r="N5" s="10">
        <v>344.82</v>
      </c>
    </row>
    <row r="6" spans="1:14" ht="12.75" customHeight="1" x14ac:dyDescent="0.25">
      <c r="A6" s="12" t="s">
        <v>3247</v>
      </c>
      <c r="B6" s="12" t="s">
        <v>3270</v>
      </c>
      <c r="C6" s="10">
        <v>242.79</v>
      </c>
      <c r="D6" s="10">
        <v>241.99</v>
      </c>
      <c r="E6" s="10">
        <v>242.22</v>
      </c>
      <c r="F6" s="10">
        <v>240.41</v>
      </c>
      <c r="G6" s="10">
        <v>240.02</v>
      </c>
      <c r="H6" s="10">
        <v>239.37</v>
      </c>
      <c r="I6" s="10">
        <v>237.55</v>
      </c>
      <c r="J6" s="10">
        <v>237.19</v>
      </c>
      <c r="K6" s="10">
        <v>235.56</v>
      </c>
      <c r="L6" s="10">
        <v>237.31</v>
      </c>
      <c r="M6" s="10">
        <v>236.67</v>
      </c>
      <c r="N6" s="10">
        <v>235.98</v>
      </c>
    </row>
    <row r="7" spans="1:14" ht="12.75" customHeight="1" x14ac:dyDescent="0.25">
      <c r="A7" s="12" t="s">
        <v>3247</v>
      </c>
      <c r="B7" s="12" t="s">
        <v>3271</v>
      </c>
      <c r="C7" s="10">
        <v>110.41</v>
      </c>
      <c r="D7" s="10">
        <v>109.91</v>
      </c>
      <c r="E7" s="10">
        <v>111.24</v>
      </c>
      <c r="F7" s="10">
        <v>112.1</v>
      </c>
      <c r="G7" s="10">
        <v>112.07</v>
      </c>
      <c r="H7" s="10">
        <v>112.6</v>
      </c>
      <c r="I7" s="10">
        <v>112.93</v>
      </c>
      <c r="J7" s="10">
        <v>113.86</v>
      </c>
      <c r="K7" s="10">
        <v>116.14</v>
      </c>
      <c r="L7" s="11">
        <v>117</v>
      </c>
      <c r="M7" s="10">
        <v>117.23</v>
      </c>
      <c r="N7" s="10">
        <v>118.09</v>
      </c>
    </row>
    <row r="8" spans="1:14" ht="12.75" customHeight="1" x14ac:dyDescent="0.25">
      <c r="A8" s="12" t="s">
        <v>3247</v>
      </c>
      <c r="B8" s="12" t="s">
        <v>3272</v>
      </c>
      <c r="C8" s="10">
        <v>50.91</v>
      </c>
      <c r="D8" s="10">
        <v>49.79</v>
      </c>
      <c r="E8" s="10">
        <v>50.39</v>
      </c>
      <c r="F8" s="10">
        <v>49.96</v>
      </c>
      <c r="G8" s="10">
        <v>49.74</v>
      </c>
      <c r="H8" s="10">
        <v>49.16</v>
      </c>
      <c r="I8" s="10">
        <v>48.94</v>
      </c>
      <c r="J8" s="10">
        <v>48.87</v>
      </c>
      <c r="K8" s="10">
        <v>49.02</v>
      </c>
      <c r="L8" s="10">
        <v>49.17</v>
      </c>
      <c r="M8" s="10">
        <v>49.75</v>
      </c>
      <c r="N8" s="10">
        <v>49.96</v>
      </c>
    </row>
    <row r="9" spans="1:14" ht="12.75" customHeight="1" x14ac:dyDescent="0.25">
      <c r="A9" s="12" t="s">
        <v>3247</v>
      </c>
      <c r="B9" s="12" t="s">
        <v>3273</v>
      </c>
      <c r="C9" s="10">
        <v>1356.53</v>
      </c>
      <c r="D9" s="10">
        <v>1351.37</v>
      </c>
      <c r="E9" s="10">
        <v>1361.11</v>
      </c>
      <c r="F9" s="10">
        <v>1363.14</v>
      </c>
      <c r="G9" s="10">
        <v>1361.65</v>
      </c>
      <c r="H9" s="10">
        <v>1360.96</v>
      </c>
      <c r="I9" s="10">
        <v>1360.95</v>
      </c>
      <c r="J9" s="10">
        <v>1364.12</v>
      </c>
      <c r="K9" s="10">
        <v>1363.18</v>
      </c>
      <c r="L9" s="10">
        <v>1366.29</v>
      </c>
      <c r="M9" s="10">
        <v>1367.9</v>
      </c>
      <c r="N9" s="10">
        <v>1369.25</v>
      </c>
    </row>
    <row r="10" spans="1:14" ht="12.75" customHeight="1" x14ac:dyDescent="0.25">
      <c r="A10" s="12" t="s">
        <v>3247</v>
      </c>
      <c r="B10" s="12" t="s">
        <v>3274</v>
      </c>
      <c r="C10" s="10">
        <v>879.93</v>
      </c>
      <c r="D10" s="10">
        <v>881.24</v>
      </c>
      <c r="E10" s="10">
        <v>886.62</v>
      </c>
      <c r="F10" s="10">
        <v>892.2</v>
      </c>
      <c r="G10" s="10">
        <v>898.31</v>
      </c>
      <c r="H10" s="10">
        <v>902.6</v>
      </c>
      <c r="I10" s="10">
        <v>898.28</v>
      </c>
      <c r="J10" s="10">
        <v>891.96</v>
      </c>
      <c r="K10" s="10">
        <v>891.48</v>
      </c>
      <c r="L10" s="10">
        <v>890.2</v>
      </c>
      <c r="M10" s="10">
        <v>889.79</v>
      </c>
      <c r="N10" s="10">
        <v>891.17</v>
      </c>
    </row>
    <row r="11" spans="1:14" ht="12.75" customHeight="1" x14ac:dyDescent="0.25">
      <c r="A11" s="12" t="s">
        <v>3247</v>
      </c>
      <c r="B11" s="12" t="s">
        <v>3275</v>
      </c>
      <c r="C11" s="10">
        <v>6856.25</v>
      </c>
      <c r="D11" s="10">
        <v>6838.29</v>
      </c>
      <c r="E11" s="10">
        <v>6828.13</v>
      </c>
      <c r="F11" s="10">
        <v>6801.09</v>
      </c>
      <c r="G11" s="10">
        <v>6794.83</v>
      </c>
      <c r="H11" s="10">
        <v>6798.74</v>
      </c>
      <c r="I11" s="10">
        <v>6811.66</v>
      </c>
      <c r="J11" s="10">
        <v>6881.48</v>
      </c>
      <c r="K11" s="10">
        <v>6955.63</v>
      </c>
      <c r="L11" s="10">
        <v>7028.73</v>
      </c>
      <c r="M11" s="10">
        <v>6940.59</v>
      </c>
      <c r="N11" s="10">
        <v>6931.21</v>
      </c>
    </row>
    <row r="12" spans="1:14" ht="12.75" customHeight="1" x14ac:dyDescent="0.25">
      <c r="A12" s="12" t="s">
        <v>3247</v>
      </c>
      <c r="B12" s="12" t="s">
        <v>3276</v>
      </c>
      <c r="C12" s="10">
        <v>44.58</v>
      </c>
      <c r="D12" s="10">
        <v>44.39</v>
      </c>
      <c r="E12" s="10">
        <v>44.5</v>
      </c>
      <c r="F12" s="10">
        <v>44.3</v>
      </c>
      <c r="G12" s="10">
        <v>44.27</v>
      </c>
      <c r="H12" s="10">
        <v>44.26</v>
      </c>
      <c r="I12" s="10">
        <v>44.22</v>
      </c>
      <c r="J12" s="10">
        <v>44.46</v>
      </c>
      <c r="K12" s="10">
        <v>44.96</v>
      </c>
      <c r="L12" s="10">
        <v>45.59</v>
      </c>
      <c r="M12" s="10">
        <v>46.06</v>
      </c>
      <c r="N12" s="10">
        <v>46.32</v>
      </c>
    </row>
    <row r="13" spans="1:14" ht="12.75" customHeight="1" x14ac:dyDescent="0.25">
      <c r="A13" s="12" t="s">
        <v>3247</v>
      </c>
      <c r="B13" s="12" t="s">
        <v>3277</v>
      </c>
      <c r="C13" s="10">
        <v>568.67999999999995</v>
      </c>
      <c r="D13" s="10">
        <v>573.6</v>
      </c>
      <c r="E13" s="10">
        <v>577.91999999999996</v>
      </c>
      <c r="F13" s="10">
        <v>580.88</v>
      </c>
      <c r="G13" s="10">
        <v>584.70000000000005</v>
      </c>
      <c r="H13" s="10">
        <v>582.29</v>
      </c>
      <c r="I13" s="10">
        <v>584.07000000000005</v>
      </c>
      <c r="J13" s="10">
        <v>585.62</v>
      </c>
      <c r="K13" s="10">
        <v>589.70000000000005</v>
      </c>
      <c r="L13" s="10">
        <v>593.83000000000004</v>
      </c>
      <c r="M13" s="10">
        <v>596.89</v>
      </c>
      <c r="N13" s="10">
        <v>599.28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5"/>
  <sheetViews>
    <sheetView topLeftCell="B1" workbookViewId="0">
      <selection activeCell="P2" sqref="P1:P1048576"/>
    </sheetView>
  </sheetViews>
  <sheetFormatPr defaultColWidth="8.81640625" defaultRowHeight="13.2" x14ac:dyDescent="0.25"/>
  <cols>
    <col min="1" max="1" width="46.1796875" style="9" customWidth="1"/>
    <col min="2" max="2" width="28.26953125" style="9" customWidth="1"/>
    <col min="3" max="3" width="24.08984375" style="9" customWidth="1"/>
    <col min="4" max="7" width="8.08984375" style="9" customWidth="1"/>
    <col min="8" max="8" width="9.08984375" style="9" customWidth="1"/>
    <col min="9" max="11" width="8.08984375" style="9" customWidth="1"/>
    <col min="12" max="15" width="9.08984375" style="9" customWidth="1"/>
    <col min="16" max="16384" width="8.81640625" style="9"/>
  </cols>
  <sheetData>
    <row r="1" spans="1:15" ht="12.75" customHeight="1" x14ac:dyDescent="0.25">
      <c r="A1" s="39" t="s">
        <v>3268</v>
      </c>
    </row>
    <row r="2" spans="1:15" ht="12.75" customHeight="1" x14ac:dyDescent="0.25">
      <c r="A2" s="9" t="s">
        <v>112</v>
      </c>
    </row>
    <row r="3" spans="1:15" ht="12.75" customHeight="1" x14ac:dyDescent="0.25">
      <c r="A3" s="12" t="s">
        <v>112</v>
      </c>
      <c r="B3" s="12" t="s">
        <v>112</v>
      </c>
      <c r="C3" s="12" t="s">
        <v>112</v>
      </c>
      <c r="D3" s="12" t="s">
        <v>3267</v>
      </c>
      <c r="E3" s="12" t="s">
        <v>112</v>
      </c>
      <c r="F3" s="12" t="s">
        <v>112</v>
      </c>
      <c r="G3" s="12" t="s">
        <v>112</v>
      </c>
      <c r="H3" s="12" t="s">
        <v>112</v>
      </c>
      <c r="I3" s="12" t="s">
        <v>112</v>
      </c>
      <c r="J3" s="12" t="s">
        <v>112</v>
      </c>
      <c r="K3" s="12" t="s">
        <v>112</v>
      </c>
      <c r="L3" s="12" t="s">
        <v>112</v>
      </c>
      <c r="M3" s="12" t="s">
        <v>112</v>
      </c>
      <c r="N3" s="12" t="s">
        <v>112</v>
      </c>
      <c r="O3" s="12" t="s">
        <v>112</v>
      </c>
    </row>
    <row r="4" spans="1:15" ht="12.75" customHeight="1" x14ac:dyDescent="0.25">
      <c r="A4" s="12" t="s">
        <v>112</v>
      </c>
      <c r="B4" s="12" t="s">
        <v>112</v>
      </c>
      <c r="C4" s="12" t="s">
        <v>112</v>
      </c>
      <c r="D4" s="12" t="s">
        <v>3266</v>
      </c>
      <c r="E4" s="12" t="s">
        <v>3265</v>
      </c>
      <c r="F4" s="12" t="s">
        <v>3264</v>
      </c>
      <c r="G4" s="12" t="s">
        <v>3263</v>
      </c>
      <c r="H4" s="12" t="s">
        <v>3262</v>
      </c>
      <c r="I4" s="12" t="s">
        <v>3261</v>
      </c>
      <c r="J4" s="12" t="s">
        <v>3260</v>
      </c>
      <c r="K4" s="12" t="s">
        <v>3259</v>
      </c>
      <c r="L4" s="12" t="s">
        <v>3258</v>
      </c>
      <c r="M4" s="12" t="s">
        <v>3257</v>
      </c>
      <c r="N4" s="12" t="s">
        <v>3256</v>
      </c>
      <c r="O4" s="12" t="s">
        <v>3255</v>
      </c>
    </row>
    <row r="5" spans="1:15" ht="12.75" customHeight="1" x14ac:dyDescent="0.25">
      <c r="A5" s="12" t="s">
        <v>3254</v>
      </c>
      <c r="B5" s="12" t="s">
        <v>3250</v>
      </c>
      <c r="C5" s="12" t="s">
        <v>3248</v>
      </c>
      <c r="D5" s="10">
        <v>1220.21</v>
      </c>
      <c r="E5" s="10">
        <v>1240.1300000000001</v>
      </c>
      <c r="F5" s="10">
        <v>1391.36</v>
      </c>
      <c r="G5" s="10">
        <v>1886.46</v>
      </c>
      <c r="H5" s="10">
        <v>1776.48</v>
      </c>
      <c r="I5" s="10">
        <v>1816.79</v>
      </c>
      <c r="J5" s="10">
        <v>1688.46</v>
      </c>
      <c r="K5" s="10">
        <v>1869.64</v>
      </c>
      <c r="L5" s="10">
        <v>2038.64</v>
      </c>
      <c r="M5" s="10">
        <v>2177.38</v>
      </c>
      <c r="N5" s="10">
        <v>1911.11</v>
      </c>
      <c r="O5" s="10">
        <v>1896.14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5"/>
  <sheetViews>
    <sheetView topLeftCell="B1" workbookViewId="0">
      <selection activeCell="P1" sqref="P1:P1048576"/>
    </sheetView>
  </sheetViews>
  <sheetFormatPr defaultColWidth="8.81640625" defaultRowHeight="13.2" x14ac:dyDescent="0.25"/>
  <cols>
    <col min="1" max="1" width="46.1796875" style="9" customWidth="1"/>
    <col min="2" max="2" width="28.26953125" style="9" customWidth="1"/>
    <col min="3" max="3" width="24.08984375" style="9" customWidth="1"/>
    <col min="4" max="7" width="8.08984375" style="9" customWidth="1"/>
    <col min="8" max="8" width="9.08984375" style="9" customWidth="1"/>
    <col min="9" max="11" width="8.08984375" style="9" customWidth="1"/>
    <col min="12" max="15" width="9.08984375" style="9" customWidth="1"/>
    <col min="16" max="16384" width="8.81640625" style="9"/>
  </cols>
  <sheetData>
    <row r="1" spans="1:15" ht="12.75" customHeight="1" x14ac:dyDescent="0.25">
      <c r="A1" s="39" t="s">
        <v>3268</v>
      </c>
    </row>
    <row r="2" spans="1:15" ht="12.75" customHeight="1" x14ac:dyDescent="0.25">
      <c r="A2" s="9" t="s">
        <v>112</v>
      </c>
    </row>
    <row r="3" spans="1:15" ht="12.75" customHeight="1" x14ac:dyDescent="0.25">
      <c r="A3" s="12" t="s">
        <v>112</v>
      </c>
      <c r="B3" s="12" t="s">
        <v>112</v>
      </c>
      <c r="C3" s="12" t="s">
        <v>112</v>
      </c>
      <c r="D3" s="12" t="s">
        <v>3267</v>
      </c>
      <c r="E3" s="12" t="s">
        <v>112</v>
      </c>
      <c r="F3" s="12" t="s">
        <v>112</v>
      </c>
      <c r="G3" s="12" t="s">
        <v>112</v>
      </c>
      <c r="H3" s="12" t="s">
        <v>112</v>
      </c>
      <c r="I3" s="12" t="s">
        <v>112</v>
      </c>
      <c r="J3" s="12" t="s">
        <v>112</v>
      </c>
      <c r="K3" s="12" t="s">
        <v>112</v>
      </c>
      <c r="L3" s="12" t="s">
        <v>112</v>
      </c>
      <c r="M3" s="12" t="s">
        <v>112</v>
      </c>
      <c r="N3" s="12" t="s">
        <v>112</v>
      </c>
      <c r="O3" s="12" t="s">
        <v>112</v>
      </c>
    </row>
    <row r="4" spans="1:15" ht="12.75" customHeight="1" x14ac:dyDescent="0.25">
      <c r="A4" s="12" t="s">
        <v>112</v>
      </c>
      <c r="B4" s="12" t="s">
        <v>112</v>
      </c>
      <c r="C4" s="12" t="s">
        <v>112</v>
      </c>
      <c r="D4" s="12" t="s">
        <v>3266</v>
      </c>
      <c r="E4" s="12" t="s">
        <v>3265</v>
      </c>
      <c r="F4" s="12" t="s">
        <v>3264</v>
      </c>
      <c r="G4" s="12" t="s">
        <v>3263</v>
      </c>
      <c r="H4" s="12" t="s">
        <v>3262</v>
      </c>
      <c r="I4" s="12" t="s">
        <v>3261</v>
      </c>
      <c r="J4" s="12" t="s">
        <v>3260</v>
      </c>
      <c r="K4" s="12" t="s">
        <v>3259</v>
      </c>
      <c r="L4" s="12" t="s">
        <v>3258</v>
      </c>
      <c r="M4" s="12" t="s">
        <v>3257</v>
      </c>
      <c r="N4" s="12" t="s">
        <v>3256</v>
      </c>
      <c r="O4" s="12" t="s">
        <v>3255</v>
      </c>
    </row>
    <row r="5" spans="1:15" ht="12.75" customHeight="1" x14ac:dyDescent="0.25">
      <c r="A5" s="12" t="s">
        <v>3254</v>
      </c>
      <c r="B5" s="12" t="s">
        <v>3253</v>
      </c>
      <c r="C5" s="12" t="s">
        <v>3248</v>
      </c>
      <c r="D5" s="10">
        <v>169.15</v>
      </c>
      <c r="E5" s="10">
        <v>174.74</v>
      </c>
      <c r="F5" s="10">
        <v>207.71</v>
      </c>
      <c r="G5" s="10">
        <v>242.42</v>
      </c>
      <c r="H5" s="10">
        <v>249.25</v>
      </c>
      <c r="I5" s="10">
        <v>257.91000000000003</v>
      </c>
      <c r="J5" s="10">
        <v>276.82</v>
      </c>
      <c r="K5" s="11">
        <v>238</v>
      </c>
      <c r="L5" s="10">
        <v>227.1</v>
      </c>
      <c r="M5" s="10">
        <v>201.39</v>
      </c>
      <c r="N5" s="10">
        <v>231.31</v>
      </c>
      <c r="O5" s="10">
        <v>232.74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5"/>
  <sheetViews>
    <sheetView topLeftCell="B1" workbookViewId="0">
      <selection activeCell="P1" sqref="P1:P1048576"/>
    </sheetView>
  </sheetViews>
  <sheetFormatPr defaultColWidth="8.81640625" defaultRowHeight="13.2" x14ac:dyDescent="0.25"/>
  <cols>
    <col min="1" max="1" width="46.1796875" style="9" customWidth="1"/>
    <col min="2" max="2" width="28.26953125" style="9" customWidth="1"/>
    <col min="3" max="3" width="24.08984375" style="9" customWidth="1"/>
    <col min="4" max="7" width="8.08984375" style="9" customWidth="1"/>
    <col min="8" max="8" width="9.08984375" style="9" customWidth="1"/>
    <col min="9" max="11" width="8.08984375" style="9" customWidth="1"/>
    <col min="12" max="15" width="9.08984375" style="9" customWidth="1"/>
    <col min="16" max="16384" width="8.81640625" style="9"/>
  </cols>
  <sheetData>
    <row r="1" spans="1:15" ht="12.75" customHeight="1" x14ac:dyDescent="0.25">
      <c r="A1" s="39" t="s">
        <v>3268</v>
      </c>
    </row>
    <row r="2" spans="1:15" ht="12.75" customHeight="1" x14ac:dyDescent="0.25">
      <c r="A2" s="9" t="s">
        <v>112</v>
      </c>
    </row>
    <row r="3" spans="1:15" ht="12.75" customHeight="1" x14ac:dyDescent="0.25">
      <c r="A3" s="12" t="s">
        <v>112</v>
      </c>
      <c r="B3" s="12" t="s">
        <v>112</v>
      </c>
      <c r="C3" s="12" t="s">
        <v>112</v>
      </c>
      <c r="D3" s="12" t="s">
        <v>3267</v>
      </c>
      <c r="E3" s="12" t="s">
        <v>112</v>
      </c>
      <c r="F3" s="12" t="s">
        <v>112</v>
      </c>
      <c r="G3" s="12" t="s">
        <v>112</v>
      </c>
      <c r="H3" s="12" t="s">
        <v>112</v>
      </c>
      <c r="I3" s="12" t="s">
        <v>112</v>
      </c>
      <c r="J3" s="12" t="s">
        <v>112</v>
      </c>
      <c r="K3" s="12" t="s">
        <v>112</v>
      </c>
      <c r="L3" s="12" t="s">
        <v>112</v>
      </c>
      <c r="M3" s="12" t="s">
        <v>112</v>
      </c>
      <c r="N3" s="12" t="s">
        <v>112</v>
      </c>
      <c r="O3" s="12" t="s">
        <v>112</v>
      </c>
    </row>
    <row r="4" spans="1:15" ht="12.75" customHeight="1" x14ac:dyDescent="0.25">
      <c r="A4" s="12" t="s">
        <v>112</v>
      </c>
      <c r="B4" s="12" t="s">
        <v>112</v>
      </c>
      <c r="C4" s="12" t="s">
        <v>112</v>
      </c>
      <c r="D4" s="12" t="s">
        <v>3266</v>
      </c>
      <c r="E4" s="12" t="s">
        <v>3265</v>
      </c>
      <c r="F4" s="12" t="s">
        <v>3264</v>
      </c>
      <c r="G4" s="12" t="s">
        <v>3263</v>
      </c>
      <c r="H4" s="12" t="s">
        <v>3262</v>
      </c>
      <c r="I4" s="12" t="s">
        <v>3261</v>
      </c>
      <c r="J4" s="12" t="s">
        <v>3260</v>
      </c>
      <c r="K4" s="12" t="s">
        <v>3259</v>
      </c>
      <c r="L4" s="12" t="s">
        <v>3258</v>
      </c>
      <c r="M4" s="12" t="s">
        <v>3257</v>
      </c>
      <c r="N4" s="12" t="s">
        <v>3256</v>
      </c>
      <c r="O4" s="12" t="s">
        <v>3255</v>
      </c>
    </row>
    <row r="5" spans="1:15" ht="12.75" customHeight="1" x14ac:dyDescent="0.25">
      <c r="A5" s="12" t="s">
        <v>3254</v>
      </c>
      <c r="B5" s="12" t="s">
        <v>3316</v>
      </c>
      <c r="C5" s="12" t="s">
        <v>3248</v>
      </c>
      <c r="D5" s="10">
        <v>3.2</v>
      </c>
      <c r="E5" s="10">
        <v>3.45</v>
      </c>
      <c r="F5" s="10">
        <v>6.21</v>
      </c>
      <c r="G5" s="10">
        <v>4.37</v>
      </c>
      <c r="H5" s="10">
        <v>5.34</v>
      </c>
      <c r="I5" s="10">
        <v>7.53</v>
      </c>
      <c r="J5" s="10">
        <v>3.96</v>
      </c>
      <c r="K5" s="10">
        <v>4.42</v>
      </c>
      <c r="L5" s="10">
        <v>4.24</v>
      </c>
      <c r="M5" s="10">
        <v>4.08</v>
      </c>
      <c r="N5" s="10">
        <v>3.92</v>
      </c>
      <c r="O5" s="10">
        <v>4.37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5"/>
  <sheetViews>
    <sheetView topLeftCell="B1" workbookViewId="0">
      <selection activeCell="P1" sqref="P1:P1048576"/>
    </sheetView>
  </sheetViews>
  <sheetFormatPr defaultColWidth="8.81640625" defaultRowHeight="13.2" x14ac:dyDescent="0.25"/>
  <cols>
    <col min="1" max="1" width="46.1796875" style="9" customWidth="1"/>
    <col min="2" max="2" width="28.26953125" style="9" customWidth="1"/>
    <col min="3" max="3" width="24.08984375" style="9" customWidth="1"/>
    <col min="4" max="7" width="8.08984375" style="9" customWidth="1"/>
    <col min="8" max="8" width="9.08984375" style="9" customWidth="1"/>
    <col min="9" max="11" width="8.08984375" style="9" customWidth="1"/>
    <col min="12" max="15" width="9.08984375" style="9" customWidth="1"/>
    <col min="16" max="16384" width="8.81640625" style="9"/>
  </cols>
  <sheetData>
    <row r="1" spans="1:15" ht="12.75" customHeight="1" x14ac:dyDescent="0.25">
      <c r="A1" s="39" t="s">
        <v>3268</v>
      </c>
    </row>
    <row r="2" spans="1:15" ht="12.75" customHeight="1" x14ac:dyDescent="0.25">
      <c r="A2" s="9" t="s">
        <v>112</v>
      </c>
    </row>
    <row r="3" spans="1:15" ht="12.75" customHeight="1" x14ac:dyDescent="0.25">
      <c r="A3" s="12" t="s">
        <v>112</v>
      </c>
      <c r="B3" s="12" t="s">
        <v>112</v>
      </c>
      <c r="C3" s="12" t="s">
        <v>112</v>
      </c>
      <c r="D3" s="12" t="s">
        <v>3267</v>
      </c>
      <c r="E3" s="12" t="s">
        <v>112</v>
      </c>
      <c r="F3" s="12" t="s">
        <v>112</v>
      </c>
      <c r="G3" s="12" t="s">
        <v>112</v>
      </c>
      <c r="H3" s="12" t="s">
        <v>112</v>
      </c>
      <c r="I3" s="12" t="s">
        <v>112</v>
      </c>
      <c r="J3" s="12" t="s">
        <v>112</v>
      </c>
      <c r="K3" s="12" t="s">
        <v>112</v>
      </c>
      <c r="L3" s="12" t="s">
        <v>112</v>
      </c>
      <c r="M3" s="12" t="s">
        <v>112</v>
      </c>
      <c r="N3" s="12" t="s">
        <v>112</v>
      </c>
      <c r="O3" s="12" t="s">
        <v>112</v>
      </c>
    </row>
    <row r="4" spans="1:15" ht="12.75" customHeight="1" x14ac:dyDescent="0.25">
      <c r="A4" s="12" t="s">
        <v>112</v>
      </c>
      <c r="B4" s="12" t="s">
        <v>112</v>
      </c>
      <c r="C4" s="12" t="s">
        <v>112</v>
      </c>
      <c r="D4" s="12" t="s">
        <v>3266</v>
      </c>
      <c r="E4" s="12" t="s">
        <v>3265</v>
      </c>
      <c r="F4" s="12" t="s">
        <v>3264</v>
      </c>
      <c r="G4" s="12" t="s">
        <v>3263</v>
      </c>
      <c r="H4" s="12" t="s">
        <v>3262</v>
      </c>
      <c r="I4" s="12" t="s">
        <v>3261</v>
      </c>
      <c r="J4" s="12" t="s">
        <v>3260</v>
      </c>
      <c r="K4" s="12" t="s">
        <v>3259</v>
      </c>
      <c r="L4" s="12" t="s">
        <v>3258</v>
      </c>
      <c r="M4" s="12" t="s">
        <v>3257</v>
      </c>
      <c r="N4" s="12" t="s">
        <v>3256</v>
      </c>
      <c r="O4" s="12" t="s">
        <v>3255</v>
      </c>
    </row>
    <row r="5" spans="1:15" ht="12.75" customHeight="1" x14ac:dyDescent="0.25">
      <c r="A5" s="12" t="s">
        <v>3254</v>
      </c>
      <c r="B5" s="12" t="s">
        <v>3249</v>
      </c>
      <c r="C5" s="12" t="s">
        <v>3248</v>
      </c>
      <c r="D5" s="10">
        <v>3182.27</v>
      </c>
      <c r="E5" s="10">
        <v>3732.78</v>
      </c>
      <c r="F5" s="10">
        <v>4383.7299999999996</v>
      </c>
      <c r="G5" s="10">
        <v>3783.59</v>
      </c>
      <c r="H5" s="10">
        <v>4314.21</v>
      </c>
      <c r="I5" s="10">
        <v>4849.92</v>
      </c>
      <c r="J5" s="10">
        <v>4860.1499999999996</v>
      </c>
      <c r="K5" s="10">
        <v>4696.76</v>
      </c>
      <c r="L5" s="10">
        <v>4807.12</v>
      </c>
      <c r="M5" s="10">
        <v>4997.74</v>
      </c>
      <c r="N5" s="10">
        <v>4965.75</v>
      </c>
      <c r="O5" s="10">
        <v>5732.48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5"/>
  <sheetViews>
    <sheetView topLeftCell="B1" workbookViewId="0">
      <selection activeCell="P5" sqref="P1:P1048576"/>
    </sheetView>
  </sheetViews>
  <sheetFormatPr defaultColWidth="8.81640625" defaultRowHeight="13.2" x14ac:dyDescent="0.25"/>
  <cols>
    <col min="1" max="1" width="46.1796875" style="9" customWidth="1"/>
    <col min="2" max="2" width="28.26953125" style="9" customWidth="1"/>
    <col min="3" max="3" width="24.08984375" style="9" customWidth="1"/>
    <col min="4" max="7" width="8.08984375" style="9" customWidth="1"/>
    <col min="8" max="8" width="9.08984375" style="9" customWidth="1"/>
    <col min="9" max="11" width="8.08984375" style="9" customWidth="1"/>
    <col min="12" max="15" width="9.08984375" style="9" customWidth="1"/>
    <col min="16" max="16384" width="8.81640625" style="9"/>
  </cols>
  <sheetData>
    <row r="1" spans="1:15" ht="12.75" customHeight="1" x14ac:dyDescent="0.25">
      <c r="A1" s="39" t="s">
        <v>3268</v>
      </c>
    </row>
    <row r="2" spans="1:15" ht="12.75" customHeight="1" x14ac:dyDescent="0.25">
      <c r="A2" s="9" t="s">
        <v>112</v>
      </c>
    </row>
    <row r="3" spans="1:15" ht="12.75" customHeight="1" x14ac:dyDescent="0.25">
      <c r="A3" s="12" t="s">
        <v>112</v>
      </c>
      <c r="B3" s="12" t="s">
        <v>112</v>
      </c>
      <c r="C3" s="12" t="s">
        <v>112</v>
      </c>
      <c r="D3" s="12" t="s">
        <v>3267</v>
      </c>
      <c r="E3" s="12" t="s">
        <v>112</v>
      </c>
      <c r="F3" s="12" t="s">
        <v>112</v>
      </c>
      <c r="G3" s="12" t="s">
        <v>112</v>
      </c>
      <c r="H3" s="12" t="s">
        <v>112</v>
      </c>
      <c r="I3" s="12" t="s">
        <v>112</v>
      </c>
      <c r="J3" s="12" t="s">
        <v>112</v>
      </c>
      <c r="K3" s="12" t="s">
        <v>112</v>
      </c>
      <c r="L3" s="12" t="s">
        <v>112</v>
      </c>
      <c r="M3" s="12" t="s">
        <v>112</v>
      </c>
      <c r="N3" s="12" t="s">
        <v>112</v>
      </c>
      <c r="O3" s="12" t="s">
        <v>112</v>
      </c>
    </row>
    <row r="4" spans="1:15" ht="12.75" customHeight="1" x14ac:dyDescent="0.25">
      <c r="A4" s="12" t="s">
        <v>112</v>
      </c>
      <c r="B4" s="12" t="s">
        <v>112</v>
      </c>
      <c r="C4" s="12" t="s">
        <v>112</v>
      </c>
      <c r="D4" s="12" t="s">
        <v>3266</v>
      </c>
      <c r="E4" s="12" t="s">
        <v>3265</v>
      </c>
      <c r="F4" s="12" t="s">
        <v>3264</v>
      </c>
      <c r="G4" s="12" t="s">
        <v>3263</v>
      </c>
      <c r="H4" s="12" t="s">
        <v>3262</v>
      </c>
      <c r="I4" s="12" t="s">
        <v>3261</v>
      </c>
      <c r="J4" s="12" t="s">
        <v>3260</v>
      </c>
      <c r="K4" s="12" t="s">
        <v>3259</v>
      </c>
      <c r="L4" s="12" t="s">
        <v>3258</v>
      </c>
      <c r="M4" s="12" t="s">
        <v>3257</v>
      </c>
      <c r="N4" s="12" t="s">
        <v>3256</v>
      </c>
      <c r="O4" s="12" t="s">
        <v>3255</v>
      </c>
    </row>
    <row r="5" spans="1:15" ht="12.75" customHeight="1" x14ac:dyDescent="0.25">
      <c r="A5" s="12" t="s">
        <v>3254</v>
      </c>
      <c r="B5" s="12" t="s">
        <v>3252</v>
      </c>
      <c r="C5" s="12" t="s">
        <v>3248</v>
      </c>
      <c r="D5" s="10">
        <v>480.33</v>
      </c>
      <c r="E5" s="10">
        <v>407.6</v>
      </c>
      <c r="F5" s="10">
        <v>455.15</v>
      </c>
      <c r="G5" s="10">
        <v>523.66999999999996</v>
      </c>
      <c r="H5" s="10">
        <v>773.87</v>
      </c>
      <c r="I5" s="10">
        <v>560.48</v>
      </c>
      <c r="J5" s="10">
        <v>463.02</v>
      </c>
      <c r="K5" s="10">
        <v>603.87</v>
      </c>
      <c r="L5" s="10">
        <v>510.23</v>
      </c>
      <c r="M5" s="10">
        <v>517.57000000000005</v>
      </c>
      <c r="N5" s="10">
        <v>528.05999999999995</v>
      </c>
      <c r="O5" s="10">
        <v>330.46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5"/>
  <sheetViews>
    <sheetView topLeftCell="B1" workbookViewId="0">
      <selection activeCell="P1" sqref="P1:P1048576"/>
    </sheetView>
  </sheetViews>
  <sheetFormatPr defaultColWidth="8.81640625" defaultRowHeight="13.2" x14ac:dyDescent="0.25"/>
  <cols>
    <col min="1" max="1" width="46.1796875" style="9" customWidth="1"/>
    <col min="2" max="2" width="28.26953125" style="9" customWidth="1"/>
    <col min="3" max="3" width="24.08984375" style="9" customWidth="1"/>
    <col min="4" max="7" width="8.08984375" style="9" customWidth="1"/>
    <col min="8" max="8" width="9.08984375" style="9" customWidth="1"/>
    <col min="9" max="11" width="8.08984375" style="9" customWidth="1"/>
    <col min="12" max="15" width="9.08984375" style="9" customWidth="1"/>
    <col min="16" max="16384" width="8.81640625" style="9"/>
  </cols>
  <sheetData>
    <row r="1" spans="1:15" ht="12.75" customHeight="1" x14ac:dyDescent="0.25">
      <c r="A1" s="39" t="s">
        <v>3268</v>
      </c>
    </row>
    <row r="2" spans="1:15" ht="12.75" customHeight="1" x14ac:dyDescent="0.25">
      <c r="A2" s="9" t="s">
        <v>112</v>
      </c>
    </row>
    <row r="3" spans="1:15" ht="12.75" customHeight="1" x14ac:dyDescent="0.25">
      <c r="A3" s="12" t="s">
        <v>112</v>
      </c>
      <c r="B3" s="12" t="s">
        <v>112</v>
      </c>
      <c r="C3" s="12" t="s">
        <v>112</v>
      </c>
      <c r="D3" s="12" t="s">
        <v>3267</v>
      </c>
      <c r="E3" s="12" t="s">
        <v>112</v>
      </c>
      <c r="F3" s="12" t="s">
        <v>112</v>
      </c>
      <c r="G3" s="12" t="s">
        <v>112</v>
      </c>
      <c r="H3" s="12" t="s">
        <v>112</v>
      </c>
      <c r="I3" s="12" t="s">
        <v>112</v>
      </c>
      <c r="J3" s="12" t="s">
        <v>112</v>
      </c>
      <c r="K3" s="12" t="s">
        <v>112</v>
      </c>
      <c r="L3" s="12" t="s">
        <v>112</v>
      </c>
      <c r="M3" s="12" t="s">
        <v>112</v>
      </c>
      <c r="N3" s="12" t="s">
        <v>112</v>
      </c>
      <c r="O3" s="12" t="s">
        <v>112</v>
      </c>
    </row>
    <row r="4" spans="1:15" ht="12.75" customHeight="1" x14ac:dyDescent="0.25">
      <c r="A4" s="12" t="s">
        <v>112</v>
      </c>
      <c r="B4" s="12" t="s">
        <v>112</v>
      </c>
      <c r="C4" s="12" t="s">
        <v>112</v>
      </c>
      <c r="D4" s="12" t="s">
        <v>3266</v>
      </c>
      <c r="E4" s="12" t="s">
        <v>3265</v>
      </c>
      <c r="F4" s="12" t="s">
        <v>3264</v>
      </c>
      <c r="G4" s="12" t="s">
        <v>3263</v>
      </c>
      <c r="H4" s="12" t="s">
        <v>3262</v>
      </c>
      <c r="I4" s="12" t="s">
        <v>3261</v>
      </c>
      <c r="J4" s="12" t="s">
        <v>3260</v>
      </c>
      <c r="K4" s="12" t="s">
        <v>3259</v>
      </c>
      <c r="L4" s="12" t="s">
        <v>3258</v>
      </c>
      <c r="M4" s="12" t="s">
        <v>3257</v>
      </c>
      <c r="N4" s="12" t="s">
        <v>3256</v>
      </c>
      <c r="O4" s="12" t="s">
        <v>3255</v>
      </c>
    </row>
    <row r="5" spans="1:15" ht="12.75" customHeight="1" x14ac:dyDescent="0.25">
      <c r="A5" s="12" t="s">
        <v>3254</v>
      </c>
      <c r="B5" s="12" t="s">
        <v>3246</v>
      </c>
      <c r="C5" s="12" t="s">
        <v>3248</v>
      </c>
      <c r="D5" s="10">
        <v>834.15</v>
      </c>
      <c r="E5" s="10">
        <v>1281.95</v>
      </c>
      <c r="F5" s="10">
        <v>1308.28</v>
      </c>
      <c r="G5" s="10">
        <v>1198.47</v>
      </c>
      <c r="H5" s="10">
        <v>1355.47</v>
      </c>
      <c r="I5" s="10">
        <v>1249.57</v>
      </c>
      <c r="J5" s="10">
        <v>1318.16</v>
      </c>
      <c r="K5" s="10">
        <v>1346.25</v>
      </c>
      <c r="L5" s="10">
        <v>1328.67</v>
      </c>
      <c r="M5" s="10">
        <v>1280.51</v>
      </c>
      <c r="N5" s="10">
        <v>1493.89</v>
      </c>
      <c r="O5" s="10">
        <v>1540.75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5"/>
  <sheetViews>
    <sheetView topLeftCell="B1" workbookViewId="0">
      <selection activeCell="P1" sqref="P1:P1048576"/>
    </sheetView>
  </sheetViews>
  <sheetFormatPr defaultColWidth="8.81640625" defaultRowHeight="13.2" x14ac:dyDescent="0.25"/>
  <cols>
    <col min="1" max="1" width="46.1796875" style="9" customWidth="1"/>
    <col min="2" max="2" width="28.26953125" style="9" customWidth="1"/>
    <col min="3" max="3" width="24.08984375" style="9" customWidth="1"/>
    <col min="4" max="7" width="8.08984375" style="9" customWidth="1"/>
    <col min="8" max="8" width="9.08984375" style="9" customWidth="1"/>
    <col min="9" max="11" width="8.08984375" style="9" customWidth="1"/>
    <col min="12" max="15" width="9.08984375" style="9" customWidth="1"/>
    <col min="16" max="16384" width="8.81640625" style="9"/>
  </cols>
  <sheetData>
    <row r="1" spans="1:15" ht="12.75" customHeight="1" x14ac:dyDescent="0.25">
      <c r="A1" s="39" t="s">
        <v>3268</v>
      </c>
    </row>
    <row r="2" spans="1:15" ht="12.75" customHeight="1" x14ac:dyDescent="0.25">
      <c r="A2" s="9" t="s">
        <v>112</v>
      </c>
    </row>
    <row r="3" spans="1:15" ht="12.75" customHeight="1" x14ac:dyDescent="0.25">
      <c r="A3" s="12" t="s">
        <v>112</v>
      </c>
      <c r="B3" s="12" t="s">
        <v>112</v>
      </c>
      <c r="C3" s="12" t="s">
        <v>112</v>
      </c>
      <c r="D3" s="12" t="s">
        <v>3267</v>
      </c>
      <c r="E3" s="12" t="s">
        <v>112</v>
      </c>
      <c r="F3" s="12" t="s">
        <v>112</v>
      </c>
      <c r="G3" s="12" t="s">
        <v>112</v>
      </c>
      <c r="H3" s="12" t="s">
        <v>112</v>
      </c>
      <c r="I3" s="12" t="s">
        <v>112</v>
      </c>
      <c r="J3" s="12" t="s">
        <v>112</v>
      </c>
      <c r="K3" s="12" t="s">
        <v>112</v>
      </c>
      <c r="L3" s="12" t="s">
        <v>112</v>
      </c>
      <c r="M3" s="12" t="s">
        <v>112</v>
      </c>
      <c r="N3" s="12" t="s">
        <v>112</v>
      </c>
      <c r="O3" s="12" t="s">
        <v>112</v>
      </c>
    </row>
    <row r="4" spans="1:15" ht="12.75" customHeight="1" x14ac:dyDescent="0.25">
      <c r="A4" s="12" t="s">
        <v>112</v>
      </c>
      <c r="B4" s="12" t="s">
        <v>112</v>
      </c>
      <c r="C4" s="12" t="s">
        <v>112</v>
      </c>
      <c r="D4" s="12" t="s">
        <v>3266</v>
      </c>
      <c r="E4" s="12" t="s">
        <v>3265</v>
      </c>
      <c r="F4" s="12" t="s">
        <v>3264</v>
      </c>
      <c r="G4" s="12" t="s">
        <v>3263</v>
      </c>
      <c r="H4" s="12" t="s">
        <v>3262</v>
      </c>
      <c r="I4" s="12" t="s">
        <v>3261</v>
      </c>
      <c r="J4" s="12" t="s">
        <v>3260</v>
      </c>
      <c r="K4" s="12" t="s">
        <v>3259</v>
      </c>
      <c r="L4" s="12" t="s">
        <v>3258</v>
      </c>
      <c r="M4" s="12" t="s">
        <v>3257</v>
      </c>
      <c r="N4" s="12" t="s">
        <v>3256</v>
      </c>
      <c r="O4" s="12" t="s">
        <v>3255</v>
      </c>
    </row>
    <row r="5" spans="1:15" ht="12.75" customHeight="1" x14ac:dyDescent="0.25">
      <c r="A5" s="12" t="s">
        <v>3254</v>
      </c>
      <c r="B5" s="12" t="s">
        <v>3251</v>
      </c>
      <c r="C5" s="12" t="s">
        <v>3248</v>
      </c>
      <c r="D5" s="10">
        <v>4.4000000000000004</v>
      </c>
      <c r="E5" s="10">
        <v>5.2</v>
      </c>
      <c r="F5" s="10">
        <v>23.1</v>
      </c>
      <c r="G5" s="10">
        <v>21.2</v>
      </c>
      <c r="H5" s="10">
        <v>37.299999999999997</v>
      </c>
      <c r="I5" s="10">
        <v>16.100000000000001</v>
      </c>
      <c r="J5" s="10">
        <v>30.2</v>
      </c>
      <c r="K5" s="10">
        <v>25.1</v>
      </c>
      <c r="L5" s="11">
        <v>22</v>
      </c>
      <c r="M5" s="10">
        <v>35.9</v>
      </c>
      <c r="N5" s="10">
        <v>23.9</v>
      </c>
      <c r="O5" s="10">
        <v>37.6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Задание</vt:lpstr>
      <vt:lpstr>Sheet1</vt:lpstr>
      <vt:lpstr>Исходные данные→</vt:lpstr>
      <vt:lpstr>Продажи Компании</vt:lpstr>
      <vt:lpstr>Sheet2</vt:lpstr>
      <vt:lpstr>Декларации</vt:lpstr>
      <vt:lpstr>Росстат_Цены</vt:lpstr>
      <vt:lpstr>Росстат_Пр-во ЦФО</vt:lpstr>
      <vt:lpstr>Росстат_Пр-во СЗФО</vt:lpstr>
      <vt:lpstr>Росстат_Пр-во ЮФО</vt:lpstr>
      <vt:lpstr>Росстат_Пр-во ПФО</vt:lpstr>
      <vt:lpstr>Росстат_Пр-во УФО</vt:lpstr>
      <vt:lpstr>Росстат_Пр-во СФО</vt:lpstr>
      <vt:lpstr>Росстат_Пр-во ДФО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Sevastyan Bazarov</dc:creator>
  <cp:lastModifiedBy>Сергей Антоневич</cp:lastModifiedBy>
  <cp:lastPrinted>2024-04-10T19:33:34Z</cp:lastPrinted>
  <dcterms:created xsi:type="dcterms:W3CDTF">2022-11-08T15:24:12Z</dcterms:created>
  <dcterms:modified xsi:type="dcterms:W3CDTF">2026-03-11T21:50:01Z</dcterms:modified>
</cp:coreProperties>
</file>